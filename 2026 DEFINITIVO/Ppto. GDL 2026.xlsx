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4"/>
    <sheet state="visible" name="Gtos. Corporativos" sheetId="2" r:id="rId5"/>
    <sheet state="visible" name="DN" sheetId="3" r:id="rId6"/>
    <sheet state="visible" name="Comités" sheetId="4" r:id="rId7"/>
    <sheet state="visible" name="T&amp;IC" sheetId="5" r:id="rId8"/>
    <sheet state="visible" name="Eventos" sheetId="6" r:id="rId9"/>
    <sheet state="visible" name="Serv Membresía" sheetId="7" r:id="rId10"/>
    <sheet state="visible" name="Comunicación" sheetId="8" r:id="rId11"/>
    <sheet state="visible" name="RH" sheetId="9" r:id="rId12"/>
    <sheet state="visible" name="Dirección" sheetId="10" r:id="rId13"/>
    <sheet state="visible" name="Gastos Generales" sheetId="11" r:id="rId14"/>
    <sheet state="hidden" name="PPvsREal" sheetId="12" r:id="rId15"/>
    <sheet state="hidden" name="PPvsREal Summary" sheetId="13" r:id="rId16"/>
  </sheets>
  <definedNames>
    <definedName name="Payment_Needed">"Pago necesario"</definedName>
    <definedName name="Reimbursement">"Reembolso"</definedName>
    <definedName hidden="1" localSheetId="12" name="_xlnm._FilterDatabase">'PPvsREal Summary'!$B$3:$AG$179</definedName>
  </definedNames>
  <calcPr/>
  <extLst>
    <ext uri="GoogleSheetsCustomDataVersion2">
      <go:sheetsCustomData xmlns:go="http://customooxmlschemas.google.com/" r:id="rId17" roundtripDataChecksum="oJbULQ+KiUF2PBmVhHwlpf+TppD+eYhDVjCFXdkoZ1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32">
      <text>
        <t xml:space="preserve">======
ID#AAAByRwFNS4
Pedro Casas Alatriste    (2026-01-06 00:52:49)
Aquí tenemos que apretar sí o sí en GDL, no podemos tener incrementos de esas magnitudes, para que se ahorque el equipo. 
@abustillos@amcham.org.mx</t>
      </text>
    </comment>
  </commentList>
  <extLst>
    <ext uri="GoogleSheetsCustomDataVersion2">
      <go:sheetsCustomData xmlns:go="http://customooxmlschemas.google.com/" r:id="rId1" roundtripDataSignature="AMtx7mj1lHev6JvjuNBP4oa6iMXGA0+HP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======
ID#AAAByRwFNS8
Pedro Casas Alatriste    (2026-01-06 00:53:55)
Creo que aquí nos podemos poner creativos para lograr algo más de ingreso. @abustillos@amcham.org.mx</t>
      </text>
    </comment>
  </commentList>
  <extLst>
    <ext uri="GoogleSheetsCustomDataVersion2">
      <go:sheetsCustomData xmlns:go="http://customooxmlschemas.google.com/" r:id="rId1" roundtripDataSignature="AMtx7mjJa7rpyCBlLLI4q8Vvx3Jb9+6lU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======
ID#AAAByRwFNTM
Pedro Casas Alatriste    (2026-01-06 00:58:21)
Sí deberíamos tener presupuestados cocteles. 
@abustillos@amcham.org.mx</t>
      </text>
    </comment>
    <comment authorId="0" ref="C12">
      <text>
        <t xml:space="preserve">======
ID#AAAByRwFNTE
Pedro Casas Alatriste    (2026-01-06 00:57:48)
Aquí tampoco hay nada presupuestado, entonces eliminarlo. 
No quiero tener renglones en blanco, eso quiere decir que el evento no existe. 
@abustillos@amcham.org.mx</t>
      </text>
    </comment>
  </commentList>
  <extLst>
    <ext uri="GoogleSheetsCustomDataVersion2">
      <go:sheetsCustomData xmlns:go="http://customooxmlschemas.google.com/" r:id="rId1" roundtripDataSignature="AMtx7mgS3pMFCtHCHju+lqO/xG/EzLLcP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">
      <text>
        <t xml:space="preserve">======
ID#AAABwZP8660
Gerardo Lopez    (2025-12-29 17:37:50)
Considerar Miranda, Intermedia Web y Testigos de tele y radio</t>
      </text>
    </comment>
    <comment authorId="0" ref="C13">
      <text>
        <t xml:space="preserve">======
ID#AAABwZP866w
Gerardo Lopez    (2025-12-29 17:37:50)
Considerar Filmora (Wondershare), Prezi, Infogram, Agora, Hootsuite, Adobe, Canva, Synthesia, etc.</t>
      </text>
    </comment>
  </commentList>
  <extLst>
    <ext uri="GoogleSheetsCustomDataVersion2">
      <go:sheetsCustomData xmlns:go="http://customooxmlschemas.google.com/" r:id="rId1" roundtripDataSignature="AMtx7mjp+qbkv6+oTjKvh0/QToXuMk5UQg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======
ID#AAABwZP866s
Gerardo Lopez    (2025-12-29 17:37:50)
Considerar  Ubits, Key talent, etc.</t>
      </text>
    </comment>
  </commentList>
  <extLst>
    <ext uri="GoogleSheetsCustomDataVersion2">
      <go:sheetsCustomData xmlns:go="http://customooxmlschemas.google.com/" r:id="rId1" roundtripDataSignature="AMtx7mgbG/FMtCbY4pbhfpRYyVENbf/ECg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0">
      <text>
        <t xml:space="preserve">======
ID#AAABzAnFYZM
Ana María Bustillos    (2026-01-23 17:37:35)
Avalúos, algo legal que se pueda ocupar</t>
      </text>
    </comment>
    <comment authorId="0" ref="C24">
      <text>
        <t xml:space="preserve">======
ID#AAAByRwFNTQ
Pedro Casas Alatriste    (2026-01-06 01:00:42)
Le estamos metiendo una lanota al mantenimiento de la oficina. Salirnos de ahí y rentar es por mucho la opción. (nada que cambiar solo una reflexión). 
@abustillos@amcham.org.mx</t>
      </text>
    </comment>
    <comment authorId="0" ref="C41">
      <text>
        <t xml:space="preserve">======
ID#AAABwZP8664
Gerardo Lopez    (2025-12-29 17:37:50)
Considerar línea corporativa Amcham</t>
      </text>
    </comment>
    <comment authorId="0" ref="C29">
      <text>
        <t xml:space="preserve">======
ID#AAABwZP867A
Gerardo Lopez    (2025-12-29 17:37:50)
Cuota vecinal, Cuota AFEE</t>
      </text>
    </comment>
  </commentList>
  <extLst>
    <ext uri="GoogleSheetsCustomDataVersion2">
      <go:sheetsCustomData xmlns:go="http://customooxmlschemas.google.com/" r:id="rId1" roundtripDataSignature="AMtx7mh6WAYqkvBWCimKD31CHZEauFs+MA=="/>
    </ext>
  </extLst>
</comments>
</file>

<file path=xl/sharedStrings.xml><?xml version="1.0" encoding="utf-8"?>
<sst xmlns="http://schemas.openxmlformats.org/spreadsheetml/2006/main" count="1119" uniqueCount="433">
  <si>
    <t>Real 2026</t>
  </si>
  <si>
    <t>Ppto. 2026</t>
  </si>
  <si>
    <t>Real 2025</t>
  </si>
  <si>
    <t>Variación Ppto. 2026 vs Real  2026</t>
  </si>
  <si>
    <t>Variación Real 2025 vs Real 2026</t>
  </si>
  <si>
    <t>Ago 24</t>
  </si>
  <si>
    <t>Real                 2025</t>
  </si>
  <si>
    <t>Ppto. 2025</t>
  </si>
  <si>
    <t>Variación Ppto. 2026 vs Real  2025</t>
  </si>
  <si>
    <t>Variación Ppto. 2025 vs Ppto. 2026</t>
  </si>
  <si>
    <t>Forecast      2026</t>
  </si>
  <si>
    <t>Proyectado 2026</t>
  </si>
  <si>
    <t>Diferencia</t>
  </si>
  <si>
    <t>INCOME</t>
  </si>
  <si>
    <t>Membership</t>
  </si>
  <si>
    <t>Cuotas Netas</t>
  </si>
  <si>
    <t>Ingresos socios nuevos</t>
  </si>
  <si>
    <t xml:space="preserve">Events </t>
  </si>
  <si>
    <t>Eventos</t>
  </si>
  <si>
    <t>Patrocinios</t>
  </si>
  <si>
    <t>Committees</t>
  </si>
  <si>
    <t>Comités</t>
  </si>
  <si>
    <t>T&amp;IC</t>
  </si>
  <si>
    <t>Trade &amp; Investment Center</t>
  </si>
  <si>
    <t>Services to Members</t>
  </si>
  <si>
    <t>Venta Publicaciones</t>
  </si>
  <si>
    <t>Visas</t>
  </si>
  <si>
    <t>EXPENSE</t>
  </si>
  <si>
    <t>Gastos Promoción</t>
  </si>
  <si>
    <t>Comisiones por venta de membresías</t>
  </si>
  <si>
    <t>Costo Eventos</t>
  </si>
  <si>
    <t>Costo comités</t>
  </si>
  <si>
    <t>Comisiones EWDP</t>
  </si>
  <si>
    <t>Costo Trade &amp; Investment Center</t>
  </si>
  <si>
    <t>Gastos Venta Publicaciones</t>
  </si>
  <si>
    <t>Gastos G&amp;A</t>
  </si>
  <si>
    <t>Gasto de Administración</t>
  </si>
  <si>
    <t>Gastos Generales</t>
  </si>
  <si>
    <t>Nómina</t>
  </si>
  <si>
    <t>Gastos Corporativos</t>
  </si>
  <si>
    <t>Cargos Administrativos</t>
  </si>
  <si>
    <t xml:space="preserve">OPERATING RESULTS </t>
  </si>
  <si>
    <t>Member Centricity</t>
  </si>
  <si>
    <t>Other</t>
  </si>
  <si>
    <t>Otros ingresos</t>
  </si>
  <si>
    <t>Utilidad cambiaria</t>
  </si>
  <si>
    <t>NET RESULTS</t>
  </si>
  <si>
    <t>Bono 2026 - Sueldos NO Corporativos:</t>
  </si>
  <si>
    <t>Sueldos Corporativos:</t>
  </si>
  <si>
    <t>AMERICAN CHAMBER OF COMMERCE OF MEXICO, A.C.</t>
  </si>
  <si>
    <t>GASTOS CORPORATIVOS 2026</t>
  </si>
  <si>
    <t>Ppto.  2026</t>
  </si>
  <si>
    <t>Var. %</t>
  </si>
  <si>
    <t>Criterio</t>
  </si>
  <si>
    <t>Mensual</t>
  </si>
  <si>
    <t>903-034-000-00</t>
  </si>
  <si>
    <t>Seguro Gtos Médicos Mayores</t>
  </si>
  <si>
    <t>Costo Directo</t>
  </si>
  <si>
    <t>903-033-000-00</t>
  </si>
  <si>
    <t>Seguro de Vida</t>
  </si>
  <si>
    <t>903-002-000-00</t>
  </si>
  <si>
    <t>Seguro Empresarial</t>
  </si>
  <si>
    <t>903-029-000-00</t>
  </si>
  <si>
    <t>Seguro Gobierno Corporativo</t>
  </si>
  <si>
    <t>903-003-000-00</t>
  </si>
  <si>
    <t>Programa de Asistencia Empresarial (PAE)</t>
  </si>
  <si>
    <t>903-030-000-00</t>
  </si>
  <si>
    <t>Dominios</t>
  </si>
  <si>
    <t>903-032-000-00</t>
  </si>
  <si>
    <t>CRM</t>
  </si>
  <si>
    <t>903-018-000-00</t>
  </si>
  <si>
    <t>Servicios de Telecomunicaciones</t>
  </si>
  <si>
    <t>903-031-000-00</t>
  </si>
  <si>
    <t>Licencias Generales</t>
  </si>
  <si>
    <t>903-028-000-00</t>
  </si>
  <si>
    <t>Licencias Correos Corporativos</t>
  </si>
  <si>
    <t>903-011-000-00</t>
  </si>
  <si>
    <t>Estudio actuarial</t>
  </si>
  <si>
    <t>903-012-000-00</t>
  </si>
  <si>
    <t>Gtos Notariales</t>
  </si>
  <si>
    <t>903-017-000-00</t>
  </si>
  <si>
    <t>Auditorías Externas</t>
  </si>
  <si>
    <t>903-014-000-00</t>
  </si>
  <si>
    <t>Registro de Marcas</t>
  </si>
  <si>
    <t>903-015-000-00</t>
  </si>
  <si>
    <t>Membresía AACCLA</t>
  </si>
  <si>
    <t>Almacén de Archivos</t>
  </si>
  <si>
    <t>903-024-000-00</t>
  </si>
  <si>
    <t>T&amp;IC Licencias</t>
  </si>
  <si>
    <t>903-005-000-00</t>
  </si>
  <si>
    <t>LinkedIn Herramienta</t>
  </si>
  <si>
    <t>903-008-000-00</t>
  </si>
  <si>
    <t>Zoom Herramienta</t>
  </si>
  <si>
    <t>903-019-000-00</t>
  </si>
  <si>
    <t>NarwhalHub Herramienta</t>
  </si>
  <si>
    <t>903-026-000-00</t>
  </si>
  <si>
    <t>Posicionamiento</t>
  </si>
  <si>
    <t>903-016-000-00</t>
  </si>
  <si>
    <t>Sueldos y Salarios VPE/Nacionales</t>
  </si>
  <si>
    <t>TOTAL CARGOS CORPORATIVOS</t>
  </si>
  <si>
    <t>MEMBRESIA</t>
  </si>
  <si>
    <t>Ingresos Membresía</t>
  </si>
  <si>
    <t>400-001-000-00</t>
  </si>
  <si>
    <t>Renovaciones</t>
  </si>
  <si>
    <t>400-002-000-00</t>
  </si>
  <si>
    <t>Descuentos</t>
  </si>
  <si>
    <t>400-005-000-00</t>
  </si>
  <si>
    <t>Socios Nuevos</t>
  </si>
  <si>
    <t>401-001-000-00</t>
  </si>
  <si>
    <t>Cuotas Suscripción</t>
  </si>
  <si>
    <t>Suma de Ingresos Membresía</t>
  </si>
  <si>
    <t>Gastos Membresía</t>
  </si>
  <si>
    <t>702-002-000-00</t>
  </si>
  <si>
    <t>Herramienta Sales Force</t>
  </si>
  <si>
    <t>503-000-000-00</t>
  </si>
  <si>
    <t>Comisiones KAM´s</t>
  </si>
  <si>
    <t>702-001-000-00</t>
  </si>
  <si>
    <t xml:space="preserve">Desayunos promoción - Onboarding </t>
  </si>
  <si>
    <t>Suma de Gastos Membresía</t>
  </si>
  <si>
    <t>Resultado  Membresía</t>
  </si>
  <si>
    <t>COMITÉS</t>
  </si>
  <si>
    <t>Agregan Steering Group en Ig. $0 y Eg. $5K</t>
  </si>
  <si>
    <t>Ingresos Comités</t>
  </si>
  <si>
    <t>Agregan Diversidad e Inclusión en Ig. $0 y Eg. $5K</t>
  </si>
  <si>
    <t>404-017-000-00</t>
  </si>
  <si>
    <t>Agroindustria</t>
  </si>
  <si>
    <t>Ig. Y Eg. $5K anuales</t>
  </si>
  <si>
    <t>404-005-000-00</t>
  </si>
  <si>
    <t>Asuntos Fiscales</t>
  </si>
  <si>
    <t>Ig. $148.5K y Eg. $132K anuales</t>
  </si>
  <si>
    <t>404-001-000-00</t>
  </si>
  <si>
    <t>Capital Humano y Asuntos Laborales</t>
  </si>
  <si>
    <t>404-012-000-00</t>
  </si>
  <si>
    <t>Diversidad e Inclusión</t>
  </si>
  <si>
    <t>404-003-000-00</t>
  </si>
  <si>
    <t>Comercio Exterior y Logística</t>
  </si>
  <si>
    <t>404-013-000-00</t>
  </si>
  <si>
    <t>Innovación y TICs</t>
  </si>
  <si>
    <t>Ig. $0 y Eg. $0 anuales</t>
  </si>
  <si>
    <t>404-007-000-00</t>
  </si>
  <si>
    <t>Legalidad y Estado de Derecho</t>
  </si>
  <si>
    <t>404-016-000-00</t>
  </si>
  <si>
    <t>Salud</t>
  </si>
  <si>
    <t>404-004-000-00</t>
  </si>
  <si>
    <t>Seguridad</t>
  </si>
  <si>
    <t>404-008-000-00</t>
  </si>
  <si>
    <t>Sustentabilidad y Responsabilidad Social</t>
  </si>
  <si>
    <t>404-009-000-00</t>
  </si>
  <si>
    <t>Turismo</t>
  </si>
  <si>
    <t>404-018-000-00</t>
  </si>
  <si>
    <t>Programa de Mentoría (EWDP)</t>
  </si>
  <si>
    <t>Quedan igual</t>
  </si>
  <si>
    <t>Suma de Ingresos Comités</t>
  </si>
  <si>
    <t>Gastos Comités</t>
  </si>
  <si>
    <t>502-014-000-00</t>
  </si>
  <si>
    <t>502-005-000-00</t>
  </si>
  <si>
    <t>502-001-000-00</t>
  </si>
  <si>
    <t>502-008-000-00</t>
  </si>
  <si>
    <t>502-003-000-00</t>
  </si>
  <si>
    <t>502-013-000-00</t>
  </si>
  <si>
    <t>502-007-000-00</t>
  </si>
  <si>
    <t>502-016-000-00</t>
  </si>
  <si>
    <t>502-004-000-00</t>
  </si>
  <si>
    <t>502-002-000-00</t>
  </si>
  <si>
    <t>502-009-000-00</t>
  </si>
  <si>
    <t>502-010-000-00</t>
  </si>
  <si>
    <t>Steering Group</t>
  </si>
  <si>
    <t>502-017-000-00</t>
  </si>
  <si>
    <t>Suma de Gastos Comités</t>
  </si>
  <si>
    <t>Resultado Operativo Comités</t>
  </si>
  <si>
    <t>504-000-000-00</t>
  </si>
  <si>
    <t>Resultado Comités</t>
  </si>
  <si>
    <t>$512K</t>
  </si>
  <si>
    <t>Nota: Los eventos y comités deberán presupuestarse al menos en punto de equilibrio.</t>
  </si>
  <si>
    <t>Ingresos T&amp;IC</t>
  </si>
  <si>
    <t>No se considera Selec USA</t>
  </si>
  <si>
    <t>407-001-000-00</t>
  </si>
  <si>
    <t>SemiconWest</t>
  </si>
  <si>
    <t>Cierran en $50K</t>
  </si>
  <si>
    <t>No procede</t>
  </si>
  <si>
    <t>407-002-000-00</t>
  </si>
  <si>
    <t>Ingresos 2</t>
  </si>
  <si>
    <t>Suma de Ingresos T&amp;IC</t>
  </si>
  <si>
    <t>Gastos T&amp;IC</t>
  </si>
  <si>
    <t>703-001-000-00</t>
  </si>
  <si>
    <t>Cierran en $25K</t>
  </si>
  <si>
    <t>703-002-000-00</t>
  </si>
  <si>
    <t>Gastos 2</t>
  </si>
  <si>
    <t>Suma de Gastos T&amp;IC</t>
  </si>
  <si>
    <t>Resultado  T&amp;IC</t>
  </si>
  <si>
    <t>$25K</t>
  </si>
  <si>
    <t>EVENTOS</t>
  </si>
  <si>
    <t>Ingresos Eventos</t>
  </si>
  <si>
    <t>Boletaje</t>
  </si>
  <si>
    <t>405-002-000-00</t>
  </si>
  <si>
    <t>Asamblea Anual</t>
  </si>
  <si>
    <t>405-001-000-00</t>
  </si>
  <si>
    <t>Torneo Golf</t>
  </si>
  <si>
    <t>405-009-000-00</t>
  </si>
  <si>
    <t>Cumbre Empresarios</t>
  </si>
  <si>
    <t>405-010-000-00</t>
  </si>
  <si>
    <t>Foros (Talento)</t>
  </si>
  <si>
    <t>405-013-000-00</t>
  </si>
  <si>
    <t>The North America Week</t>
  </si>
  <si>
    <t>405-014-000-00</t>
  </si>
  <si>
    <t>Jalisco Travel  Fest</t>
  </si>
  <si>
    <t>405-005-000-00</t>
  </si>
  <si>
    <t>Open House</t>
  </si>
  <si>
    <t>405-007-000-00</t>
  </si>
  <si>
    <t>Extend Our Reach</t>
  </si>
  <si>
    <t>405-004-000-00</t>
  </si>
  <si>
    <t>Cocteles</t>
  </si>
  <si>
    <t>405-015-000-00</t>
  </si>
  <si>
    <t>Cena Gala</t>
  </si>
  <si>
    <t>405-016-000-00</t>
  </si>
  <si>
    <t>Top Circle</t>
  </si>
  <si>
    <t>405-012-000-00</t>
  </si>
  <si>
    <t>Jornada de Reforestación</t>
  </si>
  <si>
    <t>Ingresos Boletaje</t>
  </si>
  <si>
    <t>406-002-000-00</t>
  </si>
  <si>
    <t>406-001-000-00</t>
  </si>
  <si>
    <t>406-003-000-00</t>
  </si>
  <si>
    <t>406-008-000-00</t>
  </si>
  <si>
    <t>406-005-000-00</t>
  </si>
  <si>
    <t>406-006-000-00</t>
  </si>
  <si>
    <t>406-009-000-00</t>
  </si>
  <si>
    <t>406-010-000-00</t>
  </si>
  <si>
    <t>406-011-000-00</t>
  </si>
  <si>
    <t>406-014-000-00</t>
  </si>
  <si>
    <t>406-015-000-00</t>
  </si>
  <si>
    <t>406-013-000-00</t>
  </si>
  <si>
    <t>Ingresos Patrocinios</t>
  </si>
  <si>
    <t>Suma Ingresos Eventos</t>
  </si>
  <si>
    <t>Costos y Gastos Eventos</t>
  </si>
  <si>
    <t>701-002-000-00</t>
  </si>
  <si>
    <t>701-001-000-00</t>
  </si>
  <si>
    <t>701-011-000-00</t>
  </si>
  <si>
    <t>701-014-000-00</t>
  </si>
  <si>
    <t>701-012-000-00</t>
  </si>
  <si>
    <t>701-015-000-00</t>
  </si>
  <si>
    <t>Jalisco Travel Fest</t>
  </si>
  <si>
    <t>701-005-000-00</t>
  </si>
  <si>
    <t>701-009-000-00</t>
  </si>
  <si>
    <t>701-004-000-00</t>
  </si>
  <si>
    <t>701-003-000-00</t>
  </si>
  <si>
    <t>701-016-000-00</t>
  </si>
  <si>
    <t>701-010-000-00</t>
  </si>
  <si>
    <t>Suma Costos y Gastos Eventos</t>
  </si>
  <si>
    <t>Resultado Eventos</t>
  </si>
  <si>
    <t>SERV A LA MEMBRESÍA</t>
  </si>
  <si>
    <t>Si aplica</t>
  </si>
  <si>
    <t>Ingresos Serv a la Membresía</t>
  </si>
  <si>
    <t>Nvos.</t>
  </si>
  <si>
    <t>403-002-000-00</t>
  </si>
  <si>
    <t>Encuesta de Sueldos y Prestaciones</t>
  </si>
  <si>
    <t>Digital Training</t>
  </si>
  <si>
    <t>Suma de Ingresos Serv a la Membresía</t>
  </si>
  <si>
    <t>Gastos  Serv a la Membresía</t>
  </si>
  <si>
    <t>601-003-004-00</t>
  </si>
  <si>
    <t>Suma de Gastos  Serv a la Membresía</t>
  </si>
  <si>
    <t>Resultado Serv Membresía</t>
  </si>
  <si>
    <t>COMUNICACIÓN</t>
  </si>
  <si>
    <t>Ingresos Comunicación</t>
  </si>
  <si>
    <t>Ingresos</t>
  </si>
  <si>
    <t>Suma de Ingresos Comunicación</t>
  </si>
  <si>
    <t>Gastos Comunicación</t>
  </si>
  <si>
    <t>901-018-001-00</t>
  </si>
  <si>
    <t>Agencias de Comunicación</t>
  </si>
  <si>
    <t>901-018-002-00</t>
  </si>
  <si>
    <t>Contenidos multimedia</t>
  </si>
  <si>
    <t>901-018-003-00</t>
  </si>
  <si>
    <t>Marketing Licencias</t>
  </si>
  <si>
    <t>901-018-004-00</t>
  </si>
  <si>
    <t>Traductor</t>
  </si>
  <si>
    <t>Suma de Gastos Comunicación</t>
  </si>
  <si>
    <t>Resultado Operativo Comunicación</t>
  </si>
  <si>
    <t>Sin cambios</t>
  </si>
  <si>
    <t>DIRECCIÓN DE TALENTO</t>
  </si>
  <si>
    <t>Ingresos RH</t>
  </si>
  <si>
    <t>Suma de Ingresos RH</t>
  </si>
  <si>
    <t>Gastos RH</t>
  </si>
  <si>
    <t>901-017-001-00</t>
  </si>
  <si>
    <t>Capacitación, Intercambio de talento y Team building</t>
  </si>
  <si>
    <t>901-017-002-00</t>
  </si>
  <si>
    <t>Programa  de reconocimientos, Snacks, Regalos, flores getwell</t>
  </si>
  <si>
    <t>901-017-003-00</t>
  </si>
  <si>
    <t>Encuesta NOM035 y Voluntariados corporativos</t>
  </si>
  <si>
    <t>Suma de Gastos RH</t>
  </si>
  <si>
    <t>Resultado Operativo RH</t>
  </si>
  <si>
    <t>DIRECCIÓN CAPÍTULO</t>
  </si>
  <si>
    <t>Ingresos CE/Board</t>
  </si>
  <si>
    <t>404-006-000-00</t>
  </si>
  <si>
    <t>Board Of Directors</t>
  </si>
  <si>
    <t>404-011-000-00</t>
  </si>
  <si>
    <t>Executive Committee</t>
  </si>
  <si>
    <t>Suma de Ingresos CE/Board</t>
  </si>
  <si>
    <t>Gastos CE/Board</t>
  </si>
  <si>
    <t>502-006-000-00</t>
  </si>
  <si>
    <t>Board of Directors</t>
  </si>
  <si>
    <t>502-012-000-00</t>
  </si>
  <si>
    <t>Suma de Gastos CE/Board</t>
  </si>
  <si>
    <t>Resultado Board y Executive</t>
  </si>
  <si>
    <t>Gastos de Administración</t>
  </si>
  <si>
    <t>801-006-004-00</t>
  </si>
  <si>
    <t>Gastos de Viaje</t>
  </si>
  <si>
    <t>901-007-000-00</t>
  </si>
  <si>
    <t>Viajes Presidente Capítulo</t>
  </si>
  <si>
    <t>801-006-002-00</t>
  </si>
  <si>
    <t>Gasolina Administración</t>
  </si>
  <si>
    <t>801-006-005-00</t>
  </si>
  <si>
    <t>Mtto. Equipo de Transporte</t>
  </si>
  <si>
    <t>801-006-006-00</t>
  </si>
  <si>
    <t>Gastos de representacion</t>
  </si>
  <si>
    <t>Suma Gastos Administrativos</t>
  </si>
  <si>
    <t>Resultado Director Capítulo</t>
  </si>
  <si>
    <t>Instrucciones: Favor de llenar solo los espacios en blanco, lo que está sombreado en gris será llenado por AYF</t>
  </si>
  <si>
    <t>GASTOS GENERALES</t>
  </si>
  <si>
    <t>402-000-000-00</t>
  </si>
  <si>
    <t>Otros Ingresos</t>
  </si>
  <si>
    <t>Suma Otros Ingresos</t>
  </si>
  <si>
    <t>Gastos Financieros</t>
  </si>
  <si>
    <t>410-000-000-00</t>
  </si>
  <si>
    <t>Utilidad Cambiaria</t>
  </si>
  <si>
    <t>901-019-000-00</t>
  </si>
  <si>
    <t>Perdida Cambiaria</t>
  </si>
  <si>
    <t>901-020-000-00</t>
  </si>
  <si>
    <t>Gtos Financieros (comisiones)</t>
  </si>
  <si>
    <t>Suma Gastos Financieros</t>
  </si>
  <si>
    <t>Otros Ingresos vs Gastos</t>
  </si>
  <si>
    <t>901-011-007-00</t>
  </si>
  <si>
    <t>MONITOREO ALARMA</t>
  </si>
  <si>
    <t>901-016-001-00</t>
  </si>
  <si>
    <t>ENERGIA ELECTRICA</t>
  </si>
  <si>
    <t>901-016-002-00</t>
  </si>
  <si>
    <t>AGUA POTABLE</t>
  </si>
  <si>
    <t>901-016-003-00</t>
  </si>
  <si>
    <t>PREDIAL</t>
  </si>
  <si>
    <t>901-011-013-00</t>
  </si>
  <si>
    <t>ASEO OFICINAS</t>
  </si>
  <si>
    <t>901-009-000-00</t>
  </si>
  <si>
    <t>DESPENSA, ARTS. CAFETERIA</t>
  </si>
  <si>
    <t>901-011-006-00</t>
  </si>
  <si>
    <t>LAVANDERIA, TINTORERIA</t>
  </si>
  <si>
    <t>901-014-001-00</t>
  </si>
  <si>
    <t>MANTENIMIENTO DE OFICINA</t>
  </si>
  <si>
    <t>901-014-002-00</t>
  </si>
  <si>
    <t>MANTTO EQ DE COMPUTO</t>
  </si>
  <si>
    <t>901-003-000-00</t>
  </si>
  <si>
    <t>RENTA IMPRESORAS / COPIADORAS</t>
  </si>
  <si>
    <t>901-006-003-00</t>
  </si>
  <si>
    <t>TELEFONOS DE MEXICO</t>
  </si>
  <si>
    <t>901-011-002-00</t>
  </si>
  <si>
    <t>PAQUETERIA Y MENSAJERIA</t>
  </si>
  <si>
    <t>901-002-000-00</t>
  </si>
  <si>
    <t>CUOTAS y SUSCRIPCIONES</t>
  </si>
  <si>
    <t>901-011-011-00</t>
  </si>
  <si>
    <t>GTOS EXP PERMISOS</t>
  </si>
  <si>
    <t>901-011-015-00</t>
  </si>
  <si>
    <t>ADMINISTRACION DE FIDEICOMISOS</t>
  </si>
  <si>
    <t>901-023-000-00</t>
  </si>
  <si>
    <t>GASTOS PROMOCIONALES (termos, libretas, plumas)</t>
  </si>
  <si>
    <t>901-013-000-00</t>
  </si>
  <si>
    <t>SERVICIOS DE CONSULTORIA EN COMUNICACIÓN</t>
  </si>
  <si>
    <t>901-011-012-00</t>
  </si>
  <si>
    <t>GASTOS EXTRAORDINARIOS</t>
  </si>
  <si>
    <t>901-024-000-00</t>
  </si>
  <si>
    <t>REUNION FIN DE AÑO</t>
  </si>
  <si>
    <t>901-022-000-00</t>
  </si>
  <si>
    <t>IVA A PRORRATA NO ACREDITABLE</t>
  </si>
  <si>
    <t>901-099-000-00</t>
  </si>
  <si>
    <t>AJUSTES Y DIFERENCIAS</t>
  </si>
  <si>
    <t>901-011-004-00</t>
  </si>
  <si>
    <t>OTROS GASTOS</t>
  </si>
  <si>
    <t>901-011-005-00</t>
  </si>
  <si>
    <t>NO DEDUCIBLES</t>
  </si>
  <si>
    <t>501-000-000-00</t>
  </si>
  <si>
    <t>NOMINA GDL</t>
  </si>
  <si>
    <t>801-006-001-00</t>
  </si>
  <si>
    <t>REEMBOLSO TELEFONO</t>
  </si>
  <si>
    <t>801-006-003-00</t>
  </si>
  <si>
    <t>GASOLINA KAM´S</t>
  </si>
  <si>
    <t>801-006-007-00</t>
  </si>
  <si>
    <t>PASAJES y ESTACIONAMIENTOS</t>
  </si>
  <si>
    <t>801-006-008-00</t>
  </si>
  <si>
    <t>PAPELERIA Y  ARTS OFICINA</t>
  </si>
  <si>
    <t>801-006-009-00</t>
  </si>
  <si>
    <t>CONSUMOS REUNIONES DE TRABAJO</t>
  </si>
  <si>
    <t>801-006-010-00</t>
  </si>
  <si>
    <t>HERRAMIENTAS TELE-TRABAJO</t>
  </si>
  <si>
    <t>Suma de Gastos Generales</t>
  </si>
  <si>
    <t>Depreciaciones y Amortizaciones</t>
  </si>
  <si>
    <t>901-008-000-00</t>
  </si>
  <si>
    <t>Depreciaciones de equipo</t>
  </si>
  <si>
    <t>901-015-000-00</t>
  </si>
  <si>
    <t>Amortizaciones</t>
  </si>
  <si>
    <t>Suma Depreciaciones y Amortizaciones</t>
  </si>
  <si>
    <t>903-000-000-00</t>
  </si>
  <si>
    <t>Gastos Corporativos Gdl</t>
  </si>
  <si>
    <t>904-000-000-00</t>
  </si>
  <si>
    <t>Total GA Gdl</t>
  </si>
  <si>
    <t>Nota: Se pueden adicionar conceptos para los gastos generales, en caso de ser necesario.</t>
  </si>
  <si>
    <t>Ppto.</t>
  </si>
  <si>
    <t>Real</t>
  </si>
  <si>
    <t>Departamento</t>
  </si>
  <si>
    <t>Cta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</si>
  <si>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</si>
  <si>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</si>
  <si>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</si>
  <si>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</si>
  <si>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</si>
  <si>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</si>
  <si>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</si>
  <si>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</si>
  <si>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</si>
  <si>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</si>
  <si>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</si>
  <si>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</si>
  <si>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DN</t>
  </si>
  <si>
    <t>405-003-000-00</t>
  </si>
  <si>
    <t>405-008-000-00</t>
  </si>
  <si>
    <t>406-004-000-00</t>
  </si>
  <si>
    <t>406-007-000-00</t>
  </si>
  <si>
    <t>701-007-000-00</t>
  </si>
  <si>
    <t>701-008-000-00</t>
  </si>
  <si>
    <t>Serv Membresía</t>
  </si>
  <si>
    <t>Comunicación</t>
  </si>
  <si>
    <t>RH</t>
  </si>
  <si>
    <t>Dirección</t>
  </si>
  <si>
    <t>Ppto. 26</t>
  </si>
  <si>
    <t>Forcast</t>
  </si>
  <si>
    <t>Acum 2026</t>
  </si>
  <si>
    <t>Acum. 26</t>
  </si>
  <si>
    <t>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</si>
</sst>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* #,##0_-;\-* #,##0_-;_-* &quot;-&quot;??_-;_-@"/>
    <numFmt numFmtId="165" formatCode="_(* #,##0_);_(* \(#,##0\);_(* &quot;-&quot;??_);_(@_)"/>
    <numFmt numFmtId="166" formatCode="_-* #,##0.00_-;\-* #,##0.00_-;_-* &quot;-&quot;??.00_-;_-@"/>
    <numFmt numFmtId="167" formatCode="_-* #,##0.00_-;\-* #,##0.00_-;_-* &quot;-&quot;??_-;_-@"/>
    <numFmt numFmtId="168" formatCode="&quot;$&quot;#,##0.00"/>
  </numFmts>
  <fonts count="28">
    <font>
      <sz val="11.0"/>
      <color theme="1"/>
      <name val="Arial"/>
      <scheme val="minor"/>
    </font>
    <font>
      <sz val="10.0"/>
      <color theme="1"/>
      <name val="Arial"/>
    </font>
    <font>
      <b/>
      <sz val="11.0"/>
      <color theme="1"/>
      <name val="Arial"/>
    </font>
    <font>
      <b/>
      <sz val="10.0"/>
      <color rgb="FFFFFFFF"/>
      <name val="Arial"/>
    </font>
    <font/>
    <font>
      <b/>
      <sz val="10.0"/>
      <color theme="0"/>
      <name val="Arial"/>
    </font>
    <font>
      <sz val="11.0"/>
      <color theme="1"/>
      <name val="Arial"/>
    </font>
    <font>
      <b/>
      <sz val="9.0"/>
      <color rgb="FFFFFFFF"/>
      <name val="Arial"/>
    </font>
    <font>
      <b/>
      <sz val="10.0"/>
      <color theme="1"/>
      <name val="Arial"/>
    </font>
    <font>
      <b/>
      <sz val="10.0"/>
      <color rgb="FF333399"/>
      <name val="Arial"/>
    </font>
    <font>
      <color theme="1"/>
      <name val="Arial"/>
      <scheme val="minor"/>
    </font>
    <font>
      <sz val="10.0"/>
      <color theme="1"/>
      <name val="Calibri"/>
    </font>
    <font>
      <b/>
      <sz val="10.0"/>
      <color theme="1"/>
      <name val="Calibri"/>
    </font>
    <font>
      <b/>
      <sz val="10.0"/>
      <color rgb="FFFF0000"/>
      <name val="Arial"/>
    </font>
    <font>
      <b/>
      <i/>
      <sz val="10.0"/>
      <color theme="1"/>
      <name val="Arial"/>
    </font>
    <font>
      <b/>
      <i/>
      <sz val="10.0"/>
      <color theme="0"/>
      <name val="Arial"/>
    </font>
    <font>
      <sz val="10.0"/>
      <color theme="0"/>
      <name val="Arial"/>
    </font>
    <font>
      <color rgb="FF000000"/>
      <name val="Arial"/>
      <scheme val="minor"/>
    </font>
    <font>
      <sz val="11.0"/>
      <color rgb="FF000000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9.0"/>
      <color rgb="FFFF0000"/>
      <name val="Arial"/>
    </font>
    <font>
      <b/>
      <sz val="9.0"/>
      <color theme="0"/>
      <name val="Arial"/>
    </font>
    <font>
      <b/>
      <i/>
      <sz val="9.0"/>
      <color theme="1"/>
      <name val="Arial"/>
    </font>
    <font>
      <b/>
      <i/>
      <sz val="9.0"/>
      <color theme="0"/>
      <name val="Arial"/>
    </font>
    <font>
      <b/>
      <sz val="11.0"/>
      <color rgb="FFFF0000"/>
      <name val="Arial"/>
    </font>
    <font>
      <sz val="10.0"/>
      <color rgb="FFFF0000"/>
      <name val="Arial"/>
    </font>
    <font>
      <sz val="10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0070C0"/>
        <bgColor rgb="FF0070C0"/>
      </patternFill>
    </fill>
    <fill>
      <patternFill patternType="solid">
        <fgColor rgb="FFFFC000"/>
        <bgColor rgb="FFFFC000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FFFF00"/>
        <bgColor rgb="FFFFFF00"/>
      </patternFill>
    </fill>
  </fills>
  <borders count="3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14">
    <xf borderId="0" fillId="0" fontId="0" numFmtId="0" xfId="0" applyAlignment="1" applyFont="1">
      <alignment readingOrder="0" shrinkToFit="0" vertical="bottom" wrapText="0"/>
    </xf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2" numFmtId="9" xfId="0" applyFont="1" applyNumberFormat="1"/>
    <xf borderId="1" fillId="2" fontId="3" numFmtId="49" xfId="0" applyAlignment="1" applyBorder="1" applyFill="1" applyFont="1" applyNumberForma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5" numFmtId="0" xfId="0" applyAlignment="1" applyBorder="1" applyFont="1">
      <alignment horizontal="center" vertical="center"/>
    </xf>
    <xf borderId="5" fillId="2" fontId="3" numFmtId="16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6" fillId="0" fontId="6" numFmtId="0" xfId="0" applyBorder="1" applyFont="1"/>
    <xf borderId="7" fillId="2" fontId="3" numFmtId="0" xfId="0" applyAlignment="1" applyBorder="1" applyFont="1">
      <alignment horizontal="center" shrinkToFit="0" vertical="center" wrapText="1"/>
    </xf>
    <xf borderId="7" fillId="2" fontId="7" numFmtId="9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7" fillId="2" fontId="3" numFmtId="164" xfId="0" applyAlignment="1" applyBorder="1" applyFont="1" applyNumberFormat="1">
      <alignment horizontal="center" readingOrder="0" shrinkToFit="0" vertical="center" wrapText="1"/>
    </xf>
    <xf borderId="7" fillId="2" fontId="3" numFmtId="164" xfId="0" applyAlignment="1" applyBorder="1" applyFont="1" applyNumberFormat="1">
      <alignment horizontal="center" shrinkToFit="0" vertical="center" wrapText="1"/>
    </xf>
    <xf borderId="7" fillId="2" fontId="3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horizontal="center" shrinkToFit="0" vertical="center" wrapText="1"/>
    </xf>
    <xf borderId="0" fillId="0" fontId="8" numFmtId="164" xfId="0" applyFont="1" applyNumberFormat="1"/>
    <xf borderId="0" fillId="0" fontId="8" numFmtId="164" xfId="0" applyAlignment="1" applyFont="1" applyNumberFormat="1">
      <alignment horizontal="center"/>
    </xf>
    <xf borderId="1" fillId="0" fontId="8" numFmtId="164" xfId="0" applyAlignment="1" applyBorder="1" applyFont="1" applyNumberFormat="1">
      <alignment horizontal="center"/>
    </xf>
    <xf borderId="2" fillId="0" fontId="8" numFmtId="164" xfId="0" applyBorder="1" applyFont="1" applyNumberFormat="1"/>
    <xf borderId="2" fillId="0" fontId="8" numFmtId="9" xfId="0" applyBorder="1" applyFont="1" applyNumberFormat="1"/>
    <xf borderId="9" fillId="2" fontId="3" numFmtId="164" xfId="0" applyBorder="1" applyFont="1" applyNumberFormat="1"/>
    <xf borderId="9" fillId="2" fontId="3" numFmtId="9" xfId="0" applyBorder="1" applyFont="1" applyNumberFormat="1"/>
    <xf borderId="9" fillId="2" fontId="3" numFmtId="165" xfId="0" applyAlignment="1" applyBorder="1" applyFont="1" applyNumberFormat="1">
      <alignment horizontal="center"/>
    </xf>
    <xf borderId="0" fillId="0" fontId="3" numFmtId="9" xfId="0" applyFont="1" applyNumberFormat="1"/>
    <xf borderId="9" fillId="3" fontId="8" numFmtId="164" xfId="0" applyBorder="1" applyFill="1" applyFont="1" applyNumberFormat="1"/>
    <xf borderId="9" fillId="3" fontId="8" numFmtId="9" xfId="0" applyBorder="1" applyFont="1" applyNumberFormat="1"/>
    <xf borderId="9" fillId="3" fontId="9" numFmtId="165" xfId="0" applyAlignment="1" applyBorder="1" applyFont="1" applyNumberFormat="1">
      <alignment horizontal="center" vertical="center"/>
    </xf>
    <xf borderId="0" fillId="0" fontId="8" numFmtId="9" xfId="0" applyFont="1" applyNumberFormat="1"/>
    <xf borderId="10" fillId="0" fontId="1" numFmtId="164" xfId="0" applyBorder="1" applyFont="1" applyNumberFormat="1"/>
    <xf borderId="10" fillId="0" fontId="1" numFmtId="9" xfId="0" applyBorder="1" applyFont="1" applyNumberFormat="1"/>
    <xf borderId="10" fillId="0" fontId="1" numFmtId="165" xfId="0" applyAlignment="1" applyBorder="1" applyFont="1" applyNumberFormat="1">
      <alignment horizontal="center" vertical="center"/>
    </xf>
    <xf borderId="10" fillId="0" fontId="1" numFmtId="164" xfId="0" applyAlignment="1" applyBorder="1" applyFont="1" applyNumberFormat="1">
      <alignment readingOrder="0"/>
    </xf>
    <xf borderId="0" fillId="0" fontId="1" numFmtId="9" xfId="0" applyFont="1" applyNumberFormat="1"/>
    <xf borderId="11" fillId="0" fontId="1" numFmtId="9" xfId="0" applyBorder="1" applyFont="1" applyNumberFormat="1"/>
    <xf borderId="11" fillId="0" fontId="1" numFmtId="165" xfId="0" applyAlignment="1" applyBorder="1" applyFont="1" applyNumberFormat="1">
      <alignment horizontal="center" vertical="center"/>
    </xf>
    <xf borderId="0" fillId="0" fontId="10" numFmtId="164" xfId="0" applyAlignment="1" applyFont="1" applyNumberFormat="1">
      <alignment readingOrder="0"/>
    </xf>
    <xf borderId="9" fillId="3" fontId="8" numFmtId="166" xfId="0" applyBorder="1" applyFont="1" applyNumberFormat="1"/>
    <xf borderId="9" fillId="2" fontId="3" numFmtId="165" xfId="0" applyAlignment="1" applyBorder="1" applyFont="1" applyNumberFormat="1">
      <alignment horizontal="center" shrinkToFit="0" vertical="center" wrapText="1"/>
    </xf>
    <xf borderId="10" fillId="0" fontId="1" numFmtId="166" xfId="0" applyBorder="1" applyFont="1" applyNumberFormat="1"/>
    <xf borderId="9" fillId="3" fontId="8" numFmtId="164" xfId="0" applyAlignment="1" applyBorder="1" applyFont="1" applyNumberFormat="1">
      <alignment readingOrder="0"/>
    </xf>
    <xf borderId="0" fillId="0" fontId="11" numFmtId="0" xfId="0" applyFont="1"/>
    <xf borderId="0" fillId="0" fontId="12" numFmtId="0" xfId="0" applyAlignment="1" applyFont="1">
      <alignment vertical="center"/>
    </xf>
    <xf borderId="0" fillId="0" fontId="11" numFmtId="167" xfId="0" applyFont="1" applyNumberFormat="1"/>
    <xf borderId="0" fillId="0" fontId="11" numFmtId="9" xfId="0" applyFont="1" applyNumberFormat="1"/>
    <xf borderId="0" fillId="0" fontId="11" numFmtId="167" xfId="0" applyAlignment="1" applyFont="1" applyNumberFormat="1">
      <alignment horizontal="center" vertical="center"/>
    </xf>
    <xf borderId="0" fillId="0" fontId="11" numFmtId="9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12" fillId="3" fontId="8" numFmtId="167" xfId="0" applyAlignment="1" applyBorder="1" applyFont="1" applyNumberFormat="1">
      <alignment horizontal="center" vertical="center"/>
    </xf>
    <xf borderId="12" fillId="3" fontId="8" numFmtId="167" xfId="0" applyAlignment="1" applyBorder="1" applyFont="1" applyNumberFormat="1">
      <alignment horizontal="center" readingOrder="0" shrinkToFit="0" vertical="center" wrapText="1"/>
    </xf>
    <xf borderId="12" fillId="3" fontId="8" numFmtId="167" xfId="0" applyAlignment="1" applyBorder="1" applyFont="1" applyNumberFormat="1">
      <alignment horizontal="center" shrinkToFit="0" vertical="center" wrapText="1"/>
    </xf>
    <xf borderId="12" fillId="3" fontId="8" numFmtId="9" xfId="0" applyAlignment="1" applyBorder="1" applyFont="1" applyNumberFormat="1">
      <alignment horizontal="center" shrinkToFit="0" vertical="center" wrapText="1"/>
    </xf>
    <xf borderId="13" fillId="4" fontId="5" numFmtId="17" xfId="0" applyAlignment="1" applyBorder="1" applyFill="1" applyFont="1" applyNumberFormat="1">
      <alignment horizontal="center" vertical="center"/>
    </xf>
    <xf borderId="13" fillId="5" fontId="5" numFmtId="17" xfId="0" applyAlignment="1" applyBorder="1" applyFill="1" applyFont="1" applyNumberFormat="1">
      <alignment horizontal="center" vertical="center"/>
    </xf>
    <xf borderId="12" fillId="5" fontId="5" numFmtId="17" xfId="0" applyAlignment="1" applyBorder="1" applyFont="1" applyNumberFormat="1">
      <alignment horizontal="center" vertical="center"/>
    </xf>
    <xf borderId="12" fillId="0" fontId="11" numFmtId="0" xfId="0" applyBorder="1" applyFont="1"/>
    <xf borderId="12" fillId="0" fontId="11" numFmtId="164" xfId="0" applyAlignment="1" applyBorder="1" applyFont="1" applyNumberFormat="1">
      <alignment readingOrder="0"/>
    </xf>
    <xf borderId="12" fillId="0" fontId="11" numFmtId="164" xfId="0" applyBorder="1" applyFont="1" applyNumberFormat="1"/>
    <xf borderId="12" fillId="0" fontId="11" numFmtId="9" xfId="0" applyBorder="1" applyFont="1" applyNumberFormat="1"/>
    <xf borderId="12" fillId="0" fontId="11" numFmtId="0" xfId="0" applyAlignment="1" applyBorder="1" applyFont="1">
      <alignment horizontal="center" vertical="center"/>
    </xf>
    <xf borderId="0" fillId="0" fontId="11" numFmtId="164" xfId="0" applyFont="1" applyNumberFormat="1"/>
    <xf borderId="12" fillId="0" fontId="11" numFmtId="9" xfId="0" applyAlignment="1" applyBorder="1" applyFont="1" applyNumberFormat="1">
      <alignment horizontal="center" vertical="center"/>
    </xf>
    <xf borderId="12" fillId="0" fontId="12" numFmtId="0" xfId="0" applyBorder="1" applyFont="1"/>
    <xf borderId="12" fillId="0" fontId="12" numFmtId="164" xfId="0" applyBorder="1" applyFont="1" applyNumberFormat="1"/>
    <xf borderId="12" fillId="0" fontId="12" numFmtId="9" xfId="0" applyBorder="1" applyFont="1" applyNumberFormat="1"/>
    <xf borderId="12" fillId="0" fontId="12" numFmtId="164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2" numFmtId="0" xfId="0" applyFont="1"/>
    <xf borderId="0" fillId="0" fontId="12" numFmtId="9" xfId="0" applyAlignment="1" applyFont="1" applyNumberFormat="1">
      <alignment horizontal="center" vertical="center"/>
    </xf>
    <xf borderId="0" fillId="0" fontId="6" numFmtId="9" xfId="0" applyFont="1" applyNumberFormat="1"/>
    <xf borderId="0" fillId="0" fontId="13" numFmtId="0" xfId="0" applyFont="1"/>
    <xf borderId="12" fillId="6" fontId="5" numFmtId="0" xfId="0" applyAlignment="1" applyBorder="1" applyFill="1" applyFont="1">
      <alignment horizontal="center" shrinkToFit="0" wrapText="1"/>
    </xf>
    <xf borderId="13" fillId="6" fontId="5" numFmtId="17" xfId="0" applyAlignment="1" applyBorder="1" applyFont="1" applyNumberFormat="1">
      <alignment horizontal="center"/>
    </xf>
    <xf borderId="13" fillId="5" fontId="5" numFmtId="17" xfId="0" applyAlignment="1" applyBorder="1" applyFont="1" applyNumberFormat="1">
      <alignment horizontal="center"/>
    </xf>
    <xf borderId="12" fillId="6" fontId="5" numFmtId="0" xfId="0" applyAlignment="1" applyBorder="1" applyFont="1">
      <alignment horizontal="center"/>
    </xf>
    <xf borderId="0" fillId="0" fontId="1" numFmtId="167" xfId="0" applyFont="1" applyNumberFormat="1"/>
    <xf borderId="0" fillId="0" fontId="14" numFmtId="167" xfId="0" applyAlignment="1" applyFont="1" applyNumberFormat="1">
      <alignment horizontal="center"/>
    </xf>
    <xf borderId="0" fillId="0" fontId="1" numFmtId="164" xfId="0" applyAlignment="1" applyFont="1" applyNumberFormat="1">
      <alignment readingOrder="0"/>
    </xf>
    <xf borderId="0" fillId="0" fontId="13" numFmtId="0" xfId="0" applyAlignment="1" applyFont="1">
      <alignment readingOrder="0"/>
    </xf>
    <xf borderId="0" fillId="0" fontId="10" numFmtId="164" xfId="0" applyFont="1" applyNumberFormat="1"/>
    <xf borderId="14" fillId="6" fontId="15" numFmtId="0" xfId="0" applyBorder="1" applyFont="1"/>
    <xf borderId="14" fillId="6" fontId="5" numFmtId="164" xfId="0" applyBorder="1" applyFont="1" applyNumberFormat="1"/>
    <xf borderId="0" fillId="0" fontId="13" numFmtId="4" xfId="0" applyFont="1" applyNumberFormat="1"/>
    <xf borderId="15" fillId="6" fontId="5" numFmtId="0" xfId="0" applyAlignment="1" applyBorder="1" applyFont="1">
      <alignment horizontal="left"/>
    </xf>
    <xf borderId="16" fillId="6" fontId="16" numFmtId="164" xfId="0" applyBorder="1" applyFont="1" applyNumberFormat="1"/>
    <xf borderId="17" fillId="6" fontId="16" numFmtId="164" xfId="0" applyBorder="1" applyFont="1" applyNumberFormat="1"/>
    <xf borderId="0" fillId="0" fontId="1" numFmtId="165" xfId="0" applyFont="1" applyNumberFormat="1"/>
    <xf borderId="0" fillId="0" fontId="17" numFmtId="0" xfId="0" applyFont="1"/>
    <xf borderId="0" fillId="0" fontId="18" numFmtId="164" xfId="0" applyFont="1" applyNumberFormat="1"/>
    <xf borderId="13" fillId="6" fontId="5" numFmtId="0" xfId="0" applyAlignment="1" applyBorder="1" applyFont="1">
      <alignment horizontal="center" shrinkToFit="0" wrapText="1"/>
    </xf>
    <xf borderId="0" fillId="0" fontId="1" numFmtId="167" xfId="0" applyAlignment="1" applyFont="1" applyNumberFormat="1">
      <alignment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shrinkToFit="0" wrapText="1"/>
    </xf>
    <xf borderId="14" fillId="0" fontId="1" numFmtId="164" xfId="0" applyBorder="1" applyFont="1" applyNumberFormat="1"/>
    <xf borderId="0" fillId="0" fontId="13" numFmtId="164" xfId="0" applyFont="1" applyNumberFormat="1"/>
    <xf borderId="0" fillId="0" fontId="1" numFmtId="164" xfId="0" applyAlignment="1" applyFont="1" applyNumberFormat="1">
      <alignment readingOrder="0" shrinkToFit="0" wrapText="1"/>
    </xf>
    <xf borderId="0" fillId="0" fontId="8" numFmtId="167" xfId="0" applyFont="1" applyNumberFormat="1"/>
    <xf borderId="0" fillId="0" fontId="1" numFmtId="3" xfId="0" applyFont="1" applyNumberFormat="1"/>
    <xf borderId="14" fillId="7" fontId="1" numFmtId="164" xfId="0" applyBorder="1" applyFill="1" applyFont="1" applyNumberFormat="1"/>
    <xf borderId="0" fillId="0" fontId="14" numFmtId="0" xfId="0" applyFont="1"/>
    <xf borderId="0" fillId="0" fontId="19" numFmtId="0" xfId="0" applyFont="1"/>
    <xf borderId="0" fillId="0" fontId="20" numFmtId="167" xfId="0" applyFont="1" applyNumberFormat="1"/>
    <xf borderId="0" fillId="0" fontId="19" numFmtId="167" xfId="0" applyFont="1" applyNumberFormat="1"/>
    <xf borderId="0" fillId="0" fontId="21" numFmtId="0" xfId="0" applyFont="1"/>
    <xf borderId="0" fillId="0" fontId="6" numFmtId="0" xfId="0" applyFont="1"/>
    <xf borderId="13" fillId="6" fontId="22" numFmtId="0" xfId="0" applyAlignment="1" applyBorder="1" applyFont="1">
      <alignment horizontal="center" shrinkToFit="0" wrapText="1"/>
    </xf>
    <xf borderId="0" fillId="0" fontId="23" numFmtId="167" xfId="0" applyAlignment="1" applyFont="1" applyNumberFormat="1">
      <alignment horizontal="center"/>
    </xf>
    <xf borderId="0" fillId="0" fontId="19" numFmtId="164" xfId="0" applyFont="1" applyNumberFormat="1"/>
    <xf borderId="0" fillId="0" fontId="21" numFmtId="164" xfId="0" applyFont="1" applyNumberFormat="1"/>
    <xf borderId="0" fillId="0" fontId="19" numFmtId="164" xfId="0" applyAlignment="1" applyFont="1" applyNumberFormat="1">
      <alignment readingOrder="0"/>
    </xf>
    <xf borderId="14" fillId="6" fontId="24" numFmtId="0" xfId="0" applyBorder="1" applyFont="1"/>
    <xf borderId="14" fillId="6" fontId="22" numFmtId="164" xfId="0" applyBorder="1" applyFont="1" applyNumberFormat="1"/>
    <xf borderId="15" fillId="6" fontId="22" numFmtId="0" xfId="0" applyAlignment="1" applyBorder="1" applyFont="1">
      <alignment horizontal="left"/>
    </xf>
    <xf borderId="16" fillId="6" fontId="22" numFmtId="164" xfId="0" applyBorder="1" applyFont="1" applyNumberFormat="1"/>
    <xf borderId="17" fillId="6" fontId="22" numFmtId="164" xfId="0" applyBorder="1" applyFont="1" applyNumberFormat="1"/>
    <xf borderId="0" fillId="0" fontId="25" numFmtId="0" xfId="0" applyFont="1"/>
    <xf borderId="0" fillId="0" fontId="6" numFmtId="0" xfId="0" applyAlignment="1" applyFont="1">
      <alignment horizontal="center" vertical="center"/>
    </xf>
    <xf borderId="13" fillId="6" fontId="5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0" fillId="0" fontId="14" numFmtId="167" xfId="0" applyAlignment="1" applyFont="1" applyNumberFormat="1">
      <alignment horizontal="left"/>
    </xf>
    <xf borderId="14" fillId="7" fontId="1" numFmtId="164" xfId="0" applyAlignment="1" applyBorder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26" numFmtId="0" xfId="0" applyAlignment="1" applyFont="1">
      <alignment readingOrder="0"/>
    </xf>
    <xf borderId="0" fillId="0" fontId="8" numFmtId="0" xfId="0" applyFont="1"/>
    <xf borderId="18" fillId="7" fontId="8" numFmtId="164" xfId="0" applyBorder="1" applyFont="1" applyNumberFormat="1"/>
    <xf borderId="15" fillId="6" fontId="5" numFmtId="0" xfId="0" applyAlignment="1" applyBorder="1" applyFont="1">
      <alignment horizontal="center"/>
    </xf>
    <xf borderId="16" fillId="6" fontId="16" numFmtId="164" xfId="0" applyAlignment="1" applyBorder="1" applyFont="1" applyNumberFormat="1">
      <alignment horizontal="center"/>
    </xf>
    <xf borderId="17" fillId="6" fontId="16" numFmtId="164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3" numFmtId="164" xfId="0" applyAlignment="1" applyFont="1" applyNumberFormat="1">
      <alignment horizontal="center" vertical="center"/>
    </xf>
    <xf borderId="0" fillId="0" fontId="6" numFmtId="9" xfId="0" applyAlignment="1" applyFont="1" applyNumberFormat="1">
      <alignment horizontal="center" vertical="center"/>
    </xf>
    <xf borderId="0" fillId="0" fontId="6" numFmtId="164" xfId="0" applyFont="1" applyNumberFormat="1"/>
    <xf borderId="14" fillId="6" fontId="16" numFmtId="164" xfId="0" applyBorder="1" applyFont="1" applyNumberFormat="1"/>
    <xf borderId="19" fillId="0" fontId="6" numFmtId="164" xfId="0" applyBorder="1" applyFont="1" applyNumberFormat="1"/>
    <xf borderId="0" fillId="0" fontId="14" numFmtId="0" xfId="0" applyAlignment="1" applyFont="1">
      <alignment horizontal="center" vertical="center"/>
    </xf>
    <xf borderId="14" fillId="6" fontId="15" numFmtId="38" xfId="0" applyBorder="1" applyFont="1" applyNumberFormat="1"/>
    <xf borderId="18" fillId="6" fontId="16" numFmtId="164" xfId="0" applyBorder="1" applyFont="1" applyNumberFormat="1"/>
    <xf borderId="0" fillId="0" fontId="15" numFmtId="38" xfId="0" applyFont="1" applyNumberFormat="1"/>
    <xf borderId="0" fillId="0" fontId="16" numFmtId="164" xfId="0" applyFont="1" applyNumberFormat="1"/>
    <xf borderId="13" fillId="4" fontId="5" numFmtId="0" xfId="0" applyAlignment="1" applyBorder="1" applyFont="1">
      <alignment horizontal="center"/>
    </xf>
    <xf borderId="13" fillId="4" fontId="5" numFmtId="17" xfId="0" applyAlignment="1" applyBorder="1" applyFont="1" applyNumberFormat="1">
      <alignment horizontal="center"/>
    </xf>
    <xf borderId="12" fillId="4" fontId="5" numFmtId="0" xfId="0" applyAlignment="1" applyBorder="1" applyFont="1">
      <alignment horizontal="center"/>
    </xf>
    <xf borderId="15" fillId="4" fontId="15" numFmtId="0" xfId="0" applyBorder="1" applyFont="1"/>
    <xf borderId="16" fillId="4" fontId="5" numFmtId="164" xfId="0" applyBorder="1" applyFont="1" applyNumberFormat="1"/>
    <xf borderId="17" fillId="4" fontId="5" numFmtId="164" xfId="0" applyBorder="1" applyFont="1" applyNumberFormat="1"/>
    <xf borderId="0" fillId="0" fontId="1" numFmtId="164" xfId="0" applyAlignment="1" applyFont="1" applyNumberFormat="1">
      <alignment horizontal="right"/>
    </xf>
    <xf borderId="15" fillId="4" fontId="5" numFmtId="0" xfId="0" applyAlignment="1" applyBorder="1" applyFont="1">
      <alignment horizontal="left"/>
    </xf>
    <xf borderId="0" fillId="0" fontId="1" numFmtId="0" xfId="0" applyAlignment="1" applyFont="1">
      <alignment horizontal="left" shrinkToFit="0" wrapText="1"/>
    </xf>
    <xf borderId="0" fillId="0" fontId="1" numFmtId="3" xfId="0" applyAlignment="1" applyFont="1" applyNumberFormat="1">
      <alignment readingOrder="0"/>
    </xf>
    <xf borderId="0" fillId="0" fontId="13" numFmtId="168" xfId="0" applyAlignment="1" applyFont="1" applyNumberFormat="1">
      <alignment readingOrder="0"/>
    </xf>
    <xf borderId="0" fillId="0" fontId="1" numFmtId="0" xfId="0" applyAlignment="1" applyFont="1">
      <alignment horizontal="left"/>
    </xf>
    <xf borderId="0" fillId="0" fontId="1" numFmtId="168" xfId="0" applyAlignment="1" applyFont="1" applyNumberFormat="1">
      <alignment readingOrder="0"/>
    </xf>
    <xf borderId="0" fillId="0" fontId="8" numFmtId="0" xfId="0" applyAlignment="1" applyFont="1">
      <alignment readingOrder="0"/>
    </xf>
    <xf borderId="13" fillId="6" fontId="5" numFmtId="0" xfId="0" applyAlignment="1" applyBorder="1" applyFont="1">
      <alignment horizontal="center"/>
    </xf>
    <xf borderId="14" fillId="7" fontId="1" numFmtId="0" xfId="0" applyBorder="1" applyFont="1"/>
    <xf borderId="14" fillId="8" fontId="1" numFmtId="164" xfId="0" applyBorder="1" applyFill="1" applyFont="1" applyNumberFormat="1"/>
    <xf borderId="14" fillId="3" fontId="1" numFmtId="0" xfId="0" applyBorder="1" applyFont="1"/>
    <xf borderId="14" fillId="3" fontId="1" numFmtId="164" xfId="0" applyBorder="1" applyFont="1" applyNumberFormat="1"/>
    <xf borderId="14" fillId="7" fontId="5" numFmtId="0" xfId="0" applyAlignment="1" applyBorder="1" applyFont="1">
      <alignment horizontal="center"/>
    </xf>
    <xf borderId="14" fillId="7" fontId="5" numFmtId="17" xfId="0" applyAlignment="1" applyBorder="1" applyFont="1" applyNumberFormat="1">
      <alignment horizontal="center"/>
    </xf>
    <xf borderId="14" fillId="7" fontId="8" numFmtId="164" xfId="0" applyBorder="1" applyFont="1" applyNumberFormat="1"/>
    <xf borderId="14" fillId="7" fontId="8" numFmtId="38" xfId="0" applyBorder="1" applyFont="1" applyNumberFormat="1"/>
    <xf borderId="0" fillId="0" fontId="14" numFmtId="0" xfId="0" applyAlignment="1" applyFont="1">
      <alignment horizontal="left"/>
    </xf>
    <xf borderId="14" fillId="8" fontId="1" numFmtId="0" xfId="0" applyBorder="1" applyFont="1"/>
    <xf borderId="14" fillId="8" fontId="27" numFmtId="164" xfId="0" applyBorder="1" applyFont="1" applyNumberFormat="1"/>
    <xf borderId="14" fillId="3" fontId="1" numFmtId="0" xfId="0" applyAlignment="1" applyBorder="1" applyFont="1">
      <alignment shrinkToFit="0" wrapText="1"/>
    </xf>
    <xf borderId="14" fillId="3" fontId="1" numFmtId="164" xfId="0" applyAlignment="1" applyBorder="1" applyFont="1" applyNumberFormat="1">
      <alignment readingOrder="0"/>
    </xf>
    <xf borderId="14" fillId="7" fontId="8" numFmtId="0" xfId="0" applyBorder="1" applyFont="1"/>
    <xf borderId="14" fillId="7" fontId="1" numFmtId="38" xfId="0" applyBorder="1" applyFont="1" applyNumberFormat="1"/>
    <xf borderId="13" fillId="9" fontId="8" numFmtId="0" xfId="0" applyAlignment="1" applyBorder="1" applyFill="1" applyFont="1">
      <alignment horizontal="center" vertical="center"/>
    </xf>
    <xf borderId="13" fillId="5" fontId="8" numFmtId="0" xfId="0" applyAlignment="1" applyBorder="1" applyFont="1">
      <alignment horizontal="center" vertical="center"/>
    </xf>
    <xf borderId="12" fillId="5" fontId="8" numFmtId="0" xfId="0" applyAlignment="1" applyBorder="1" applyFont="1">
      <alignment horizontal="center" vertical="center"/>
    </xf>
    <xf borderId="20" fillId="5" fontId="8" numFmtId="164" xfId="0" applyAlignment="1" applyBorder="1" applyFont="1" applyNumberFormat="1">
      <alignment horizontal="center" vertical="center"/>
    </xf>
    <xf borderId="21" fillId="5" fontId="8" numFmtId="164" xfId="0" applyAlignment="1" applyBorder="1" applyFont="1" applyNumberFormat="1">
      <alignment horizontal="center" vertical="center"/>
    </xf>
    <xf borderId="20" fillId="9" fontId="8" numFmtId="164" xfId="0" applyAlignment="1" applyBorder="1" applyFont="1" applyNumberFormat="1">
      <alignment horizontal="center" vertical="center"/>
    </xf>
    <xf borderId="22" fillId="5" fontId="8" numFmtId="164" xfId="0" applyAlignment="1" applyBorder="1" applyFont="1" applyNumberFormat="1">
      <alignment horizontal="center" vertical="center"/>
    </xf>
    <xf borderId="23" fillId="0" fontId="13" numFmtId="0" xfId="0" applyBorder="1" applyFont="1"/>
    <xf borderId="24" fillId="0" fontId="1" numFmtId="0" xfId="0" applyBorder="1" applyFont="1"/>
    <xf borderId="23" fillId="0" fontId="1" numFmtId="164" xfId="0" applyBorder="1" applyFont="1" applyNumberFormat="1"/>
    <xf borderId="25" fillId="0" fontId="1" numFmtId="164" xfId="0" applyBorder="1" applyFont="1" applyNumberFormat="1"/>
    <xf borderId="26" fillId="0" fontId="13" numFmtId="0" xfId="0" applyBorder="1" applyFont="1"/>
    <xf borderId="26" fillId="0" fontId="1" numFmtId="164" xfId="0" applyBorder="1" applyFont="1" applyNumberFormat="1"/>
    <xf borderId="27" fillId="0" fontId="1" numFmtId="164" xfId="0" applyBorder="1" applyFont="1" applyNumberFormat="1"/>
    <xf borderId="28" fillId="0" fontId="13" numFmtId="0" xfId="0" applyBorder="1" applyFont="1"/>
    <xf borderId="19" fillId="0" fontId="1" numFmtId="0" xfId="0" applyBorder="1" applyFont="1"/>
    <xf borderId="28" fillId="0" fontId="1" numFmtId="164" xfId="0" applyBorder="1" applyFont="1" applyNumberFormat="1"/>
    <xf borderId="29" fillId="0" fontId="1" numFmtId="164" xfId="0" applyBorder="1" applyFont="1" applyNumberFormat="1"/>
    <xf borderId="21" fillId="9" fontId="8" numFmtId="0" xfId="0" applyAlignment="1" applyBorder="1" applyFont="1">
      <alignment horizontal="center" vertical="center"/>
    </xf>
    <xf borderId="21" fillId="5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8" numFmtId="164" xfId="0" applyAlignment="1" applyFont="1" applyNumberFormat="1">
      <alignment horizontal="center" vertical="center"/>
    </xf>
    <xf borderId="20" fillId="5" fontId="8" numFmtId="0" xfId="0" applyAlignment="1" applyBorder="1" applyFont="1">
      <alignment horizontal="center" vertical="center"/>
    </xf>
    <xf borderId="30" fillId="0" fontId="1" numFmtId="164" xfId="0" applyBorder="1" applyFont="1" applyNumberFormat="1"/>
    <xf borderId="31" fillId="0" fontId="1" numFmtId="164" xfId="0" applyBorder="1" applyFont="1" applyNumberFormat="1"/>
    <xf borderId="32" fillId="10" fontId="13" numFmtId="0" xfId="0" applyBorder="1" applyFill="1" applyFont="1"/>
    <xf borderId="14" fillId="10" fontId="1" numFmtId="1" xfId="0" applyBorder="1" applyFont="1" applyNumberFormat="1"/>
    <xf borderId="32" fillId="10" fontId="1" numFmtId="164" xfId="0" applyBorder="1" applyFont="1" applyNumberFormat="1"/>
    <xf borderId="33" fillId="10" fontId="1" numFmtId="164" xfId="0" applyBorder="1" applyFont="1" applyNumberFormat="1"/>
    <xf borderId="34" fillId="10" fontId="1" numFmtId="164" xfId="0" applyBorder="1" applyFont="1" applyNumberFormat="1"/>
    <xf borderId="26" fillId="0" fontId="6" numFmtId="0" xfId="0" applyBorder="1" applyFont="1"/>
    <xf borderId="27" fillId="0" fontId="6" numFmtId="0" xfId="0" applyBorder="1" applyFont="1"/>
    <xf borderId="35" fillId="10" fontId="13" numFmtId="0" xfId="0" applyBorder="1" applyFont="1"/>
    <xf borderId="36" fillId="10" fontId="1" numFmtId="1" xfId="0" applyBorder="1" applyFont="1" applyNumberFormat="1"/>
    <xf borderId="36" fillId="10" fontId="1" numFmtId="164" xfId="0" applyBorder="1" applyFont="1" applyNumberFormat="1"/>
    <xf borderId="37" fillId="10" fontId="1" numFmtId="164" xfId="0" applyBorder="1" applyFont="1" applyNumberFormat="1"/>
    <xf borderId="38" fillId="10" fontId="1" numFmtId="164" xfId="0" applyBorder="1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561975</xdr:colOff>
      <xdr:row>1</xdr:row>
      <xdr:rowOff>95250</xdr:rowOff>
    </xdr:from>
    <xdr:ext cx="2695575" cy="10572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5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6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 outlineLevelRow="1"/>
  <cols>
    <col customWidth="1" min="1" max="1" width="1.75"/>
    <col customWidth="1" hidden="1" min="2" max="2" width="19.38"/>
    <col customWidth="1" hidden="1" min="3" max="5" width="11.63"/>
    <col customWidth="1" hidden="1" min="6" max="6" width="11.25"/>
    <col customWidth="1" hidden="1" min="7" max="7" width="11.13"/>
    <col customWidth="1" min="8" max="8" width="29.38"/>
    <col customWidth="1" min="9" max="11" width="11.63"/>
    <col customWidth="1" min="12" max="13" width="11.25"/>
    <col customWidth="1" hidden="1" min="14" max="14" width="0.88"/>
    <col customWidth="1" hidden="1" min="15" max="17" width="11.63"/>
    <col customWidth="1" hidden="1" min="18" max="19" width="11.25"/>
    <col customWidth="1" hidden="1" min="21" max="21" width="13.63"/>
    <col customWidth="1" hidden="1" min="22" max="24" width="0.13"/>
  </cols>
  <sheetData>
    <row r="1" ht="15.0" customHeight="1">
      <c r="B1" s="1"/>
      <c r="C1" s="1"/>
      <c r="D1" s="1"/>
      <c r="E1" s="1"/>
      <c r="F1" s="1"/>
      <c r="G1" s="1"/>
      <c r="H1" s="2"/>
      <c r="I1" s="3"/>
      <c r="J1" s="3"/>
      <c r="K1" s="3"/>
      <c r="L1" s="2"/>
      <c r="M1" s="2"/>
      <c r="N1" s="2"/>
      <c r="U1" s="2"/>
      <c r="V1" s="2"/>
      <c r="W1" s="4"/>
    </row>
    <row r="2" ht="15.0" customHeight="1">
      <c r="B2" s="1"/>
      <c r="C2" s="5"/>
      <c r="D2" s="6"/>
      <c r="E2" s="6"/>
      <c r="F2" s="6"/>
      <c r="G2" s="7"/>
      <c r="H2" s="8"/>
      <c r="I2" s="9"/>
      <c r="J2" s="6"/>
      <c r="K2" s="6"/>
      <c r="L2" s="6"/>
      <c r="M2" s="7"/>
      <c r="N2" s="10"/>
      <c r="O2" s="11"/>
      <c r="P2" s="6"/>
      <c r="Q2" s="6"/>
      <c r="R2" s="6"/>
      <c r="S2" s="7"/>
      <c r="T2" s="12"/>
      <c r="U2" s="2"/>
      <c r="V2" s="2"/>
      <c r="W2" s="4"/>
    </row>
    <row r="3">
      <c r="B3" s="1"/>
      <c r="C3" s="13" t="s">
        <v>0</v>
      </c>
      <c r="D3" s="13" t="s">
        <v>1</v>
      </c>
      <c r="E3" s="13" t="s">
        <v>2</v>
      </c>
      <c r="F3" s="13" t="s">
        <v>3</v>
      </c>
      <c r="G3" s="14" t="s">
        <v>4</v>
      </c>
      <c r="H3" s="15" t="s">
        <v>5</v>
      </c>
      <c r="I3" s="16" t="s">
        <v>6</v>
      </c>
      <c r="J3" s="17" t="s">
        <v>1</v>
      </c>
      <c r="K3" s="17" t="s">
        <v>7</v>
      </c>
      <c r="L3" s="18" t="s">
        <v>8</v>
      </c>
      <c r="M3" s="14" t="s">
        <v>9</v>
      </c>
      <c r="N3" s="19"/>
      <c r="O3" s="13" t="s">
        <v>10</v>
      </c>
      <c r="P3" s="13" t="s">
        <v>1</v>
      </c>
      <c r="Q3" s="13" t="s">
        <v>2</v>
      </c>
      <c r="R3" s="13" t="s">
        <v>3</v>
      </c>
      <c r="S3" s="14" t="s">
        <v>4</v>
      </c>
      <c r="U3" s="20" t="s">
        <v>11</v>
      </c>
      <c r="V3" s="20" t="s">
        <v>12</v>
      </c>
      <c r="W3" s="4"/>
    </row>
    <row r="4" ht="6.75" customHeight="1">
      <c r="B4" s="1"/>
      <c r="C4" s="21"/>
      <c r="D4" s="22"/>
      <c r="E4" s="23"/>
      <c r="F4" s="24"/>
      <c r="G4" s="25"/>
      <c r="H4" s="22"/>
      <c r="I4" s="21"/>
      <c r="J4" s="22"/>
      <c r="K4" s="23"/>
      <c r="L4" s="24"/>
      <c r="M4" s="25"/>
      <c r="N4" s="21"/>
      <c r="U4" s="2"/>
      <c r="V4" s="2"/>
      <c r="W4" s="4"/>
    </row>
    <row r="5">
      <c r="B5" s="1"/>
      <c r="C5" s="26">
        <f t="shared" ref="C5:E5" si="1">SUM(C6,C9,C12,C16,C14)</f>
        <v>0</v>
      </c>
      <c r="D5" s="26">
        <f t="shared" si="1"/>
        <v>0</v>
      </c>
      <c r="E5" s="26">
        <f t="shared" si="1"/>
        <v>0</v>
      </c>
      <c r="F5" s="27">
        <f t="shared" ref="F5:F43" si="6">IF((IFERROR(C5/D5,0))=0,0,(IFERROR(C5/D5,0)-1))</f>
        <v>0</v>
      </c>
      <c r="G5" s="27">
        <f t="shared" ref="G5:G43" si="7">IF((IFERROR(C5/E5,0))=0,0,(IFERROR(C5/E5,0)-1))</f>
        <v>0</v>
      </c>
      <c r="H5" s="28" t="s">
        <v>13</v>
      </c>
      <c r="I5" s="26">
        <f t="shared" ref="I5:K5" si="2">SUM(I6,I9,I12,I16,I14)</f>
        <v>14195972.86</v>
      </c>
      <c r="J5" s="26">
        <f t="shared" si="2"/>
        <v>17961606.13</v>
      </c>
      <c r="K5" s="26">
        <f t="shared" si="2"/>
        <v>17294315.88</v>
      </c>
      <c r="L5" s="27">
        <f t="shared" ref="L5:L43" si="9">IF((IFERROR(J5/I5,0))=0,0,(IFERROR(J5/I5,0)-1))</f>
        <v>0.2652606701</v>
      </c>
      <c r="M5" s="27">
        <f t="shared" ref="M5:M43" si="10">IF((IFERROR(J5/K5,0))=0,0,(IFERROR(J5/K5,0)-1))</f>
        <v>0.03858436855</v>
      </c>
      <c r="N5" s="29"/>
      <c r="O5" s="26">
        <f t="shared" ref="O5:Q5" si="3">SUM(O6,O9,O12,O16,O14)</f>
        <v>0</v>
      </c>
      <c r="P5" s="26">
        <f t="shared" si="3"/>
        <v>0</v>
      </c>
      <c r="Q5" s="26">
        <f t="shared" si="3"/>
        <v>0</v>
      </c>
      <c r="R5" s="27">
        <f t="shared" ref="R5:R43" si="12">IF((IFERROR(O5/P5,0))=0,0,(IFERROR(O5/P5,0)-1))</f>
        <v>0</v>
      </c>
      <c r="S5" s="27">
        <f t="shared" ref="S5:S43" si="13">IF((IFERROR(O5/Q5,0))=0,0,(IFERROR(O5/Q5,0)-1))</f>
        <v>0</v>
      </c>
      <c r="U5" s="26">
        <f t="shared" ref="U5:V5" si="4">SUM(U6,U9,U12,U16,U14)</f>
        <v>18374706.48</v>
      </c>
      <c r="V5" s="26">
        <f t="shared" si="4"/>
        <v>-413100.3407</v>
      </c>
      <c r="W5" s="4">
        <f t="shared" ref="W5:W6" si="14">J5/U5-1</f>
        <v>-0.02248201033</v>
      </c>
    </row>
    <row r="6">
      <c r="B6" s="1"/>
      <c r="C6" s="30">
        <f t="shared" ref="C6:E6" si="5">C7+C8</f>
        <v>0</v>
      </c>
      <c r="D6" s="30">
        <f t="shared" si="5"/>
        <v>0</v>
      </c>
      <c r="E6" s="30">
        <f t="shared" si="5"/>
        <v>0</v>
      </c>
      <c r="F6" s="31">
        <f t="shared" si="6"/>
        <v>0</v>
      </c>
      <c r="G6" s="31">
        <f t="shared" si="7"/>
        <v>0</v>
      </c>
      <c r="H6" s="32" t="s">
        <v>14</v>
      </c>
      <c r="I6" s="30">
        <f t="shared" ref="I6:K6" si="8">I7+I8</f>
        <v>10543076.94</v>
      </c>
      <c r="J6" s="30">
        <f t="shared" si="8"/>
        <v>11782798.42</v>
      </c>
      <c r="K6" s="30">
        <f t="shared" si="8"/>
        <v>10909089.08</v>
      </c>
      <c r="L6" s="31">
        <f t="shared" si="9"/>
        <v>0.1175863065</v>
      </c>
      <c r="M6" s="31">
        <f t="shared" si="10"/>
        <v>0.08009003625</v>
      </c>
      <c r="N6" s="33"/>
      <c r="O6" s="30">
        <f t="shared" ref="O6:Q6" si="11">O7+O8</f>
        <v>0</v>
      </c>
      <c r="P6" s="30">
        <f t="shared" si="11"/>
        <v>0</v>
      </c>
      <c r="Q6" s="30">
        <f t="shared" si="11"/>
        <v>0</v>
      </c>
      <c r="R6" s="31">
        <f t="shared" si="12"/>
        <v>0</v>
      </c>
      <c r="S6" s="31">
        <f t="shared" si="13"/>
        <v>0</v>
      </c>
      <c r="U6" s="3">
        <v>1.2277768591000002E7</v>
      </c>
      <c r="V6" s="3">
        <f>J6-U6</f>
        <v>-494970.1747</v>
      </c>
      <c r="W6" s="4">
        <f t="shared" si="14"/>
        <v>-0.04031434304</v>
      </c>
    </row>
    <row r="7" hidden="1" outlineLevel="1">
      <c r="B7" s="1">
        <v>4.0E20</v>
      </c>
      <c r="C7" s="34">
        <v>0.0</v>
      </c>
      <c r="D7" s="34">
        <v>0.0</v>
      </c>
      <c r="E7" s="34">
        <v>0.0</v>
      </c>
      <c r="F7" s="35">
        <f t="shared" si="6"/>
        <v>0</v>
      </c>
      <c r="G7" s="35">
        <f t="shared" si="7"/>
        <v>0</v>
      </c>
      <c r="H7" s="36" t="s">
        <v>15</v>
      </c>
      <c r="I7" s="37">
        <v>1.013640194E7</v>
      </c>
      <c r="J7" s="34">
        <f>SUMIF('PPvsREal Summary'!$C:$C,RESUMEN!B7,'PPvsREal Summary'!$AC:$AC)</f>
        <v>11272264.42</v>
      </c>
      <c r="K7" s="34">
        <v>1.0052089076666664E7</v>
      </c>
      <c r="L7" s="35">
        <f t="shared" si="9"/>
        <v>0.1120577581</v>
      </c>
      <c r="M7" s="35">
        <f t="shared" si="10"/>
        <v>0.1213852494</v>
      </c>
      <c r="N7" s="38"/>
      <c r="O7" s="34">
        <v>0.0</v>
      </c>
      <c r="P7" s="34">
        <v>0.0</v>
      </c>
      <c r="Q7" s="34">
        <v>0.0</v>
      </c>
      <c r="R7" s="35">
        <f t="shared" si="12"/>
        <v>0</v>
      </c>
      <c r="S7" s="35">
        <f t="shared" si="13"/>
        <v>0</v>
      </c>
      <c r="U7" s="3"/>
      <c r="V7" s="2"/>
      <c r="W7" s="4"/>
    </row>
    <row r="8" hidden="1" outlineLevel="1">
      <c r="B8" s="1">
        <v>4.01E20</v>
      </c>
      <c r="C8" s="34">
        <v>0.0</v>
      </c>
      <c r="D8" s="34">
        <v>0.0</v>
      </c>
      <c r="E8" s="34">
        <v>0.0</v>
      </c>
      <c r="F8" s="39">
        <f t="shared" si="6"/>
        <v>0</v>
      </c>
      <c r="G8" s="39">
        <f t="shared" si="7"/>
        <v>0</v>
      </c>
      <c r="H8" s="40" t="s">
        <v>16</v>
      </c>
      <c r="I8" s="37">
        <v>406675.0</v>
      </c>
      <c r="J8" s="34">
        <f>SUMIF('PPvsREal Summary'!$C:$C,RESUMEN!B8,'PPvsREal Summary'!$AC:$AC)</f>
        <v>510534</v>
      </c>
      <c r="K8" s="34">
        <v>857000.0</v>
      </c>
      <c r="L8" s="39">
        <f t="shared" si="9"/>
        <v>0.2553857503</v>
      </c>
      <c r="M8" s="39">
        <f t="shared" si="10"/>
        <v>-0.404277713</v>
      </c>
      <c r="N8" s="38"/>
      <c r="O8" s="34">
        <v>0.0</v>
      </c>
      <c r="P8" s="34">
        <v>0.0</v>
      </c>
      <c r="Q8" s="34">
        <v>0.0</v>
      </c>
      <c r="R8" s="39">
        <f t="shared" si="12"/>
        <v>0</v>
      </c>
      <c r="S8" s="39">
        <f t="shared" si="13"/>
        <v>0</v>
      </c>
      <c r="U8" s="3"/>
      <c r="V8" s="2"/>
      <c r="W8" s="4"/>
    </row>
    <row r="9" collapsed="1">
      <c r="B9" s="1"/>
      <c r="C9" s="30">
        <f t="shared" ref="C9:E9" si="15">C10+C11</f>
        <v>0</v>
      </c>
      <c r="D9" s="30">
        <f t="shared" si="15"/>
        <v>0</v>
      </c>
      <c r="E9" s="30">
        <f t="shared" si="15"/>
        <v>0</v>
      </c>
      <c r="F9" s="31">
        <f t="shared" si="6"/>
        <v>0</v>
      </c>
      <c r="G9" s="31">
        <f t="shared" si="7"/>
        <v>0</v>
      </c>
      <c r="H9" s="32" t="s">
        <v>17</v>
      </c>
      <c r="I9" s="30">
        <f t="shared" ref="I9:K9" si="16">I10+I11</f>
        <v>2311332.76</v>
      </c>
      <c r="J9" s="30">
        <f t="shared" si="16"/>
        <v>3820000</v>
      </c>
      <c r="K9" s="30">
        <f t="shared" si="16"/>
        <v>4100000</v>
      </c>
      <c r="L9" s="31">
        <f t="shared" si="9"/>
        <v>0.6527261094</v>
      </c>
      <c r="M9" s="31">
        <f t="shared" si="10"/>
        <v>-0.06829268293</v>
      </c>
      <c r="N9" s="33"/>
      <c r="O9" s="30">
        <f t="shared" ref="O9:Q9" si="17">O10+O11</f>
        <v>0</v>
      </c>
      <c r="P9" s="30">
        <f t="shared" si="17"/>
        <v>0</v>
      </c>
      <c r="Q9" s="30">
        <f t="shared" si="17"/>
        <v>0</v>
      </c>
      <c r="R9" s="31">
        <f t="shared" si="12"/>
        <v>0</v>
      </c>
      <c r="S9" s="31">
        <f t="shared" si="13"/>
        <v>0</v>
      </c>
      <c r="T9" s="41"/>
      <c r="U9" s="3">
        <v>3986161.036</v>
      </c>
      <c r="V9" s="3">
        <f t="shared" ref="V9:V16" si="18">J9-U9</f>
        <v>-166161.036</v>
      </c>
      <c r="W9" s="4">
        <f>J9/U9-1</f>
        <v>-0.04168447649</v>
      </c>
    </row>
    <row r="10" hidden="1" outlineLevel="1">
      <c r="B10" s="1">
        <v>4.05E20</v>
      </c>
      <c r="C10" s="34">
        <v>0.0</v>
      </c>
      <c r="D10" s="34">
        <v>0.0</v>
      </c>
      <c r="E10" s="34">
        <v>0.0</v>
      </c>
      <c r="F10" s="35">
        <f t="shared" si="6"/>
        <v>0</v>
      </c>
      <c r="G10" s="35">
        <f t="shared" si="7"/>
        <v>0</v>
      </c>
      <c r="H10" s="36" t="s">
        <v>18</v>
      </c>
      <c r="I10" s="37">
        <v>2311332.76</v>
      </c>
      <c r="J10" s="34">
        <f>SUMIF('PPvsREal Summary'!$C:$C,RESUMEN!B10,'PPvsREal Summary'!$AC:$AC)</f>
        <v>1190000</v>
      </c>
      <c r="K10" s="34">
        <v>4100000.0</v>
      </c>
      <c r="L10" s="35">
        <f t="shared" si="9"/>
        <v>-0.4851455314</v>
      </c>
      <c r="M10" s="35">
        <f t="shared" si="10"/>
        <v>-0.7097560976</v>
      </c>
      <c r="N10" s="38"/>
      <c r="O10" s="34">
        <v>0.0</v>
      </c>
      <c r="P10" s="34">
        <v>0.0</v>
      </c>
      <c r="Q10" s="34">
        <v>0.0</v>
      </c>
      <c r="R10" s="35">
        <f t="shared" si="12"/>
        <v>0</v>
      </c>
      <c r="S10" s="35">
        <f t="shared" si="13"/>
        <v>0</v>
      </c>
      <c r="U10" s="3"/>
      <c r="V10" s="3">
        <f t="shared" si="18"/>
        <v>1190000</v>
      </c>
      <c r="W10" s="4"/>
    </row>
    <row r="11" hidden="1" outlineLevel="1">
      <c r="B11" s="1">
        <v>4.06E20</v>
      </c>
      <c r="C11" s="34">
        <v>0.0</v>
      </c>
      <c r="D11" s="34">
        <v>0.0</v>
      </c>
      <c r="E11" s="34">
        <v>0.0</v>
      </c>
      <c r="F11" s="35">
        <f t="shared" si="6"/>
        <v>0</v>
      </c>
      <c r="G11" s="35">
        <f t="shared" si="7"/>
        <v>0</v>
      </c>
      <c r="H11" s="36" t="s">
        <v>19</v>
      </c>
      <c r="I11" s="34">
        <v>0.0</v>
      </c>
      <c r="J11" s="34">
        <f>SUMIF('PPvsREal Summary'!$C:$C,RESUMEN!B11,'PPvsREal Summary'!$AC:$AC)</f>
        <v>2630000</v>
      </c>
      <c r="K11" s="34">
        <v>0.0</v>
      </c>
      <c r="L11" s="35">
        <f t="shared" si="9"/>
        <v>0</v>
      </c>
      <c r="M11" s="35">
        <f t="shared" si="10"/>
        <v>0</v>
      </c>
      <c r="N11" s="38"/>
      <c r="O11" s="34">
        <v>0.0</v>
      </c>
      <c r="P11" s="34">
        <v>0.0</v>
      </c>
      <c r="Q11" s="34">
        <v>0.0</v>
      </c>
      <c r="R11" s="35">
        <f t="shared" si="12"/>
        <v>0</v>
      </c>
      <c r="S11" s="35">
        <f t="shared" si="13"/>
        <v>0</v>
      </c>
      <c r="U11" s="3"/>
      <c r="V11" s="3">
        <f t="shared" si="18"/>
        <v>2630000</v>
      </c>
      <c r="W11" s="4"/>
    </row>
    <row r="12" collapsed="1">
      <c r="B12" s="1"/>
      <c r="C12" s="30">
        <f t="shared" ref="C12:E12" si="19">C13</f>
        <v>0</v>
      </c>
      <c r="D12" s="30">
        <f t="shared" si="19"/>
        <v>0</v>
      </c>
      <c r="E12" s="30">
        <f t="shared" si="19"/>
        <v>0</v>
      </c>
      <c r="F12" s="31">
        <f t="shared" si="6"/>
        <v>0</v>
      </c>
      <c r="G12" s="31">
        <f t="shared" si="7"/>
        <v>0</v>
      </c>
      <c r="H12" s="32" t="s">
        <v>20</v>
      </c>
      <c r="I12" s="30">
        <f t="shared" ref="I12:K12" si="20">I13</f>
        <v>756663.16</v>
      </c>
      <c r="J12" s="42">
        <f t="shared" si="20"/>
        <v>1594590.683</v>
      </c>
      <c r="K12" s="30">
        <f t="shared" si="20"/>
        <v>1718000</v>
      </c>
      <c r="L12" s="31">
        <f t="shared" si="9"/>
        <v>1.107398334</v>
      </c>
      <c r="M12" s="31">
        <f t="shared" si="10"/>
        <v>-0.0718331298</v>
      </c>
      <c r="N12" s="33"/>
      <c r="O12" s="30">
        <f t="shared" ref="O12:Q12" si="21">O13</f>
        <v>0</v>
      </c>
      <c r="P12" s="30">
        <f t="shared" si="21"/>
        <v>0</v>
      </c>
      <c r="Q12" s="30">
        <f t="shared" si="21"/>
        <v>0</v>
      </c>
      <c r="R12" s="31">
        <f t="shared" si="12"/>
        <v>0</v>
      </c>
      <c r="S12" s="31">
        <f t="shared" si="13"/>
        <v>0</v>
      </c>
      <c r="U12" s="3">
        <v>1394945.1230000001</v>
      </c>
      <c r="V12" s="3">
        <f t="shared" si="18"/>
        <v>199645.56</v>
      </c>
      <c r="W12" s="4">
        <f>J12/U12-1</f>
        <v>0.1431207269</v>
      </c>
    </row>
    <row r="13" hidden="1" outlineLevel="1">
      <c r="B13" s="1">
        <v>4.04E20</v>
      </c>
      <c r="C13" s="34">
        <v>0.0</v>
      </c>
      <c r="D13" s="34">
        <v>0.0</v>
      </c>
      <c r="E13" s="34">
        <v>0.0</v>
      </c>
      <c r="F13" s="35">
        <f t="shared" si="6"/>
        <v>0</v>
      </c>
      <c r="G13" s="35">
        <f t="shared" si="7"/>
        <v>0</v>
      </c>
      <c r="H13" s="36" t="s">
        <v>21</v>
      </c>
      <c r="I13" s="37">
        <v>756663.16</v>
      </c>
      <c r="J13" s="34">
        <f>SUMIF('PPvsREal Summary'!$C:$C,RESUMEN!B13,'PPvsREal Summary'!$AC:$AC)</f>
        <v>1594590.683</v>
      </c>
      <c r="K13" s="34">
        <v>1718000.0</v>
      </c>
      <c r="L13" s="35">
        <f t="shared" si="9"/>
        <v>1.107398334</v>
      </c>
      <c r="M13" s="35">
        <f t="shared" si="10"/>
        <v>-0.0718331298</v>
      </c>
      <c r="N13" s="38"/>
      <c r="O13" s="34">
        <v>0.0</v>
      </c>
      <c r="P13" s="34">
        <v>0.0</v>
      </c>
      <c r="Q13" s="34">
        <v>0.0</v>
      </c>
      <c r="R13" s="35">
        <f t="shared" si="12"/>
        <v>0</v>
      </c>
      <c r="S13" s="35">
        <f t="shared" si="13"/>
        <v>0</v>
      </c>
      <c r="U13" s="3"/>
      <c r="V13" s="3">
        <f t="shared" si="18"/>
        <v>1594590.683</v>
      </c>
      <c r="W13" s="4"/>
    </row>
    <row r="14" collapsed="1">
      <c r="B14" s="1"/>
      <c r="C14" s="30">
        <f t="shared" ref="C14:E14" si="22">C15</f>
        <v>0</v>
      </c>
      <c r="D14" s="30">
        <f t="shared" si="22"/>
        <v>0</v>
      </c>
      <c r="E14" s="30">
        <f t="shared" si="22"/>
        <v>0</v>
      </c>
      <c r="F14" s="31">
        <f t="shared" si="6"/>
        <v>0</v>
      </c>
      <c r="G14" s="31">
        <f t="shared" si="7"/>
        <v>0</v>
      </c>
      <c r="H14" s="32" t="s">
        <v>22</v>
      </c>
      <c r="I14" s="30">
        <f t="shared" ref="I14:K14" si="23">I15</f>
        <v>0</v>
      </c>
      <c r="J14" s="30">
        <f t="shared" si="23"/>
        <v>50000</v>
      </c>
      <c r="K14" s="30">
        <f t="shared" si="23"/>
        <v>0</v>
      </c>
      <c r="L14" s="31">
        <f t="shared" si="9"/>
        <v>0</v>
      </c>
      <c r="M14" s="31">
        <f t="shared" si="10"/>
        <v>0</v>
      </c>
      <c r="N14" s="33"/>
      <c r="O14" s="30">
        <f t="shared" ref="O14:Q14" si="24">O15</f>
        <v>0</v>
      </c>
      <c r="P14" s="30">
        <f t="shared" si="24"/>
        <v>0</v>
      </c>
      <c r="Q14" s="30">
        <f t="shared" si="24"/>
        <v>0</v>
      </c>
      <c r="R14" s="31">
        <f t="shared" si="12"/>
        <v>0</v>
      </c>
      <c r="S14" s="31">
        <f t="shared" si="13"/>
        <v>0</v>
      </c>
      <c r="U14" s="3">
        <v>0.0</v>
      </c>
      <c r="V14" s="3">
        <f t="shared" si="18"/>
        <v>50000</v>
      </c>
      <c r="W14" s="4" t="str">
        <f>J14/U14-1</f>
        <v>#DIV/0!</v>
      </c>
    </row>
    <row r="15" hidden="1" outlineLevel="1">
      <c r="B15" s="1">
        <v>4.07E20</v>
      </c>
      <c r="C15" s="34">
        <v>0.0</v>
      </c>
      <c r="D15" s="34">
        <v>0.0</v>
      </c>
      <c r="E15" s="34">
        <v>0.0</v>
      </c>
      <c r="F15" s="35">
        <f t="shared" si="6"/>
        <v>0</v>
      </c>
      <c r="G15" s="35">
        <f t="shared" si="7"/>
        <v>0</v>
      </c>
      <c r="H15" s="36" t="s">
        <v>23</v>
      </c>
      <c r="I15" s="34">
        <v>0.0</v>
      </c>
      <c r="J15" s="34">
        <f>SUMIF('PPvsREal Summary'!$C:$C,RESUMEN!B15,'PPvsREal Summary'!$AC:$AC)</f>
        <v>50000</v>
      </c>
      <c r="K15" s="34">
        <v>0.0</v>
      </c>
      <c r="L15" s="35">
        <f t="shared" si="9"/>
        <v>0</v>
      </c>
      <c r="M15" s="35">
        <f t="shared" si="10"/>
        <v>0</v>
      </c>
      <c r="N15" s="38"/>
      <c r="O15" s="34">
        <v>0.0</v>
      </c>
      <c r="P15" s="34">
        <v>0.0</v>
      </c>
      <c r="Q15" s="34">
        <v>0.0</v>
      </c>
      <c r="R15" s="35">
        <f t="shared" si="12"/>
        <v>0</v>
      </c>
      <c r="S15" s="35">
        <f t="shared" si="13"/>
        <v>0</v>
      </c>
      <c r="U15" s="3"/>
      <c r="V15" s="3">
        <f t="shared" si="18"/>
        <v>50000</v>
      </c>
      <c r="W15" s="4"/>
    </row>
    <row r="16" collapsed="1">
      <c r="B16" s="1"/>
      <c r="C16" s="30">
        <f t="shared" ref="C16:E16" si="25">C17+C18</f>
        <v>0</v>
      </c>
      <c r="D16" s="30">
        <f t="shared" si="25"/>
        <v>0</v>
      </c>
      <c r="E16" s="30">
        <f t="shared" si="25"/>
        <v>0</v>
      </c>
      <c r="F16" s="31">
        <f t="shared" si="6"/>
        <v>0</v>
      </c>
      <c r="G16" s="31">
        <f t="shared" si="7"/>
        <v>0</v>
      </c>
      <c r="H16" s="32" t="s">
        <v>24</v>
      </c>
      <c r="I16" s="30">
        <f t="shared" ref="I16:K16" si="26">I17+I18</f>
        <v>584900</v>
      </c>
      <c r="J16" s="30">
        <f t="shared" si="26"/>
        <v>714217.035</v>
      </c>
      <c r="K16" s="30">
        <f t="shared" si="26"/>
        <v>567226.8</v>
      </c>
      <c r="L16" s="31">
        <f t="shared" si="9"/>
        <v>0.2210925543</v>
      </c>
      <c r="M16" s="31">
        <f t="shared" si="10"/>
        <v>0.2591383817</v>
      </c>
      <c r="N16" s="33"/>
      <c r="O16" s="30">
        <f t="shared" ref="O16:Q16" si="27">O17+O18</f>
        <v>0</v>
      </c>
      <c r="P16" s="30">
        <f t="shared" si="27"/>
        <v>0</v>
      </c>
      <c r="Q16" s="30">
        <f t="shared" si="27"/>
        <v>0</v>
      </c>
      <c r="R16" s="31">
        <f t="shared" si="12"/>
        <v>0</v>
      </c>
      <c r="S16" s="31">
        <f t="shared" si="13"/>
        <v>0</v>
      </c>
      <c r="U16" s="3">
        <v>715831.7250000002</v>
      </c>
      <c r="V16" s="3">
        <f t="shared" si="18"/>
        <v>-1614.69</v>
      </c>
      <c r="W16" s="4">
        <f>J16/U16-1</f>
        <v>-0.002255683764</v>
      </c>
    </row>
    <row r="17" hidden="1" outlineLevel="1">
      <c r="B17" s="1">
        <v>4.03E20</v>
      </c>
      <c r="C17" s="34">
        <v>0.0</v>
      </c>
      <c r="D17" s="34">
        <v>0.0</v>
      </c>
      <c r="E17" s="34">
        <v>0.0</v>
      </c>
      <c r="F17" s="35">
        <f t="shared" si="6"/>
        <v>0</v>
      </c>
      <c r="G17" s="35">
        <f t="shared" si="7"/>
        <v>0</v>
      </c>
      <c r="H17" s="36" t="s">
        <v>25</v>
      </c>
      <c r="I17" s="37">
        <v>584900.0</v>
      </c>
      <c r="J17" s="34">
        <f>SUMIF('PPvsREal Summary'!$C:$C,RESUMEN!B17,'PPvsREal Summary'!$AC:$AC)</f>
        <v>714217.035</v>
      </c>
      <c r="K17" s="34">
        <v>567226.8000000002</v>
      </c>
      <c r="L17" s="35">
        <f t="shared" si="9"/>
        <v>0.2210925543</v>
      </c>
      <c r="M17" s="35">
        <f t="shared" si="10"/>
        <v>0.2591383817</v>
      </c>
      <c r="N17" s="38"/>
      <c r="O17" s="34">
        <v>0.0</v>
      </c>
      <c r="P17" s="34">
        <v>0.0</v>
      </c>
      <c r="Q17" s="34">
        <v>0.0</v>
      </c>
      <c r="R17" s="35">
        <f t="shared" si="12"/>
        <v>0</v>
      </c>
      <c r="S17" s="35">
        <f t="shared" si="13"/>
        <v>0</v>
      </c>
      <c r="U17" s="3"/>
      <c r="V17" s="2"/>
      <c r="W17" s="4"/>
    </row>
    <row r="18" hidden="1" outlineLevel="1">
      <c r="B18" s="1">
        <v>4.08E20</v>
      </c>
      <c r="C18" s="34">
        <v>0.0</v>
      </c>
      <c r="D18" s="34">
        <v>0.0</v>
      </c>
      <c r="E18" s="34">
        <v>0.0</v>
      </c>
      <c r="F18" s="35">
        <f t="shared" si="6"/>
        <v>0</v>
      </c>
      <c r="G18" s="35">
        <f t="shared" si="7"/>
        <v>0</v>
      </c>
      <c r="H18" s="36" t="s">
        <v>26</v>
      </c>
      <c r="I18" s="34">
        <v>0.0</v>
      </c>
      <c r="J18" s="34">
        <f>SUMIF('PPvsREal Summary'!$C:$C,RESUMEN!B18,'PPvsREal Summary'!$AC:$AC)</f>
        <v>0</v>
      </c>
      <c r="K18" s="34">
        <v>0.0</v>
      </c>
      <c r="L18" s="35">
        <f t="shared" si="9"/>
        <v>0</v>
      </c>
      <c r="M18" s="35">
        <f t="shared" si="10"/>
        <v>0</v>
      </c>
      <c r="N18" s="38"/>
      <c r="O18" s="34">
        <v>0.0</v>
      </c>
      <c r="P18" s="34">
        <v>0.0</v>
      </c>
      <c r="Q18" s="34">
        <v>0.0</v>
      </c>
      <c r="R18" s="35">
        <f t="shared" si="12"/>
        <v>0</v>
      </c>
      <c r="S18" s="35">
        <f t="shared" si="13"/>
        <v>0</v>
      </c>
      <c r="U18" s="3"/>
      <c r="V18" s="2"/>
      <c r="W18" s="4"/>
    </row>
    <row r="19" collapsed="1">
      <c r="B19" s="1"/>
      <c r="C19" s="26">
        <f t="shared" ref="C19:E19" si="28">C20+C23+C25+C30+C32+C35+C36+C28</f>
        <v>0</v>
      </c>
      <c r="D19" s="26">
        <f t="shared" si="28"/>
        <v>0</v>
      </c>
      <c r="E19" s="26">
        <f t="shared" si="28"/>
        <v>0</v>
      </c>
      <c r="F19" s="27">
        <f t="shared" si="6"/>
        <v>0</v>
      </c>
      <c r="G19" s="27">
        <f t="shared" si="7"/>
        <v>0</v>
      </c>
      <c r="H19" s="43" t="s">
        <v>27</v>
      </c>
      <c r="I19" s="26">
        <f t="shared" ref="I19:K19" si="29">I20+I23+I25+I30+I32+I35+I36+I28</f>
        <v>14658996.46</v>
      </c>
      <c r="J19" s="26">
        <f t="shared" si="29"/>
        <v>17851584.55</v>
      </c>
      <c r="K19" s="26">
        <f t="shared" si="29"/>
        <v>16453320.18</v>
      </c>
      <c r="L19" s="27">
        <f t="shared" si="9"/>
        <v>0.2177903581</v>
      </c>
      <c r="M19" s="27">
        <f t="shared" si="10"/>
        <v>0.08498372055</v>
      </c>
      <c r="N19" s="29"/>
      <c r="O19" s="26">
        <f t="shared" ref="O19:Q19" si="30">O20+O23+O25+O30+O32+O35+O36+O28</f>
        <v>0</v>
      </c>
      <c r="P19" s="26">
        <f t="shared" si="30"/>
        <v>0</v>
      </c>
      <c r="Q19" s="26">
        <f t="shared" si="30"/>
        <v>0</v>
      </c>
      <c r="R19" s="27">
        <f t="shared" si="12"/>
        <v>0</v>
      </c>
      <c r="S19" s="27">
        <f t="shared" si="13"/>
        <v>0</v>
      </c>
      <c r="U19" s="26">
        <f t="shared" ref="U19:V19" si="31">U20+U23+U25+U30+U32+U35+U36+U28</f>
        <v>18216153.03</v>
      </c>
      <c r="V19" s="26">
        <f t="shared" si="31"/>
        <v>-364568.4841</v>
      </c>
      <c r="W19" s="4">
        <f t="shared" ref="W19:W20" si="35">J19/U19-1</f>
        <v>-0.02001347285</v>
      </c>
    </row>
    <row r="20">
      <c r="B20" s="1"/>
      <c r="C20" s="30">
        <f t="shared" ref="C20:E20" si="32">C21+C22</f>
        <v>0</v>
      </c>
      <c r="D20" s="30">
        <f t="shared" si="32"/>
        <v>0</v>
      </c>
      <c r="E20" s="30">
        <f t="shared" si="32"/>
        <v>0</v>
      </c>
      <c r="F20" s="31">
        <f t="shared" si="6"/>
        <v>0</v>
      </c>
      <c r="G20" s="31">
        <f t="shared" si="7"/>
        <v>0</v>
      </c>
      <c r="H20" s="32" t="s">
        <v>14</v>
      </c>
      <c r="I20" s="30">
        <f t="shared" ref="I20:K20" si="33">I21+I22</f>
        <v>567446.96</v>
      </c>
      <c r="J20" s="30">
        <f t="shared" si="33"/>
        <v>493042.5182</v>
      </c>
      <c r="K20" s="30">
        <f t="shared" si="33"/>
        <v>675870.6</v>
      </c>
      <c r="L20" s="31">
        <f t="shared" si="9"/>
        <v>-0.1311214035</v>
      </c>
      <c r="M20" s="31">
        <f t="shared" si="10"/>
        <v>-0.2705075229</v>
      </c>
      <c r="N20" s="33"/>
      <c r="O20" s="30">
        <f t="shared" ref="O20:Q20" si="34">O21+O22</f>
        <v>0</v>
      </c>
      <c r="P20" s="30">
        <f t="shared" si="34"/>
        <v>0</v>
      </c>
      <c r="Q20" s="30">
        <f t="shared" si="34"/>
        <v>0</v>
      </c>
      <c r="R20" s="31">
        <f t="shared" si="12"/>
        <v>0</v>
      </c>
      <c r="S20" s="31">
        <f t="shared" si="13"/>
        <v>0</v>
      </c>
      <c r="U20" s="3">
        <v>565172.1992</v>
      </c>
      <c r="V20" s="3">
        <f t="shared" ref="V20:V36" si="36">J20-U20</f>
        <v>-72129.681</v>
      </c>
      <c r="W20" s="4">
        <f t="shared" si="35"/>
        <v>-0.1276242552</v>
      </c>
    </row>
    <row r="21" hidden="1" outlineLevel="1">
      <c r="B21" s="1">
        <v>7.02E20</v>
      </c>
      <c r="C21" s="34">
        <v>0.0</v>
      </c>
      <c r="D21" s="34">
        <v>0.0</v>
      </c>
      <c r="E21" s="34">
        <v>0.0</v>
      </c>
      <c r="F21" s="35">
        <f t="shared" si="6"/>
        <v>0</v>
      </c>
      <c r="G21" s="35">
        <f t="shared" si="7"/>
        <v>0</v>
      </c>
      <c r="H21" s="36" t="s">
        <v>28</v>
      </c>
      <c r="I21" s="37">
        <v>40913.02</v>
      </c>
      <c r="J21" s="34">
        <f>SUMIF('PPvsREal Summary'!$C:$C,RESUMEN!B21,'PPvsREal Summary'!$AC:$AC)</f>
        <v>33519.5582</v>
      </c>
      <c r="K21" s="34">
        <v>120000.0</v>
      </c>
      <c r="L21" s="35">
        <f t="shared" si="9"/>
        <v>-0.1807117099</v>
      </c>
      <c r="M21" s="35">
        <f t="shared" si="10"/>
        <v>-0.7206703483</v>
      </c>
      <c r="N21" s="38"/>
      <c r="O21" s="34">
        <v>0.0</v>
      </c>
      <c r="P21" s="34">
        <v>0.0</v>
      </c>
      <c r="Q21" s="34">
        <v>0.0</v>
      </c>
      <c r="R21" s="35">
        <f t="shared" si="12"/>
        <v>0</v>
      </c>
      <c r="S21" s="35">
        <f t="shared" si="13"/>
        <v>0</v>
      </c>
      <c r="U21" s="3"/>
      <c r="V21" s="3">
        <f t="shared" si="36"/>
        <v>33519.5582</v>
      </c>
      <c r="W21" s="4"/>
    </row>
    <row r="22" hidden="1" outlineLevel="1">
      <c r="B22" s="1">
        <v>5.03E20</v>
      </c>
      <c r="C22" s="34">
        <v>0.0</v>
      </c>
      <c r="D22" s="34">
        <v>0.0</v>
      </c>
      <c r="E22" s="34">
        <v>0.0</v>
      </c>
      <c r="F22" s="35">
        <f t="shared" si="6"/>
        <v>0</v>
      </c>
      <c r="G22" s="35">
        <f t="shared" si="7"/>
        <v>0</v>
      </c>
      <c r="H22" s="36" t="s">
        <v>29</v>
      </c>
      <c r="I22" s="37">
        <v>526533.94</v>
      </c>
      <c r="J22" s="34">
        <f>SUMIF('PPvsREal Summary'!$C:$C,RESUMEN!B22,'PPvsREal Summary'!$AC:$AC)</f>
        <v>459522.96</v>
      </c>
      <c r="K22" s="34">
        <v>555870.6</v>
      </c>
      <c r="L22" s="35">
        <f t="shared" si="9"/>
        <v>-0.1272681111</v>
      </c>
      <c r="M22" s="35">
        <f t="shared" si="10"/>
        <v>-0.1733274615</v>
      </c>
      <c r="N22" s="38"/>
      <c r="O22" s="34">
        <v>0.0</v>
      </c>
      <c r="P22" s="34">
        <v>0.0</v>
      </c>
      <c r="Q22" s="34">
        <v>0.0</v>
      </c>
      <c r="R22" s="35">
        <f t="shared" si="12"/>
        <v>0</v>
      </c>
      <c r="S22" s="35">
        <f t="shared" si="13"/>
        <v>0</v>
      </c>
      <c r="U22" s="3"/>
      <c r="V22" s="3">
        <f t="shared" si="36"/>
        <v>459522.96</v>
      </c>
      <c r="W22" s="4"/>
    </row>
    <row r="23" collapsed="1">
      <c r="B23" s="1"/>
      <c r="C23" s="30">
        <f t="shared" ref="C23:E23" si="37">C24</f>
        <v>0</v>
      </c>
      <c r="D23" s="30">
        <f t="shared" si="37"/>
        <v>0</v>
      </c>
      <c r="E23" s="30">
        <f t="shared" si="37"/>
        <v>0</v>
      </c>
      <c r="F23" s="31">
        <f t="shared" si="6"/>
        <v>0</v>
      </c>
      <c r="G23" s="31">
        <f t="shared" si="7"/>
        <v>0</v>
      </c>
      <c r="H23" s="32" t="s">
        <v>17</v>
      </c>
      <c r="I23" s="30">
        <f t="shared" ref="I23:K23" si="38">I24</f>
        <v>1496260.25</v>
      </c>
      <c r="J23" s="30">
        <f t="shared" si="38"/>
        <v>2660000</v>
      </c>
      <c r="K23" s="30">
        <f t="shared" si="38"/>
        <v>2956045</v>
      </c>
      <c r="L23" s="31">
        <f t="shared" si="9"/>
        <v>0.7777655993</v>
      </c>
      <c r="M23" s="31">
        <f t="shared" si="10"/>
        <v>-0.1001490167</v>
      </c>
      <c r="N23" s="33"/>
      <c r="O23" s="30">
        <f t="shared" ref="O23:Q23" si="39">O24</f>
        <v>0</v>
      </c>
      <c r="P23" s="30">
        <f t="shared" si="39"/>
        <v>0</v>
      </c>
      <c r="Q23" s="30">
        <f t="shared" si="39"/>
        <v>0</v>
      </c>
      <c r="R23" s="31">
        <f t="shared" si="12"/>
        <v>0</v>
      </c>
      <c r="S23" s="31">
        <f t="shared" si="13"/>
        <v>0</v>
      </c>
      <c r="T23" s="41"/>
      <c r="U23" s="3">
        <v>2267032.3641500003</v>
      </c>
      <c r="V23" s="3">
        <f t="shared" si="36"/>
        <v>392967.6359</v>
      </c>
      <c r="W23" s="4">
        <f>J23/U23-1</f>
        <v>0.1733401084</v>
      </c>
    </row>
    <row r="24" hidden="1" outlineLevel="1">
      <c r="B24" s="1">
        <v>7.01E20</v>
      </c>
      <c r="C24" s="34">
        <v>0.0</v>
      </c>
      <c r="D24" s="34">
        <v>0.0</v>
      </c>
      <c r="E24" s="34">
        <v>0.0</v>
      </c>
      <c r="F24" s="35">
        <f t="shared" si="6"/>
        <v>0</v>
      </c>
      <c r="G24" s="35">
        <f t="shared" si="7"/>
        <v>0</v>
      </c>
      <c r="H24" s="36" t="s">
        <v>30</v>
      </c>
      <c r="I24" s="37">
        <v>1496260.25</v>
      </c>
      <c r="J24" s="34">
        <f>SUMIF('PPvsREal Summary'!$C:$C,RESUMEN!B24,'PPvsREal Summary'!$AC:$AC)</f>
        <v>2660000</v>
      </c>
      <c r="K24" s="34">
        <v>2956045.0</v>
      </c>
      <c r="L24" s="35">
        <f t="shared" si="9"/>
        <v>0.7777655993</v>
      </c>
      <c r="M24" s="35">
        <f t="shared" si="10"/>
        <v>-0.1001490167</v>
      </c>
      <c r="N24" s="38"/>
      <c r="O24" s="34">
        <v>0.0</v>
      </c>
      <c r="P24" s="34">
        <v>0.0</v>
      </c>
      <c r="Q24" s="34">
        <v>0.0</v>
      </c>
      <c r="R24" s="35">
        <f t="shared" si="12"/>
        <v>0</v>
      </c>
      <c r="S24" s="35">
        <f t="shared" si="13"/>
        <v>0</v>
      </c>
      <c r="U24" s="3"/>
      <c r="V24" s="3">
        <f t="shared" si="36"/>
        <v>2660000</v>
      </c>
      <c r="W24" s="4"/>
    </row>
    <row r="25" collapsed="1">
      <c r="B25" s="1"/>
      <c r="C25" s="30">
        <f t="shared" ref="C25:E25" si="40">C26+C27</f>
        <v>0</v>
      </c>
      <c r="D25" s="30">
        <f t="shared" si="40"/>
        <v>0</v>
      </c>
      <c r="E25" s="30">
        <f t="shared" si="40"/>
        <v>0</v>
      </c>
      <c r="F25" s="31">
        <f t="shared" si="6"/>
        <v>0</v>
      </c>
      <c r="G25" s="31">
        <f t="shared" si="7"/>
        <v>0</v>
      </c>
      <c r="H25" s="32" t="s">
        <v>20</v>
      </c>
      <c r="I25" s="30">
        <f t="shared" ref="I25:K25" si="41">I26+I27</f>
        <v>644237.57</v>
      </c>
      <c r="J25" s="42">
        <f t="shared" si="41"/>
        <v>1004784.881</v>
      </c>
      <c r="K25" s="30">
        <f t="shared" si="41"/>
        <v>896480</v>
      </c>
      <c r="L25" s="31">
        <f t="shared" si="9"/>
        <v>0.5596496196</v>
      </c>
      <c r="M25" s="31">
        <f t="shared" si="10"/>
        <v>0.1208112629</v>
      </c>
      <c r="N25" s="33"/>
      <c r="O25" s="30">
        <f t="shared" ref="O25:Q25" si="42">O26</f>
        <v>0</v>
      </c>
      <c r="P25" s="30">
        <f t="shared" si="42"/>
        <v>0</v>
      </c>
      <c r="Q25" s="30">
        <f t="shared" si="42"/>
        <v>0</v>
      </c>
      <c r="R25" s="31">
        <f t="shared" si="12"/>
        <v>0</v>
      </c>
      <c r="S25" s="31">
        <f t="shared" si="13"/>
        <v>0</v>
      </c>
      <c r="U25" s="3">
        <v>890349.6420000001</v>
      </c>
      <c r="V25" s="3">
        <f t="shared" si="36"/>
        <v>114435.239</v>
      </c>
      <c r="W25" s="4">
        <f>J25/U25-1</f>
        <v>0.128528427</v>
      </c>
    </row>
    <row r="26" hidden="1" outlineLevel="1">
      <c r="B26" s="1">
        <v>5.02E20</v>
      </c>
      <c r="C26" s="34">
        <v>0.0</v>
      </c>
      <c r="D26" s="34">
        <v>0.0</v>
      </c>
      <c r="E26" s="34">
        <v>0.0</v>
      </c>
      <c r="F26" s="35">
        <f t="shared" si="6"/>
        <v>0</v>
      </c>
      <c r="G26" s="35">
        <f t="shared" si="7"/>
        <v>0</v>
      </c>
      <c r="H26" s="36" t="s">
        <v>31</v>
      </c>
      <c r="I26" s="37">
        <v>644237.57</v>
      </c>
      <c r="J26" s="34">
        <f>SUMIF('PPvsREal Summary'!$C:$C,RESUMEN!B26,'PPvsREal Summary'!$AC:$AC)</f>
        <v>1004784.881</v>
      </c>
      <c r="K26" s="34">
        <v>896480.0</v>
      </c>
      <c r="L26" s="35">
        <f t="shared" si="9"/>
        <v>0.5596496196</v>
      </c>
      <c r="M26" s="35">
        <f t="shared" si="10"/>
        <v>0.1208112629</v>
      </c>
      <c r="N26" s="38"/>
      <c r="O26" s="34">
        <v>0.0</v>
      </c>
      <c r="P26" s="34">
        <v>0.0</v>
      </c>
      <c r="Q26" s="34">
        <v>0.0</v>
      </c>
      <c r="R26" s="35">
        <f t="shared" si="12"/>
        <v>0</v>
      </c>
      <c r="S26" s="35">
        <f t="shared" si="13"/>
        <v>0</v>
      </c>
      <c r="U26" s="3"/>
      <c r="V26" s="3">
        <f t="shared" si="36"/>
        <v>1004784.881</v>
      </c>
      <c r="W26" s="4"/>
    </row>
    <row r="27" hidden="1" outlineLevel="1">
      <c r="B27" s="1">
        <v>5.04E20</v>
      </c>
      <c r="C27" s="34">
        <v>0.0</v>
      </c>
      <c r="D27" s="34">
        <v>0.0</v>
      </c>
      <c r="E27" s="34">
        <v>0.0</v>
      </c>
      <c r="F27" s="35">
        <f t="shared" si="6"/>
        <v>0</v>
      </c>
      <c r="G27" s="35">
        <f t="shared" si="7"/>
        <v>0</v>
      </c>
      <c r="H27" s="36" t="s">
        <v>32</v>
      </c>
      <c r="I27" s="34">
        <v>0.0</v>
      </c>
      <c r="J27" s="34">
        <f>SUMIF('PPvsREal Summary'!$C:$C,RESUMEN!B27,'PPvsREal Summary'!$AC:$AC)</f>
        <v>0</v>
      </c>
      <c r="K27" s="34">
        <v>0.0</v>
      </c>
      <c r="L27" s="35">
        <f t="shared" si="9"/>
        <v>0</v>
      </c>
      <c r="M27" s="35">
        <f t="shared" si="10"/>
        <v>0</v>
      </c>
      <c r="N27" s="38"/>
      <c r="O27" s="34">
        <v>0.0</v>
      </c>
      <c r="P27" s="34">
        <v>0.0</v>
      </c>
      <c r="Q27" s="34">
        <v>0.0</v>
      </c>
      <c r="R27" s="35">
        <f t="shared" si="12"/>
        <v>0</v>
      </c>
      <c r="S27" s="35">
        <f t="shared" si="13"/>
        <v>0</v>
      </c>
      <c r="U27" s="3"/>
      <c r="V27" s="3">
        <f t="shared" si="36"/>
        <v>0</v>
      </c>
      <c r="W27" s="4"/>
    </row>
    <row r="28" collapsed="1">
      <c r="B28" s="1"/>
      <c r="C28" s="30">
        <f t="shared" ref="C28:E28" si="43">C29</f>
        <v>0</v>
      </c>
      <c r="D28" s="30">
        <f t="shared" si="43"/>
        <v>0</v>
      </c>
      <c r="E28" s="30">
        <f t="shared" si="43"/>
        <v>0</v>
      </c>
      <c r="F28" s="31">
        <f t="shared" si="6"/>
        <v>0</v>
      </c>
      <c r="G28" s="31">
        <f t="shared" si="7"/>
        <v>0</v>
      </c>
      <c r="H28" s="32" t="s">
        <v>22</v>
      </c>
      <c r="I28" s="30">
        <f t="shared" ref="I28:K28" si="44">I29</f>
        <v>0</v>
      </c>
      <c r="J28" s="30">
        <f t="shared" si="44"/>
        <v>25000</v>
      </c>
      <c r="K28" s="30">
        <f t="shared" si="44"/>
        <v>0</v>
      </c>
      <c r="L28" s="31">
        <f t="shared" si="9"/>
        <v>0</v>
      </c>
      <c r="M28" s="31">
        <f t="shared" si="10"/>
        <v>0</v>
      </c>
      <c r="N28" s="33"/>
      <c r="O28" s="30">
        <f t="shared" ref="O28:Q28" si="45">O29</f>
        <v>0</v>
      </c>
      <c r="P28" s="30">
        <f t="shared" si="45"/>
        <v>0</v>
      </c>
      <c r="Q28" s="30">
        <f t="shared" si="45"/>
        <v>0</v>
      </c>
      <c r="R28" s="31">
        <f t="shared" si="12"/>
        <v>0</v>
      </c>
      <c r="S28" s="31">
        <f t="shared" si="13"/>
        <v>0</v>
      </c>
      <c r="U28" s="3">
        <v>0.0</v>
      </c>
      <c r="V28" s="3">
        <f t="shared" si="36"/>
        <v>25000</v>
      </c>
      <c r="W28" s="4" t="str">
        <f>J28/U28-1</f>
        <v>#DIV/0!</v>
      </c>
    </row>
    <row r="29" hidden="1" outlineLevel="1">
      <c r="B29" s="1">
        <v>7.03E20</v>
      </c>
      <c r="C29" s="34">
        <v>0.0</v>
      </c>
      <c r="D29" s="34">
        <v>0.0</v>
      </c>
      <c r="E29" s="34">
        <v>0.0</v>
      </c>
      <c r="F29" s="35">
        <f t="shared" si="6"/>
        <v>0</v>
      </c>
      <c r="G29" s="35">
        <f t="shared" si="7"/>
        <v>0</v>
      </c>
      <c r="H29" s="36" t="s">
        <v>33</v>
      </c>
      <c r="I29" s="34">
        <v>0.0</v>
      </c>
      <c r="J29" s="34">
        <f>SUMIF('PPvsREal Summary'!$C:$C,RESUMEN!B29,'PPvsREal Summary'!$AC:$AC)</f>
        <v>25000</v>
      </c>
      <c r="K29" s="34">
        <v>0.0</v>
      </c>
      <c r="L29" s="35">
        <f t="shared" si="9"/>
        <v>0</v>
      </c>
      <c r="M29" s="35">
        <f t="shared" si="10"/>
        <v>0</v>
      </c>
      <c r="N29" s="38"/>
      <c r="O29" s="34">
        <v>0.0</v>
      </c>
      <c r="P29" s="34">
        <v>0.0</v>
      </c>
      <c r="Q29" s="34">
        <v>0.0</v>
      </c>
      <c r="R29" s="35">
        <f t="shared" si="12"/>
        <v>0</v>
      </c>
      <c r="S29" s="35">
        <f t="shared" si="13"/>
        <v>0</v>
      </c>
      <c r="U29" s="3"/>
      <c r="V29" s="3">
        <f t="shared" si="36"/>
        <v>25000</v>
      </c>
      <c r="W29" s="4"/>
    </row>
    <row r="30" collapsed="1">
      <c r="B30" s="1"/>
      <c r="C30" s="30">
        <f t="shared" ref="C30:E30" si="46">C31</f>
        <v>0</v>
      </c>
      <c r="D30" s="30">
        <f t="shared" si="46"/>
        <v>0</v>
      </c>
      <c r="E30" s="30">
        <f t="shared" si="46"/>
        <v>0</v>
      </c>
      <c r="F30" s="31">
        <f t="shared" si="6"/>
        <v>0</v>
      </c>
      <c r="G30" s="31">
        <f t="shared" si="7"/>
        <v>0</v>
      </c>
      <c r="H30" s="32" t="s">
        <v>24</v>
      </c>
      <c r="I30" s="30">
        <f t="shared" ref="I30:K30" si="47">I31</f>
        <v>292450</v>
      </c>
      <c r="J30" s="30">
        <f t="shared" si="47"/>
        <v>357108.5175</v>
      </c>
      <c r="K30" s="30">
        <f t="shared" si="47"/>
        <v>283613.4</v>
      </c>
      <c r="L30" s="31">
        <f t="shared" si="9"/>
        <v>0.2210925543</v>
      </c>
      <c r="M30" s="31">
        <f t="shared" si="10"/>
        <v>0.2591383817</v>
      </c>
      <c r="N30" s="33"/>
      <c r="O30" s="30">
        <f t="shared" ref="O30:Q30" si="48">O31</f>
        <v>0</v>
      </c>
      <c r="P30" s="30">
        <f t="shared" si="48"/>
        <v>0</v>
      </c>
      <c r="Q30" s="30">
        <f t="shared" si="48"/>
        <v>0</v>
      </c>
      <c r="R30" s="31">
        <f t="shared" si="12"/>
        <v>0</v>
      </c>
      <c r="S30" s="31">
        <f t="shared" si="13"/>
        <v>0</v>
      </c>
      <c r="U30" s="3">
        <v>444647.3220000001</v>
      </c>
      <c r="V30" s="3">
        <f t="shared" si="36"/>
        <v>-87538.8045</v>
      </c>
      <c r="W30" s="4">
        <f>J30/U30-1</f>
        <v>-0.1968724429</v>
      </c>
    </row>
    <row r="31" hidden="1" outlineLevel="1">
      <c r="B31" s="1">
        <v>6.01E20</v>
      </c>
      <c r="C31" s="34">
        <v>0.0</v>
      </c>
      <c r="D31" s="34">
        <v>0.0</v>
      </c>
      <c r="E31" s="34">
        <v>0.0</v>
      </c>
      <c r="F31" s="35">
        <f t="shared" si="6"/>
        <v>0</v>
      </c>
      <c r="G31" s="35">
        <f t="shared" si="7"/>
        <v>0</v>
      </c>
      <c r="H31" s="36" t="s">
        <v>34</v>
      </c>
      <c r="I31" s="37">
        <v>292450.0</v>
      </c>
      <c r="J31" s="34">
        <f>SUMIF('PPvsREal Summary'!$C:$C,RESUMEN!B31,'PPvsREal Summary'!$AC:$AC)</f>
        <v>357108.5175</v>
      </c>
      <c r="K31" s="34">
        <v>283613.4000000001</v>
      </c>
      <c r="L31" s="35">
        <f t="shared" si="9"/>
        <v>0.2210925543</v>
      </c>
      <c r="M31" s="35">
        <f t="shared" si="10"/>
        <v>0.2591383817</v>
      </c>
      <c r="N31" s="38"/>
      <c r="O31" s="34">
        <v>0.0</v>
      </c>
      <c r="P31" s="34">
        <v>0.0</v>
      </c>
      <c r="Q31" s="34">
        <v>0.0</v>
      </c>
      <c r="R31" s="35">
        <f t="shared" si="12"/>
        <v>0</v>
      </c>
      <c r="S31" s="35">
        <f t="shared" si="13"/>
        <v>0</v>
      </c>
      <c r="U31" s="3"/>
      <c r="V31" s="3">
        <f t="shared" si="36"/>
        <v>357108.5175</v>
      </c>
      <c r="W31" s="4"/>
    </row>
    <row r="32" collapsed="1">
      <c r="B32" s="1"/>
      <c r="C32" s="30">
        <f t="shared" ref="C32:E32" si="49">C33+C34</f>
        <v>0</v>
      </c>
      <c r="D32" s="30">
        <f t="shared" si="49"/>
        <v>0</v>
      </c>
      <c r="E32" s="30">
        <f t="shared" si="49"/>
        <v>0</v>
      </c>
      <c r="F32" s="31">
        <f t="shared" si="6"/>
        <v>0</v>
      </c>
      <c r="G32" s="31">
        <f t="shared" si="7"/>
        <v>0</v>
      </c>
      <c r="H32" s="32" t="s">
        <v>35</v>
      </c>
      <c r="I32" s="30">
        <f t="shared" ref="I32:K32" si="50">I33+I34</f>
        <v>1780331.77</v>
      </c>
      <c r="J32" s="30">
        <f t="shared" si="50"/>
        <v>2270680.804</v>
      </c>
      <c r="K32" s="30">
        <f t="shared" si="50"/>
        <v>2000217.88</v>
      </c>
      <c r="L32" s="31">
        <f t="shared" si="9"/>
        <v>0.2754256494</v>
      </c>
      <c r="M32" s="31">
        <f t="shared" si="10"/>
        <v>0.1352167316</v>
      </c>
      <c r="N32" s="33"/>
      <c r="O32" s="30">
        <f t="shared" ref="O32:Q32" si="51">O33+O34</f>
        <v>0</v>
      </c>
      <c r="P32" s="30">
        <f t="shared" si="51"/>
        <v>0</v>
      </c>
      <c r="Q32" s="30">
        <f t="shared" si="51"/>
        <v>0</v>
      </c>
      <c r="R32" s="31">
        <f t="shared" si="12"/>
        <v>0</v>
      </c>
      <c r="S32" s="31">
        <f t="shared" si="13"/>
        <v>0</v>
      </c>
      <c r="U32" s="3">
        <v>1830574.1232</v>
      </c>
      <c r="V32" s="3">
        <f t="shared" si="36"/>
        <v>440106.6807</v>
      </c>
      <c r="W32" s="4">
        <f>J32/U32-1</f>
        <v>0.2404200273</v>
      </c>
    </row>
    <row r="33" hidden="1" outlineLevel="1">
      <c r="B33" s="1">
        <v>8.01E20</v>
      </c>
      <c r="C33" s="34">
        <v>0.0</v>
      </c>
      <c r="D33" s="34">
        <v>0.0</v>
      </c>
      <c r="E33" s="34">
        <v>0.0</v>
      </c>
      <c r="F33" s="35">
        <f t="shared" si="6"/>
        <v>0</v>
      </c>
      <c r="G33" s="35">
        <f t="shared" si="7"/>
        <v>0</v>
      </c>
      <c r="H33" s="36" t="s">
        <v>36</v>
      </c>
      <c r="I33" s="37">
        <v>302430.6</v>
      </c>
      <c r="J33" s="34">
        <f>SUMIF('PPvsREal Summary'!$C:$C,RESUMEN!B33,'PPvsREal Summary'!$AC:$AC)</f>
        <v>496408.9446</v>
      </c>
      <c r="K33" s="34">
        <v>532937.8200000001</v>
      </c>
      <c r="L33" s="35">
        <f t="shared" si="9"/>
        <v>0.6413978764</v>
      </c>
      <c r="M33" s="35">
        <f t="shared" si="10"/>
        <v>-0.06854247162</v>
      </c>
      <c r="N33" s="38"/>
      <c r="O33" s="34">
        <v>0.0</v>
      </c>
      <c r="P33" s="34">
        <v>0.0</v>
      </c>
      <c r="Q33" s="34">
        <v>0.0</v>
      </c>
      <c r="R33" s="35">
        <f t="shared" si="12"/>
        <v>0</v>
      </c>
      <c r="S33" s="35">
        <f t="shared" si="13"/>
        <v>0</v>
      </c>
      <c r="U33" s="3"/>
      <c r="V33" s="3">
        <f t="shared" si="36"/>
        <v>496408.9446</v>
      </c>
      <c r="W33" s="4"/>
    </row>
    <row r="34" hidden="1" outlineLevel="1">
      <c r="B34" s="1">
        <v>9.01E20</v>
      </c>
      <c r="C34" s="34">
        <v>0.0</v>
      </c>
      <c r="D34" s="34">
        <v>0.0</v>
      </c>
      <c r="E34" s="34">
        <v>0.0</v>
      </c>
      <c r="F34" s="35">
        <f t="shared" si="6"/>
        <v>0</v>
      </c>
      <c r="G34" s="35">
        <f t="shared" si="7"/>
        <v>0</v>
      </c>
      <c r="H34" s="36" t="s">
        <v>37</v>
      </c>
      <c r="I34" s="37">
        <v>1477901.17</v>
      </c>
      <c r="J34" s="44">
        <f>SUMIF('PPvsREal Summary'!$C:$C,RESUMEN!B34,'PPvsREal Summary'!$AC:$AC)</f>
        <v>1774271.859</v>
      </c>
      <c r="K34" s="34">
        <v>1467280.0598</v>
      </c>
      <c r="L34" s="35">
        <f t="shared" si="9"/>
        <v>0.2005348499</v>
      </c>
      <c r="M34" s="35">
        <f t="shared" si="10"/>
        <v>0.2092250879</v>
      </c>
      <c r="N34" s="38"/>
      <c r="O34" s="34">
        <v>0.0</v>
      </c>
      <c r="P34" s="34">
        <v>0.0</v>
      </c>
      <c r="Q34" s="34">
        <v>0.0</v>
      </c>
      <c r="R34" s="35">
        <f t="shared" si="12"/>
        <v>0</v>
      </c>
      <c r="S34" s="35">
        <f t="shared" si="13"/>
        <v>0</v>
      </c>
      <c r="U34" s="3"/>
      <c r="V34" s="3">
        <f t="shared" si="36"/>
        <v>1774271.859</v>
      </c>
      <c r="W34" s="4"/>
    </row>
    <row r="35" collapsed="1">
      <c r="B35" s="1">
        <v>5.01E20</v>
      </c>
      <c r="C35" s="30">
        <v>0.0</v>
      </c>
      <c r="D35" s="30">
        <v>0.0</v>
      </c>
      <c r="E35" s="30">
        <v>0.0</v>
      </c>
      <c r="F35" s="31">
        <f t="shared" si="6"/>
        <v>0</v>
      </c>
      <c r="G35" s="31">
        <f t="shared" si="7"/>
        <v>0</v>
      </c>
      <c r="H35" s="32" t="s">
        <v>38</v>
      </c>
      <c r="I35" s="45">
        <v>5850740.17</v>
      </c>
      <c r="J35" s="30">
        <f>SUMIF('PPvsREal Summary'!$C:$C,RESUMEN!B35,'PPvsREal Summary'!$AC:$AC)</f>
        <v>6711987.84</v>
      </c>
      <c r="K35" s="30">
        <v>5720425.68</v>
      </c>
      <c r="L35" s="31">
        <f t="shared" si="9"/>
        <v>0.1472031991</v>
      </c>
      <c r="M35" s="31">
        <f t="shared" si="10"/>
        <v>0.1733371283</v>
      </c>
      <c r="N35" s="33"/>
      <c r="O35" s="30">
        <v>0.0</v>
      </c>
      <c r="P35" s="30">
        <v>0.0</v>
      </c>
      <c r="Q35" s="30">
        <v>0.0</v>
      </c>
      <c r="R35" s="31">
        <f t="shared" si="12"/>
        <v>0</v>
      </c>
      <c r="S35" s="31">
        <f t="shared" si="13"/>
        <v>0</v>
      </c>
      <c r="U35" s="3">
        <v>7550054.3826</v>
      </c>
      <c r="V35" s="3">
        <f t="shared" si="36"/>
        <v>-838066.5426</v>
      </c>
      <c r="W35" s="4">
        <f t="shared" ref="W35:W36" si="52">J35/U35-1</f>
        <v>-0.1110013915</v>
      </c>
    </row>
    <row r="36">
      <c r="B36" s="1">
        <v>9.03E20</v>
      </c>
      <c r="C36" s="30">
        <v>0.0</v>
      </c>
      <c r="D36" s="30">
        <v>0.0</v>
      </c>
      <c r="E36" s="30">
        <v>0.0</v>
      </c>
      <c r="F36" s="31">
        <f t="shared" si="6"/>
        <v>0</v>
      </c>
      <c r="G36" s="31">
        <f t="shared" si="7"/>
        <v>0</v>
      </c>
      <c r="H36" s="32" t="s">
        <v>39</v>
      </c>
      <c r="I36" s="45">
        <v>4027529.74</v>
      </c>
      <c r="J36" s="30">
        <f>SUMIF('PPvsREal Summary'!$C:$C,RESUMEN!B36,'PPvsREal Summary'!$AC:$AC)</f>
        <v>4328979.987</v>
      </c>
      <c r="K36" s="30">
        <v>3920667.623566193</v>
      </c>
      <c r="L36" s="31">
        <f t="shared" si="9"/>
        <v>0.07484742926</v>
      </c>
      <c r="M36" s="31">
        <f t="shared" si="10"/>
        <v>0.1041435804</v>
      </c>
      <c r="N36" s="33"/>
      <c r="O36" s="30">
        <v>0.0</v>
      </c>
      <c r="P36" s="30">
        <v>0.0</v>
      </c>
      <c r="Q36" s="30">
        <v>0.0</v>
      </c>
      <c r="R36" s="31">
        <f t="shared" si="12"/>
        <v>0</v>
      </c>
      <c r="S36" s="31">
        <f t="shared" si="13"/>
        <v>0</v>
      </c>
      <c r="U36" s="3">
        <v>4668322.998889999</v>
      </c>
      <c r="V36" s="3">
        <f t="shared" si="36"/>
        <v>-339343.0116</v>
      </c>
      <c r="W36" s="4">
        <f t="shared" si="52"/>
        <v>-0.07269055969</v>
      </c>
    </row>
    <row r="37" outlineLevel="1">
      <c r="B37" s="1">
        <v>9.03016E20</v>
      </c>
      <c r="C37" s="30">
        <v>0.0</v>
      </c>
      <c r="D37" s="30">
        <v>0.0</v>
      </c>
      <c r="E37" s="30">
        <v>0.0</v>
      </c>
      <c r="F37" s="31">
        <f t="shared" si="6"/>
        <v>0</v>
      </c>
      <c r="G37" s="31">
        <f t="shared" si="7"/>
        <v>0</v>
      </c>
      <c r="H37" s="32" t="s">
        <v>40</v>
      </c>
      <c r="I37" s="45">
        <v>3024687.89</v>
      </c>
      <c r="J37" s="30">
        <v>0.0</v>
      </c>
      <c r="K37" s="30">
        <v>0.0</v>
      </c>
      <c r="L37" s="31">
        <f t="shared" si="9"/>
        <v>0</v>
      </c>
      <c r="M37" s="31">
        <f t="shared" si="10"/>
        <v>0</v>
      </c>
      <c r="N37" s="33"/>
      <c r="O37" s="30">
        <v>0.0</v>
      </c>
      <c r="P37" s="30">
        <v>0.0</v>
      </c>
      <c r="Q37" s="30">
        <v>0.0</v>
      </c>
      <c r="R37" s="31">
        <f t="shared" si="12"/>
        <v>0</v>
      </c>
      <c r="S37" s="31">
        <f t="shared" si="13"/>
        <v>0</v>
      </c>
      <c r="U37" s="3"/>
      <c r="V37" s="2"/>
      <c r="W37" s="4"/>
    </row>
    <row r="38" ht="15.75" customHeight="1">
      <c r="B38" s="1"/>
      <c r="C38" s="26">
        <f t="shared" ref="C38:E38" si="53">+C5-C19</f>
        <v>0</v>
      </c>
      <c r="D38" s="26">
        <f t="shared" si="53"/>
        <v>0</v>
      </c>
      <c r="E38" s="26">
        <f t="shared" si="53"/>
        <v>0</v>
      </c>
      <c r="F38" s="27">
        <f t="shared" si="6"/>
        <v>0</v>
      </c>
      <c r="G38" s="27">
        <f t="shared" si="7"/>
        <v>0</v>
      </c>
      <c r="H38" s="43" t="s">
        <v>41</v>
      </c>
      <c r="I38" s="26">
        <f t="shared" ref="I38:K38" si="54">+I5-I19</f>
        <v>-463023.6</v>
      </c>
      <c r="J38" s="26">
        <f t="shared" si="54"/>
        <v>110021.5863</v>
      </c>
      <c r="K38" s="26">
        <f t="shared" si="54"/>
        <v>840995.6933</v>
      </c>
      <c r="L38" s="27">
        <f t="shared" si="9"/>
        <v>-1.237615504</v>
      </c>
      <c r="M38" s="27">
        <f t="shared" si="10"/>
        <v>-0.869176992</v>
      </c>
      <c r="N38" s="29"/>
      <c r="O38" s="26">
        <f t="shared" ref="O38:Q38" si="55">+O5-O19</f>
        <v>0</v>
      </c>
      <c r="P38" s="26">
        <f t="shared" si="55"/>
        <v>0</v>
      </c>
      <c r="Q38" s="26">
        <f t="shared" si="55"/>
        <v>0</v>
      </c>
      <c r="R38" s="27">
        <f t="shared" si="12"/>
        <v>0</v>
      </c>
      <c r="S38" s="27">
        <f t="shared" si="13"/>
        <v>0</v>
      </c>
      <c r="U38" s="26">
        <f t="shared" ref="U38:V38" si="56">+U5-U19</f>
        <v>158553.443</v>
      </c>
      <c r="V38" s="26">
        <f t="shared" si="56"/>
        <v>-48531.85665</v>
      </c>
      <c r="W38" s="4">
        <f t="shared" ref="W38:W40" si="57">J38/U38-1</f>
        <v>-0.3060914714</v>
      </c>
    </row>
    <row r="39">
      <c r="B39" s="1">
        <v>9.04E20</v>
      </c>
      <c r="C39" s="30">
        <v>0.0</v>
      </c>
      <c r="D39" s="30">
        <v>0.0</v>
      </c>
      <c r="E39" s="30">
        <v>0.0</v>
      </c>
      <c r="F39" s="31">
        <f t="shared" si="6"/>
        <v>0</v>
      </c>
      <c r="G39" s="31">
        <f t="shared" si="7"/>
        <v>0</v>
      </c>
      <c r="H39" s="32" t="s">
        <v>42</v>
      </c>
      <c r="I39" s="45">
        <v>0.0</v>
      </c>
      <c r="J39" s="30">
        <f>SUMIF('PPvsREal Summary'!$C:$C,RESUMEN!B39,'PPvsREal Summary'!$AC:$AC)</f>
        <v>0</v>
      </c>
      <c r="K39" s="30">
        <v>0.0</v>
      </c>
      <c r="L39" s="31">
        <f t="shared" si="9"/>
        <v>0</v>
      </c>
      <c r="M39" s="31">
        <f t="shared" si="10"/>
        <v>0</v>
      </c>
      <c r="N39" s="33"/>
      <c r="O39" s="30">
        <v>0.0</v>
      </c>
      <c r="P39" s="30">
        <v>0.0</v>
      </c>
      <c r="Q39" s="30">
        <v>0.0</v>
      </c>
      <c r="R39" s="31">
        <f t="shared" si="12"/>
        <v>0</v>
      </c>
      <c r="S39" s="31">
        <f t="shared" si="13"/>
        <v>0</v>
      </c>
      <c r="U39" s="3">
        <v>0.0</v>
      </c>
      <c r="V39" s="3">
        <f t="shared" ref="V39:V40" si="61">J39-U39</f>
        <v>0</v>
      </c>
      <c r="W39" s="4" t="str">
        <f t="shared" si="57"/>
        <v>#DIV/0!</v>
      </c>
    </row>
    <row r="40" ht="15.75" customHeight="1">
      <c r="B40" s="1"/>
      <c r="C40" s="30">
        <f t="shared" ref="C40:E40" si="58">C41+C42</f>
        <v>0</v>
      </c>
      <c r="D40" s="30">
        <f t="shared" si="58"/>
        <v>0</v>
      </c>
      <c r="E40" s="30">
        <f t="shared" si="58"/>
        <v>0</v>
      </c>
      <c r="F40" s="31">
        <f t="shared" si="6"/>
        <v>0</v>
      </c>
      <c r="G40" s="31">
        <f t="shared" si="7"/>
        <v>0</v>
      </c>
      <c r="H40" s="32" t="s">
        <v>43</v>
      </c>
      <c r="I40" s="30">
        <f t="shared" ref="I40:K40" si="59">I41+I42</f>
        <v>215.81</v>
      </c>
      <c r="J40" s="30">
        <f t="shared" si="59"/>
        <v>0</v>
      </c>
      <c r="K40" s="30">
        <f t="shared" si="59"/>
        <v>0</v>
      </c>
      <c r="L40" s="31">
        <f t="shared" si="9"/>
        <v>0</v>
      </c>
      <c r="M40" s="31">
        <f t="shared" si="10"/>
        <v>0</v>
      </c>
      <c r="N40" s="33"/>
      <c r="O40" s="30">
        <f t="shared" ref="O40:Q40" si="60">O41+O42</f>
        <v>0</v>
      </c>
      <c r="P40" s="30">
        <f t="shared" si="60"/>
        <v>0</v>
      </c>
      <c r="Q40" s="30">
        <f t="shared" si="60"/>
        <v>0</v>
      </c>
      <c r="R40" s="31">
        <f t="shared" si="12"/>
        <v>0</v>
      </c>
      <c r="S40" s="31">
        <f t="shared" si="13"/>
        <v>0</v>
      </c>
      <c r="U40" s="3">
        <v>0.0</v>
      </c>
      <c r="V40" s="3">
        <f t="shared" si="61"/>
        <v>0</v>
      </c>
      <c r="W40" s="4" t="str">
        <f t="shared" si="57"/>
        <v>#DIV/0!</v>
      </c>
    </row>
    <row r="41" ht="15.75" hidden="1" customHeight="1" outlineLevel="1">
      <c r="B41" s="1">
        <v>4.02E20</v>
      </c>
      <c r="C41" s="34">
        <v>0.0</v>
      </c>
      <c r="D41" s="34">
        <v>0.0</v>
      </c>
      <c r="E41" s="34">
        <v>0.0</v>
      </c>
      <c r="F41" s="35">
        <f t="shared" si="6"/>
        <v>0</v>
      </c>
      <c r="G41" s="35">
        <f t="shared" si="7"/>
        <v>0</v>
      </c>
      <c r="H41" s="36" t="s">
        <v>44</v>
      </c>
      <c r="I41" s="37">
        <v>215.81</v>
      </c>
      <c r="J41" s="34">
        <f>SUMIF('PPvsREal Summary'!$C:$C,RESUMEN!B41,'PPvsREal Summary'!$AC:$AC)</f>
        <v>0</v>
      </c>
      <c r="K41" s="34">
        <v>0.0</v>
      </c>
      <c r="L41" s="35">
        <f t="shared" si="9"/>
        <v>0</v>
      </c>
      <c r="M41" s="35">
        <f t="shared" si="10"/>
        <v>0</v>
      </c>
      <c r="N41" s="38"/>
      <c r="O41" s="34">
        <v>0.0</v>
      </c>
      <c r="P41" s="34">
        <v>0.0</v>
      </c>
      <c r="Q41" s="34">
        <v>0.0</v>
      </c>
      <c r="R41" s="35">
        <f t="shared" si="12"/>
        <v>0</v>
      </c>
      <c r="S41" s="35">
        <f t="shared" si="13"/>
        <v>0</v>
      </c>
      <c r="U41" s="3"/>
      <c r="V41" s="2"/>
      <c r="W41" s="4"/>
    </row>
    <row r="42" ht="15.75" hidden="1" customHeight="1" outlineLevel="1">
      <c r="B42" s="1">
        <v>4.1E20</v>
      </c>
      <c r="C42" s="34">
        <v>0.0</v>
      </c>
      <c r="D42" s="34">
        <v>0.0</v>
      </c>
      <c r="E42" s="34">
        <v>0.0</v>
      </c>
      <c r="F42" s="35">
        <f t="shared" si="6"/>
        <v>0</v>
      </c>
      <c r="G42" s="35">
        <f t="shared" si="7"/>
        <v>0</v>
      </c>
      <c r="H42" s="36" t="s">
        <v>45</v>
      </c>
      <c r="I42" s="34">
        <v>0.0</v>
      </c>
      <c r="J42" s="34">
        <f>SUMIF('PPvsREal Summary'!$C:$C,RESUMEN!B42,'PPvsREal Summary'!$AC:$AC)</f>
        <v>0</v>
      </c>
      <c r="K42" s="34">
        <v>0.0</v>
      </c>
      <c r="L42" s="35">
        <f t="shared" si="9"/>
        <v>0</v>
      </c>
      <c r="M42" s="35">
        <f t="shared" si="10"/>
        <v>0</v>
      </c>
      <c r="N42" s="38"/>
      <c r="O42" s="34">
        <v>0.0</v>
      </c>
      <c r="P42" s="34">
        <v>0.0</v>
      </c>
      <c r="Q42" s="34">
        <v>0.0</v>
      </c>
      <c r="R42" s="35">
        <f t="shared" si="12"/>
        <v>0</v>
      </c>
      <c r="S42" s="35">
        <f t="shared" si="13"/>
        <v>0</v>
      </c>
      <c r="U42" s="3"/>
      <c r="V42" s="2"/>
      <c r="W42" s="4"/>
    </row>
    <row r="43" ht="15.75" customHeight="1" collapsed="1">
      <c r="B43" s="1"/>
      <c r="C43" s="26">
        <f t="shared" ref="C43:E43" si="62">C38-C39+C40</f>
        <v>0</v>
      </c>
      <c r="D43" s="26">
        <f t="shared" si="62"/>
        <v>0</v>
      </c>
      <c r="E43" s="26">
        <f t="shared" si="62"/>
        <v>0</v>
      </c>
      <c r="F43" s="27">
        <f t="shared" si="6"/>
        <v>0</v>
      </c>
      <c r="G43" s="27">
        <f t="shared" si="7"/>
        <v>0</v>
      </c>
      <c r="H43" s="43" t="s">
        <v>46</v>
      </c>
      <c r="I43" s="26">
        <f t="shared" ref="I43:K43" si="63">I38-I39+I40</f>
        <v>-462807.79</v>
      </c>
      <c r="J43" s="26">
        <f t="shared" si="63"/>
        <v>110021.5863</v>
      </c>
      <c r="K43" s="26">
        <f t="shared" si="63"/>
        <v>840995.6933</v>
      </c>
      <c r="L43" s="27">
        <f t="shared" si="9"/>
        <v>-1.237726306</v>
      </c>
      <c r="M43" s="27">
        <f t="shared" si="10"/>
        <v>-0.869176992</v>
      </c>
      <c r="N43" s="29"/>
      <c r="O43" s="26">
        <f t="shared" ref="O43:Q43" si="64">O38-O39+O40</f>
        <v>0</v>
      </c>
      <c r="P43" s="26">
        <f t="shared" si="64"/>
        <v>0</v>
      </c>
      <c r="Q43" s="26">
        <f t="shared" si="64"/>
        <v>0</v>
      </c>
      <c r="R43" s="27">
        <f t="shared" si="12"/>
        <v>0</v>
      </c>
      <c r="S43" s="27">
        <f t="shared" si="13"/>
        <v>0</v>
      </c>
      <c r="U43" s="26">
        <f t="shared" ref="U43:V43" si="65">U38-U39+U40</f>
        <v>158553.443</v>
      </c>
      <c r="V43" s="26">
        <f t="shared" si="65"/>
        <v>-48531.85665</v>
      </c>
      <c r="W43" s="4">
        <f>J43/U43-1</f>
        <v>-0.3060914714</v>
      </c>
    </row>
    <row r="44" ht="15.75" customHeight="1">
      <c r="B44" s="1"/>
      <c r="C44" s="1"/>
      <c r="D44" s="1"/>
      <c r="E44" s="1"/>
      <c r="F44" s="1"/>
      <c r="G44" s="1"/>
      <c r="H44" s="2"/>
      <c r="I44" s="3"/>
      <c r="J44" s="3"/>
      <c r="K44" s="3"/>
      <c r="L44" s="2"/>
      <c r="M44" s="2"/>
      <c r="N44" s="2"/>
      <c r="U44" s="2"/>
      <c r="V44" s="2"/>
      <c r="W44" s="4"/>
    </row>
    <row r="45" ht="15.75" customHeight="1">
      <c r="B45" s="1"/>
      <c r="C45" s="1"/>
      <c r="D45" s="1"/>
      <c r="E45" s="1"/>
      <c r="F45" s="1"/>
      <c r="G45" s="1"/>
      <c r="H45" s="2"/>
      <c r="I45" s="3"/>
      <c r="J45" s="3"/>
      <c r="K45" s="3"/>
      <c r="L45" s="2"/>
      <c r="M45" s="2"/>
      <c r="N45" s="2"/>
      <c r="U45" s="2"/>
      <c r="V45" s="2"/>
      <c r="W45" s="4"/>
    </row>
    <row r="46" ht="15.75" customHeight="1">
      <c r="B46" s="1"/>
      <c r="C46" s="1"/>
      <c r="D46" s="1"/>
      <c r="E46" s="1"/>
      <c r="F46" s="1"/>
      <c r="G46" s="1"/>
      <c r="H46" s="2"/>
      <c r="I46" s="3"/>
      <c r="J46" s="3"/>
      <c r="K46" s="3"/>
      <c r="L46" s="2"/>
      <c r="M46" s="2"/>
      <c r="N46" s="2"/>
      <c r="U46" s="2"/>
      <c r="V46" s="2"/>
      <c r="W46" s="4"/>
    </row>
    <row r="47" ht="15.75" hidden="1" customHeight="1">
      <c r="B47" s="1"/>
      <c r="C47" s="1"/>
      <c r="D47" s="1"/>
      <c r="E47" s="1"/>
      <c r="F47" s="1"/>
      <c r="G47" s="1"/>
      <c r="H47" s="2" t="s">
        <v>47</v>
      </c>
      <c r="I47" s="3">
        <v>232522.13</v>
      </c>
      <c r="J47" s="3"/>
      <c r="K47" s="3"/>
      <c r="L47" s="2"/>
      <c r="M47" s="2"/>
      <c r="N47" s="2"/>
      <c r="U47" s="2"/>
      <c r="V47" s="2"/>
      <c r="W47" s="4"/>
    </row>
    <row r="48" ht="15.75" hidden="1" customHeight="1">
      <c r="B48" s="1"/>
      <c r="C48" s="1"/>
      <c r="D48" s="1"/>
      <c r="E48" s="1"/>
      <c r="F48" s="1"/>
      <c r="G48" s="1"/>
      <c r="H48" s="2" t="s">
        <v>48</v>
      </c>
      <c r="I48" s="3">
        <v>95324.06</v>
      </c>
      <c r="J48" s="3"/>
      <c r="K48" s="3"/>
      <c r="L48" s="2"/>
      <c r="M48" s="2"/>
      <c r="N48" s="2"/>
      <c r="U48" s="2"/>
      <c r="V48" s="2"/>
      <c r="W48" s="4"/>
    </row>
    <row r="49" ht="15.75" hidden="1" customHeight="1">
      <c r="B49" s="1"/>
      <c r="C49" s="1"/>
      <c r="D49" s="1"/>
      <c r="E49" s="1"/>
      <c r="F49" s="1"/>
      <c r="G49" s="1"/>
      <c r="H49" s="2"/>
      <c r="I49" s="3"/>
      <c r="J49" s="3"/>
      <c r="K49" s="3"/>
      <c r="L49" s="2"/>
      <c r="M49" s="2"/>
      <c r="N49" s="2"/>
      <c r="U49" s="2"/>
      <c r="V49" s="2"/>
      <c r="W49" s="4"/>
    </row>
    <row r="50" ht="15.75" hidden="1" customHeight="1">
      <c r="B50" s="1"/>
      <c r="C50" s="1"/>
      <c r="D50" s="1"/>
      <c r="E50" s="1"/>
      <c r="F50" s="1"/>
      <c r="G50" s="1"/>
      <c r="H50" s="2" t="s">
        <v>47</v>
      </c>
      <c r="I50" s="3">
        <v>157778.27</v>
      </c>
      <c r="J50" s="3"/>
      <c r="K50" s="3"/>
      <c r="L50" s="2"/>
      <c r="M50" s="2"/>
      <c r="N50" s="2"/>
      <c r="U50" s="2"/>
      <c r="V50" s="2"/>
      <c r="W50" s="4"/>
    </row>
    <row r="51" ht="15.75" hidden="1" customHeight="1">
      <c r="B51" s="1"/>
      <c r="C51" s="1"/>
      <c r="D51" s="1"/>
      <c r="E51" s="1"/>
      <c r="F51" s="1"/>
      <c r="G51" s="1"/>
      <c r="H51" s="2" t="s">
        <v>48</v>
      </c>
      <c r="I51" s="3">
        <v>61812.64</v>
      </c>
      <c r="J51" s="3"/>
      <c r="K51" s="3"/>
      <c r="L51" s="2"/>
      <c r="M51" s="2"/>
      <c r="N51" s="2"/>
      <c r="U51" s="2"/>
      <c r="V51" s="2"/>
      <c r="W51" s="4"/>
    </row>
    <row r="52" ht="15.75" customHeight="1">
      <c r="B52" s="1"/>
      <c r="C52" s="1"/>
      <c r="D52" s="1"/>
      <c r="E52" s="1"/>
      <c r="F52" s="1"/>
      <c r="G52" s="1"/>
      <c r="H52" s="2"/>
      <c r="I52" s="3"/>
      <c r="J52" s="3"/>
      <c r="K52" s="3"/>
      <c r="L52" s="2"/>
      <c r="M52" s="2"/>
      <c r="N52" s="2"/>
      <c r="U52" s="2"/>
      <c r="V52" s="2"/>
      <c r="W52" s="4"/>
    </row>
    <row r="53" ht="15.75" customHeight="1">
      <c r="B53" s="1"/>
      <c r="C53" s="1"/>
      <c r="D53" s="1"/>
      <c r="E53" s="1"/>
      <c r="F53" s="1"/>
      <c r="G53" s="1"/>
      <c r="H53" s="2"/>
      <c r="I53" s="3"/>
      <c r="J53" s="3"/>
      <c r="K53" s="3"/>
      <c r="L53" s="2"/>
      <c r="M53" s="2"/>
      <c r="N53" s="2"/>
      <c r="U53" s="2"/>
      <c r="V53" s="2"/>
      <c r="W53" s="4"/>
    </row>
    <row r="54" ht="15.75" customHeight="1">
      <c r="B54" s="1"/>
      <c r="C54" s="1"/>
      <c r="D54" s="1"/>
      <c r="E54" s="1"/>
      <c r="F54" s="1"/>
      <c r="G54" s="1"/>
      <c r="H54" s="2"/>
      <c r="I54" s="3"/>
      <c r="J54" s="3"/>
      <c r="K54" s="3"/>
      <c r="L54" s="2"/>
      <c r="M54" s="2"/>
      <c r="N54" s="2"/>
      <c r="U54" s="2"/>
      <c r="V54" s="2"/>
      <c r="W54" s="4"/>
    </row>
    <row r="55" ht="15.75" customHeight="1">
      <c r="B55" s="1"/>
      <c r="C55" s="1"/>
      <c r="D55" s="1"/>
      <c r="E55" s="1"/>
      <c r="F55" s="1"/>
      <c r="G55" s="1"/>
      <c r="H55" s="2"/>
      <c r="I55" s="3"/>
      <c r="J55" s="3"/>
      <c r="K55" s="3"/>
      <c r="L55" s="2"/>
      <c r="M55" s="2"/>
      <c r="N55" s="2"/>
      <c r="U55" s="2"/>
      <c r="V55" s="2"/>
      <c r="W55" s="4"/>
    </row>
    <row r="56" ht="15.75" customHeight="1">
      <c r="B56" s="1"/>
      <c r="C56" s="1"/>
      <c r="D56" s="1"/>
      <c r="E56" s="1"/>
      <c r="F56" s="1"/>
      <c r="G56" s="1"/>
      <c r="H56" s="2"/>
      <c r="I56" s="3"/>
      <c r="J56" s="3"/>
      <c r="K56" s="3"/>
      <c r="L56" s="2"/>
      <c r="M56" s="2"/>
      <c r="N56" s="2"/>
      <c r="U56" s="2"/>
      <c r="V56" s="2"/>
      <c r="W56" s="4"/>
    </row>
    <row r="57" ht="15.75" customHeight="1">
      <c r="B57" s="1"/>
      <c r="C57" s="1"/>
      <c r="D57" s="1"/>
      <c r="E57" s="1"/>
      <c r="F57" s="1"/>
      <c r="G57" s="1"/>
      <c r="H57" s="2"/>
      <c r="I57" s="3"/>
      <c r="J57" s="3"/>
      <c r="K57" s="3"/>
      <c r="L57" s="2"/>
      <c r="M57" s="2"/>
      <c r="N57" s="2"/>
      <c r="U57" s="2"/>
      <c r="V57" s="2"/>
      <c r="W57" s="4"/>
    </row>
    <row r="58" ht="15.75" customHeight="1">
      <c r="B58" s="1"/>
      <c r="C58" s="1"/>
      <c r="D58" s="1"/>
      <c r="E58" s="1"/>
      <c r="F58" s="1"/>
      <c r="G58" s="1"/>
      <c r="H58" s="2"/>
      <c r="I58" s="3"/>
      <c r="J58" s="3"/>
      <c r="K58" s="3"/>
      <c r="L58" s="2"/>
      <c r="M58" s="2"/>
      <c r="N58" s="2"/>
      <c r="U58" s="2"/>
      <c r="V58" s="2"/>
      <c r="W58" s="4"/>
    </row>
    <row r="59" ht="15.75" customHeight="1">
      <c r="B59" s="1"/>
      <c r="C59" s="1"/>
      <c r="D59" s="1"/>
      <c r="E59" s="1"/>
      <c r="F59" s="1"/>
      <c r="G59" s="1"/>
      <c r="H59" s="2"/>
      <c r="I59" s="3"/>
      <c r="J59" s="3"/>
      <c r="K59" s="3"/>
      <c r="L59" s="2"/>
      <c r="M59" s="2"/>
      <c r="N59" s="2"/>
      <c r="U59" s="2"/>
      <c r="V59" s="2"/>
      <c r="W59" s="4"/>
    </row>
    <row r="60" ht="15.75" customHeight="1">
      <c r="B60" s="1"/>
      <c r="C60" s="1"/>
      <c r="D60" s="1"/>
      <c r="E60" s="1"/>
      <c r="F60" s="1"/>
      <c r="G60" s="1"/>
      <c r="H60" s="2"/>
      <c r="I60" s="3"/>
      <c r="J60" s="3"/>
      <c r="K60" s="3"/>
      <c r="L60" s="2"/>
      <c r="M60" s="2"/>
      <c r="N60" s="2"/>
      <c r="U60" s="2"/>
      <c r="V60" s="2"/>
      <c r="W60" s="4"/>
    </row>
    <row r="61" ht="15.75" customHeight="1">
      <c r="B61" s="1"/>
      <c r="C61" s="1"/>
      <c r="D61" s="1"/>
      <c r="E61" s="1"/>
      <c r="F61" s="1"/>
      <c r="G61" s="1"/>
      <c r="H61" s="2"/>
      <c r="I61" s="3"/>
      <c r="J61" s="3"/>
      <c r="K61" s="3"/>
      <c r="L61" s="2"/>
      <c r="M61" s="2"/>
      <c r="N61" s="2"/>
      <c r="U61" s="2"/>
      <c r="V61" s="2"/>
      <c r="W61" s="4"/>
    </row>
    <row r="62" ht="15.75" customHeight="1">
      <c r="B62" s="1"/>
      <c r="C62" s="1"/>
      <c r="D62" s="1"/>
      <c r="E62" s="1"/>
      <c r="F62" s="1"/>
      <c r="G62" s="1"/>
      <c r="H62" s="2"/>
      <c r="I62" s="3"/>
      <c r="J62" s="3"/>
      <c r="K62" s="3"/>
      <c r="L62" s="2"/>
      <c r="M62" s="2"/>
      <c r="N62" s="2"/>
      <c r="U62" s="2"/>
      <c r="V62" s="2"/>
      <c r="W62" s="4"/>
    </row>
    <row r="63" ht="15.75" customHeight="1">
      <c r="B63" s="1"/>
      <c r="C63" s="1"/>
      <c r="D63" s="1"/>
      <c r="E63" s="1"/>
      <c r="F63" s="1"/>
      <c r="G63" s="1"/>
      <c r="H63" s="2"/>
      <c r="I63" s="3"/>
      <c r="J63" s="3"/>
      <c r="K63" s="3"/>
      <c r="L63" s="2"/>
      <c r="M63" s="2"/>
      <c r="N63" s="2"/>
      <c r="U63" s="2"/>
      <c r="V63" s="2"/>
      <c r="W63" s="4"/>
    </row>
    <row r="64" ht="15.75" customHeight="1">
      <c r="B64" s="1"/>
      <c r="C64" s="1"/>
      <c r="D64" s="1"/>
      <c r="E64" s="1"/>
      <c r="F64" s="1"/>
      <c r="G64" s="1"/>
      <c r="H64" s="2"/>
      <c r="I64" s="3"/>
      <c r="J64" s="3"/>
      <c r="K64" s="3"/>
      <c r="L64" s="2"/>
      <c r="M64" s="2"/>
      <c r="N64" s="2"/>
      <c r="U64" s="2"/>
      <c r="V64" s="2"/>
      <c r="W64" s="4"/>
    </row>
    <row r="65" ht="15.75" customHeight="1">
      <c r="B65" s="1"/>
      <c r="C65" s="1"/>
      <c r="D65" s="1"/>
      <c r="E65" s="1"/>
      <c r="F65" s="1"/>
      <c r="G65" s="1"/>
      <c r="H65" s="2"/>
      <c r="I65" s="3"/>
      <c r="J65" s="3"/>
      <c r="K65" s="3"/>
      <c r="L65" s="2"/>
      <c r="M65" s="2"/>
      <c r="N65" s="2"/>
      <c r="U65" s="2"/>
      <c r="V65" s="2"/>
      <c r="W65" s="4"/>
    </row>
    <row r="66" ht="15.75" customHeight="1">
      <c r="B66" s="1"/>
      <c r="C66" s="1"/>
      <c r="D66" s="1"/>
      <c r="E66" s="1"/>
      <c r="F66" s="1"/>
      <c r="G66" s="1"/>
      <c r="H66" s="2"/>
      <c r="I66" s="3"/>
      <c r="J66" s="3"/>
      <c r="K66" s="3"/>
      <c r="L66" s="2"/>
      <c r="M66" s="2"/>
      <c r="N66" s="2"/>
      <c r="U66" s="2"/>
      <c r="V66" s="2"/>
      <c r="W66" s="4"/>
    </row>
    <row r="67" ht="15.75" customHeight="1">
      <c r="B67" s="1"/>
      <c r="C67" s="1"/>
      <c r="D67" s="1"/>
      <c r="E67" s="1"/>
      <c r="F67" s="1"/>
      <c r="G67" s="1"/>
      <c r="H67" s="2"/>
      <c r="I67" s="3"/>
      <c r="J67" s="3"/>
      <c r="K67" s="3"/>
      <c r="L67" s="2"/>
      <c r="M67" s="2"/>
      <c r="N67" s="2"/>
      <c r="U67" s="2"/>
      <c r="V67" s="2"/>
      <c r="W67" s="4"/>
    </row>
    <row r="68" ht="15.75" customHeight="1">
      <c r="B68" s="1"/>
      <c r="C68" s="1"/>
      <c r="D68" s="1"/>
      <c r="E68" s="1"/>
      <c r="F68" s="1"/>
      <c r="G68" s="1"/>
      <c r="H68" s="2"/>
      <c r="I68" s="3"/>
      <c r="J68" s="3"/>
      <c r="K68" s="3"/>
      <c r="L68" s="2"/>
      <c r="M68" s="2"/>
      <c r="N68" s="2"/>
      <c r="U68" s="2"/>
      <c r="V68" s="2"/>
      <c r="W68" s="4"/>
    </row>
    <row r="69" ht="15.75" customHeight="1">
      <c r="B69" s="1"/>
      <c r="C69" s="1"/>
      <c r="D69" s="1"/>
      <c r="E69" s="1"/>
      <c r="F69" s="1"/>
      <c r="G69" s="1"/>
      <c r="H69" s="2"/>
      <c r="I69" s="3"/>
      <c r="J69" s="3"/>
      <c r="K69" s="3"/>
      <c r="L69" s="2"/>
      <c r="M69" s="2"/>
      <c r="N69" s="2"/>
      <c r="U69" s="2"/>
      <c r="V69" s="2"/>
      <c r="W69" s="4"/>
    </row>
    <row r="70" ht="15.75" customHeight="1">
      <c r="B70" s="1"/>
      <c r="C70" s="1"/>
      <c r="D70" s="1"/>
      <c r="E70" s="1"/>
      <c r="F70" s="1"/>
      <c r="G70" s="1"/>
      <c r="H70" s="2"/>
      <c r="I70" s="3"/>
      <c r="J70" s="3"/>
      <c r="K70" s="3"/>
      <c r="L70" s="2"/>
      <c r="M70" s="2"/>
      <c r="N70" s="2"/>
      <c r="U70" s="2"/>
      <c r="V70" s="2"/>
      <c r="W70" s="4"/>
    </row>
    <row r="71" ht="15.75" customHeight="1">
      <c r="B71" s="1"/>
      <c r="C71" s="1"/>
      <c r="D71" s="1"/>
      <c r="E71" s="1"/>
      <c r="F71" s="1"/>
      <c r="G71" s="1"/>
      <c r="H71" s="2"/>
      <c r="I71" s="3"/>
      <c r="J71" s="3"/>
      <c r="K71" s="3"/>
      <c r="L71" s="2"/>
      <c r="M71" s="2"/>
      <c r="N71" s="2"/>
      <c r="U71" s="2"/>
      <c r="V71" s="2"/>
      <c r="W71" s="4"/>
    </row>
    <row r="72" ht="15.75" customHeight="1">
      <c r="B72" s="1"/>
      <c r="C72" s="1"/>
      <c r="D72" s="1"/>
      <c r="E72" s="1"/>
      <c r="F72" s="1"/>
      <c r="G72" s="1"/>
      <c r="H72" s="2"/>
      <c r="I72" s="3"/>
      <c r="J72" s="3"/>
      <c r="K72" s="3"/>
      <c r="L72" s="2"/>
      <c r="M72" s="2"/>
      <c r="N72" s="2"/>
      <c r="U72" s="2"/>
      <c r="V72" s="2"/>
      <c r="W72" s="4"/>
    </row>
    <row r="73" ht="15.75" customHeight="1">
      <c r="B73" s="1"/>
      <c r="C73" s="1"/>
      <c r="D73" s="1"/>
      <c r="E73" s="1"/>
      <c r="F73" s="1"/>
      <c r="G73" s="1"/>
      <c r="H73" s="2"/>
      <c r="I73" s="3"/>
      <c r="J73" s="3"/>
      <c r="K73" s="3"/>
      <c r="L73" s="2"/>
      <c r="M73" s="2"/>
      <c r="N73" s="2"/>
      <c r="U73" s="2"/>
      <c r="V73" s="2"/>
      <c r="W73" s="4"/>
    </row>
    <row r="74" ht="15.75" customHeight="1">
      <c r="B74" s="1"/>
      <c r="C74" s="1"/>
      <c r="D74" s="1"/>
      <c r="E74" s="1"/>
      <c r="F74" s="1"/>
      <c r="G74" s="1"/>
      <c r="H74" s="2"/>
      <c r="I74" s="3"/>
      <c r="J74" s="3"/>
      <c r="K74" s="3"/>
      <c r="L74" s="2"/>
      <c r="M74" s="2"/>
      <c r="N74" s="2"/>
      <c r="U74" s="2"/>
      <c r="V74" s="2"/>
      <c r="W74" s="4"/>
    </row>
    <row r="75" ht="15.75" customHeight="1">
      <c r="B75" s="1"/>
      <c r="C75" s="1"/>
      <c r="D75" s="1"/>
      <c r="E75" s="1"/>
      <c r="F75" s="1"/>
      <c r="G75" s="1"/>
      <c r="H75" s="2"/>
      <c r="I75" s="3"/>
      <c r="J75" s="3"/>
      <c r="K75" s="3"/>
      <c r="L75" s="2"/>
      <c r="M75" s="2"/>
      <c r="N75" s="2"/>
      <c r="U75" s="2"/>
      <c r="V75" s="2"/>
      <c r="W75" s="4"/>
    </row>
    <row r="76" ht="15.75" customHeight="1">
      <c r="B76" s="1"/>
      <c r="C76" s="1"/>
      <c r="D76" s="1"/>
      <c r="E76" s="1"/>
      <c r="F76" s="1"/>
      <c r="G76" s="1"/>
      <c r="H76" s="2"/>
      <c r="I76" s="3"/>
      <c r="J76" s="3"/>
      <c r="K76" s="3"/>
      <c r="L76" s="2"/>
      <c r="M76" s="2"/>
      <c r="N76" s="2"/>
      <c r="U76" s="2"/>
      <c r="V76" s="2"/>
      <c r="W76" s="4"/>
    </row>
    <row r="77" ht="15.75" customHeight="1">
      <c r="B77" s="1"/>
      <c r="C77" s="1"/>
      <c r="D77" s="1"/>
      <c r="E77" s="1"/>
      <c r="F77" s="1"/>
      <c r="G77" s="1"/>
      <c r="H77" s="2"/>
      <c r="I77" s="3"/>
      <c r="J77" s="3"/>
      <c r="K77" s="3"/>
      <c r="L77" s="2"/>
      <c r="M77" s="2"/>
      <c r="N77" s="2"/>
      <c r="U77" s="2"/>
      <c r="V77" s="2"/>
      <c r="W77" s="4"/>
    </row>
    <row r="78" ht="15.75" customHeight="1">
      <c r="B78" s="1"/>
      <c r="C78" s="1"/>
      <c r="D78" s="1"/>
      <c r="E78" s="1"/>
      <c r="F78" s="1"/>
      <c r="G78" s="1"/>
      <c r="H78" s="2"/>
      <c r="I78" s="3"/>
      <c r="J78" s="3"/>
      <c r="K78" s="3"/>
      <c r="L78" s="2"/>
      <c r="M78" s="2"/>
      <c r="N78" s="2"/>
      <c r="U78" s="2"/>
      <c r="V78" s="2"/>
      <c r="W78" s="4"/>
    </row>
    <row r="79" ht="15.75" customHeight="1">
      <c r="B79" s="1"/>
      <c r="C79" s="1"/>
      <c r="D79" s="1"/>
      <c r="E79" s="1"/>
      <c r="F79" s="1"/>
      <c r="G79" s="1"/>
      <c r="H79" s="2"/>
      <c r="I79" s="3"/>
      <c r="J79" s="3"/>
      <c r="K79" s="3"/>
      <c r="L79" s="2"/>
      <c r="M79" s="2"/>
      <c r="N79" s="2"/>
      <c r="U79" s="2"/>
      <c r="V79" s="2"/>
      <c r="W79" s="4"/>
    </row>
    <row r="80" ht="15.75" customHeight="1">
      <c r="B80" s="1"/>
      <c r="C80" s="1"/>
      <c r="D80" s="1"/>
      <c r="E80" s="1"/>
      <c r="F80" s="1"/>
      <c r="G80" s="1"/>
      <c r="H80" s="2"/>
      <c r="I80" s="3"/>
      <c r="J80" s="3"/>
      <c r="K80" s="3"/>
      <c r="L80" s="2"/>
      <c r="M80" s="2"/>
      <c r="N80" s="2"/>
      <c r="U80" s="2"/>
      <c r="V80" s="2"/>
      <c r="W80" s="4"/>
    </row>
    <row r="81" ht="15.75" customHeight="1">
      <c r="B81" s="1"/>
      <c r="C81" s="1"/>
      <c r="D81" s="1"/>
      <c r="E81" s="1"/>
      <c r="F81" s="1"/>
      <c r="G81" s="1"/>
      <c r="H81" s="2"/>
      <c r="I81" s="3"/>
      <c r="J81" s="3"/>
      <c r="K81" s="3"/>
      <c r="L81" s="2"/>
      <c r="M81" s="2"/>
      <c r="N81" s="2"/>
      <c r="U81" s="2"/>
      <c r="V81" s="2"/>
      <c r="W81" s="4"/>
    </row>
    <row r="82" ht="15.75" customHeight="1">
      <c r="B82" s="1"/>
      <c r="C82" s="1"/>
      <c r="D82" s="1"/>
      <c r="E82" s="1"/>
      <c r="F82" s="1"/>
      <c r="G82" s="1"/>
      <c r="H82" s="2"/>
      <c r="I82" s="3"/>
      <c r="J82" s="3"/>
      <c r="K82" s="3"/>
      <c r="L82" s="2"/>
      <c r="M82" s="2"/>
      <c r="N82" s="2"/>
      <c r="U82" s="2"/>
      <c r="V82" s="2"/>
      <c r="W82" s="4"/>
    </row>
    <row r="83" ht="15.75" customHeight="1">
      <c r="B83" s="1"/>
      <c r="C83" s="1"/>
      <c r="D83" s="1"/>
      <c r="E83" s="1"/>
      <c r="F83" s="1"/>
      <c r="G83" s="1"/>
      <c r="H83" s="2"/>
      <c r="I83" s="3"/>
      <c r="J83" s="3"/>
      <c r="K83" s="3"/>
      <c r="L83" s="2"/>
      <c r="M83" s="2"/>
      <c r="N83" s="2"/>
      <c r="U83" s="2"/>
      <c r="V83" s="2"/>
      <c r="W83" s="4"/>
    </row>
    <row r="84" ht="15.75" customHeight="1">
      <c r="B84" s="1"/>
      <c r="C84" s="1"/>
      <c r="D84" s="1"/>
      <c r="E84" s="1"/>
      <c r="F84" s="1"/>
      <c r="G84" s="1"/>
      <c r="H84" s="2"/>
      <c r="I84" s="3"/>
      <c r="J84" s="3"/>
      <c r="K84" s="3"/>
      <c r="L84" s="2"/>
      <c r="M84" s="2"/>
      <c r="N84" s="2"/>
      <c r="U84" s="2"/>
      <c r="V84" s="2"/>
      <c r="W84" s="4"/>
    </row>
    <row r="85" ht="15.75" customHeight="1">
      <c r="B85" s="1"/>
      <c r="C85" s="1"/>
      <c r="D85" s="1"/>
      <c r="E85" s="1"/>
      <c r="F85" s="1"/>
      <c r="G85" s="1"/>
      <c r="H85" s="2"/>
      <c r="I85" s="3"/>
      <c r="J85" s="3"/>
      <c r="K85" s="3"/>
      <c r="L85" s="2"/>
      <c r="M85" s="2"/>
      <c r="N85" s="2"/>
      <c r="U85" s="2"/>
      <c r="V85" s="2"/>
      <c r="W85" s="4"/>
    </row>
    <row r="86" ht="15.75" customHeight="1">
      <c r="B86" s="1"/>
      <c r="C86" s="1"/>
      <c r="D86" s="1"/>
      <c r="E86" s="1"/>
      <c r="F86" s="1"/>
      <c r="G86" s="1"/>
      <c r="H86" s="2"/>
      <c r="I86" s="3"/>
      <c r="J86" s="3"/>
      <c r="K86" s="3"/>
      <c r="L86" s="2"/>
      <c r="M86" s="2"/>
      <c r="N86" s="2"/>
      <c r="U86" s="2"/>
      <c r="V86" s="2"/>
      <c r="W86" s="4"/>
    </row>
    <row r="87" ht="15.75" customHeight="1">
      <c r="B87" s="1"/>
      <c r="C87" s="1"/>
      <c r="D87" s="1"/>
      <c r="E87" s="1"/>
      <c r="F87" s="1"/>
      <c r="G87" s="1"/>
      <c r="H87" s="2"/>
      <c r="I87" s="3"/>
      <c r="J87" s="3"/>
      <c r="K87" s="3"/>
      <c r="L87" s="2"/>
      <c r="M87" s="2"/>
      <c r="N87" s="2"/>
      <c r="U87" s="2"/>
      <c r="V87" s="2"/>
      <c r="W87" s="4"/>
    </row>
    <row r="88" ht="15.75" customHeight="1">
      <c r="B88" s="1"/>
      <c r="C88" s="1"/>
      <c r="D88" s="1"/>
      <c r="E88" s="1"/>
      <c r="F88" s="1"/>
      <c r="G88" s="1"/>
      <c r="H88" s="2"/>
      <c r="I88" s="3"/>
      <c r="J88" s="3"/>
      <c r="K88" s="3"/>
      <c r="L88" s="2"/>
      <c r="M88" s="2"/>
      <c r="N88" s="2"/>
      <c r="U88" s="2"/>
      <c r="V88" s="2"/>
      <c r="W88" s="4"/>
    </row>
    <row r="89" ht="15.75" customHeight="1">
      <c r="B89" s="1"/>
      <c r="C89" s="1"/>
      <c r="D89" s="1"/>
      <c r="E89" s="1"/>
      <c r="F89" s="1"/>
      <c r="G89" s="1"/>
      <c r="H89" s="2"/>
      <c r="I89" s="3"/>
      <c r="J89" s="3"/>
      <c r="K89" s="3"/>
      <c r="L89" s="2"/>
      <c r="M89" s="2"/>
      <c r="N89" s="2"/>
      <c r="U89" s="2"/>
      <c r="V89" s="2"/>
      <c r="W89" s="4"/>
    </row>
    <row r="90" ht="15.75" customHeight="1">
      <c r="B90" s="1"/>
      <c r="C90" s="1"/>
      <c r="D90" s="1"/>
      <c r="E90" s="1"/>
      <c r="F90" s="1"/>
      <c r="G90" s="1"/>
      <c r="H90" s="2"/>
      <c r="I90" s="3"/>
      <c r="J90" s="3"/>
      <c r="K90" s="3"/>
      <c r="L90" s="2"/>
      <c r="M90" s="2"/>
      <c r="N90" s="2"/>
      <c r="U90" s="2"/>
      <c r="V90" s="2"/>
      <c r="W90" s="4"/>
    </row>
    <row r="91" ht="15.75" customHeight="1">
      <c r="B91" s="1"/>
      <c r="C91" s="1"/>
      <c r="D91" s="1"/>
      <c r="E91" s="1"/>
      <c r="F91" s="1"/>
      <c r="G91" s="1"/>
      <c r="H91" s="2"/>
      <c r="I91" s="3"/>
      <c r="J91" s="3"/>
      <c r="K91" s="3"/>
      <c r="L91" s="2"/>
      <c r="M91" s="2"/>
      <c r="N91" s="2"/>
      <c r="U91" s="2"/>
      <c r="V91" s="2"/>
      <c r="W91" s="4"/>
    </row>
    <row r="92" ht="15.75" customHeight="1">
      <c r="B92" s="1"/>
      <c r="C92" s="1"/>
      <c r="D92" s="1"/>
      <c r="E92" s="1"/>
      <c r="F92" s="1"/>
      <c r="G92" s="1"/>
      <c r="H92" s="2"/>
      <c r="I92" s="3"/>
      <c r="J92" s="3"/>
      <c r="K92" s="3"/>
      <c r="L92" s="2"/>
      <c r="M92" s="2"/>
      <c r="N92" s="2"/>
      <c r="U92" s="2"/>
      <c r="V92" s="2"/>
      <c r="W92" s="4"/>
    </row>
    <row r="93" ht="15.75" customHeight="1">
      <c r="B93" s="1"/>
      <c r="C93" s="1"/>
      <c r="D93" s="1"/>
      <c r="E93" s="1"/>
      <c r="F93" s="1"/>
      <c r="G93" s="1"/>
      <c r="H93" s="2"/>
      <c r="I93" s="3"/>
      <c r="J93" s="3"/>
      <c r="K93" s="3"/>
      <c r="L93" s="2"/>
      <c r="M93" s="2"/>
      <c r="N93" s="2"/>
      <c r="U93" s="2"/>
      <c r="V93" s="2"/>
      <c r="W93" s="4"/>
    </row>
    <row r="94" ht="15.75" customHeight="1">
      <c r="B94" s="1"/>
      <c r="C94" s="1"/>
      <c r="D94" s="1"/>
      <c r="E94" s="1"/>
      <c r="F94" s="1"/>
      <c r="G94" s="1"/>
      <c r="H94" s="2"/>
      <c r="I94" s="3"/>
      <c r="J94" s="3"/>
      <c r="K94" s="3"/>
      <c r="L94" s="2"/>
      <c r="M94" s="2"/>
      <c r="N94" s="2"/>
      <c r="U94" s="2"/>
      <c r="V94" s="2"/>
      <c r="W94" s="4"/>
    </row>
    <row r="95" ht="15.75" customHeight="1">
      <c r="B95" s="1"/>
      <c r="C95" s="1"/>
      <c r="D95" s="1"/>
      <c r="E95" s="1"/>
      <c r="F95" s="1"/>
      <c r="G95" s="1"/>
      <c r="H95" s="2"/>
      <c r="I95" s="3"/>
      <c r="J95" s="3"/>
      <c r="K95" s="3"/>
      <c r="L95" s="2"/>
      <c r="M95" s="2"/>
      <c r="N95" s="2"/>
      <c r="U95" s="2"/>
      <c r="V95" s="2"/>
      <c r="W95" s="4"/>
    </row>
    <row r="96" ht="15.75" customHeight="1">
      <c r="B96" s="1"/>
      <c r="C96" s="1"/>
      <c r="D96" s="1"/>
      <c r="E96" s="1"/>
      <c r="F96" s="1"/>
      <c r="G96" s="1"/>
      <c r="H96" s="2"/>
      <c r="I96" s="3"/>
      <c r="J96" s="3"/>
      <c r="K96" s="3"/>
      <c r="L96" s="2"/>
      <c r="M96" s="2"/>
      <c r="N96" s="2"/>
      <c r="U96" s="2"/>
      <c r="V96" s="2"/>
      <c r="W96" s="4"/>
    </row>
    <row r="97" ht="15.75" customHeight="1">
      <c r="B97" s="1"/>
      <c r="C97" s="1"/>
      <c r="D97" s="1"/>
      <c r="E97" s="1"/>
      <c r="F97" s="1"/>
      <c r="G97" s="1"/>
      <c r="H97" s="2"/>
      <c r="I97" s="3"/>
      <c r="J97" s="3"/>
      <c r="K97" s="3"/>
      <c r="L97" s="2"/>
      <c r="M97" s="2"/>
      <c r="N97" s="2"/>
      <c r="U97" s="2"/>
      <c r="V97" s="2"/>
      <c r="W97" s="4"/>
    </row>
    <row r="98" ht="15.75" customHeight="1">
      <c r="B98" s="1"/>
      <c r="C98" s="1"/>
      <c r="D98" s="1"/>
      <c r="E98" s="1"/>
      <c r="F98" s="1"/>
      <c r="G98" s="1"/>
      <c r="H98" s="2"/>
      <c r="I98" s="3"/>
      <c r="J98" s="3"/>
      <c r="K98" s="3"/>
      <c r="L98" s="2"/>
      <c r="M98" s="2"/>
      <c r="N98" s="2"/>
      <c r="U98" s="2"/>
      <c r="V98" s="2"/>
      <c r="W98" s="4"/>
    </row>
    <row r="99" ht="15.75" customHeight="1">
      <c r="B99" s="1"/>
      <c r="C99" s="1"/>
      <c r="D99" s="1"/>
      <c r="E99" s="1"/>
      <c r="F99" s="1"/>
      <c r="G99" s="1"/>
      <c r="H99" s="2"/>
      <c r="I99" s="3"/>
      <c r="J99" s="3"/>
      <c r="K99" s="3"/>
      <c r="L99" s="2"/>
      <c r="M99" s="2"/>
      <c r="N99" s="2"/>
      <c r="U99" s="2"/>
      <c r="V99" s="2"/>
      <c r="W99" s="4"/>
    </row>
    <row r="100" ht="15.75" customHeight="1">
      <c r="B100" s="1"/>
      <c r="C100" s="1"/>
      <c r="D100" s="1"/>
      <c r="E100" s="1"/>
      <c r="F100" s="1"/>
      <c r="G100" s="1"/>
      <c r="H100" s="2"/>
      <c r="I100" s="3"/>
      <c r="J100" s="3"/>
      <c r="K100" s="3"/>
      <c r="L100" s="2"/>
      <c r="M100" s="2"/>
      <c r="N100" s="2"/>
      <c r="U100" s="2"/>
      <c r="V100" s="2"/>
      <c r="W100" s="4"/>
    </row>
    <row r="101" ht="15.75" customHeight="1">
      <c r="B101" s="1"/>
      <c r="C101" s="1"/>
      <c r="D101" s="1"/>
      <c r="E101" s="1"/>
      <c r="F101" s="1"/>
      <c r="G101" s="1"/>
      <c r="H101" s="2"/>
      <c r="I101" s="3"/>
      <c r="J101" s="3"/>
      <c r="K101" s="3"/>
      <c r="L101" s="2"/>
      <c r="M101" s="2"/>
      <c r="N101" s="2"/>
      <c r="U101" s="2"/>
      <c r="V101" s="2"/>
      <c r="W101" s="4"/>
    </row>
    <row r="102" ht="15.75" customHeight="1">
      <c r="B102" s="1"/>
      <c r="C102" s="1"/>
      <c r="D102" s="1"/>
      <c r="E102" s="1"/>
      <c r="F102" s="1"/>
      <c r="G102" s="1"/>
      <c r="H102" s="2"/>
      <c r="I102" s="3"/>
      <c r="J102" s="3"/>
      <c r="K102" s="3"/>
      <c r="L102" s="2"/>
      <c r="M102" s="2"/>
      <c r="N102" s="2"/>
      <c r="U102" s="2"/>
      <c r="V102" s="2"/>
      <c r="W102" s="4"/>
    </row>
    <row r="103" ht="15.75" customHeight="1">
      <c r="B103" s="1"/>
      <c r="C103" s="1"/>
      <c r="D103" s="1"/>
      <c r="E103" s="1"/>
      <c r="F103" s="1"/>
      <c r="G103" s="1"/>
      <c r="H103" s="2"/>
      <c r="I103" s="3"/>
      <c r="J103" s="3"/>
      <c r="K103" s="3"/>
      <c r="L103" s="2"/>
      <c r="M103" s="2"/>
      <c r="N103" s="2"/>
      <c r="U103" s="2"/>
      <c r="V103" s="2"/>
      <c r="W103" s="4"/>
    </row>
    <row r="104" ht="15.75" customHeight="1">
      <c r="B104" s="1"/>
      <c r="C104" s="1"/>
      <c r="D104" s="1"/>
      <c r="E104" s="1"/>
      <c r="F104" s="1"/>
      <c r="G104" s="1"/>
      <c r="H104" s="2"/>
      <c r="I104" s="3"/>
      <c r="J104" s="3"/>
      <c r="K104" s="3"/>
      <c r="L104" s="2"/>
      <c r="M104" s="2"/>
      <c r="N104" s="2"/>
      <c r="U104" s="2"/>
      <c r="V104" s="2"/>
      <c r="W104" s="4"/>
    </row>
    <row r="105" ht="15.75" customHeight="1">
      <c r="B105" s="1"/>
      <c r="C105" s="1"/>
      <c r="D105" s="1"/>
      <c r="E105" s="1"/>
      <c r="F105" s="1"/>
      <c r="G105" s="1"/>
      <c r="H105" s="2"/>
      <c r="I105" s="3"/>
      <c r="J105" s="3"/>
      <c r="K105" s="3"/>
      <c r="L105" s="2"/>
      <c r="M105" s="2"/>
      <c r="N105" s="2"/>
      <c r="U105" s="2"/>
      <c r="V105" s="2"/>
      <c r="W105" s="4"/>
    </row>
    <row r="106" ht="15.75" customHeight="1">
      <c r="B106" s="1"/>
      <c r="C106" s="1"/>
      <c r="D106" s="1"/>
      <c r="E106" s="1"/>
      <c r="F106" s="1"/>
      <c r="G106" s="1"/>
      <c r="H106" s="2"/>
      <c r="I106" s="3"/>
      <c r="J106" s="3"/>
      <c r="K106" s="3"/>
      <c r="L106" s="2"/>
      <c r="M106" s="2"/>
      <c r="N106" s="2"/>
      <c r="U106" s="2"/>
      <c r="V106" s="2"/>
      <c r="W106" s="4"/>
    </row>
    <row r="107" ht="15.75" customHeight="1">
      <c r="B107" s="1"/>
      <c r="C107" s="1"/>
      <c r="D107" s="1"/>
      <c r="E107" s="1"/>
      <c r="F107" s="1"/>
      <c r="G107" s="1"/>
      <c r="H107" s="2"/>
      <c r="I107" s="3"/>
      <c r="J107" s="3"/>
      <c r="K107" s="3"/>
      <c r="L107" s="2"/>
      <c r="M107" s="2"/>
      <c r="N107" s="2"/>
      <c r="U107" s="2"/>
      <c r="V107" s="2"/>
      <c r="W107" s="4"/>
    </row>
    <row r="108" ht="15.75" customHeight="1">
      <c r="B108" s="1"/>
      <c r="C108" s="1"/>
      <c r="D108" s="1"/>
      <c r="E108" s="1"/>
      <c r="F108" s="1"/>
      <c r="G108" s="1"/>
      <c r="H108" s="2"/>
      <c r="I108" s="3"/>
      <c r="J108" s="3"/>
      <c r="K108" s="3"/>
      <c r="L108" s="2"/>
      <c r="M108" s="2"/>
      <c r="N108" s="2"/>
      <c r="U108" s="2"/>
      <c r="V108" s="2"/>
      <c r="W108" s="4"/>
    </row>
    <row r="109" ht="15.75" customHeight="1">
      <c r="B109" s="1"/>
      <c r="C109" s="1"/>
      <c r="D109" s="1"/>
      <c r="E109" s="1"/>
      <c r="F109" s="1"/>
      <c r="G109" s="1"/>
      <c r="H109" s="2"/>
      <c r="I109" s="3"/>
      <c r="J109" s="3"/>
      <c r="K109" s="3"/>
      <c r="L109" s="2"/>
      <c r="M109" s="2"/>
      <c r="N109" s="2"/>
      <c r="U109" s="2"/>
      <c r="V109" s="2"/>
      <c r="W109" s="4"/>
    </row>
    <row r="110" ht="15.75" customHeight="1">
      <c r="B110" s="1"/>
      <c r="C110" s="1"/>
      <c r="D110" s="1"/>
      <c r="E110" s="1"/>
      <c r="F110" s="1"/>
      <c r="G110" s="1"/>
      <c r="H110" s="2"/>
      <c r="I110" s="3"/>
      <c r="J110" s="3"/>
      <c r="K110" s="3"/>
      <c r="L110" s="2"/>
      <c r="M110" s="2"/>
      <c r="N110" s="2"/>
      <c r="U110" s="2"/>
      <c r="V110" s="2"/>
      <c r="W110" s="4"/>
    </row>
    <row r="111" ht="15.75" customHeight="1">
      <c r="B111" s="1"/>
      <c r="C111" s="1"/>
      <c r="D111" s="1"/>
      <c r="E111" s="1"/>
      <c r="F111" s="1"/>
      <c r="G111" s="1"/>
      <c r="H111" s="2"/>
      <c r="I111" s="3"/>
      <c r="J111" s="3"/>
      <c r="K111" s="3"/>
      <c r="L111" s="2"/>
      <c r="M111" s="2"/>
      <c r="N111" s="2"/>
      <c r="U111" s="2"/>
      <c r="V111" s="2"/>
      <c r="W111" s="4"/>
    </row>
    <row r="112" ht="15.75" customHeight="1">
      <c r="B112" s="1"/>
      <c r="C112" s="1"/>
      <c r="D112" s="1"/>
      <c r="E112" s="1"/>
      <c r="F112" s="1"/>
      <c r="G112" s="1"/>
      <c r="H112" s="2"/>
      <c r="I112" s="3"/>
      <c r="J112" s="3"/>
      <c r="K112" s="3"/>
      <c r="L112" s="2"/>
      <c r="M112" s="2"/>
      <c r="N112" s="2"/>
      <c r="U112" s="2"/>
      <c r="V112" s="2"/>
      <c r="W112" s="4"/>
    </row>
    <row r="113" ht="15.75" customHeight="1">
      <c r="B113" s="1"/>
      <c r="C113" s="1"/>
      <c r="D113" s="1"/>
      <c r="E113" s="1"/>
      <c r="F113" s="1"/>
      <c r="G113" s="1"/>
      <c r="H113" s="2"/>
      <c r="I113" s="3"/>
      <c r="J113" s="3"/>
      <c r="K113" s="3"/>
      <c r="L113" s="2"/>
      <c r="M113" s="2"/>
      <c r="N113" s="2"/>
      <c r="U113" s="2"/>
      <c r="V113" s="2"/>
      <c r="W113" s="4"/>
    </row>
    <row r="114" ht="15.75" customHeight="1">
      <c r="B114" s="1"/>
      <c r="C114" s="1"/>
      <c r="D114" s="1"/>
      <c r="E114" s="1"/>
      <c r="F114" s="1"/>
      <c r="G114" s="1"/>
      <c r="H114" s="2"/>
      <c r="I114" s="3"/>
      <c r="J114" s="3"/>
      <c r="K114" s="3"/>
      <c r="L114" s="2"/>
      <c r="M114" s="2"/>
      <c r="N114" s="2"/>
      <c r="U114" s="2"/>
      <c r="V114" s="2"/>
      <c r="W114" s="4"/>
    </row>
    <row r="115" ht="15.75" customHeight="1">
      <c r="B115" s="1"/>
      <c r="C115" s="1"/>
      <c r="D115" s="1"/>
      <c r="E115" s="1"/>
      <c r="F115" s="1"/>
      <c r="G115" s="1"/>
      <c r="H115" s="2"/>
      <c r="I115" s="3"/>
      <c r="J115" s="3"/>
      <c r="K115" s="3"/>
      <c r="L115" s="2"/>
      <c r="M115" s="2"/>
      <c r="N115" s="2"/>
      <c r="U115" s="2"/>
      <c r="V115" s="2"/>
      <c r="W115" s="4"/>
    </row>
    <row r="116" ht="15.75" customHeight="1">
      <c r="B116" s="1"/>
      <c r="C116" s="1"/>
      <c r="D116" s="1"/>
      <c r="E116" s="1"/>
      <c r="F116" s="1"/>
      <c r="G116" s="1"/>
      <c r="H116" s="2"/>
      <c r="I116" s="3"/>
      <c r="J116" s="3"/>
      <c r="K116" s="3"/>
      <c r="L116" s="2"/>
      <c r="M116" s="2"/>
      <c r="N116" s="2"/>
      <c r="U116" s="2"/>
      <c r="V116" s="2"/>
      <c r="W116" s="4"/>
    </row>
    <row r="117" ht="15.75" customHeight="1">
      <c r="B117" s="1"/>
      <c r="C117" s="1"/>
      <c r="D117" s="1"/>
      <c r="E117" s="1"/>
      <c r="F117" s="1"/>
      <c r="G117" s="1"/>
      <c r="H117" s="2"/>
      <c r="I117" s="3"/>
      <c r="J117" s="3"/>
      <c r="K117" s="3"/>
      <c r="L117" s="2"/>
      <c r="M117" s="2"/>
      <c r="N117" s="2"/>
      <c r="U117" s="2"/>
      <c r="V117" s="2"/>
      <c r="W117" s="4"/>
    </row>
    <row r="118" ht="15.75" customHeight="1">
      <c r="B118" s="1"/>
      <c r="C118" s="1"/>
      <c r="D118" s="1"/>
      <c r="E118" s="1"/>
      <c r="F118" s="1"/>
      <c r="G118" s="1"/>
      <c r="H118" s="2"/>
      <c r="I118" s="3"/>
      <c r="J118" s="3"/>
      <c r="K118" s="3"/>
      <c r="L118" s="2"/>
      <c r="M118" s="2"/>
      <c r="N118" s="2"/>
      <c r="U118" s="2"/>
      <c r="V118" s="2"/>
      <c r="W118" s="4"/>
    </row>
    <row r="119" ht="15.75" customHeight="1">
      <c r="B119" s="1"/>
      <c r="C119" s="1"/>
      <c r="D119" s="1"/>
      <c r="E119" s="1"/>
      <c r="F119" s="1"/>
      <c r="G119" s="1"/>
      <c r="H119" s="2"/>
      <c r="I119" s="3"/>
      <c r="J119" s="3"/>
      <c r="K119" s="3"/>
      <c r="L119" s="2"/>
      <c r="M119" s="2"/>
      <c r="N119" s="2"/>
      <c r="U119" s="2"/>
      <c r="V119" s="2"/>
      <c r="W119" s="4"/>
    </row>
    <row r="120" ht="15.75" customHeight="1">
      <c r="B120" s="1"/>
      <c r="C120" s="1"/>
      <c r="D120" s="1"/>
      <c r="E120" s="1"/>
      <c r="F120" s="1"/>
      <c r="G120" s="1"/>
      <c r="H120" s="2"/>
      <c r="I120" s="3"/>
      <c r="J120" s="3"/>
      <c r="K120" s="3"/>
      <c r="L120" s="2"/>
      <c r="M120" s="2"/>
      <c r="N120" s="2"/>
      <c r="U120" s="2"/>
      <c r="V120" s="2"/>
      <c r="W120" s="4"/>
    </row>
    <row r="121" ht="15.75" customHeight="1">
      <c r="B121" s="1"/>
      <c r="C121" s="1"/>
      <c r="D121" s="1"/>
      <c r="E121" s="1"/>
      <c r="F121" s="1"/>
      <c r="G121" s="1"/>
      <c r="H121" s="2"/>
      <c r="I121" s="3"/>
      <c r="J121" s="3"/>
      <c r="K121" s="3"/>
      <c r="L121" s="2"/>
      <c r="M121" s="2"/>
      <c r="N121" s="2"/>
      <c r="U121" s="2"/>
      <c r="V121" s="2"/>
      <c r="W121" s="4"/>
    </row>
    <row r="122" ht="15.75" customHeight="1">
      <c r="B122" s="1"/>
      <c r="C122" s="1"/>
      <c r="D122" s="1"/>
      <c r="E122" s="1"/>
      <c r="F122" s="1"/>
      <c r="G122" s="1"/>
      <c r="H122" s="2"/>
      <c r="I122" s="3"/>
      <c r="J122" s="3"/>
      <c r="K122" s="3"/>
      <c r="L122" s="2"/>
      <c r="M122" s="2"/>
      <c r="N122" s="2"/>
      <c r="U122" s="2"/>
      <c r="V122" s="2"/>
      <c r="W122" s="4"/>
    </row>
    <row r="123" ht="15.75" customHeight="1">
      <c r="B123" s="1"/>
      <c r="C123" s="1"/>
      <c r="D123" s="1"/>
      <c r="E123" s="1"/>
      <c r="F123" s="1"/>
      <c r="G123" s="1"/>
      <c r="H123" s="2"/>
      <c r="I123" s="3"/>
      <c r="J123" s="3"/>
      <c r="K123" s="3"/>
      <c r="L123" s="2"/>
      <c r="M123" s="2"/>
      <c r="N123" s="2"/>
      <c r="U123" s="2"/>
      <c r="V123" s="2"/>
      <c r="W123" s="4"/>
    </row>
    <row r="124" ht="15.75" customHeight="1">
      <c r="B124" s="1"/>
      <c r="C124" s="1"/>
      <c r="D124" s="1"/>
      <c r="E124" s="1"/>
      <c r="F124" s="1"/>
      <c r="G124" s="1"/>
      <c r="H124" s="2"/>
      <c r="I124" s="3"/>
      <c r="J124" s="3"/>
      <c r="K124" s="3"/>
      <c r="L124" s="2"/>
      <c r="M124" s="2"/>
      <c r="N124" s="2"/>
      <c r="U124" s="2"/>
      <c r="V124" s="2"/>
      <c r="W124" s="4"/>
    </row>
    <row r="125" ht="15.75" customHeight="1">
      <c r="B125" s="1"/>
      <c r="C125" s="1"/>
      <c r="D125" s="1"/>
      <c r="E125" s="1"/>
      <c r="F125" s="1"/>
      <c r="G125" s="1"/>
      <c r="H125" s="2"/>
      <c r="I125" s="3"/>
      <c r="J125" s="3"/>
      <c r="K125" s="3"/>
      <c r="L125" s="2"/>
      <c r="M125" s="2"/>
      <c r="N125" s="2"/>
      <c r="U125" s="2"/>
      <c r="V125" s="2"/>
      <c r="W125" s="4"/>
    </row>
    <row r="126" ht="15.75" customHeight="1">
      <c r="B126" s="1"/>
      <c r="C126" s="1"/>
      <c r="D126" s="1"/>
      <c r="E126" s="1"/>
      <c r="F126" s="1"/>
      <c r="G126" s="1"/>
      <c r="H126" s="2"/>
      <c r="I126" s="3"/>
      <c r="J126" s="3"/>
      <c r="K126" s="3"/>
      <c r="L126" s="2"/>
      <c r="M126" s="2"/>
      <c r="N126" s="2"/>
      <c r="U126" s="2"/>
      <c r="V126" s="2"/>
      <c r="W126" s="4"/>
    </row>
    <row r="127" ht="15.75" customHeight="1">
      <c r="B127" s="1"/>
      <c r="C127" s="1"/>
      <c r="D127" s="1"/>
      <c r="E127" s="1"/>
      <c r="F127" s="1"/>
      <c r="G127" s="1"/>
      <c r="H127" s="2"/>
      <c r="I127" s="3"/>
      <c r="J127" s="3"/>
      <c r="K127" s="3"/>
      <c r="L127" s="2"/>
      <c r="M127" s="2"/>
      <c r="N127" s="2"/>
      <c r="U127" s="2"/>
      <c r="V127" s="2"/>
      <c r="W127" s="4"/>
    </row>
    <row r="128" ht="15.75" customHeight="1">
      <c r="B128" s="1"/>
      <c r="C128" s="1"/>
      <c r="D128" s="1"/>
      <c r="E128" s="1"/>
      <c r="F128" s="1"/>
      <c r="G128" s="1"/>
      <c r="H128" s="2"/>
      <c r="I128" s="3"/>
      <c r="J128" s="3"/>
      <c r="K128" s="3"/>
      <c r="L128" s="2"/>
      <c r="M128" s="2"/>
      <c r="N128" s="2"/>
      <c r="U128" s="2"/>
      <c r="V128" s="2"/>
      <c r="W128" s="4"/>
    </row>
    <row r="129" ht="15.75" customHeight="1">
      <c r="B129" s="1"/>
      <c r="C129" s="1"/>
      <c r="D129" s="1"/>
      <c r="E129" s="1"/>
      <c r="F129" s="1"/>
      <c r="G129" s="1"/>
      <c r="H129" s="2"/>
      <c r="I129" s="3"/>
      <c r="J129" s="3"/>
      <c r="K129" s="3"/>
      <c r="L129" s="2"/>
      <c r="M129" s="2"/>
      <c r="N129" s="2"/>
      <c r="U129" s="2"/>
      <c r="V129" s="2"/>
      <c r="W129" s="4"/>
    </row>
    <row r="130" ht="15.75" customHeight="1">
      <c r="B130" s="1"/>
      <c r="C130" s="1"/>
      <c r="D130" s="1"/>
      <c r="E130" s="1"/>
      <c r="F130" s="1"/>
      <c r="G130" s="1"/>
      <c r="H130" s="2"/>
      <c r="I130" s="3"/>
      <c r="J130" s="3"/>
      <c r="K130" s="3"/>
      <c r="L130" s="2"/>
      <c r="M130" s="2"/>
      <c r="N130" s="2"/>
      <c r="U130" s="2"/>
      <c r="V130" s="2"/>
      <c r="W130" s="4"/>
    </row>
    <row r="131" ht="15.75" customHeight="1">
      <c r="B131" s="1"/>
      <c r="C131" s="1"/>
      <c r="D131" s="1"/>
      <c r="E131" s="1"/>
      <c r="F131" s="1"/>
      <c r="G131" s="1"/>
      <c r="H131" s="2"/>
      <c r="I131" s="3"/>
      <c r="J131" s="3"/>
      <c r="K131" s="3"/>
      <c r="L131" s="2"/>
      <c r="M131" s="2"/>
      <c r="N131" s="2"/>
      <c r="U131" s="2"/>
      <c r="V131" s="2"/>
      <c r="W131" s="4"/>
    </row>
    <row r="132" ht="15.75" customHeight="1">
      <c r="B132" s="1"/>
      <c r="C132" s="1"/>
      <c r="D132" s="1"/>
      <c r="E132" s="1"/>
      <c r="F132" s="1"/>
      <c r="G132" s="1"/>
      <c r="H132" s="2"/>
      <c r="I132" s="3"/>
      <c r="J132" s="3"/>
      <c r="K132" s="3"/>
      <c r="L132" s="2"/>
      <c r="M132" s="2"/>
      <c r="N132" s="2"/>
      <c r="U132" s="2"/>
      <c r="V132" s="2"/>
      <c r="W132" s="4"/>
    </row>
    <row r="133" ht="15.75" customHeight="1">
      <c r="B133" s="1"/>
      <c r="C133" s="1"/>
      <c r="D133" s="1"/>
      <c r="E133" s="1"/>
      <c r="F133" s="1"/>
      <c r="G133" s="1"/>
      <c r="H133" s="2"/>
      <c r="I133" s="3"/>
      <c r="J133" s="3"/>
      <c r="K133" s="3"/>
      <c r="L133" s="2"/>
      <c r="M133" s="2"/>
      <c r="N133" s="2"/>
      <c r="U133" s="2"/>
      <c r="V133" s="2"/>
      <c r="W133" s="4"/>
    </row>
    <row r="134" ht="15.75" customHeight="1">
      <c r="B134" s="1"/>
      <c r="C134" s="1"/>
      <c r="D134" s="1"/>
      <c r="E134" s="1"/>
      <c r="F134" s="1"/>
      <c r="G134" s="1"/>
      <c r="H134" s="2"/>
      <c r="I134" s="3"/>
      <c r="J134" s="3"/>
      <c r="K134" s="3"/>
      <c r="L134" s="2"/>
      <c r="M134" s="2"/>
      <c r="N134" s="2"/>
      <c r="U134" s="2"/>
      <c r="V134" s="2"/>
      <c r="W134" s="4"/>
    </row>
    <row r="135" ht="15.75" customHeight="1">
      <c r="B135" s="1"/>
      <c r="C135" s="1"/>
      <c r="D135" s="1"/>
      <c r="E135" s="1"/>
      <c r="F135" s="1"/>
      <c r="G135" s="1"/>
      <c r="H135" s="2"/>
      <c r="I135" s="3"/>
      <c r="J135" s="3"/>
      <c r="K135" s="3"/>
      <c r="L135" s="2"/>
      <c r="M135" s="2"/>
      <c r="N135" s="2"/>
      <c r="U135" s="2"/>
      <c r="V135" s="2"/>
      <c r="W135" s="4"/>
    </row>
    <row r="136" ht="15.75" customHeight="1">
      <c r="B136" s="1"/>
      <c r="C136" s="1"/>
      <c r="D136" s="1"/>
      <c r="E136" s="1"/>
      <c r="F136" s="1"/>
      <c r="G136" s="1"/>
      <c r="H136" s="2"/>
      <c r="I136" s="3"/>
      <c r="J136" s="3"/>
      <c r="K136" s="3"/>
      <c r="L136" s="2"/>
      <c r="M136" s="2"/>
      <c r="N136" s="2"/>
      <c r="U136" s="2"/>
      <c r="V136" s="2"/>
      <c r="W136" s="4"/>
    </row>
    <row r="137" ht="15.75" customHeight="1">
      <c r="B137" s="1"/>
      <c r="C137" s="1"/>
      <c r="D137" s="1"/>
      <c r="E137" s="1"/>
      <c r="F137" s="1"/>
      <c r="G137" s="1"/>
      <c r="H137" s="2"/>
      <c r="I137" s="3"/>
      <c r="J137" s="3"/>
      <c r="K137" s="3"/>
      <c r="L137" s="2"/>
      <c r="M137" s="2"/>
      <c r="N137" s="2"/>
      <c r="U137" s="2"/>
      <c r="V137" s="2"/>
      <c r="W137" s="4"/>
    </row>
    <row r="138" ht="15.75" customHeight="1">
      <c r="B138" s="1"/>
      <c r="C138" s="1"/>
      <c r="D138" s="1"/>
      <c r="E138" s="1"/>
      <c r="F138" s="1"/>
      <c r="G138" s="1"/>
      <c r="H138" s="2"/>
      <c r="I138" s="3"/>
      <c r="J138" s="3"/>
      <c r="K138" s="3"/>
      <c r="L138" s="2"/>
      <c r="M138" s="2"/>
      <c r="N138" s="2"/>
      <c r="U138" s="2"/>
      <c r="V138" s="2"/>
      <c r="W138" s="4"/>
    </row>
    <row r="139" ht="15.75" customHeight="1">
      <c r="B139" s="1"/>
      <c r="C139" s="1"/>
      <c r="D139" s="1"/>
      <c r="E139" s="1"/>
      <c r="F139" s="1"/>
      <c r="G139" s="1"/>
      <c r="H139" s="2"/>
      <c r="I139" s="3"/>
      <c r="J139" s="3"/>
      <c r="K139" s="3"/>
      <c r="L139" s="2"/>
      <c r="M139" s="2"/>
      <c r="N139" s="2"/>
      <c r="U139" s="2"/>
      <c r="V139" s="2"/>
      <c r="W139" s="4"/>
    </row>
    <row r="140" ht="15.75" customHeight="1">
      <c r="B140" s="1"/>
      <c r="C140" s="1"/>
      <c r="D140" s="1"/>
      <c r="E140" s="1"/>
      <c r="F140" s="1"/>
      <c r="G140" s="1"/>
      <c r="H140" s="2"/>
      <c r="I140" s="3"/>
      <c r="J140" s="3"/>
      <c r="K140" s="3"/>
      <c r="L140" s="2"/>
      <c r="M140" s="2"/>
      <c r="N140" s="2"/>
      <c r="U140" s="2"/>
      <c r="V140" s="2"/>
      <c r="W140" s="4"/>
    </row>
    <row r="141" ht="15.75" customHeight="1">
      <c r="B141" s="1"/>
      <c r="C141" s="1"/>
      <c r="D141" s="1"/>
      <c r="E141" s="1"/>
      <c r="F141" s="1"/>
      <c r="G141" s="1"/>
      <c r="H141" s="2"/>
      <c r="I141" s="3"/>
      <c r="J141" s="3"/>
      <c r="K141" s="3"/>
      <c r="L141" s="2"/>
      <c r="M141" s="2"/>
      <c r="N141" s="2"/>
      <c r="U141" s="2"/>
      <c r="V141" s="2"/>
      <c r="W141" s="4"/>
    </row>
    <row r="142" ht="15.75" customHeight="1">
      <c r="B142" s="1"/>
      <c r="C142" s="1"/>
      <c r="D142" s="1"/>
      <c r="E142" s="1"/>
      <c r="F142" s="1"/>
      <c r="G142" s="1"/>
      <c r="H142" s="2"/>
      <c r="I142" s="3"/>
      <c r="J142" s="3"/>
      <c r="K142" s="3"/>
      <c r="L142" s="2"/>
      <c r="M142" s="2"/>
      <c r="N142" s="2"/>
      <c r="U142" s="2"/>
      <c r="V142" s="2"/>
      <c r="W142" s="4"/>
    </row>
    <row r="143" ht="15.75" customHeight="1">
      <c r="B143" s="1"/>
      <c r="C143" s="1"/>
      <c r="D143" s="1"/>
      <c r="E143" s="1"/>
      <c r="F143" s="1"/>
      <c r="G143" s="1"/>
      <c r="H143" s="2"/>
      <c r="I143" s="3"/>
      <c r="J143" s="3"/>
      <c r="K143" s="3"/>
      <c r="L143" s="2"/>
      <c r="M143" s="2"/>
      <c r="N143" s="2"/>
      <c r="U143" s="2"/>
      <c r="V143" s="2"/>
      <c r="W143" s="4"/>
    </row>
    <row r="144" ht="15.75" customHeight="1">
      <c r="B144" s="1"/>
      <c r="C144" s="1"/>
      <c r="D144" s="1"/>
      <c r="E144" s="1"/>
      <c r="F144" s="1"/>
      <c r="G144" s="1"/>
      <c r="H144" s="2"/>
      <c r="I144" s="3"/>
      <c r="J144" s="3"/>
      <c r="K144" s="3"/>
      <c r="L144" s="2"/>
      <c r="M144" s="2"/>
      <c r="N144" s="2"/>
      <c r="U144" s="2"/>
      <c r="V144" s="2"/>
      <c r="W144" s="4"/>
    </row>
    <row r="145" ht="15.75" customHeight="1">
      <c r="B145" s="1"/>
      <c r="C145" s="1"/>
      <c r="D145" s="1"/>
      <c r="E145" s="1"/>
      <c r="F145" s="1"/>
      <c r="G145" s="1"/>
      <c r="H145" s="2"/>
      <c r="I145" s="3"/>
      <c r="J145" s="3"/>
      <c r="K145" s="3"/>
      <c r="L145" s="2"/>
      <c r="M145" s="2"/>
      <c r="N145" s="2"/>
      <c r="U145" s="2"/>
      <c r="V145" s="2"/>
      <c r="W145" s="4"/>
    </row>
    <row r="146" ht="15.75" customHeight="1">
      <c r="B146" s="1"/>
      <c r="C146" s="1"/>
      <c r="D146" s="1"/>
      <c r="E146" s="1"/>
      <c r="F146" s="1"/>
      <c r="G146" s="1"/>
      <c r="H146" s="2"/>
      <c r="I146" s="3"/>
      <c r="J146" s="3"/>
      <c r="K146" s="3"/>
      <c r="L146" s="2"/>
      <c r="M146" s="2"/>
      <c r="N146" s="2"/>
      <c r="U146" s="2"/>
      <c r="V146" s="2"/>
      <c r="W146" s="4"/>
    </row>
    <row r="147" ht="15.75" customHeight="1">
      <c r="B147" s="1"/>
      <c r="C147" s="1"/>
      <c r="D147" s="1"/>
      <c r="E147" s="1"/>
      <c r="F147" s="1"/>
      <c r="G147" s="1"/>
      <c r="H147" s="2"/>
      <c r="I147" s="3"/>
      <c r="J147" s="3"/>
      <c r="K147" s="3"/>
      <c r="L147" s="2"/>
      <c r="M147" s="2"/>
      <c r="N147" s="2"/>
      <c r="U147" s="2"/>
      <c r="V147" s="2"/>
      <c r="W147" s="4"/>
    </row>
    <row r="148" ht="15.75" customHeight="1">
      <c r="B148" s="1"/>
      <c r="C148" s="1"/>
      <c r="D148" s="1"/>
      <c r="E148" s="1"/>
      <c r="F148" s="1"/>
      <c r="G148" s="1"/>
      <c r="H148" s="2"/>
      <c r="I148" s="3"/>
      <c r="J148" s="3"/>
      <c r="K148" s="3"/>
      <c r="L148" s="2"/>
      <c r="M148" s="2"/>
      <c r="N148" s="2"/>
      <c r="U148" s="2"/>
      <c r="V148" s="2"/>
      <c r="W148" s="4"/>
    </row>
    <row r="149" ht="15.75" customHeight="1">
      <c r="B149" s="1"/>
      <c r="C149" s="1"/>
      <c r="D149" s="1"/>
      <c r="E149" s="1"/>
      <c r="F149" s="1"/>
      <c r="G149" s="1"/>
      <c r="H149" s="2"/>
      <c r="I149" s="3"/>
      <c r="J149" s="3"/>
      <c r="K149" s="3"/>
      <c r="L149" s="2"/>
      <c r="M149" s="2"/>
      <c r="N149" s="2"/>
      <c r="U149" s="2"/>
      <c r="V149" s="2"/>
      <c r="W149" s="4"/>
    </row>
    <row r="150" ht="15.75" customHeight="1">
      <c r="B150" s="1"/>
      <c r="C150" s="1"/>
      <c r="D150" s="1"/>
      <c r="E150" s="1"/>
      <c r="F150" s="1"/>
      <c r="G150" s="1"/>
      <c r="H150" s="2"/>
      <c r="I150" s="3"/>
      <c r="J150" s="3"/>
      <c r="K150" s="3"/>
      <c r="L150" s="2"/>
      <c r="M150" s="2"/>
      <c r="N150" s="2"/>
      <c r="U150" s="2"/>
      <c r="V150" s="2"/>
      <c r="W150" s="4"/>
    </row>
    <row r="151" ht="15.75" customHeight="1">
      <c r="B151" s="1"/>
      <c r="C151" s="1"/>
      <c r="D151" s="1"/>
      <c r="E151" s="1"/>
      <c r="F151" s="1"/>
      <c r="G151" s="1"/>
      <c r="H151" s="2"/>
      <c r="I151" s="3"/>
      <c r="J151" s="3"/>
      <c r="K151" s="3"/>
      <c r="L151" s="2"/>
      <c r="M151" s="2"/>
      <c r="N151" s="2"/>
      <c r="U151" s="2"/>
      <c r="V151" s="2"/>
      <c r="W151" s="4"/>
    </row>
    <row r="152" ht="15.75" customHeight="1">
      <c r="B152" s="1"/>
      <c r="C152" s="1"/>
      <c r="D152" s="1"/>
      <c r="E152" s="1"/>
      <c r="F152" s="1"/>
      <c r="G152" s="1"/>
      <c r="H152" s="2"/>
      <c r="I152" s="3"/>
      <c r="J152" s="3"/>
      <c r="K152" s="3"/>
      <c r="L152" s="2"/>
      <c r="M152" s="2"/>
      <c r="N152" s="2"/>
      <c r="U152" s="2"/>
      <c r="V152" s="2"/>
      <c r="W152" s="4"/>
    </row>
    <row r="153" ht="15.75" customHeight="1">
      <c r="B153" s="1"/>
      <c r="C153" s="1"/>
      <c r="D153" s="1"/>
      <c r="E153" s="1"/>
      <c r="F153" s="1"/>
      <c r="G153" s="1"/>
      <c r="H153" s="2"/>
      <c r="I153" s="3"/>
      <c r="J153" s="3"/>
      <c r="K153" s="3"/>
      <c r="L153" s="2"/>
      <c r="M153" s="2"/>
      <c r="N153" s="2"/>
      <c r="U153" s="2"/>
      <c r="V153" s="2"/>
      <c r="W153" s="4"/>
    </row>
    <row r="154" ht="15.75" customHeight="1">
      <c r="B154" s="1"/>
      <c r="C154" s="1"/>
      <c r="D154" s="1"/>
      <c r="E154" s="1"/>
      <c r="F154" s="1"/>
      <c r="G154" s="1"/>
      <c r="H154" s="2"/>
      <c r="I154" s="3"/>
      <c r="J154" s="3"/>
      <c r="K154" s="3"/>
      <c r="L154" s="2"/>
      <c r="M154" s="2"/>
      <c r="N154" s="2"/>
      <c r="U154" s="2"/>
      <c r="V154" s="2"/>
      <c r="W154" s="4"/>
    </row>
    <row r="155" ht="15.75" customHeight="1">
      <c r="B155" s="1"/>
      <c r="C155" s="1"/>
      <c r="D155" s="1"/>
      <c r="E155" s="1"/>
      <c r="F155" s="1"/>
      <c r="G155" s="1"/>
      <c r="H155" s="2"/>
      <c r="I155" s="3"/>
      <c r="J155" s="3"/>
      <c r="K155" s="3"/>
      <c r="L155" s="2"/>
      <c r="M155" s="2"/>
      <c r="N155" s="2"/>
      <c r="U155" s="2"/>
      <c r="V155" s="2"/>
      <c r="W155" s="4"/>
    </row>
    <row r="156" ht="15.75" customHeight="1">
      <c r="B156" s="1"/>
      <c r="C156" s="1"/>
      <c r="D156" s="1"/>
      <c r="E156" s="1"/>
      <c r="F156" s="1"/>
      <c r="G156" s="1"/>
      <c r="H156" s="2"/>
      <c r="I156" s="3"/>
      <c r="J156" s="3"/>
      <c r="K156" s="3"/>
      <c r="L156" s="2"/>
      <c r="M156" s="2"/>
      <c r="N156" s="2"/>
      <c r="U156" s="2"/>
      <c r="V156" s="2"/>
      <c r="W156" s="4"/>
    </row>
    <row r="157" ht="15.75" customHeight="1">
      <c r="B157" s="1"/>
      <c r="C157" s="1"/>
      <c r="D157" s="1"/>
      <c r="E157" s="1"/>
      <c r="F157" s="1"/>
      <c r="G157" s="1"/>
      <c r="H157" s="2"/>
      <c r="I157" s="3"/>
      <c r="J157" s="3"/>
      <c r="K157" s="3"/>
      <c r="L157" s="2"/>
      <c r="M157" s="2"/>
      <c r="N157" s="2"/>
      <c r="U157" s="2"/>
      <c r="V157" s="2"/>
      <c r="W157" s="4"/>
    </row>
    <row r="158" ht="15.75" customHeight="1">
      <c r="B158" s="1"/>
      <c r="C158" s="1"/>
      <c r="D158" s="1"/>
      <c r="E158" s="1"/>
      <c r="F158" s="1"/>
      <c r="G158" s="1"/>
      <c r="H158" s="2"/>
      <c r="I158" s="3"/>
      <c r="J158" s="3"/>
      <c r="K158" s="3"/>
      <c r="L158" s="2"/>
      <c r="M158" s="2"/>
      <c r="N158" s="2"/>
      <c r="U158" s="2"/>
      <c r="V158" s="2"/>
      <c r="W158" s="4"/>
    </row>
    <row r="159" ht="15.75" customHeight="1">
      <c r="B159" s="1"/>
      <c r="C159" s="1"/>
      <c r="D159" s="1"/>
      <c r="E159" s="1"/>
      <c r="F159" s="1"/>
      <c r="G159" s="1"/>
      <c r="H159" s="2"/>
      <c r="I159" s="3"/>
      <c r="J159" s="3"/>
      <c r="K159" s="3"/>
      <c r="L159" s="2"/>
      <c r="M159" s="2"/>
      <c r="N159" s="2"/>
      <c r="U159" s="2"/>
      <c r="V159" s="2"/>
      <c r="W159" s="4"/>
    </row>
    <row r="160" ht="15.75" customHeight="1">
      <c r="B160" s="1"/>
      <c r="C160" s="1"/>
      <c r="D160" s="1"/>
      <c r="E160" s="1"/>
      <c r="F160" s="1"/>
      <c r="G160" s="1"/>
      <c r="H160" s="2"/>
      <c r="I160" s="3"/>
      <c r="J160" s="3"/>
      <c r="K160" s="3"/>
      <c r="L160" s="2"/>
      <c r="M160" s="2"/>
      <c r="N160" s="2"/>
      <c r="U160" s="2"/>
      <c r="V160" s="2"/>
      <c r="W160" s="4"/>
    </row>
    <row r="161" ht="15.75" customHeight="1">
      <c r="B161" s="1"/>
      <c r="C161" s="1"/>
      <c r="D161" s="1"/>
      <c r="E161" s="1"/>
      <c r="F161" s="1"/>
      <c r="G161" s="1"/>
      <c r="H161" s="2"/>
      <c r="I161" s="3"/>
      <c r="J161" s="3"/>
      <c r="K161" s="3"/>
      <c r="L161" s="2"/>
      <c r="M161" s="2"/>
      <c r="N161" s="2"/>
      <c r="U161" s="2"/>
      <c r="V161" s="2"/>
      <c r="W161" s="4"/>
    </row>
    <row r="162" ht="15.75" customHeight="1">
      <c r="B162" s="1"/>
      <c r="C162" s="1"/>
      <c r="D162" s="1"/>
      <c r="E162" s="1"/>
      <c r="F162" s="1"/>
      <c r="G162" s="1"/>
      <c r="H162" s="2"/>
      <c r="I162" s="3"/>
      <c r="J162" s="3"/>
      <c r="K162" s="3"/>
      <c r="L162" s="2"/>
      <c r="M162" s="2"/>
      <c r="N162" s="2"/>
      <c r="U162" s="2"/>
      <c r="V162" s="2"/>
      <c r="W162" s="4"/>
    </row>
    <row r="163" ht="15.75" customHeight="1">
      <c r="B163" s="1"/>
      <c r="C163" s="1"/>
      <c r="D163" s="1"/>
      <c r="E163" s="1"/>
      <c r="F163" s="1"/>
      <c r="G163" s="1"/>
      <c r="H163" s="2"/>
      <c r="I163" s="3"/>
      <c r="J163" s="3"/>
      <c r="K163" s="3"/>
      <c r="L163" s="2"/>
      <c r="M163" s="2"/>
      <c r="N163" s="2"/>
      <c r="U163" s="2"/>
      <c r="V163" s="2"/>
      <c r="W163" s="4"/>
    </row>
    <row r="164" ht="15.75" customHeight="1">
      <c r="B164" s="1"/>
      <c r="C164" s="1"/>
      <c r="D164" s="1"/>
      <c r="E164" s="1"/>
      <c r="F164" s="1"/>
      <c r="G164" s="1"/>
      <c r="H164" s="2"/>
      <c r="I164" s="3"/>
      <c r="J164" s="3"/>
      <c r="K164" s="3"/>
      <c r="L164" s="2"/>
      <c r="M164" s="2"/>
      <c r="N164" s="2"/>
      <c r="U164" s="2"/>
      <c r="V164" s="2"/>
      <c r="W164" s="4"/>
    </row>
    <row r="165" ht="15.75" customHeight="1">
      <c r="B165" s="1"/>
      <c r="C165" s="1"/>
      <c r="D165" s="1"/>
      <c r="E165" s="1"/>
      <c r="F165" s="1"/>
      <c r="G165" s="1"/>
      <c r="H165" s="2"/>
      <c r="I165" s="3"/>
      <c r="J165" s="3"/>
      <c r="K165" s="3"/>
      <c r="L165" s="2"/>
      <c r="M165" s="2"/>
      <c r="N165" s="2"/>
      <c r="U165" s="2"/>
      <c r="V165" s="2"/>
      <c r="W165" s="4"/>
    </row>
    <row r="166" ht="15.75" customHeight="1">
      <c r="B166" s="1"/>
      <c r="C166" s="1"/>
      <c r="D166" s="1"/>
      <c r="E166" s="1"/>
      <c r="F166" s="1"/>
      <c r="G166" s="1"/>
      <c r="H166" s="2"/>
      <c r="I166" s="3"/>
      <c r="J166" s="3"/>
      <c r="K166" s="3"/>
      <c r="L166" s="2"/>
      <c r="M166" s="2"/>
      <c r="N166" s="2"/>
      <c r="U166" s="2"/>
      <c r="V166" s="2"/>
      <c r="W166" s="4"/>
    </row>
    <row r="167" ht="15.75" customHeight="1">
      <c r="B167" s="1"/>
      <c r="C167" s="1"/>
      <c r="D167" s="1"/>
      <c r="E167" s="1"/>
      <c r="F167" s="1"/>
      <c r="G167" s="1"/>
      <c r="H167" s="2"/>
      <c r="I167" s="3"/>
      <c r="J167" s="3"/>
      <c r="K167" s="3"/>
      <c r="L167" s="2"/>
      <c r="M167" s="2"/>
      <c r="N167" s="2"/>
      <c r="U167" s="2"/>
      <c r="V167" s="2"/>
      <c r="W167" s="4"/>
    </row>
    <row r="168" ht="15.75" customHeight="1">
      <c r="B168" s="1"/>
      <c r="C168" s="1"/>
      <c r="D168" s="1"/>
      <c r="E168" s="1"/>
      <c r="F168" s="1"/>
      <c r="G168" s="1"/>
      <c r="H168" s="2"/>
      <c r="I168" s="3"/>
      <c r="J168" s="3"/>
      <c r="K168" s="3"/>
      <c r="L168" s="2"/>
      <c r="M168" s="2"/>
      <c r="N168" s="2"/>
      <c r="U168" s="2"/>
      <c r="V168" s="2"/>
      <c r="W168" s="4"/>
    </row>
    <row r="169" ht="15.75" customHeight="1">
      <c r="B169" s="1"/>
      <c r="C169" s="1"/>
      <c r="D169" s="1"/>
      <c r="E169" s="1"/>
      <c r="F169" s="1"/>
      <c r="G169" s="1"/>
      <c r="H169" s="2"/>
      <c r="I169" s="3"/>
      <c r="J169" s="3"/>
      <c r="K169" s="3"/>
      <c r="L169" s="2"/>
      <c r="M169" s="2"/>
      <c r="N169" s="2"/>
      <c r="U169" s="2"/>
      <c r="V169" s="2"/>
      <c r="W169" s="4"/>
    </row>
    <row r="170" ht="15.75" customHeight="1">
      <c r="B170" s="1"/>
      <c r="C170" s="1"/>
      <c r="D170" s="1"/>
      <c r="E170" s="1"/>
      <c r="F170" s="1"/>
      <c r="G170" s="1"/>
      <c r="H170" s="2"/>
      <c r="I170" s="3"/>
      <c r="J170" s="3"/>
      <c r="K170" s="3"/>
      <c r="L170" s="2"/>
      <c r="M170" s="2"/>
      <c r="N170" s="2"/>
      <c r="U170" s="2"/>
      <c r="V170" s="2"/>
      <c r="W170" s="4"/>
    </row>
    <row r="171" ht="15.75" customHeight="1">
      <c r="B171" s="1"/>
      <c r="C171" s="1"/>
      <c r="D171" s="1"/>
      <c r="E171" s="1"/>
      <c r="F171" s="1"/>
      <c r="G171" s="1"/>
      <c r="H171" s="2"/>
      <c r="I171" s="3"/>
      <c r="J171" s="3"/>
      <c r="K171" s="3"/>
      <c r="L171" s="2"/>
      <c r="M171" s="2"/>
      <c r="N171" s="2"/>
      <c r="U171" s="2"/>
      <c r="V171" s="2"/>
      <c r="W171" s="4"/>
    </row>
    <row r="172" ht="15.75" customHeight="1">
      <c r="B172" s="1"/>
      <c r="C172" s="1"/>
      <c r="D172" s="1"/>
      <c r="E172" s="1"/>
      <c r="F172" s="1"/>
      <c r="G172" s="1"/>
      <c r="H172" s="2"/>
      <c r="I172" s="3"/>
      <c r="J172" s="3"/>
      <c r="K172" s="3"/>
      <c r="L172" s="2"/>
      <c r="M172" s="2"/>
      <c r="N172" s="2"/>
      <c r="U172" s="2"/>
      <c r="V172" s="2"/>
      <c r="W172" s="4"/>
    </row>
    <row r="173" ht="15.75" customHeight="1">
      <c r="B173" s="1"/>
      <c r="C173" s="1"/>
      <c r="D173" s="1"/>
      <c r="E173" s="1"/>
      <c r="F173" s="1"/>
      <c r="G173" s="1"/>
      <c r="H173" s="2"/>
      <c r="I173" s="3"/>
      <c r="J173" s="3"/>
      <c r="K173" s="3"/>
      <c r="L173" s="2"/>
      <c r="M173" s="2"/>
      <c r="N173" s="2"/>
      <c r="U173" s="2"/>
      <c r="V173" s="2"/>
      <c r="W173" s="4"/>
    </row>
    <row r="174" ht="15.75" customHeight="1">
      <c r="B174" s="1"/>
      <c r="C174" s="1"/>
      <c r="D174" s="1"/>
      <c r="E174" s="1"/>
      <c r="F174" s="1"/>
      <c r="G174" s="1"/>
      <c r="H174" s="2"/>
      <c r="I174" s="3"/>
      <c r="J174" s="3"/>
      <c r="K174" s="3"/>
      <c r="L174" s="2"/>
      <c r="M174" s="2"/>
      <c r="N174" s="2"/>
      <c r="U174" s="2"/>
      <c r="V174" s="2"/>
      <c r="W174" s="4"/>
    </row>
    <row r="175" ht="15.75" customHeight="1">
      <c r="B175" s="1"/>
      <c r="C175" s="1"/>
      <c r="D175" s="1"/>
      <c r="E175" s="1"/>
      <c r="F175" s="1"/>
      <c r="G175" s="1"/>
      <c r="H175" s="2"/>
      <c r="I175" s="3"/>
      <c r="J175" s="3"/>
      <c r="K175" s="3"/>
      <c r="L175" s="2"/>
      <c r="M175" s="2"/>
      <c r="N175" s="2"/>
      <c r="U175" s="2"/>
      <c r="V175" s="2"/>
      <c r="W175" s="4"/>
    </row>
    <row r="176" ht="15.75" customHeight="1">
      <c r="B176" s="1"/>
      <c r="C176" s="1"/>
      <c r="D176" s="1"/>
      <c r="E176" s="1"/>
      <c r="F176" s="1"/>
      <c r="G176" s="1"/>
      <c r="H176" s="2"/>
      <c r="I176" s="3"/>
      <c r="J176" s="3"/>
      <c r="K176" s="3"/>
      <c r="L176" s="2"/>
      <c r="M176" s="2"/>
      <c r="N176" s="2"/>
      <c r="U176" s="2"/>
      <c r="V176" s="2"/>
      <c r="W176" s="4"/>
    </row>
    <row r="177" ht="15.75" customHeight="1">
      <c r="B177" s="1"/>
      <c r="C177" s="1"/>
      <c r="D177" s="1"/>
      <c r="E177" s="1"/>
      <c r="F177" s="1"/>
      <c r="G177" s="1"/>
      <c r="H177" s="2"/>
      <c r="I177" s="3"/>
      <c r="J177" s="3"/>
      <c r="K177" s="3"/>
      <c r="L177" s="2"/>
      <c r="M177" s="2"/>
      <c r="N177" s="2"/>
      <c r="U177" s="2"/>
      <c r="V177" s="2"/>
      <c r="W177" s="4"/>
    </row>
    <row r="178" ht="15.75" customHeight="1">
      <c r="B178" s="1"/>
      <c r="C178" s="1"/>
      <c r="D178" s="1"/>
      <c r="E178" s="1"/>
      <c r="F178" s="1"/>
      <c r="G178" s="1"/>
      <c r="H178" s="2"/>
      <c r="I178" s="3"/>
      <c r="J178" s="3"/>
      <c r="K178" s="3"/>
      <c r="L178" s="2"/>
      <c r="M178" s="2"/>
      <c r="N178" s="2"/>
      <c r="U178" s="2"/>
      <c r="V178" s="2"/>
      <c r="W178" s="4"/>
    </row>
    <row r="179" ht="15.75" customHeight="1">
      <c r="B179" s="1"/>
      <c r="C179" s="1"/>
      <c r="D179" s="1"/>
      <c r="E179" s="1"/>
      <c r="F179" s="1"/>
      <c r="G179" s="1"/>
      <c r="H179" s="2"/>
      <c r="I179" s="3"/>
      <c r="J179" s="3"/>
      <c r="K179" s="3"/>
      <c r="L179" s="2"/>
      <c r="M179" s="2"/>
      <c r="N179" s="2"/>
      <c r="U179" s="2"/>
      <c r="V179" s="2"/>
      <c r="W179" s="4"/>
    </row>
    <row r="180" ht="15.75" customHeight="1">
      <c r="B180" s="1"/>
      <c r="C180" s="1"/>
      <c r="D180" s="1"/>
      <c r="E180" s="1"/>
      <c r="F180" s="1"/>
      <c r="G180" s="1"/>
      <c r="H180" s="2"/>
      <c r="I180" s="3"/>
      <c r="J180" s="3"/>
      <c r="K180" s="3"/>
      <c r="L180" s="2"/>
      <c r="M180" s="2"/>
      <c r="N180" s="2"/>
      <c r="U180" s="2"/>
      <c r="V180" s="2"/>
      <c r="W180" s="4"/>
    </row>
    <row r="181" ht="15.75" customHeight="1">
      <c r="B181" s="1"/>
      <c r="C181" s="1"/>
      <c r="D181" s="1"/>
      <c r="E181" s="1"/>
      <c r="F181" s="1"/>
      <c r="G181" s="1"/>
      <c r="H181" s="2"/>
      <c r="I181" s="3"/>
      <c r="J181" s="3"/>
      <c r="K181" s="3"/>
      <c r="L181" s="2"/>
      <c r="M181" s="2"/>
      <c r="N181" s="2"/>
      <c r="U181" s="2"/>
      <c r="V181" s="2"/>
      <c r="W181" s="4"/>
    </row>
    <row r="182" ht="15.75" customHeight="1">
      <c r="B182" s="1"/>
      <c r="C182" s="1"/>
      <c r="D182" s="1"/>
      <c r="E182" s="1"/>
      <c r="F182" s="1"/>
      <c r="G182" s="1"/>
      <c r="H182" s="2"/>
      <c r="I182" s="3"/>
      <c r="J182" s="3"/>
      <c r="K182" s="3"/>
      <c r="L182" s="2"/>
      <c r="M182" s="2"/>
      <c r="N182" s="2"/>
      <c r="U182" s="2"/>
      <c r="V182" s="2"/>
      <c r="W182" s="4"/>
    </row>
    <row r="183" ht="15.75" customHeight="1">
      <c r="B183" s="1"/>
      <c r="C183" s="1"/>
      <c r="D183" s="1"/>
      <c r="E183" s="1"/>
      <c r="F183" s="1"/>
      <c r="G183" s="1"/>
      <c r="H183" s="2"/>
      <c r="I183" s="3"/>
      <c r="J183" s="3"/>
      <c r="K183" s="3"/>
      <c r="L183" s="2"/>
      <c r="M183" s="2"/>
      <c r="N183" s="2"/>
      <c r="U183" s="2"/>
      <c r="V183" s="2"/>
      <c r="W183" s="4"/>
    </row>
    <row r="184" ht="15.75" customHeight="1">
      <c r="B184" s="1"/>
      <c r="C184" s="1"/>
      <c r="D184" s="1"/>
      <c r="E184" s="1"/>
      <c r="F184" s="1"/>
      <c r="G184" s="1"/>
      <c r="H184" s="2"/>
      <c r="I184" s="3"/>
      <c r="J184" s="3"/>
      <c r="K184" s="3"/>
      <c r="L184" s="2"/>
      <c r="M184" s="2"/>
      <c r="N184" s="2"/>
      <c r="U184" s="2"/>
      <c r="V184" s="2"/>
      <c r="W184" s="4"/>
    </row>
    <row r="185" ht="15.75" customHeight="1">
      <c r="B185" s="1"/>
      <c r="C185" s="1"/>
      <c r="D185" s="1"/>
      <c r="E185" s="1"/>
      <c r="F185" s="1"/>
      <c r="G185" s="1"/>
      <c r="H185" s="2"/>
      <c r="I185" s="3"/>
      <c r="J185" s="3"/>
      <c r="K185" s="3"/>
      <c r="L185" s="2"/>
      <c r="M185" s="2"/>
      <c r="N185" s="2"/>
      <c r="U185" s="2"/>
      <c r="V185" s="2"/>
      <c r="W185" s="4"/>
    </row>
    <row r="186" ht="15.75" customHeight="1">
      <c r="B186" s="1"/>
      <c r="C186" s="1"/>
      <c r="D186" s="1"/>
      <c r="E186" s="1"/>
      <c r="F186" s="1"/>
      <c r="G186" s="1"/>
      <c r="H186" s="2"/>
      <c r="I186" s="3"/>
      <c r="J186" s="3"/>
      <c r="K186" s="3"/>
      <c r="L186" s="2"/>
      <c r="M186" s="2"/>
      <c r="N186" s="2"/>
      <c r="U186" s="2"/>
      <c r="V186" s="2"/>
      <c r="W186" s="4"/>
    </row>
    <row r="187" ht="15.75" customHeight="1">
      <c r="B187" s="1"/>
      <c r="C187" s="1"/>
      <c r="D187" s="1"/>
      <c r="E187" s="1"/>
      <c r="F187" s="1"/>
      <c r="G187" s="1"/>
      <c r="H187" s="2"/>
      <c r="I187" s="3"/>
      <c r="J187" s="3"/>
      <c r="K187" s="3"/>
      <c r="L187" s="2"/>
      <c r="M187" s="2"/>
      <c r="N187" s="2"/>
      <c r="U187" s="2"/>
      <c r="V187" s="2"/>
      <c r="W187" s="4"/>
    </row>
    <row r="188" ht="15.75" customHeight="1">
      <c r="B188" s="1"/>
      <c r="C188" s="1"/>
      <c r="D188" s="1"/>
      <c r="E188" s="1"/>
      <c r="F188" s="1"/>
      <c r="G188" s="1"/>
      <c r="H188" s="2"/>
      <c r="I188" s="3"/>
      <c r="J188" s="3"/>
      <c r="K188" s="3"/>
      <c r="L188" s="2"/>
      <c r="M188" s="2"/>
      <c r="N188" s="2"/>
      <c r="U188" s="2"/>
      <c r="V188" s="2"/>
      <c r="W188" s="4"/>
    </row>
    <row r="189" ht="15.75" customHeight="1">
      <c r="B189" s="1"/>
      <c r="C189" s="1"/>
      <c r="D189" s="1"/>
      <c r="E189" s="1"/>
      <c r="F189" s="1"/>
      <c r="G189" s="1"/>
      <c r="H189" s="2"/>
      <c r="I189" s="3"/>
      <c r="J189" s="3"/>
      <c r="K189" s="3"/>
      <c r="L189" s="2"/>
      <c r="M189" s="2"/>
      <c r="N189" s="2"/>
      <c r="U189" s="2"/>
      <c r="V189" s="2"/>
      <c r="W189" s="4"/>
    </row>
    <row r="190" ht="15.75" customHeight="1">
      <c r="B190" s="1"/>
      <c r="C190" s="1"/>
      <c r="D190" s="1"/>
      <c r="E190" s="1"/>
      <c r="F190" s="1"/>
      <c r="G190" s="1"/>
      <c r="H190" s="2"/>
      <c r="I190" s="3"/>
      <c r="J190" s="3"/>
      <c r="K190" s="3"/>
      <c r="L190" s="2"/>
      <c r="M190" s="2"/>
      <c r="N190" s="2"/>
      <c r="U190" s="2"/>
      <c r="V190" s="2"/>
      <c r="W190" s="4"/>
    </row>
    <row r="191" ht="15.75" customHeight="1">
      <c r="B191" s="1"/>
      <c r="C191" s="1"/>
      <c r="D191" s="1"/>
      <c r="E191" s="1"/>
      <c r="F191" s="1"/>
      <c r="G191" s="1"/>
      <c r="H191" s="2"/>
      <c r="I191" s="3"/>
      <c r="J191" s="3"/>
      <c r="K191" s="3"/>
      <c r="L191" s="2"/>
      <c r="M191" s="2"/>
      <c r="N191" s="2"/>
      <c r="U191" s="2"/>
      <c r="V191" s="2"/>
      <c r="W191" s="4"/>
    </row>
    <row r="192" ht="15.75" customHeight="1">
      <c r="B192" s="1"/>
      <c r="C192" s="1"/>
      <c r="D192" s="1"/>
      <c r="E192" s="1"/>
      <c r="F192" s="1"/>
      <c r="G192" s="1"/>
      <c r="H192" s="2"/>
      <c r="I192" s="3"/>
      <c r="J192" s="3"/>
      <c r="K192" s="3"/>
      <c r="L192" s="2"/>
      <c r="M192" s="2"/>
      <c r="N192" s="2"/>
      <c r="U192" s="2"/>
      <c r="V192" s="2"/>
      <c r="W192" s="4"/>
    </row>
    <row r="193" ht="15.75" customHeight="1">
      <c r="B193" s="1"/>
      <c r="C193" s="1"/>
      <c r="D193" s="1"/>
      <c r="E193" s="1"/>
      <c r="F193" s="1"/>
      <c r="G193" s="1"/>
      <c r="H193" s="2"/>
      <c r="I193" s="3"/>
      <c r="J193" s="3"/>
      <c r="K193" s="3"/>
      <c r="L193" s="2"/>
      <c r="M193" s="2"/>
      <c r="N193" s="2"/>
      <c r="U193" s="2"/>
      <c r="V193" s="2"/>
      <c r="W193" s="4"/>
    </row>
    <row r="194" ht="15.75" customHeight="1">
      <c r="B194" s="1"/>
      <c r="C194" s="1"/>
      <c r="D194" s="1"/>
      <c r="E194" s="1"/>
      <c r="F194" s="1"/>
      <c r="G194" s="1"/>
      <c r="H194" s="2"/>
      <c r="I194" s="3"/>
      <c r="J194" s="3"/>
      <c r="K194" s="3"/>
      <c r="L194" s="2"/>
      <c r="M194" s="2"/>
      <c r="N194" s="2"/>
      <c r="U194" s="2"/>
      <c r="V194" s="2"/>
      <c r="W194" s="4"/>
    </row>
    <row r="195" ht="15.75" customHeight="1">
      <c r="B195" s="1"/>
      <c r="C195" s="1"/>
      <c r="D195" s="1"/>
      <c r="E195" s="1"/>
      <c r="F195" s="1"/>
      <c r="G195" s="1"/>
      <c r="H195" s="2"/>
      <c r="I195" s="3"/>
      <c r="J195" s="3"/>
      <c r="K195" s="3"/>
      <c r="L195" s="2"/>
      <c r="M195" s="2"/>
      <c r="N195" s="2"/>
      <c r="U195" s="2"/>
      <c r="V195" s="2"/>
      <c r="W195" s="4"/>
    </row>
    <row r="196" ht="15.75" customHeight="1">
      <c r="B196" s="1"/>
      <c r="C196" s="1"/>
      <c r="D196" s="1"/>
      <c r="E196" s="1"/>
      <c r="F196" s="1"/>
      <c r="G196" s="1"/>
      <c r="H196" s="2"/>
      <c r="I196" s="3"/>
      <c r="J196" s="3"/>
      <c r="K196" s="3"/>
      <c r="L196" s="2"/>
      <c r="M196" s="2"/>
      <c r="N196" s="2"/>
      <c r="U196" s="2"/>
      <c r="V196" s="2"/>
      <c r="W196" s="4"/>
    </row>
    <row r="197" ht="15.75" customHeight="1">
      <c r="B197" s="1"/>
      <c r="C197" s="1"/>
      <c r="D197" s="1"/>
      <c r="E197" s="1"/>
      <c r="F197" s="1"/>
      <c r="G197" s="1"/>
      <c r="H197" s="2"/>
      <c r="I197" s="3"/>
      <c r="J197" s="3"/>
      <c r="K197" s="3"/>
      <c r="L197" s="2"/>
      <c r="M197" s="2"/>
      <c r="N197" s="2"/>
      <c r="U197" s="2"/>
      <c r="V197" s="2"/>
      <c r="W197" s="4"/>
    </row>
    <row r="198" ht="15.75" customHeight="1">
      <c r="B198" s="1"/>
      <c r="C198" s="1"/>
      <c r="D198" s="1"/>
      <c r="E198" s="1"/>
      <c r="F198" s="1"/>
      <c r="G198" s="1"/>
      <c r="H198" s="2"/>
      <c r="I198" s="3"/>
      <c r="J198" s="3"/>
      <c r="K198" s="3"/>
      <c r="L198" s="2"/>
      <c r="M198" s="2"/>
      <c r="N198" s="2"/>
      <c r="U198" s="2"/>
      <c r="V198" s="2"/>
      <c r="W198" s="4"/>
    </row>
    <row r="199" ht="15.75" customHeight="1">
      <c r="B199" s="1"/>
      <c r="C199" s="1"/>
      <c r="D199" s="1"/>
      <c r="E199" s="1"/>
      <c r="F199" s="1"/>
      <c r="G199" s="1"/>
      <c r="H199" s="2"/>
      <c r="I199" s="3"/>
      <c r="J199" s="3"/>
      <c r="K199" s="3"/>
      <c r="L199" s="2"/>
      <c r="M199" s="2"/>
      <c r="N199" s="2"/>
      <c r="U199" s="2"/>
      <c r="V199" s="2"/>
      <c r="W199" s="4"/>
    </row>
    <row r="200" ht="15.75" customHeight="1">
      <c r="B200" s="1"/>
      <c r="C200" s="1"/>
      <c r="D200" s="1"/>
      <c r="E200" s="1"/>
      <c r="F200" s="1"/>
      <c r="G200" s="1"/>
      <c r="H200" s="2"/>
      <c r="I200" s="3"/>
      <c r="J200" s="3"/>
      <c r="K200" s="3"/>
      <c r="L200" s="2"/>
      <c r="M200" s="2"/>
      <c r="N200" s="2"/>
      <c r="U200" s="2"/>
      <c r="V200" s="2"/>
      <c r="W200" s="4"/>
    </row>
    <row r="201" ht="15.75" customHeight="1">
      <c r="B201" s="1"/>
      <c r="C201" s="1"/>
      <c r="D201" s="1"/>
      <c r="E201" s="1"/>
      <c r="F201" s="1"/>
      <c r="G201" s="1"/>
      <c r="H201" s="2"/>
      <c r="I201" s="3"/>
      <c r="J201" s="3"/>
      <c r="K201" s="3"/>
      <c r="L201" s="2"/>
      <c r="M201" s="2"/>
      <c r="N201" s="2"/>
      <c r="U201" s="2"/>
      <c r="V201" s="2"/>
      <c r="W201" s="4"/>
    </row>
    <row r="202" ht="15.75" customHeight="1">
      <c r="B202" s="1"/>
      <c r="C202" s="1"/>
      <c r="D202" s="1"/>
      <c r="E202" s="1"/>
      <c r="F202" s="1"/>
      <c r="G202" s="1"/>
      <c r="H202" s="2"/>
      <c r="I202" s="3"/>
      <c r="J202" s="3"/>
      <c r="K202" s="3"/>
      <c r="L202" s="2"/>
      <c r="M202" s="2"/>
      <c r="N202" s="2"/>
      <c r="U202" s="2"/>
      <c r="V202" s="2"/>
      <c r="W202" s="4"/>
    </row>
    <row r="203" ht="15.75" customHeight="1">
      <c r="B203" s="1"/>
      <c r="C203" s="1"/>
      <c r="D203" s="1"/>
      <c r="E203" s="1"/>
      <c r="F203" s="1"/>
      <c r="G203" s="1"/>
      <c r="H203" s="2"/>
      <c r="I203" s="3"/>
      <c r="J203" s="3"/>
      <c r="K203" s="3"/>
      <c r="L203" s="2"/>
      <c r="M203" s="2"/>
      <c r="N203" s="2"/>
      <c r="U203" s="2"/>
      <c r="V203" s="2"/>
      <c r="W203" s="4"/>
    </row>
    <row r="204" ht="15.75" customHeight="1">
      <c r="B204" s="1"/>
      <c r="C204" s="1"/>
      <c r="D204" s="1"/>
      <c r="E204" s="1"/>
      <c r="F204" s="1"/>
      <c r="G204" s="1"/>
      <c r="H204" s="2"/>
      <c r="I204" s="3"/>
      <c r="J204" s="3"/>
      <c r="K204" s="3"/>
      <c r="L204" s="2"/>
      <c r="M204" s="2"/>
      <c r="N204" s="2"/>
      <c r="U204" s="2"/>
      <c r="V204" s="2"/>
      <c r="W204" s="4"/>
    </row>
    <row r="205" ht="15.75" customHeight="1">
      <c r="B205" s="1"/>
      <c r="C205" s="1"/>
      <c r="D205" s="1"/>
      <c r="E205" s="1"/>
      <c r="F205" s="1"/>
      <c r="G205" s="1"/>
      <c r="H205" s="2"/>
      <c r="I205" s="3"/>
      <c r="J205" s="3"/>
      <c r="K205" s="3"/>
      <c r="L205" s="2"/>
      <c r="M205" s="2"/>
      <c r="N205" s="2"/>
      <c r="U205" s="2"/>
      <c r="V205" s="2"/>
      <c r="W205" s="4"/>
    </row>
    <row r="206" ht="15.75" customHeight="1">
      <c r="B206" s="1"/>
      <c r="C206" s="1"/>
      <c r="D206" s="1"/>
      <c r="E206" s="1"/>
      <c r="F206" s="1"/>
      <c r="G206" s="1"/>
      <c r="H206" s="2"/>
      <c r="I206" s="3"/>
      <c r="J206" s="3"/>
      <c r="K206" s="3"/>
      <c r="L206" s="2"/>
      <c r="M206" s="2"/>
      <c r="N206" s="2"/>
      <c r="U206" s="2"/>
      <c r="V206" s="2"/>
      <c r="W206" s="4"/>
    </row>
    <row r="207" ht="15.75" customHeight="1">
      <c r="B207" s="1"/>
      <c r="C207" s="1"/>
      <c r="D207" s="1"/>
      <c r="E207" s="1"/>
      <c r="F207" s="1"/>
      <c r="G207" s="1"/>
      <c r="H207" s="2"/>
      <c r="I207" s="3"/>
      <c r="J207" s="3"/>
      <c r="K207" s="3"/>
      <c r="L207" s="2"/>
      <c r="M207" s="2"/>
      <c r="N207" s="2"/>
      <c r="U207" s="2"/>
      <c r="V207" s="2"/>
      <c r="W207" s="4"/>
    </row>
    <row r="208" ht="15.75" customHeight="1">
      <c r="B208" s="1"/>
      <c r="C208" s="1"/>
      <c r="D208" s="1"/>
      <c r="E208" s="1"/>
      <c r="F208" s="1"/>
      <c r="G208" s="1"/>
      <c r="H208" s="2"/>
      <c r="I208" s="3"/>
      <c r="J208" s="3"/>
      <c r="K208" s="3"/>
      <c r="L208" s="2"/>
      <c r="M208" s="2"/>
      <c r="N208" s="2"/>
      <c r="U208" s="2"/>
      <c r="V208" s="2"/>
      <c r="W208" s="4"/>
    </row>
    <row r="209" ht="15.75" customHeight="1">
      <c r="B209" s="1"/>
      <c r="C209" s="1"/>
      <c r="D209" s="1"/>
      <c r="E209" s="1"/>
      <c r="F209" s="1"/>
      <c r="G209" s="1"/>
      <c r="H209" s="2"/>
      <c r="I209" s="3"/>
      <c r="J209" s="3"/>
      <c r="K209" s="3"/>
      <c r="L209" s="2"/>
      <c r="M209" s="2"/>
      <c r="N209" s="2"/>
      <c r="U209" s="2"/>
      <c r="V209" s="2"/>
      <c r="W209" s="4"/>
    </row>
    <row r="210" ht="15.75" customHeight="1">
      <c r="B210" s="1"/>
      <c r="C210" s="1"/>
      <c r="D210" s="1"/>
      <c r="E210" s="1"/>
      <c r="F210" s="1"/>
      <c r="G210" s="1"/>
      <c r="H210" s="2"/>
      <c r="I210" s="3"/>
      <c r="J210" s="3"/>
      <c r="K210" s="3"/>
      <c r="L210" s="2"/>
      <c r="M210" s="2"/>
      <c r="N210" s="2"/>
      <c r="U210" s="2"/>
      <c r="V210" s="2"/>
      <c r="W210" s="4"/>
    </row>
    <row r="211" ht="15.75" customHeight="1">
      <c r="B211" s="1"/>
      <c r="C211" s="1"/>
      <c r="D211" s="1"/>
      <c r="E211" s="1"/>
      <c r="F211" s="1"/>
      <c r="G211" s="1"/>
      <c r="H211" s="2"/>
      <c r="I211" s="3"/>
      <c r="J211" s="3"/>
      <c r="K211" s="3"/>
      <c r="L211" s="2"/>
      <c r="M211" s="2"/>
      <c r="N211" s="2"/>
      <c r="U211" s="2"/>
      <c r="V211" s="2"/>
      <c r="W211" s="4"/>
    </row>
    <row r="212" ht="15.75" customHeight="1">
      <c r="B212" s="1"/>
      <c r="C212" s="1"/>
      <c r="D212" s="1"/>
      <c r="E212" s="1"/>
      <c r="F212" s="1"/>
      <c r="G212" s="1"/>
      <c r="H212" s="2"/>
      <c r="I212" s="3"/>
      <c r="J212" s="3"/>
      <c r="K212" s="3"/>
      <c r="L212" s="2"/>
      <c r="M212" s="2"/>
      <c r="N212" s="2"/>
      <c r="U212" s="2"/>
      <c r="V212" s="2"/>
      <c r="W212" s="4"/>
    </row>
    <row r="213" ht="15.75" customHeight="1">
      <c r="B213" s="1"/>
      <c r="C213" s="1"/>
      <c r="D213" s="1"/>
      <c r="E213" s="1"/>
      <c r="F213" s="1"/>
      <c r="G213" s="1"/>
      <c r="H213" s="2"/>
      <c r="I213" s="3"/>
      <c r="J213" s="3"/>
      <c r="K213" s="3"/>
      <c r="L213" s="2"/>
      <c r="M213" s="2"/>
      <c r="N213" s="2"/>
      <c r="U213" s="2"/>
      <c r="V213" s="2"/>
      <c r="W213" s="4"/>
    </row>
    <row r="214" ht="15.75" customHeight="1">
      <c r="B214" s="1"/>
      <c r="C214" s="1"/>
      <c r="D214" s="1"/>
      <c r="E214" s="1"/>
      <c r="F214" s="1"/>
      <c r="G214" s="1"/>
      <c r="H214" s="2"/>
      <c r="I214" s="3"/>
      <c r="J214" s="3"/>
      <c r="K214" s="3"/>
      <c r="L214" s="2"/>
      <c r="M214" s="2"/>
      <c r="N214" s="2"/>
      <c r="U214" s="2"/>
      <c r="V214" s="2"/>
      <c r="W214" s="4"/>
    </row>
    <row r="215" ht="15.75" customHeight="1">
      <c r="B215" s="1"/>
      <c r="C215" s="1"/>
      <c r="D215" s="1"/>
      <c r="E215" s="1"/>
      <c r="F215" s="1"/>
      <c r="G215" s="1"/>
      <c r="H215" s="2"/>
      <c r="I215" s="3"/>
      <c r="J215" s="3"/>
      <c r="K215" s="3"/>
      <c r="L215" s="2"/>
      <c r="M215" s="2"/>
      <c r="N215" s="2"/>
      <c r="U215" s="2"/>
      <c r="V215" s="2"/>
      <c r="W215" s="4"/>
    </row>
    <row r="216" ht="15.75" customHeight="1">
      <c r="B216" s="1"/>
      <c r="C216" s="1"/>
      <c r="D216" s="1"/>
      <c r="E216" s="1"/>
      <c r="F216" s="1"/>
      <c r="G216" s="1"/>
      <c r="H216" s="2"/>
      <c r="I216" s="3"/>
      <c r="J216" s="3"/>
      <c r="K216" s="3"/>
      <c r="L216" s="2"/>
      <c r="M216" s="2"/>
      <c r="N216" s="2"/>
      <c r="U216" s="2"/>
      <c r="V216" s="2"/>
      <c r="W216" s="4"/>
    </row>
    <row r="217" ht="15.75" customHeight="1">
      <c r="B217" s="1"/>
      <c r="C217" s="1"/>
      <c r="D217" s="1"/>
      <c r="E217" s="1"/>
      <c r="F217" s="1"/>
      <c r="G217" s="1"/>
      <c r="H217" s="2"/>
      <c r="I217" s="3"/>
      <c r="J217" s="3"/>
      <c r="K217" s="3"/>
      <c r="L217" s="2"/>
      <c r="M217" s="2"/>
      <c r="N217" s="2"/>
      <c r="U217" s="2"/>
      <c r="V217" s="2"/>
      <c r="W217" s="4"/>
    </row>
    <row r="218" ht="15.75" customHeight="1">
      <c r="B218" s="1"/>
      <c r="C218" s="1"/>
      <c r="D218" s="1"/>
      <c r="E218" s="1"/>
      <c r="F218" s="1"/>
      <c r="G218" s="1"/>
      <c r="H218" s="2"/>
      <c r="I218" s="3"/>
      <c r="J218" s="3"/>
      <c r="K218" s="3"/>
      <c r="L218" s="2"/>
      <c r="M218" s="2"/>
      <c r="N218" s="2"/>
      <c r="U218" s="2"/>
      <c r="V218" s="2"/>
      <c r="W218" s="4"/>
    </row>
    <row r="219" ht="15.75" customHeight="1">
      <c r="B219" s="1"/>
      <c r="C219" s="1"/>
      <c r="D219" s="1"/>
      <c r="E219" s="1"/>
      <c r="F219" s="1"/>
      <c r="G219" s="1"/>
      <c r="H219" s="2"/>
      <c r="I219" s="3"/>
      <c r="J219" s="3"/>
      <c r="K219" s="3"/>
      <c r="L219" s="2"/>
      <c r="M219" s="2"/>
      <c r="N219" s="2"/>
      <c r="U219" s="2"/>
      <c r="V219" s="2"/>
      <c r="W219" s="4"/>
    </row>
    <row r="220" ht="15.75" customHeight="1">
      <c r="B220" s="1"/>
      <c r="C220" s="1"/>
      <c r="D220" s="1"/>
      <c r="E220" s="1"/>
      <c r="F220" s="1"/>
      <c r="G220" s="1"/>
      <c r="H220" s="2"/>
      <c r="I220" s="3"/>
      <c r="J220" s="3"/>
      <c r="K220" s="3"/>
      <c r="L220" s="2"/>
      <c r="M220" s="2"/>
      <c r="N220" s="2"/>
      <c r="U220" s="2"/>
      <c r="V220" s="2"/>
      <c r="W220" s="4"/>
    </row>
    <row r="221" ht="15.75" customHeight="1">
      <c r="B221" s="1"/>
      <c r="C221" s="1"/>
      <c r="D221" s="1"/>
      <c r="E221" s="1"/>
      <c r="F221" s="1"/>
      <c r="G221" s="1"/>
      <c r="H221" s="2"/>
      <c r="I221" s="3"/>
      <c r="J221" s="3"/>
      <c r="K221" s="3"/>
      <c r="L221" s="2"/>
      <c r="M221" s="2"/>
      <c r="N221" s="2"/>
      <c r="U221" s="2"/>
      <c r="V221" s="2"/>
      <c r="W221" s="4"/>
    </row>
    <row r="222" ht="15.75" customHeight="1">
      <c r="B222" s="1"/>
      <c r="C222" s="1"/>
      <c r="D222" s="1"/>
      <c r="E222" s="1"/>
      <c r="F222" s="1"/>
      <c r="G222" s="1"/>
      <c r="H222" s="2"/>
      <c r="I222" s="3"/>
      <c r="J222" s="3"/>
      <c r="K222" s="3"/>
      <c r="L222" s="2"/>
      <c r="M222" s="2"/>
      <c r="N222" s="2"/>
      <c r="U222" s="2"/>
      <c r="V222" s="2"/>
      <c r="W222" s="4"/>
    </row>
    <row r="223" ht="15.75" customHeight="1">
      <c r="B223" s="1"/>
      <c r="C223" s="1"/>
      <c r="D223" s="1"/>
      <c r="E223" s="1"/>
      <c r="F223" s="1"/>
      <c r="G223" s="1"/>
      <c r="H223" s="2"/>
      <c r="I223" s="3"/>
      <c r="J223" s="3"/>
      <c r="K223" s="3"/>
      <c r="L223" s="2"/>
      <c r="M223" s="2"/>
      <c r="N223" s="2"/>
      <c r="U223" s="2"/>
      <c r="V223" s="2"/>
      <c r="W223" s="4"/>
    </row>
    <row r="224" ht="15.75" customHeight="1">
      <c r="B224" s="1"/>
      <c r="C224" s="1"/>
      <c r="D224" s="1"/>
      <c r="E224" s="1"/>
      <c r="F224" s="1"/>
      <c r="G224" s="1"/>
      <c r="H224" s="2"/>
      <c r="I224" s="3"/>
      <c r="J224" s="3"/>
      <c r="K224" s="3"/>
      <c r="L224" s="2"/>
      <c r="M224" s="2"/>
      <c r="N224" s="2"/>
      <c r="U224" s="2"/>
      <c r="V224" s="2"/>
      <c r="W224" s="4"/>
    </row>
    <row r="225" ht="15.75" customHeight="1">
      <c r="B225" s="1"/>
      <c r="C225" s="1"/>
      <c r="D225" s="1"/>
      <c r="E225" s="1"/>
      <c r="F225" s="1"/>
      <c r="G225" s="1"/>
      <c r="H225" s="2"/>
      <c r="I225" s="3"/>
      <c r="J225" s="3"/>
      <c r="K225" s="3"/>
      <c r="L225" s="2"/>
      <c r="M225" s="2"/>
      <c r="N225" s="2"/>
      <c r="U225" s="2"/>
      <c r="V225" s="2"/>
      <c r="W225" s="4"/>
    </row>
    <row r="226" ht="15.75" customHeight="1">
      <c r="B226" s="1"/>
      <c r="C226" s="1"/>
      <c r="D226" s="1"/>
      <c r="E226" s="1"/>
      <c r="F226" s="1"/>
      <c r="G226" s="1"/>
      <c r="H226" s="2"/>
      <c r="I226" s="3"/>
      <c r="J226" s="3"/>
      <c r="K226" s="3"/>
      <c r="L226" s="2"/>
      <c r="M226" s="2"/>
      <c r="N226" s="2"/>
      <c r="U226" s="2"/>
      <c r="V226" s="2"/>
      <c r="W226" s="4"/>
    </row>
    <row r="227" ht="15.75" customHeight="1">
      <c r="B227" s="1"/>
      <c r="C227" s="1"/>
      <c r="D227" s="1"/>
      <c r="E227" s="1"/>
      <c r="F227" s="1"/>
      <c r="G227" s="1"/>
      <c r="H227" s="2"/>
      <c r="I227" s="3"/>
      <c r="J227" s="3"/>
      <c r="K227" s="3"/>
      <c r="L227" s="2"/>
      <c r="M227" s="2"/>
      <c r="N227" s="2"/>
      <c r="U227" s="2"/>
      <c r="V227" s="2"/>
      <c r="W227" s="4"/>
    </row>
    <row r="228" ht="15.75" customHeight="1">
      <c r="B228" s="1"/>
      <c r="C228" s="1"/>
      <c r="D228" s="1"/>
      <c r="E228" s="1"/>
      <c r="F228" s="1"/>
      <c r="G228" s="1"/>
      <c r="H228" s="2"/>
      <c r="I228" s="3"/>
      <c r="J228" s="3"/>
      <c r="K228" s="3"/>
      <c r="L228" s="2"/>
      <c r="M228" s="2"/>
      <c r="N228" s="2"/>
      <c r="U228" s="2"/>
      <c r="V228" s="2"/>
      <c r="W228" s="4"/>
    </row>
    <row r="229" ht="15.75" customHeight="1">
      <c r="B229" s="1"/>
      <c r="C229" s="1"/>
      <c r="D229" s="1"/>
      <c r="E229" s="1"/>
      <c r="F229" s="1"/>
      <c r="G229" s="1"/>
      <c r="H229" s="2"/>
      <c r="I229" s="3"/>
      <c r="J229" s="3"/>
      <c r="K229" s="3"/>
      <c r="L229" s="2"/>
      <c r="M229" s="2"/>
      <c r="N229" s="2"/>
      <c r="U229" s="2"/>
      <c r="V229" s="2"/>
      <c r="W229" s="4"/>
    </row>
    <row r="230" ht="15.75" customHeight="1">
      <c r="B230" s="1"/>
      <c r="C230" s="1"/>
      <c r="D230" s="1"/>
      <c r="E230" s="1"/>
      <c r="F230" s="1"/>
      <c r="G230" s="1"/>
      <c r="H230" s="2"/>
      <c r="I230" s="3"/>
      <c r="J230" s="3"/>
      <c r="K230" s="3"/>
      <c r="L230" s="2"/>
      <c r="M230" s="2"/>
      <c r="N230" s="2"/>
      <c r="U230" s="2"/>
      <c r="V230" s="2"/>
      <c r="W230" s="4"/>
    </row>
    <row r="231" ht="15.75" customHeight="1">
      <c r="B231" s="1"/>
      <c r="C231" s="1"/>
      <c r="D231" s="1"/>
      <c r="E231" s="1"/>
      <c r="F231" s="1"/>
      <c r="G231" s="1"/>
      <c r="H231" s="2"/>
      <c r="I231" s="3"/>
      <c r="J231" s="3"/>
      <c r="K231" s="3"/>
      <c r="L231" s="2"/>
      <c r="M231" s="2"/>
      <c r="N231" s="2"/>
      <c r="U231" s="2"/>
      <c r="V231" s="2"/>
      <c r="W231" s="4"/>
    </row>
    <row r="232" ht="15.75" customHeight="1">
      <c r="B232" s="1"/>
      <c r="C232" s="1"/>
      <c r="D232" s="1"/>
      <c r="E232" s="1"/>
      <c r="F232" s="1"/>
      <c r="G232" s="1"/>
      <c r="H232" s="2"/>
      <c r="I232" s="3"/>
      <c r="J232" s="3"/>
      <c r="K232" s="3"/>
      <c r="L232" s="2"/>
      <c r="M232" s="2"/>
      <c r="N232" s="2"/>
      <c r="U232" s="2"/>
      <c r="V232" s="2"/>
      <c r="W232" s="4"/>
    </row>
    <row r="233" ht="15.75" customHeight="1">
      <c r="B233" s="1"/>
      <c r="C233" s="1"/>
      <c r="D233" s="1"/>
      <c r="E233" s="1"/>
      <c r="F233" s="1"/>
      <c r="G233" s="1"/>
      <c r="H233" s="2"/>
      <c r="I233" s="3"/>
      <c r="J233" s="3"/>
      <c r="K233" s="3"/>
      <c r="L233" s="2"/>
      <c r="M233" s="2"/>
      <c r="N233" s="2"/>
      <c r="U233" s="2"/>
      <c r="V233" s="2"/>
      <c r="W233" s="4"/>
    </row>
    <row r="234" ht="15.75" customHeight="1">
      <c r="B234" s="1"/>
      <c r="C234" s="1"/>
      <c r="D234" s="1"/>
      <c r="E234" s="1"/>
      <c r="F234" s="1"/>
      <c r="G234" s="1"/>
      <c r="H234" s="2"/>
      <c r="I234" s="3"/>
      <c r="J234" s="3"/>
      <c r="K234" s="3"/>
      <c r="L234" s="2"/>
      <c r="M234" s="2"/>
      <c r="N234" s="2"/>
      <c r="U234" s="2"/>
      <c r="V234" s="2"/>
      <c r="W234" s="4"/>
    </row>
    <row r="235" ht="15.75" customHeight="1">
      <c r="B235" s="1"/>
      <c r="C235" s="1"/>
      <c r="D235" s="1"/>
      <c r="E235" s="1"/>
      <c r="F235" s="1"/>
      <c r="G235" s="1"/>
      <c r="H235" s="2"/>
      <c r="I235" s="3"/>
      <c r="J235" s="3"/>
      <c r="K235" s="3"/>
      <c r="L235" s="2"/>
      <c r="M235" s="2"/>
      <c r="N235" s="2"/>
      <c r="U235" s="2"/>
      <c r="V235" s="2"/>
      <c r="W235" s="4"/>
    </row>
    <row r="236" ht="15.75" customHeight="1">
      <c r="B236" s="1"/>
      <c r="C236" s="1"/>
      <c r="D236" s="1"/>
      <c r="E236" s="1"/>
      <c r="F236" s="1"/>
      <c r="G236" s="1"/>
      <c r="H236" s="2"/>
      <c r="I236" s="3"/>
      <c r="J236" s="3"/>
      <c r="K236" s="3"/>
      <c r="L236" s="2"/>
      <c r="M236" s="2"/>
      <c r="N236" s="2"/>
      <c r="U236" s="2"/>
      <c r="V236" s="2"/>
      <c r="W236" s="4"/>
    </row>
    <row r="237" ht="15.75" customHeight="1">
      <c r="B237" s="1"/>
      <c r="C237" s="1"/>
      <c r="D237" s="1"/>
      <c r="E237" s="1"/>
      <c r="F237" s="1"/>
      <c r="G237" s="1"/>
      <c r="H237" s="2"/>
      <c r="I237" s="3"/>
      <c r="J237" s="3"/>
      <c r="K237" s="3"/>
      <c r="L237" s="2"/>
      <c r="M237" s="2"/>
      <c r="N237" s="2"/>
      <c r="U237" s="2"/>
      <c r="V237" s="2"/>
      <c r="W237" s="4"/>
    </row>
    <row r="238" ht="15.75" customHeight="1">
      <c r="B238" s="1"/>
      <c r="C238" s="1"/>
      <c r="D238" s="1"/>
      <c r="E238" s="1"/>
      <c r="F238" s="1"/>
      <c r="G238" s="1"/>
      <c r="H238" s="2"/>
      <c r="I238" s="3"/>
      <c r="J238" s="3"/>
      <c r="K238" s="3"/>
      <c r="L238" s="2"/>
      <c r="M238" s="2"/>
      <c r="N238" s="2"/>
      <c r="U238" s="2"/>
      <c r="V238" s="2"/>
      <c r="W238" s="4"/>
    </row>
    <row r="239" ht="15.75" customHeight="1">
      <c r="B239" s="1"/>
      <c r="C239" s="1"/>
      <c r="D239" s="1"/>
      <c r="E239" s="1"/>
      <c r="F239" s="1"/>
      <c r="G239" s="1"/>
      <c r="H239" s="2"/>
      <c r="I239" s="3"/>
      <c r="J239" s="3"/>
      <c r="K239" s="3"/>
      <c r="L239" s="2"/>
      <c r="M239" s="2"/>
      <c r="N239" s="2"/>
      <c r="U239" s="2"/>
      <c r="V239" s="2"/>
      <c r="W239" s="4"/>
    </row>
    <row r="240" ht="15.75" customHeight="1">
      <c r="B240" s="1"/>
      <c r="C240" s="1"/>
      <c r="D240" s="1"/>
      <c r="E240" s="1"/>
      <c r="F240" s="1"/>
      <c r="G240" s="1"/>
      <c r="H240" s="2"/>
      <c r="I240" s="3"/>
      <c r="J240" s="3"/>
      <c r="K240" s="3"/>
      <c r="L240" s="2"/>
      <c r="M240" s="2"/>
      <c r="N240" s="2"/>
      <c r="U240" s="2"/>
      <c r="V240" s="2"/>
      <c r="W240" s="4"/>
    </row>
    <row r="241" ht="15.75" customHeight="1">
      <c r="B241" s="1"/>
      <c r="C241" s="1"/>
      <c r="D241" s="1"/>
      <c r="E241" s="1"/>
      <c r="F241" s="1"/>
      <c r="G241" s="1"/>
      <c r="H241" s="2"/>
      <c r="I241" s="3"/>
      <c r="J241" s="3"/>
      <c r="K241" s="3"/>
      <c r="L241" s="2"/>
      <c r="M241" s="2"/>
      <c r="N241" s="2"/>
      <c r="U241" s="2"/>
      <c r="V241" s="2"/>
      <c r="W241" s="4"/>
    </row>
    <row r="242" ht="15.75" customHeight="1">
      <c r="B242" s="1"/>
      <c r="C242" s="1"/>
      <c r="D242" s="1"/>
      <c r="E242" s="1"/>
      <c r="F242" s="1"/>
      <c r="G242" s="1"/>
      <c r="H242" s="2"/>
      <c r="I242" s="3"/>
      <c r="J242" s="3"/>
      <c r="K242" s="3"/>
      <c r="L242" s="2"/>
      <c r="M242" s="2"/>
      <c r="N242" s="2"/>
      <c r="U242" s="2"/>
      <c r="V242" s="2"/>
      <c r="W242" s="4"/>
    </row>
    <row r="243" ht="15.75" customHeight="1">
      <c r="B243" s="1"/>
      <c r="C243" s="1"/>
      <c r="D243" s="1"/>
      <c r="E243" s="1"/>
      <c r="F243" s="1"/>
      <c r="G243" s="1"/>
      <c r="H243" s="2"/>
      <c r="I243" s="3"/>
      <c r="J243" s="3"/>
      <c r="K243" s="3"/>
      <c r="L243" s="2"/>
      <c r="M243" s="2"/>
      <c r="N243" s="2"/>
      <c r="U243" s="2"/>
      <c r="V243" s="2"/>
      <c r="W243" s="4"/>
    </row>
    <row r="244" ht="15.75" customHeight="1">
      <c r="B244" s="1"/>
      <c r="C244" s="1"/>
      <c r="D244" s="1"/>
      <c r="E244" s="1"/>
      <c r="F244" s="1"/>
      <c r="G244" s="1"/>
      <c r="H244" s="2"/>
      <c r="I244" s="3"/>
      <c r="J244" s="3"/>
      <c r="K244" s="3"/>
      <c r="L244" s="2"/>
      <c r="M244" s="2"/>
      <c r="N244" s="2"/>
      <c r="U244" s="2"/>
      <c r="V244" s="2"/>
      <c r="W244" s="4"/>
    </row>
    <row r="245" ht="15.75" customHeight="1">
      <c r="B245" s="1"/>
      <c r="C245" s="1"/>
      <c r="D245" s="1"/>
      <c r="E245" s="1"/>
      <c r="F245" s="1"/>
      <c r="G245" s="1"/>
      <c r="H245" s="2"/>
      <c r="I245" s="3"/>
      <c r="J245" s="3"/>
      <c r="K245" s="3"/>
      <c r="L245" s="2"/>
      <c r="M245" s="2"/>
      <c r="N245" s="2"/>
      <c r="U245" s="2"/>
      <c r="V245" s="2"/>
      <c r="W245" s="4"/>
    </row>
    <row r="246" ht="15.75" customHeight="1">
      <c r="B246" s="1"/>
      <c r="C246" s="1"/>
      <c r="D246" s="1"/>
      <c r="E246" s="1"/>
      <c r="F246" s="1"/>
      <c r="G246" s="1"/>
      <c r="H246" s="2"/>
      <c r="I246" s="3"/>
      <c r="J246" s="3"/>
      <c r="K246" s="3"/>
      <c r="L246" s="2"/>
      <c r="M246" s="2"/>
      <c r="N246" s="2"/>
      <c r="U246" s="2"/>
      <c r="V246" s="2"/>
      <c r="W246" s="4"/>
    </row>
    <row r="247" ht="15.75" customHeight="1">
      <c r="B247" s="1"/>
      <c r="C247" s="1"/>
      <c r="D247" s="1"/>
      <c r="E247" s="1"/>
      <c r="F247" s="1"/>
      <c r="G247" s="1"/>
      <c r="H247" s="2"/>
      <c r="I247" s="3"/>
      <c r="J247" s="3"/>
      <c r="K247" s="3"/>
      <c r="L247" s="2"/>
      <c r="M247" s="2"/>
      <c r="N247" s="2"/>
      <c r="U247" s="2"/>
      <c r="V247" s="2"/>
      <c r="W247" s="4"/>
    </row>
    <row r="248" ht="15.75" customHeight="1">
      <c r="B248" s="1"/>
      <c r="C248" s="1"/>
      <c r="D248" s="1"/>
      <c r="E248" s="1"/>
      <c r="F248" s="1"/>
      <c r="G248" s="1"/>
      <c r="H248" s="2"/>
      <c r="I248" s="3"/>
      <c r="J248" s="3"/>
      <c r="K248" s="3"/>
      <c r="L248" s="2"/>
      <c r="M248" s="2"/>
      <c r="N248" s="2"/>
      <c r="U248" s="2"/>
      <c r="V248" s="2"/>
      <c r="W248" s="4"/>
    </row>
    <row r="249" ht="15.75" customHeight="1">
      <c r="B249" s="1"/>
      <c r="C249" s="1"/>
      <c r="D249" s="1"/>
      <c r="E249" s="1"/>
      <c r="F249" s="1"/>
      <c r="G249" s="1"/>
      <c r="H249" s="2"/>
      <c r="I249" s="3"/>
      <c r="J249" s="3"/>
      <c r="K249" s="3"/>
      <c r="L249" s="2"/>
      <c r="M249" s="2"/>
      <c r="N249" s="2"/>
      <c r="U249" s="2"/>
      <c r="V249" s="2"/>
      <c r="W249" s="4"/>
    </row>
    <row r="250" ht="15.75" customHeight="1">
      <c r="B250" s="1"/>
      <c r="C250" s="1"/>
      <c r="D250" s="1"/>
      <c r="E250" s="1"/>
      <c r="F250" s="1"/>
      <c r="G250" s="1"/>
      <c r="H250" s="2"/>
      <c r="I250" s="3"/>
      <c r="J250" s="3"/>
      <c r="K250" s="3"/>
      <c r="L250" s="2"/>
      <c r="M250" s="2"/>
      <c r="N250" s="2"/>
      <c r="U250" s="2"/>
      <c r="V250" s="2"/>
      <c r="W250" s="4"/>
    </row>
    <row r="251" ht="15.75" customHeight="1">
      <c r="B251" s="1"/>
      <c r="C251" s="1"/>
      <c r="D251" s="1"/>
      <c r="E251" s="1"/>
      <c r="F251" s="1"/>
      <c r="G251" s="1"/>
      <c r="H251" s="2"/>
      <c r="I251" s="3"/>
      <c r="J251" s="3"/>
      <c r="K251" s="3"/>
      <c r="L251" s="2"/>
      <c r="M251" s="2"/>
      <c r="N251" s="2"/>
      <c r="U251" s="2"/>
      <c r="V251" s="2"/>
      <c r="W251" s="4"/>
    </row>
    <row r="252" ht="15.75" customHeight="1">
      <c r="B252" s="1"/>
      <c r="C252" s="1"/>
      <c r="D252" s="1"/>
      <c r="E252" s="1"/>
      <c r="F252" s="1"/>
      <c r="G252" s="1"/>
      <c r="H252" s="2"/>
      <c r="I252" s="3"/>
      <c r="J252" s="3"/>
      <c r="K252" s="3"/>
      <c r="L252" s="2"/>
      <c r="M252" s="2"/>
      <c r="N252" s="2"/>
      <c r="U252" s="2"/>
      <c r="V252" s="2"/>
      <c r="W252" s="4"/>
    </row>
    <row r="253" ht="15.75" customHeight="1">
      <c r="B253" s="1"/>
      <c r="C253" s="1"/>
      <c r="D253" s="1"/>
      <c r="E253" s="1"/>
      <c r="F253" s="1"/>
      <c r="G253" s="1"/>
      <c r="H253" s="2"/>
      <c r="I253" s="3"/>
      <c r="J253" s="3"/>
      <c r="K253" s="3"/>
      <c r="L253" s="2"/>
      <c r="M253" s="2"/>
      <c r="N253" s="2"/>
      <c r="U253" s="2"/>
      <c r="V253" s="2"/>
      <c r="W253" s="4"/>
    </row>
    <row r="254" ht="15.75" customHeight="1">
      <c r="B254" s="1"/>
      <c r="C254" s="1"/>
      <c r="D254" s="1"/>
      <c r="E254" s="1"/>
      <c r="F254" s="1"/>
      <c r="G254" s="1"/>
      <c r="H254" s="2"/>
      <c r="I254" s="3"/>
      <c r="J254" s="3"/>
      <c r="K254" s="3"/>
      <c r="L254" s="2"/>
      <c r="M254" s="2"/>
      <c r="N254" s="2"/>
      <c r="U254" s="2"/>
      <c r="V254" s="2"/>
      <c r="W254" s="4"/>
    </row>
    <row r="255" ht="15.75" customHeight="1">
      <c r="B255" s="1"/>
      <c r="C255" s="1"/>
      <c r="D255" s="1"/>
      <c r="E255" s="1"/>
      <c r="F255" s="1"/>
      <c r="G255" s="1"/>
      <c r="H255" s="2"/>
      <c r="I255" s="3"/>
      <c r="J255" s="3"/>
      <c r="K255" s="3"/>
      <c r="L255" s="2"/>
      <c r="M255" s="2"/>
      <c r="N255" s="2"/>
      <c r="U255" s="2"/>
      <c r="V255" s="2"/>
      <c r="W255" s="4"/>
    </row>
    <row r="256" ht="15.75" customHeight="1">
      <c r="B256" s="1"/>
      <c r="C256" s="1"/>
      <c r="D256" s="1"/>
      <c r="E256" s="1"/>
      <c r="F256" s="1"/>
      <c r="G256" s="1"/>
      <c r="H256" s="2"/>
      <c r="I256" s="3"/>
      <c r="J256" s="3"/>
      <c r="K256" s="3"/>
      <c r="L256" s="2"/>
      <c r="M256" s="2"/>
      <c r="N256" s="2"/>
      <c r="U256" s="2"/>
      <c r="V256" s="2"/>
      <c r="W256" s="4"/>
    </row>
    <row r="257" ht="15.75" customHeight="1">
      <c r="B257" s="1"/>
      <c r="C257" s="1"/>
      <c r="D257" s="1"/>
      <c r="E257" s="1"/>
      <c r="F257" s="1"/>
      <c r="G257" s="1"/>
      <c r="H257" s="2"/>
      <c r="I257" s="3"/>
      <c r="J257" s="3"/>
      <c r="K257" s="3"/>
      <c r="L257" s="2"/>
      <c r="M257" s="2"/>
      <c r="N257" s="2"/>
      <c r="U257" s="2"/>
      <c r="V257" s="2"/>
      <c r="W257" s="4"/>
    </row>
    <row r="258" ht="15.75" customHeight="1">
      <c r="B258" s="1"/>
      <c r="C258" s="1"/>
      <c r="D258" s="1"/>
      <c r="E258" s="1"/>
      <c r="F258" s="1"/>
      <c r="G258" s="1"/>
      <c r="H258" s="2"/>
      <c r="I258" s="3"/>
      <c r="J258" s="3"/>
      <c r="K258" s="3"/>
      <c r="L258" s="2"/>
      <c r="M258" s="2"/>
      <c r="N258" s="2"/>
      <c r="U258" s="2"/>
      <c r="V258" s="2"/>
      <c r="W258" s="4"/>
    </row>
    <row r="259" ht="15.75" customHeight="1">
      <c r="B259" s="1"/>
      <c r="C259" s="1"/>
      <c r="D259" s="1"/>
      <c r="E259" s="1"/>
      <c r="F259" s="1"/>
      <c r="G259" s="1"/>
      <c r="H259" s="2"/>
      <c r="I259" s="3"/>
      <c r="J259" s="3"/>
      <c r="K259" s="3"/>
      <c r="L259" s="2"/>
      <c r="M259" s="2"/>
      <c r="N259" s="2"/>
      <c r="U259" s="2"/>
      <c r="V259" s="2"/>
      <c r="W259" s="4"/>
    </row>
    <row r="260" ht="15.75" customHeight="1">
      <c r="B260" s="1"/>
      <c r="C260" s="1"/>
      <c r="D260" s="1"/>
      <c r="E260" s="1"/>
      <c r="F260" s="1"/>
      <c r="G260" s="1"/>
      <c r="H260" s="2"/>
      <c r="I260" s="3"/>
      <c r="J260" s="3"/>
      <c r="K260" s="3"/>
      <c r="L260" s="2"/>
      <c r="M260" s="2"/>
      <c r="N260" s="2"/>
      <c r="U260" s="2"/>
      <c r="V260" s="2"/>
      <c r="W260" s="4"/>
    </row>
    <row r="261" ht="15.75" customHeight="1">
      <c r="B261" s="1"/>
      <c r="C261" s="1"/>
      <c r="D261" s="1"/>
      <c r="E261" s="1"/>
      <c r="F261" s="1"/>
      <c r="G261" s="1"/>
      <c r="H261" s="2"/>
      <c r="I261" s="3"/>
      <c r="J261" s="3"/>
      <c r="K261" s="3"/>
      <c r="L261" s="2"/>
      <c r="M261" s="2"/>
      <c r="N261" s="2"/>
      <c r="U261" s="2"/>
      <c r="V261" s="2"/>
      <c r="W261" s="4"/>
    </row>
    <row r="262" ht="15.75" customHeight="1">
      <c r="B262" s="1"/>
      <c r="C262" s="1"/>
      <c r="D262" s="1"/>
      <c r="E262" s="1"/>
      <c r="F262" s="1"/>
      <c r="G262" s="1"/>
      <c r="H262" s="2"/>
      <c r="I262" s="3"/>
      <c r="J262" s="3"/>
      <c r="K262" s="3"/>
      <c r="L262" s="2"/>
      <c r="M262" s="2"/>
      <c r="N262" s="2"/>
      <c r="U262" s="2"/>
      <c r="V262" s="2"/>
      <c r="W262" s="4"/>
    </row>
    <row r="263" ht="15.75" customHeight="1">
      <c r="B263" s="1"/>
      <c r="C263" s="1"/>
      <c r="D263" s="1"/>
      <c r="E263" s="1"/>
      <c r="F263" s="1"/>
      <c r="G263" s="1"/>
      <c r="H263" s="2"/>
      <c r="I263" s="3"/>
      <c r="J263" s="3"/>
      <c r="K263" s="3"/>
      <c r="L263" s="2"/>
      <c r="M263" s="2"/>
      <c r="N263" s="2"/>
      <c r="U263" s="2"/>
      <c r="V263" s="2"/>
      <c r="W263" s="4"/>
    </row>
    <row r="264" ht="15.75" customHeight="1">
      <c r="B264" s="1"/>
      <c r="C264" s="1"/>
      <c r="D264" s="1"/>
      <c r="E264" s="1"/>
      <c r="F264" s="1"/>
      <c r="G264" s="1"/>
      <c r="H264" s="2"/>
      <c r="I264" s="3"/>
      <c r="J264" s="3"/>
      <c r="K264" s="3"/>
      <c r="L264" s="2"/>
      <c r="M264" s="2"/>
      <c r="N264" s="2"/>
      <c r="U264" s="2"/>
      <c r="V264" s="2"/>
      <c r="W264" s="4"/>
    </row>
    <row r="265" ht="15.75" customHeight="1">
      <c r="B265" s="1"/>
      <c r="C265" s="1"/>
      <c r="D265" s="1"/>
      <c r="E265" s="1"/>
      <c r="F265" s="1"/>
      <c r="G265" s="1"/>
      <c r="H265" s="2"/>
      <c r="I265" s="3"/>
      <c r="J265" s="3"/>
      <c r="K265" s="3"/>
      <c r="L265" s="2"/>
      <c r="M265" s="2"/>
      <c r="N265" s="2"/>
      <c r="U265" s="2"/>
      <c r="V265" s="2"/>
      <c r="W265" s="4"/>
    </row>
    <row r="266" ht="15.75" customHeight="1">
      <c r="B266" s="1"/>
      <c r="C266" s="1"/>
      <c r="D266" s="1"/>
      <c r="E266" s="1"/>
      <c r="F266" s="1"/>
      <c r="G266" s="1"/>
      <c r="H266" s="2"/>
      <c r="I266" s="3"/>
      <c r="J266" s="3"/>
      <c r="K266" s="3"/>
      <c r="L266" s="2"/>
      <c r="M266" s="2"/>
      <c r="N266" s="2"/>
      <c r="U266" s="2"/>
      <c r="V266" s="2"/>
      <c r="W266" s="4"/>
    </row>
    <row r="267" ht="15.75" customHeight="1">
      <c r="B267" s="1"/>
      <c r="C267" s="1"/>
      <c r="D267" s="1"/>
      <c r="E267" s="1"/>
      <c r="F267" s="1"/>
      <c r="G267" s="1"/>
      <c r="H267" s="2"/>
      <c r="I267" s="3"/>
      <c r="J267" s="3"/>
      <c r="K267" s="3"/>
      <c r="L267" s="2"/>
      <c r="M267" s="2"/>
      <c r="N267" s="2"/>
      <c r="U267" s="2"/>
      <c r="V267" s="2"/>
      <c r="W267" s="4"/>
    </row>
    <row r="268" ht="15.75" customHeight="1">
      <c r="B268" s="1"/>
      <c r="C268" s="1"/>
      <c r="D268" s="1"/>
      <c r="E268" s="1"/>
      <c r="F268" s="1"/>
      <c r="G268" s="1"/>
      <c r="H268" s="2"/>
      <c r="I268" s="3"/>
      <c r="J268" s="3"/>
      <c r="K268" s="3"/>
      <c r="L268" s="2"/>
      <c r="M268" s="2"/>
      <c r="N268" s="2"/>
      <c r="U268" s="2"/>
      <c r="V268" s="2"/>
      <c r="W268" s="4"/>
    </row>
    <row r="269" ht="15.75" customHeight="1">
      <c r="B269" s="1"/>
      <c r="C269" s="1"/>
      <c r="D269" s="1"/>
      <c r="E269" s="1"/>
      <c r="F269" s="1"/>
      <c r="G269" s="1"/>
      <c r="H269" s="2"/>
      <c r="I269" s="3"/>
      <c r="J269" s="3"/>
      <c r="K269" s="3"/>
      <c r="L269" s="2"/>
      <c r="M269" s="2"/>
      <c r="N269" s="2"/>
      <c r="U269" s="2"/>
      <c r="V269" s="2"/>
      <c r="W269" s="4"/>
    </row>
    <row r="270" ht="15.75" customHeight="1">
      <c r="B270" s="1"/>
      <c r="C270" s="1"/>
      <c r="D270" s="1"/>
      <c r="E270" s="1"/>
      <c r="F270" s="1"/>
      <c r="G270" s="1"/>
      <c r="H270" s="2"/>
      <c r="I270" s="3"/>
      <c r="J270" s="3"/>
      <c r="K270" s="3"/>
      <c r="L270" s="2"/>
      <c r="M270" s="2"/>
      <c r="N270" s="2"/>
      <c r="U270" s="2"/>
      <c r="V270" s="2"/>
      <c r="W270" s="4"/>
    </row>
    <row r="271" ht="15.75" customHeight="1">
      <c r="B271" s="1"/>
      <c r="C271" s="1"/>
      <c r="D271" s="1"/>
      <c r="E271" s="1"/>
      <c r="F271" s="1"/>
      <c r="G271" s="1"/>
      <c r="H271" s="2"/>
      <c r="I271" s="3"/>
      <c r="J271" s="3"/>
      <c r="K271" s="3"/>
      <c r="L271" s="2"/>
      <c r="M271" s="2"/>
      <c r="N271" s="2"/>
      <c r="U271" s="2"/>
      <c r="V271" s="2"/>
      <c r="W271" s="4"/>
    </row>
    <row r="272" ht="15.75" customHeight="1">
      <c r="B272" s="1"/>
      <c r="C272" s="1"/>
      <c r="D272" s="1"/>
      <c r="E272" s="1"/>
      <c r="F272" s="1"/>
      <c r="G272" s="1"/>
      <c r="H272" s="2"/>
      <c r="I272" s="3"/>
      <c r="J272" s="3"/>
      <c r="K272" s="3"/>
      <c r="L272" s="2"/>
      <c r="M272" s="2"/>
      <c r="N272" s="2"/>
      <c r="U272" s="2"/>
      <c r="V272" s="2"/>
      <c r="W272" s="4"/>
    </row>
    <row r="273" ht="15.75" customHeight="1">
      <c r="B273" s="1"/>
      <c r="C273" s="1"/>
      <c r="D273" s="1"/>
      <c r="E273" s="1"/>
      <c r="F273" s="1"/>
      <c r="G273" s="1"/>
      <c r="H273" s="2"/>
      <c r="I273" s="3"/>
      <c r="J273" s="3"/>
      <c r="K273" s="3"/>
      <c r="L273" s="2"/>
      <c r="M273" s="2"/>
      <c r="N273" s="2"/>
      <c r="U273" s="2"/>
      <c r="V273" s="2"/>
      <c r="W273" s="4"/>
    </row>
    <row r="274" ht="15.75" customHeight="1">
      <c r="B274" s="1"/>
      <c r="C274" s="1"/>
      <c r="D274" s="1"/>
      <c r="E274" s="1"/>
      <c r="F274" s="1"/>
      <c r="G274" s="1"/>
      <c r="H274" s="2"/>
      <c r="I274" s="3"/>
      <c r="J274" s="3"/>
      <c r="K274" s="3"/>
      <c r="L274" s="2"/>
      <c r="M274" s="2"/>
      <c r="N274" s="2"/>
      <c r="U274" s="2"/>
      <c r="V274" s="2"/>
      <c r="W274" s="4"/>
    </row>
    <row r="275" ht="15.75" customHeight="1">
      <c r="B275" s="1"/>
      <c r="C275" s="1"/>
      <c r="D275" s="1"/>
      <c r="E275" s="1"/>
      <c r="F275" s="1"/>
      <c r="G275" s="1"/>
      <c r="H275" s="2"/>
      <c r="I275" s="3"/>
      <c r="J275" s="3"/>
      <c r="K275" s="3"/>
      <c r="L275" s="2"/>
      <c r="M275" s="2"/>
      <c r="N275" s="2"/>
      <c r="U275" s="2"/>
      <c r="V275" s="2"/>
      <c r="W275" s="4"/>
    </row>
    <row r="276" ht="15.75" customHeight="1">
      <c r="B276" s="1"/>
      <c r="C276" s="1"/>
      <c r="D276" s="1"/>
      <c r="E276" s="1"/>
      <c r="F276" s="1"/>
      <c r="G276" s="1"/>
      <c r="H276" s="2"/>
      <c r="I276" s="3"/>
      <c r="J276" s="3"/>
      <c r="K276" s="3"/>
      <c r="L276" s="2"/>
      <c r="M276" s="2"/>
      <c r="N276" s="2"/>
      <c r="U276" s="2"/>
      <c r="V276" s="2"/>
      <c r="W276" s="4"/>
    </row>
    <row r="277" ht="15.75" customHeight="1">
      <c r="B277" s="1"/>
      <c r="C277" s="1"/>
      <c r="D277" s="1"/>
      <c r="E277" s="1"/>
      <c r="F277" s="1"/>
      <c r="G277" s="1"/>
      <c r="H277" s="2"/>
      <c r="I277" s="3"/>
      <c r="J277" s="3"/>
      <c r="K277" s="3"/>
      <c r="L277" s="2"/>
      <c r="M277" s="2"/>
      <c r="N277" s="2"/>
      <c r="U277" s="2"/>
      <c r="V277" s="2"/>
      <c r="W277" s="4"/>
    </row>
    <row r="278" ht="15.75" customHeight="1">
      <c r="B278" s="1"/>
      <c r="C278" s="1"/>
      <c r="D278" s="1"/>
      <c r="E278" s="1"/>
      <c r="F278" s="1"/>
      <c r="G278" s="1"/>
      <c r="H278" s="2"/>
      <c r="I278" s="3"/>
      <c r="J278" s="3"/>
      <c r="K278" s="3"/>
      <c r="L278" s="2"/>
      <c r="M278" s="2"/>
      <c r="N278" s="2"/>
      <c r="U278" s="2"/>
      <c r="V278" s="2"/>
      <c r="W278" s="4"/>
    </row>
    <row r="279" ht="15.75" customHeight="1">
      <c r="B279" s="1"/>
      <c r="C279" s="1"/>
      <c r="D279" s="1"/>
      <c r="E279" s="1"/>
      <c r="F279" s="1"/>
      <c r="G279" s="1"/>
      <c r="H279" s="2"/>
      <c r="I279" s="3"/>
      <c r="J279" s="3"/>
      <c r="K279" s="3"/>
      <c r="L279" s="2"/>
      <c r="M279" s="2"/>
      <c r="N279" s="2"/>
      <c r="U279" s="2"/>
      <c r="V279" s="2"/>
      <c r="W279" s="4"/>
    </row>
    <row r="280" ht="15.75" customHeight="1">
      <c r="B280" s="1"/>
      <c r="C280" s="1"/>
      <c r="D280" s="1"/>
      <c r="E280" s="1"/>
      <c r="F280" s="1"/>
      <c r="G280" s="1"/>
      <c r="H280" s="2"/>
      <c r="I280" s="3"/>
      <c r="J280" s="3"/>
      <c r="K280" s="3"/>
      <c r="L280" s="2"/>
      <c r="M280" s="2"/>
      <c r="N280" s="2"/>
      <c r="U280" s="2"/>
      <c r="V280" s="2"/>
      <c r="W280" s="4"/>
    </row>
    <row r="281" ht="15.75" customHeight="1">
      <c r="B281" s="1"/>
      <c r="C281" s="1"/>
      <c r="D281" s="1"/>
      <c r="E281" s="1"/>
      <c r="F281" s="1"/>
      <c r="G281" s="1"/>
      <c r="H281" s="2"/>
      <c r="I281" s="3"/>
      <c r="J281" s="3"/>
      <c r="K281" s="3"/>
      <c r="L281" s="2"/>
      <c r="M281" s="2"/>
      <c r="N281" s="2"/>
      <c r="U281" s="2"/>
      <c r="V281" s="2"/>
      <c r="W281" s="4"/>
    </row>
    <row r="282" ht="15.75" customHeight="1">
      <c r="B282" s="1"/>
      <c r="C282" s="1"/>
      <c r="D282" s="1"/>
      <c r="E282" s="1"/>
      <c r="F282" s="1"/>
      <c r="G282" s="1"/>
      <c r="H282" s="2"/>
      <c r="I282" s="3"/>
      <c r="J282" s="3"/>
      <c r="K282" s="3"/>
      <c r="L282" s="2"/>
      <c r="M282" s="2"/>
      <c r="N282" s="2"/>
      <c r="U282" s="2"/>
      <c r="V282" s="2"/>
      <c r="W282" s="4"/>
    </row>
    <row r="283" ht="15.75" customHeight="1">
      <c r="B283" s="1"/>
      <c r="C283" s="1"/>
      <c r="D283" s="1"/>
      <c r="E283" s="1"/>
      <c r="F283" s="1"/>
      <c r="G283" s="1"/>
      <c r="H283" s="2"/>
      <c r="I283" s="3"/>
      <c r="J283" s="3"/>
      <c r="K283" s="3"/>
      <c r="L283" s="2"/>
      <c r="M283" s="2"/>
      <c r="N283" s="2"/>
      <c r="U283" s="2"/>
      <c r="V283" s="2"/>
      <c r="W283" s="4"/>
    </row>
    <row r="284" ht="15.75" customHeight="1">
      <c r="B284" s="1"/>
      <c r="C284" s="1"/>
      <c r="D284" s="1"/>
      <c r="E284" s="1"/>
      <c r="F284" s="1"/>
      <c r="G284" s="1"/>
      <c r="H284" s="2"/>
      <c r="I284" s="3"/>
      <c r="J284" s="3"/>
      <c r="K284" s="3"/>
      <c r="L284" s="2"/>
      <c r="M284" s="2"/>
      <c r="N284" s="2"/>
      <c r="U284" s="2"/>
      <c r="V284" s="2"/>
      <c r="W284" s="4"/>
    </row>
    <row r="285" ht="15.75" customHeight="1">
      <c r="B285" s="1"/>
      <c r="C285" s="1"/>
      <c r="D285" s="1"/>
      <c r="E285" s="1"/>
      <c r="F285" s="1"/>
      <c r="G285" s="1"/>
      <c r="H285" s="2"/>
      <c r="I285" s="3"/>
      <c r="J285" s="3"/>
      <c r="K285" s="3"/>
      <c r="L285" s="2"/>
      <c r="M285" s="2"/>
      <c r="N285" s="2"/>
      <c r="U285" s="2"/>
      <c r="V285" s="2"/>
      <c r="W285" s="4"/>
    </row>
    <row r="286" ht="15.75" customHeight="1">
      <c r="B286" s="1"/>
      <c r="C286" s="1"/>
      <c r="D286" s="1"/>
      <c r="E286" s="1"/>
      <c r="F286" s="1"/>
      <c r="G286" s="1"/>
      <c r="H286" s="2"/>
      <c r="I286" s="3"/>
      <c r="J286" s="3"/>
      <c r="K286" s="3"/>
      <c r="L286" s="2"/>
      <c r="M286" s="2"/>
      <c r="N286" s="2"/>
      <c r="U286" s="2"/>
      <c r="V286" s="2"/>
      <c r="W286" s="4"/>
    </row>
    <row r="287" ht="15.75" customHeight="1">
      <c r="B287" s="1"/>
      <c r="C287" s="1"/>
      <c r="D287" s="1"/>
      <c r="E287" s="1"/>
      <c r="F287" s="1"/>
      <c r="G287" s="1"/>
      <c r="H287" s="2"/>
      <c r="I287" s="3"/>
      <c r="J287" s="3"/>
      <c r="K287" s="3"/>
      <c r="L287" s="2"/>
      <c r="M287" s="2"/>
      <c r="N287" s="2"/>
      <c r="U287" s="2"/>
      <c r="V287" s="2"/>
      <c r="W287" s="4"/>
    </row>
    <row r="288" ht="15.75" customHeight="1">
      <c r="B288" s="1"/>
      <c r="C288" s="1"/>
      <c r="D288" s="1"/>
      <c r="E288" s="1"/>
      <c r="F288" s="1"/>
      <c r="G288" s="1"/>
      <c r="H288" s="2"/>
      <c r="I288" s="3"/>
      <c r="J288" s="3"/>
      <c r="K288" s="3"/>
      <c r="L288" s="2"/>
      <c r="M288" s="2"/>
      <c r="N288" s="2"/>
      <c r="U288" s="2"/>
      <c r="V288" s="2"/>
      <c r="W288" s="4"/>
    </row>
    <row r="289" ht="15.75" customHeight="1">
      <c r="B289" s="1"/>
      <c r="C289" s="1"/>
      <c r="D289" s="1"/>
      <c r="E289" s="1"/>
      <c r="F289" s="1"/>
      <c r="G289" s="1"/>
      <c r="H289" s="2"/>
      <c r="I289" s="3"/>
      <c r="J289" s="3"/>
      <c r="K289" s="3"/>
      <c r="L289" s="2"/>
      <c r="M289" s="2"/>
      <c r="N289" s="2"/>
      <c r="U289" s="2"/>
      <c r="V289" s="2"/>
      <c r="W289" s="4"/>
    </row>
    <row r="290" ht="15.75" customHeight="1">
      <c r="B290" s="1"/>
      <c r="C290" s="1"/>
      <c r="D290" s="1"/>
      <c r="E290" s="1"/>
      <c r="F290" s="1"/>
      <c r="G290" s="1"/>
      <c r="H290" s="2"/>
      <c r="I290" s="3"/>
      <c r="J290" s="3"/>
      <c r="K290" s="3"/>
      <c r="L290" s="2"/>
      <c r="M290" s="2"/>
      <c r="N290" s="2"/>
      <c r="U290" s="2"/>
      <c r="V290" s="2"/>
      <c r="W290" s="4"/>
    </row>
    <row r="291" ht="15.75" customHeight="1">
      <c r="B291" s="1"/>
      <c r="C291" s="1"/>
      <c r="D291" s="1"/>
      <c r="E291" s="1"/>
      <c r="F291" s="1"/>
      <c r="G291" s="1"/>
      <c r="H291" s="2"/>
      <c r="I291" s="3"/>
      <c r="J291" s="3"/>
      <c r="K291" s="3"/>
      <c r="L291" s="2"/>
      <c r="M291" s="2"/>
      <c r="N291" s="2"/>
      <c r="U291" s="2"/>
      <c r="V291" s="2"/>
      <c r="W291" s="4"/>
    </row>
    <row r="292" ht="15.75" customHeight="1">
      <c r="B292" s="1"/>
      <c r="C292" s="1"/>
      <c r="D292" s="1"/>
      <c r="E292" s="1"/>
      <c r="F292" s="1"/>
      <c r="G292" s="1"/>
      <c r="H292" s="2"/>
      <c r="I292" s="3"/>
      <c r="J292" s="3"/>
      <c r="K292" s="3"/>
      <c r="L292" s="2"/>
      <c r="M292" s="2"/>
      <c r="N292" s="2"/>
      <c r="U292" s="2"/>
      <c r="V292" s="2"/>
      <c r="W292" s="4"/>
    </row>
    <row r="293" ht="15.75" customHeight="1">
      <c r="B293" s="1"/>
      <c r="C293" s="1"/>
      <c r="D293" s="1"/>
      <c r="E293" s="1"/>
      <c r="F293" s="1"/>
      <c r="G293" s="1"/>
      <c r="H293" s="2"/>
      <c r="I293" s="3"/>
      <c r="J293" s="3"/>
      <c r="K293" s="3"/>
      <c r="L293" s="2"/>
      <c r="M293" s="2"/>
      <c r="N293" s="2"/>
      <c r="U293" s="2"/>
      <c r="V293" s="2"/>
      <c r="W293" s="4"/>
    </row>
    <row r="294" ht="15.75" customHeight="1">
      <c r="B294" s="1"/>
      <c r="C294" s="1"/>
      <c r="D294" s="1"/>
      <c r="E294" s="1"/>
      <c r="F294" s="1"/>
      <c r="G294" s="1"/>
      <c r="H294" s="2"/>
      <c r="I294" s="3"/>
      <c r="J294" s="3"/>
      <c r="K294" s="3"/>
      <c r="L294" s="2"/>
      <c r="M294" s="2"/>
      <c r="N294" s="2"/>
      <c r="U294" s="2"/>
      <c r="V294" s="2"/>
      <c r="W294" s="4"/>
    </row>
    <row r="295" ht="15.75" customHeight="1">
      <c r="B295" s="1"/>
      <c r="C295" s="1"/>
      <c r="D295" s="1"/>
      <c r="E295" s="1"/>
      <c r="F295" s="1"/>
      <c r="G295" s="1"/>
      <c r="H295" s="2"/>
      <c r="I295" s="3"/>
      <c r="J295" s="3"/>
      <c r="K295" s="3"/>
      <c r="L295" s="2"/>
      <c r="M295" s="2"/>
      <c r="N295" s="2"/>
      <c r="U295" s="2"/>
      <c r="V295" s="2"/>
      <c r="W295" s="4"/>
    </row>
    <row r="296" ht="15.75" customHeight="1">
      <c r="B296" s="1"/>
      <c r="C296" s="1"/>
      <c r="D296" s="1"/>
      <c r="E296" s="1"/>
      <c r="F296" s="1"/>
      <c r="G296" s="1"/>
      <c r="H296" s="2"/>
      <c r="I296" s="3"/>
      <c r="J296" s="3"/>
      <c r="K296" s="3"/>
      <c r="L296" s="2"/>
      <c r="M296" s="2"/>
      <c r="N296" s="2"/>
      <c r="U296" s="2"/>
      <c r="V296" s="2"/>
      <c r="W296" s="4"/>
    </row>
    <row r="297" ht="15.75" customHeight="1">
      <c r="B297" s="1"/>
      <c r="C297" s="1"/>
      <c r="D297" s="1"/>
      <c r="E297" s="1"/>
      <c r="F297" s="1"/>
      <c r="G297" s="1"/>
      <c r="H297" s="2"/>
      <c r="I297" s="3"/>
      <c r="J297" s="3"/>
      <c r="K297" s="3"/>
      <c r="L297" s="2"/>
      <c r="M297" s="2"/>
      <c r="N297" s="2"/>
      <c r="U297" s="2"/>
      <c r="V297" s="2"/>
      <c r="W297" s="4"/>
    </row>
    <row r="298" ht="15.75" customHeight="1">
      <c r="B298" s="1"/>
      <c r="C298" s="1"/>
      <c r="D298" s="1"/>
      <c r="E298" s="1"/>
      <c r="F298" s="1"/>
      <c r="G298" s="1"/>
      <c r="H298" s="2"/>
      <c r="I298" s="3"/>
      <c r="J298" s="3"/>
      <c r="K298" s="3"/>
      <c r="L298" s="2"/>
      <c r="M298" s="2"/>
      <c r="N298" s="2"/>
      <c r="U298" s="2"/>
      <c r="V298" s="2"/>
      <c r="W298" s="4"/>
    </row>
    <row r="299" ht="15.75" customHeight="1">
      <c r="B299" s="1"/>
      <c r="C299" s="1"/>
      <c r="D299" s="1"/>
      <c r="E299" s="1"/>
      <c r="F299" s="1"/>
      <c r="G299" s="1"/>
      <c r="H299" s="2"/>
      <c r="I299" s="3"/>
      <c r="J299" s="3"/>
      <c r="K299" s="3"/>
      <c r="L299" s="2"/>
      <c r="M299" s="2"/>
      <c r="N299" s="2"/>
      <c r="U299" s="2"/>
      <c r="V299" s="2"/>
      <c r="W299" s="4"/>
    </row>
    <row r="300" ht="15.75" customHeight="1">
      <c r="B300" s="1"/>
      <c r="C300" s="1"/>
      <c r="D300" s="1"/>
      <c r="E300" s="1"/>
      <c r="F300" s="1"/>
      <c r="G300" s="1"/>
      <c r="H300" s="2"/>
      <c r="I300" s="3"/>
      <c r="J300" s="3"/>
      <c r="K300" s="3"/>
      <c r="L300" s="2"/>
      <c r="M300" s="2"/>
      <c r="N300" s="2"/>
      <c r="U300" s="2"/>
      <c r="V300" s="2"/>
      <c r="W300" s="4"/>
    </row>
    <row r="301" ht="15.75" customHeight="1">
      <c r="B301" s="1"/>
      <c r="C301" s="1"/>
      <c r="D301" s="1"/>
      <c r="E301" s="1"/>
      <c r="F301" s="1"/>
      <c r="G301" s="1"/>
      <c r="H301" s="2"/>
      <c r="I301" s="3"/>
      <c r="J301" s="3"/>
      <c r="K301" s="3"/>
      <c r="L301" s="2"/>
      <c r="M301" s="2"/>
      <c r="N301" s="2"/>
      <c r="U301" s="2"/>
      <c r="V301" s="2"/>
      <c r="W301" s="4"/>
    </row>
    <row r="302" ht="15.75" customHeight="1">
      <c r="B302" s="1"/>
      <c r="C302" s="1"/>
      <c r="D302" s="1"/>
      <c r="E302" s="1"/>
      <c r="F302" s="1"/>
      <c r="G302" s="1"/>
      <c r="H302" s="2"/>
      <c r="I302" s="3"/>
      <c r="J302" s="3"/>
      <c r="K302" s="3"/>
      <c r="L302" s="2"/>
      <c r="M302" s="2"/>
      <c r="N302" s="2"/>
      <c r="U302" s="2"/>
      <c r="V302" s="2"/>
      <c r="W302" s="4"/>
    </row>
    <row r="303" ht="15.75" customHeight="1">
      <c r="B303" s="1"/>
      <c r="C303" s="1"/>
      <c r="D303" s="1"/>
      <c r="E303" s="1"/>
      <c r="F303" s="1"/>
      <c r="G303" s="1"/>
      <c r="H303" s="2"/>
      <c r="I303" s="3"/>
      <c r="J303" s="3"/>
      <c r="K303" s="3"/>
      <c r="L303" s="2"/>
      <c r="M303" s="2"/>
      <c r="N303" s="2"/>
      <c r="U303" s="2"/>
      <c r="V303" s="2"/>
      <c r="W303" s="4"/>
    </row>
    <row r="304" ht="15.75" customHeight="1">
      <c r="B304" s="1"/>
      <c r="C304" s="1"/>
      <c r="D304" s="1"/>
      <c r="E304" s="1"/>
      <c r="F304" s="1"/>
      <c r="G304" s="1"/>
      <c r="H304" s="2"/>
      <c r="I304" s="3"/>
      <c r="J304" s="3"/>
      <c r="K304" s="3"/>
      <c r="L304" s="2"/>
      <c r="M304" s="2"/>
      <c r="N304" s="2"/>
      <c r="U304" s="2"/>
      <c r="V304" s="2"/>
      <c r="W304" s="4"/>
    </row>
    <row r="305" ht="15.75" customHeight="1">
      <c r="B305" s="1"/>
      <c r="C305" s="1"/>
      <c r="D305" s="1"/>
      <c r="E305" s="1"/>
      <c r="F305" s="1"/>
      <c r="G305" s="1"/>
      <c r="H305" s="2"/>
      <c r="I305" s="3"/>
      <c r="J305" s="3"/>
      <c r="K305" s="3"/>
      <c r="L305" s="2"/>
      <c r="M305" s="2"/>
      <c r="N305" s="2"/>
      <c r="U305" s="2"/>
      <c r="V305" s="2"/>
      <c r="W305" s="4"/>
    </row>
    <row r="306" ht="15.75" customHeight="1">
      <c r="B306" s="1"/>
      <c r="C306" s="1"/>
      <c r="D306" s="1"/>
      <c r="E306" s="1"/>
      <c r="F306" s="1"/>
      <c r="G306" s="1"/>
      <c r="H306" s="2"/>
      <c r="I306" s="3"/>
      <c r="J306" s="3"/>
      <c r="K306" s="3"/>
      <c r="L306" s="2"/>
      <c r="M306" s="2"/>
      <c r="N306" s="2"/>
      <c r="U306" s="2"/>
      <c r="V306" s="2"/>
      <c r="W306" s="4"/>
    </row>
    <row r="307" ht="15.75" customHeight="1">
      <c r="B307" s="1"/>
      <c r="C307" s="1"/>
      <c r="D307" s="1"/>
      <c r="E307" s="1"/>
      <c r="F307" s="1"/>
      <c r="G307" s="1"/>
      <c r="H307" s="2"/>
      <c r="I307" s="3"/>
      <c r="J307" s="3"/>
      <c r="K307" s="3"/>
      <c r="L307" s="2"/>
      <c r="M307" s="2"/>
      <c r="N307" s="2"/>
      <c r="U307" s="2"/>
      <c r="V307" s="2"/>
      <c r="W307" s="4"/>
    </row>
    <row r="308" ht="15.75" customHeight="1">
      <c r="B308" s="1"/>
      <c r="C308" s="1"/>
      <c r="D308" s="1"/>
      <c r="E308" s="1"/>
      <c r="F308" s="1"/>
      <c r="G308" s="1"/>
      <c r="H308" s="2"/>
      <c r="I308" s="3"/>
      <c r="J308" s="3"/>
      <c r="K308" s="3"/>
      <c r="L308" s="2"/>
      <c r="M308" s="2"/>
      <c r="N308" s="2"/>
      <c r="U308" s="2"/>
      <c r="V308" s="2"/>
      <c r="W308" s="4"/>
    </row>
    <row r="309" ht="15.75" customHeight="1">
      <c r="B309" s="1"/>
      <c r="C309" s="1"/>
      <c r="D309" s="1"/>
      <c r="E309" s="1"/>
      <c r="F309" s="1"/>
      <c r="G309" s="1"/>
      <c r="H309" s="2"/>
      <c r="I309" s="3"/>
      <c r="J309" s="3"/>
      <c r="K309" s="3"/>
      <c r="L309" s="2"/>
      <c r="M309" s="2"/>
      <c r="N309" s="2"/>
      <c r="U309" s="2"/>
      <c r="V309" s="2"/>
      <c r="W309" s="4"/>
    </row>
    <row r="310" ht="15.75" customHeight="1">
      <c r="B310" s="1"/>
      <c r="C310" s="1"/>
      <c r="D310" s="1"/>
      <c r="E310" s="1"/>
      <c r="F310" s="1"/>
      <c r="G310" s="1"/>
      <c r="H310" s="2"/>
      <c r="I310" s="3"/>
      <c r="J310" s="3"/>
      <c r="K310" s="3"/>
      <c r="L310" s="2"/>
      <c r="M310" s="2"/>
      <c r="N310" s="2"/>
      <c r="U310" s="2"/>
      <c r="V310" s="2"/>
      <c r="W310" s="4"/>
    </row>
    <row r="311" ht="15.75" customHeight="1">
      <c r="B311" s="1"/>
      <c r="C311" s="1"/>
      <c r="D311" s="1"/>
      <c r="E311" s="1"/>
      <c r="F311" s="1"/>
      <c r="G311" s="1"/>
      <c r="H311" s="2"/>
      <c r="I311" s="3"/>
      <c r="J311" s="3"/>
      <c r="K311" s="3"/>
      <c r="L311" s="2"/>
      <c r="M311" s="2"/>
      <c r="N311" s="2"/>
      <c r="U311" s="2"/>
      <c r="V311" s="2"/>
      <c r="W311" s="4"/>
    </row>
    <row r="312" ht="15.75" customHeight="1">
      <c r="B312" s="1"/>
      <c r="C312" s="1"/>
      <c r="D312" s="1"/>
      <c r="E312" s="1"/>
      <c r="F312" s="1"/>
      <c r="G312" s="1"/>
      <c r="H312" s="2"/>
      <c r="I312" s="3"/>
      <c r="J312" s="3"/>
      <c r="K312" s="3"/>
      <c r="L312" s="2"/>
      <c r="M312" s="2"/>
      <c r="N312" s="2"/>
      <c r="U312" s="2"/>
      <c r="V312" s="2"/>
      <c r="W312" s="4"/>
    </row>
    <row r="313" ht="15.75" customHeight="1">
      <c r="B313" s="1"/>
      <c r="C313" s="1"/>
      <c r="D313" s="1"/>
      <c r="E313" s="1"/>
      <c r="F313" s="1"/>
      <c r="G313" s="1"/>
      <c r="H313" s="2"/>
      <c r="I313" s="3"/>
      <c r="J313" s="3"/>
      <c r="K313" s="3"/>
      <c r="L313" s="2"/>
      <c r="M313" s="2"/>
      <c r="N313" s="2"/>
      <c r="U313" s="2"/>
      <c r="V313" s="2"/>
      <c r="W313" s="4"/>
    </row>
    <row r="314" ht="15.75" customHeight="1">
      <c r="B314" s="1"/>
      <c r="C314" s="1"/>
      <c r="D314" s="1"/>
      <c r="E314" s="1"/>
      <c r="F314" s="1"/>
      <c r="G314" s="1"/>
      <c r="H314" s="2"/>
      <c r="I314" s="3"/>
      <c r="J314" s="3"/>
      <c r="K314" s="3"/>
      <c r="L314" s="2"/>
      <c r="M314" s="2"/>
      <c r="N314" s="2"/>
      <c r="U314" s="2"/>
      <c r="V314" s="2"/>
      <c r="W314" s="4"/>
    </row>
    <row r="315" ht="15.75" customHeight="1">
      <c r="B315" s="1"/>
      <c r="C315" s="1"/>
      <c r="D315" s="1"/>
      <c r="E315" s="1"/>
      <c r="F315" s="1"/>
      <c r="G315" s="1"/>
      <c r="H315" s="2"/>
      <c r="I315" s="3"/>
      <c r="J315" s="3"/>
      <c r="K315" s="3"/>
      <c r="L315" s="2"/>
      <c r="M315" s="2"/>
      <c r="N315" s="2"/>
      <c r="U315" s="2"/>
      <c r="V315" s="2"/>
      <c r="W315" s="4"/>
    </row>
    <row r="316" ht="15.75" customHeight="1">
      <c r="B316" s="1"/>
      <c r="C316" s="1"/>
      <c r="D316" s="1"/>
      <c r="E316" s="1"/>
      <c r="F316" s="1"/>
      <c r="G316" s="1"/>
      <c r="H316" s="2"/>
      <c r="I316" s="3"/>
      <c r="J316" s="3"/>
      <c r="K316" s="3"/>
      <c r="L316" s="2"/>
      <c r="M316" s="2"/>
      <c r="N316" s="2"/>
      <c r="U316" s="2"/>
      <c r="V316" s="2"/>
      <c r="W316" s="4"/>
    </row>
    <row r="317" ht="15.75" customHeight="1">
      <c r="B317" s="1"/>
      <c r="C317" s="1"/>
      <c r="D317" s="1"/>
      <c r="E317" s="1"/>
      <c r="F317" s="1"/>
      <c r="G317" s="1"/>
      <c r="H317" s="2"/>
      <c r="I317" s="3"/>
      <c r="J317" s="3"/>
      <c r="K317" s="3"/>
      <c r="L317" s="2"/>
      <c r="M317" s="2"/>
      <c r="N317" s="2"/>
      <c r="U317" s="2"/>
      <c r="V317" s="2"/>
      <c r="W317" s="4"/>
    </row>
    <row r="318" ht="15.75" customHeight="1">
      <c r="B318" s="1"/>
      <c r="C318" s="1"/>
      <c r="D318" s="1"/>
      <c r="E318" s="1"/>
      <c r="F318" s="1"/>
      <c r="G318" s="1"/>
      <c r="H318" s="2"/>
      <c r="I318" s="3"/>
      <c r="J318" s="3"/>
      <c r="K318" s="3"/>
      <c r="L318" s="2"/>
      <c r="M318" s="2"/>
      <c r="N318" s="2"/>
      <c r="U318" s="2"/>
      <c r="V318" s="2"/>
      <c r="W318" s="4"/>
    </row>
    <row r="319" ht="15.75" customHeight="1">
      <c r="B319" s="1"/>
      <c r="C319" s="1"/>
      <c r="D319" s="1"/>
      <c r="E319" s="1"/>
      <c r="F319" s="1"/>
      <c r="G319" s="1"/>
      <c r="H319" s="2"/>
      <c r="I319" s="3"/>
      <c r="J319" s="3"/>
      <c r="K319" s="3"/>
      <c r="L319" s="2"/>
      <c r="M319" s="2"/>
      <c r="N319" s="2"/>
      <c r="U319" s="2"/>
      <c r="V319" s="2"/>
      <c r="W319" s="4"/>
    </row>
    <row r="320" ht="15.75" customHeight="1">
      <c r="B320" s="1"/>
      <c r="C320" s="1"/>
      <c r="D320" s="1"/>
      <c r="E320" s="1"/>
      <c r="F320" s="1"/>
      <c r="G320" s="1"/>
      <c r="H320" s="2"/>
      <c r="I320" s="3"/>
      <c r="J320" s="3"/>
      <c r="K320" s="3"/>
      <c r="L320" s="2"/>
      <c r="M320" s="2"/>
      <c r="N320" s="2"/>
      <c r="U320" s="2"/>
      <c r="V320" s="2"/>
      <c r="W320" s="4"/>
    </row>
    <row r="321" ht="15.75" customHeight="1">
      <c r="B321" s="1"/>
      <c r="C321" s="1"/>
      <c r="D321" s="1"/>
      <c r="E321" s="1"/>
      <c r="F321" s="1"/>
      <c r="G321" s="1"/>
      <c r="H321" s="2"/>
      <c r="I321" s="3"/>
      <c r="J321" s="3"/>
      <c r="K321" s="3"/>
      <c r="L321" s="2"/>
      <c r="M321" s="2"/>
      <c r="N321" s="2"/>
      <c r="U321" s="2"/>
      <c r="V321" s="2"/>
      <c r="W321" s="4"/>
    </row>
    <row r="322" ht="15.75" customHeight="1">
      <c r="B322" s="1"/>
      <c r="C322" s="1"/>
      <c r="D322" s="1"/>
      <c r="E322" s="1"/>
      <c r="F322" s="1"/>
      <c r="G322" s="1"/>
      <c r="H322" s="2"/>
      <c r="I322" s="3"/>
      <c r="J322" s="3"/>
      <c r="K322" s="3"/>
      <c r="L322" s="2"/>
      <c r="M322" s="2"/>
      <c r="N322" s="2"/>
      <c r="U322" s="2"/>
      <c r="V322" s="2"/>
      <c r="W322" s="4"/>
    </row>
    <row r="323" ht="15.75" customHeight="1">
      <c r="B323" s="1"/>
      <c r="C323" s="1"/>
      <c r="D323" s="1"/>
      <c r="E323" s="1"/>
      <c r="F323" s="1"/>
      <c r="G323" s="1"/>
      <c r="H323" s="2"/>
      <c r="I323" s="3"/>
      <c r="J323" s="3"/>
      <c r="K323" s="3"/>
      <c r="L323" s="2"/>
      <c r="M323" s="2"/>
      <c r="N323" s="2"/>
      <c r="U323" s="2"/>
      <c r="V323" s="2"/>
      <c r="W323" s="4"/>
    </row>
    <row r="324" ht="15.75" customHeight="1">
      <c r="B324" s="1"/>
      <c r="C324" s="1"/>
      <c r="D324" s="1"/>
      <c r="E324" s="1"/>
      <c r="F324" s="1"/>
      <c r="G324" s="1"/>
      <c r="H324" s="2"/>
      <c r="I324" s="3"/>
      <c r="J324" s="3"/>
      <c r="K324" s="3"/>
      <c r="L324" s="2"/>
      <c r="M324" s="2"/>
      <c r="N324" s="2"/>
      <c r="U324" s="2"/>
      <c r="V324" s="2"/>
      <c r="W324" s="4"/>
    </row>
    <row r="325" ht="15.75" customHeight="1">
      <c r="B325" s="1"/>
      <c r="C325" s="1"/>
      <c r="D325" s="1"/>
      <c r="E325" s="1"/>
      <c r="F325" s="1"/>
      <c r="G325" s="1"/>
      <c r="H325" s="2"/>
      <c r="I325" s="3"/>
      <c r="J325" s="3"/>
      <c r="K325" s="3"/>
      <c r="L325" s="2"/>
      <c r="M325" s="2"/>
      <c r="N325" s="2"/>
      <c r="U325" s="2"/>
      <c r="V325" s="2"/>
      <c r="W325" s="4"/>
    </row>
    <row r="326" ht="15.75" customHeight="1">
      <c r="B326" s="1"/>
      <c r="C326" s="1"/>
      <c r="D326" s="1"/>
      <c r="E326" s="1"/>
      <c r="F326" s="1"/>
      <c r="G326" s="1"/>
      <c r="H326" s="2"/>
      <c r="I326" s="3"/>
      <c r="J326" s="3"/>
      <c r="K326" s="3"/>
      <c r="L326" s="2"/>
      <c r="M326" s="2"/>
      <c r="N326" s="2"/>
      <c r="U326" s="2"/>
      <c r="V326" s="2"/>
      <c r="W326" s="4"/>
    </row>
    <row r="327" ht="15.75" customHeight="1">
      <c r="B327" s="1"/>
      <c r="C327" s="1"/>
      <c r="D327" s="1"/>
      <c r="E327" s="1"/>
      <c r="F327" s="1"/>
      <c r="G327" s="1"/>
      <c r="H327" s="2"/>
      <c r="I327" s="3"/>
      <c r="J327" s="3"/>
      <c r="K327" s="3"/>
      <c r="L327" s="2"/>
      <c r="M327" s="2"/>
      <c r="N327" s="2"/>
      <c r="U327" s="2"/>
      <c r="V327" s="2"/>
      <c r="W327" s="4"/>
    </row>
    <row r="328" ht="15.75" customHeight="1">
      <c r="B328" s="1"/>
      <c r="C328" s="1"/>
      <c r="D328" s="1"/>
      <c r="E328" s="1"/>
      <c r="F328" s="1"/>
      <c r="G328" s="1"/>
      <c r="H328" s="2"/>
      <c r="I328" s="3"/>
      <c r="J328" s="3"/>
      <c r="K328" s="3"/>
      <c r="L328" s="2"/>
      <c r="M328" s="2"/>
      <c r="N328" s="2"/>
      <c r="U328" s="2"/>
      <c r="V328" s="2"/>
      <c r="W328" s="4"/>
    </row>
    <row r="329" ht="15.75" customHeight="1">
      <c r="B329" s="1"/>
      <c r="C329" s="1"/>
      <c r="D329" s="1"/>
      <c r="E329" s="1"/>
      <c r="F329" s="1"/>
      <c r="G329" s="1"/>
      <c r="H329" s="2"/>
      <c r="I329" s="3"/>
      <c r="J329" s="3"/>
      <c r="K329" s="3"/>
      <c r="L329" s="2"/>
      <c r="M329" s="2"/>
      <c r="N329" s="2"/>
      <c r="U329" s="2"/>
      <c r="V329" s="2"/>
      <c r="W329" s="4"/>
    </row>
    <row r="330" ht="15.75" customHeight="1">
      <c r="B330" s="1"/>
      <c r="C330" s="1"/>
      <c r="D330" s="1"/>
      <c r="E330" s="1"/>
      <c r="F330" s="1"/>
      <c r="G330" s="1"/>
      <c r="H330" s="2"/>
      <c r="I330" s="3"/>
      <c r="J330" s="3"/>
      <c r="K330" s="3"/>
      <c r="L330" s="2"/>
      <c r="M330" s="2"/>
      <c r="N330" s="2"/>
      <c r="U330" s="2"/>
      <c r="V330" s="2"/>
      <c r="W330" s="4"/>
    </row>
    <row r="331" ht="15.75" customHeight="1">
      <c r="B331" s="1"/>
      <c r="C331" s="1"/>
      <c r="D331" s="1"/>
      <c r="E331" s="1"/>
      <c r="F331" s="1"/>
      <c r="G331" s="1"/>
      <c r="H331" s="2"/>
      <c r="I331" s="3"/>
      <c r="J331" s="3"/>
      <c r="K331" s="3"/>
      <c r="L331" s="2"/>
      <c r="M331" s="2"/>
      <c r="N331" s="2"/>
      <c r="U331" s="2"/>
      <c r="V331" s="2"/>
      <c r="W331" s="4"/>
    </row>
    <row r="332" ht="15.75" customHeight="1">
      <c r="B332" s="1"/>
      <c r="C332" s="1"/>
      <c r="D332" s="1"/>
      <c r="E332" s="1"/>
      <c r="F332" s="1"/>
      <c r="G332" s="1"/>
      <c r="H332" s="2"/>
      <c r="I332" s="3"/>
      <c r="J332" s="3"/>
      <c r="K332" s="3"/>
      <c r="L332" s="2"/>
      <c r="M332" s="2"/>
      <c r="N332" s="2"/>
      <c r="U332" s="2"/>
      <c r="V332" s="2"/>
      <c r="W332" s="4"/>
    </row>
    <row r="333" ht="15.75" customHeight="1">
      <c r="B333" s="1"/>
      <c r="C333" s="1"/>
      <c r="D333" s="1"/>
      <c r="E333" s="1"/>
      <c r="F333" s="1"/>
      <c r="G333" s="1"/>
      <c r="H333" s="2"/>
      <c r="I333" s="3"/>
      <c r="J333" s="3"/>
      <c r="K333" s="3"/>
      <c r="L333" s="2"/>
      <c r="M333" s="2"/>
      <c r="N333" s="2"/>
      <c r="U333" s="2"/>
      <c r="V333" s="2"/>
      <c r="W333" s="4"/>
    </row>
    <row r="334" ht="15.75" customHeight="1">
      <c r="B334" s="1"/>
      <c r="C334" s="1"/>
      <c r="D334" s="1"/>
      <c r="E334" s="1"/>
      <c r="F334" s="1"/>
      <c r="G334" s="1"/>
      <c r="H334" s="2"/>
      <c r="I334" s="3"/>
      <c r="J334" s="3"/>
      <c r="K334" s="3"/>
      <c r="L334" s="2"/>
      <c r="M334" s="2"/>
      <c r="N334" s="2"/>
      <c r="U334" s="2"/>
      <c r="V334" s="2"/>
      <c r="W334" s="4"/>
    </row>
    <row r="335" ht="15.75" customHeight="1">
      <c r="B335" s="1"/>
      <c r="C335" s="1"/>
      <c r="D335" s="1"/>
      <c r="E335" s="1"/>
      <c r="F335" s="1"/>
      <c r="G335" s="1"/>
      <c r="H335" s="2"/>
      <c r="I335" s="3"/>
      <c r="J335" s="3"/>
      <c r="K335" s="3"/>
      <c r="L335" s="2"/>
      <c r="M335" s="2"/>
      <c r="N335" s="2"/>
      <c r="U335" s="2"/>
      <c r="V335" s="2"/>
      <c r="W335" s="4"/>
    </row>
    <row r="336" ht="15.75" customHeight="1">
      <c r="B336" s="1"/>
      <c r="C336" s="1"/>
      <c r="D336" s="1"/>
      <c r="E336" s="1"/>
      <c r="F336" s="1"/>
      <c r="G336" s="1"/>
      <c r="H336" s="2"/>
      <c r="I336" s="3"/>
      <c r="J336" s="3"/>
      <c r="K336" s="3"/>
      <c r="L336" s="2"/>
      <c r="M336" s="2"/>
      <c r="N336" s="2"/>
      <c r="U336" s="2"/>
      <c r="V336" s="2"/>
      <c r="W336" s="4"/>
    </row>
    <row r="337" ht="15.75" customHeight="1">
      <c r="B337" s="1"/>
      <c r="C337" s="1"/>
      <c r="D337" s="1"/>
      <c r="E337" s="1"/>
      <c r="F337" s="1"/>
      <c r="G337" s="1"/>
      <c r="H337" s="2"/>
      <c r="I337" s="3"/>
      <c r="J337" s="3"/>
      <c r="K337" s="3"/>
      <c r="L337" s="2"/>
      <c r="M337" s="2"/>
      <c r="N337" s="2"/>
      <c r="U337" s="2"/>
      <c r="V337" s="2"/>
      <c r="W337" s="4"/>
    </row>
    <row r="338" ht="15.75" customHeight="1">
      <c r="B338" s="1"/>
      <c r="C338" s="1"/>
      <c r="D338" s="1"/>
      <c r="E338" s="1"/>
      <c r="F338" s="1"/>
      <c r="G338" s="1"/>
      <c r="H338" s="2"/>
      <c r="I338" s="3"/>
      <c r="J338" s="3"/>
      <c r="K338" s="3"/>
      <c r="L338" s="2"/>
      <c r="M338" s="2"/>
      <c r="N338" s="2"/>
      <c r="U338" s="2"/>
      <c r="V338" s="2"/>
      <c r="W338" s="4"/>
    </row>
    <row r="339" ht="15.75" customHeight="1">
      <c r="B339" s="1"/>
      <c r="C339" s="1"/>
      <c r="D339" s="1"/>
      <c r="E339" s="1"/>
      <c r="F339" s="1"/>
      <c r="G339" s="1"/>
      <c r="H339" s="2"/>
      <c r="I339" s="3"/>
      <c r="J339" s="3"/>
      <c r="K339" s="3"/>
      <c r="L339" s="2"/>
      <c r="M339" s="2"/>
      <c r="N339" s="2"/>
      <c r="U339" s="2"/>
      <c r="V339" s="2"/>
      <c r="W339" s="4"/>
    </row>
    <row r="340" ht="15.75" customHeight="1">
      <c r="B340" s="1"/>
      <c r="C340" s="1"/>
      <c r="D340" s="1"/>
      <c r="E340" s="1"/>
      <c r="F340" s="1"/>
      <c r="G340" s="1"/>
      <c r="H340" s="2"/>
      <c r="I340" s="3"/>
      <c r="J340" s="3"/>
      <c r="K340" s="3"/>
      <c r="L340" s="2"/>
      <c r="M340" s="2"/>
      <c r="N340" s="2"/>
      <c r="U340" s="2"/>
      <c r="V340" s="2"/>
      <c r="W340" s="4"/>
    </row>
    <row r="341" ht="15.75" customHeight="1">
      <c r="B341" s="1"/>
      <c r="C341" s="1"/>
      <c r="D341" s="1"/>
      <c r="E341" s="1"/>
      <c r="F341" s="1"/>
      <c r="G341" s="1"/>
      <c r="H341" s="2"/>
      <c r="I341" s="3"/>
      <c r="J341" s="3"/>
      <c r="K341" s="3"/>
      <c r="L341" s="2"/>
      <c r="M341" s="2"/>
      <c r="N341" s="2"/>
      <c r="U341" s="2"/>
      <c r="V341" s="2"/>
      <c r="W341" s="4"/>
    </row>
    <row r="342" ht="15.75" customHeight="1">
      <c r="B342" s="1"/>
      <c r="C342" s="1"/>
      <c r="D342" s="1"/>
      <c r="E342" s="1"/>
      <c r="F342" s="1"/>
      <c r="G342" s="1"/>
      <c r="H342" s="2"/>
      <c r="I342" s="3"/>
      <c r="J342" s="3"/>
      <c r="K342" s="3"/>
      <c r="L342" s="2"/>
      <c r="M342" s="2"/>
      <c r="N342" s="2"/>
      <c r="U342" s="2"/>
      <c r="V342" s="2"/>
      <c r="W342" s="4"/>
    </row>
    <row r="343" ht="15.75" customHeight="1">
      <c r="B343" s="1"/>
      <c r="C343" s="1"/>
      <c r="D343" s="1"/>
      <c r="E343" s="1"/>
      <c r="F343" s="1"/>
      <c r="G343" s="1"/>
      <c r="H343" s="2"/>
      <c r="I343" s="3"/>
      <c r="J343" s="3"/>
      <c r="K343" s="3"/>
      <c r="L343" s="2"/>
      <c r="M343" s="2"/>
      <c r="N343" s="2"/>
      <c r="U343" s="2"/>
      <c r="V343" s="2"/>
      <c r="W343" s="4"/>
    </row>
    <row r="344" ht="15.75" customHeight="1">
      <c r="B344" s="1"/>
      <c r="C344" s="1"/>
      <c r="D344" s="1"/>
      <c r="E344" s="1"/>
      <c r="F344" s="1"/>
      <c r="G344" s="1"/>
      <c r="H344" s="2"/>
      <c r="I344" s="3"/>
      <c r="J344" s="3"/>
      <c r="K344" s="3"/>
      <c r="L344" s="2"/>
      <c r="M344" s="2"/>
      <c r="N344" s="2"/>
      <c r="U344" s="2"/>
      <c r="V344" s="2"/>
      <c r="W344" s="4"/>
    </row>
    <row r="345" ht="15.75" customHeight="1">
      <c r="B345" s="1"/>
      <c r="C345" s="1"/>
      <c r="D345" s="1"/>
      <c r="E345" s="1"/>
      <c r="F345" s="1"/>
      <c r="G345" s="1"/>
      <c r="H345" s="2"/>
      <c r="I345" s="3"/>
      <c r="J345" s="3"/>
      <c r="K345" s="3"/>
      <c r="L345" s="2"/>
      <c r="M345" s="2"/>
      <c r="N345" s="2"/>
      <c r="U345" s="2"/>
      <c r="V345" s="2"/>
      <c r="W345" s="4"/>
    </row>
    <row r="346" ht="15.75" customHeight="1">
      <c r="B346" s="1"/>
      <c r="C346" s="1"/>
      <c r="D346" s="1"/>
      <c r="E346" s="1"/>
      <c r="F346" s="1"/>
      <c r="G346" s="1"/>
      <c r="H346" s="2"/>
      <c r="I346" s="3"/>
      <c r="J346" s="3"/>
      <c r="K346" s="3"/>
      <c r="L346" s="2"/>
      <c r="M346" s="2"/>
      <c r="N346" s="2"/>
      <c r="U346" s="2"/>
      <c r="V346" s="2"/>
      <c r="W346" s="4"/>
    </row>
    <row r="347" ht="15.75" customHeight="1">
      <c r="B347" s="1"/>
      <c r="C347" s="1"/>
      <c r="D347" s="1"/>
      <c r="E347" s="1"/>
      <c r="F347" s="1"/>
      <c r="G347" s="1"/>
      <c r="H347" s="2"/>
      <c r="I347" s="3"/>
      <c r="J347" s="3"/>
      <c r="K347" s="3"/>
      <c r="L347" s="2"/>
      <c r="M347" s="2"/>
      <c r="N347" s="2"/>
      <c r="U347" s="2"/>
      <c r="V347" s="2"/>
      <c r="W347" s="4"/>
    </row>
    <row r="348" ht="15.75" customHeight="1">
      <c r="B348" s="1"/>
      <c r="C348" s="1"/>
      <c r="D348" s="1"/>
      <c r="E348" s="1"/>
      <c r="F348" s="1"/>
      <c r="G348" s="1"/>
      <c r="H348" s="2"/>
      <c r="I348" s="3"/>
      <c r="J348" s="3"/>
      <c r="K348" s="3"/>
      <c r="L348" s="2"/>
      <c r="M348" s="2"/>
      <c r="N348" s="2"/>
      <c r="U348" s="2"/>
      <c r="V348" s="2"/>
      <c r="W348" s="4"/>
    </row>
    <row r="349" ht="15.75" customHeight="1">
      <c r="B349" s="1"/>
      <c r="C349" s="1"/>
      <c r="D349" s="1"/>
      <c r="E349" s="1"/>
      <c r="F349" s="1"/>
      <c r="G349" s="1"/>
      <c r="H349" s="2"/>
      <c r="I349" s="3"/>
      <c r="J349" s="3"/>
      <c r="K349" s="3"/>
      <c r="L349" s="2"/>
      <c r="M349" s="2"/>
      <c r="N349" s="2"/>
      <c r="U349" s="2"/>
      <c r="V349" s="2"/>
      <c r="W349" s="4"/>
    </row>
    <row r="350" ht="15.75" customHeight="1">
      <c r="B350" s="1"/>
      <c r="C350" s="1"/>
      <c r="D350" s="1"/>
      <c r="E350" s="1"/>
      <c r="F350" s="1"/>
      <c r="G350" s="1"/>
      <c r="H350" s="2"/>
      <c r="I350" s="3"/>
      <c r="J350" s="3"/>
      <c r="K350" s="3"/>
      <c r="L350" s="2"/>
      <c r="M350" s="2"/>
      <c r="N350" s="2"/>
      <c r="U350" s="2"/>
      <c r="V350" s="2"/>
      <c r="W350" s="4"/>
    </row>
    <row r="351" ht="15.75" customHeight="1">
      <c r="B351" s="1"/>
      <c r="C351" s="1"/>
      <c r="D351" s="1"/>
      <c r="E351" s="1"/>
      <c r="F351" s="1"/>
      <c r="G351" s="1"/>
      <c r="H351" s="2"/>
      <c r="I351" s="3"/>
      <c r="J351" s="3"/>
      <c r="K351" s="3"/>
      <c r="L351" s="2"/>
      <c r="M351" s="2"/>
      <c r="N351" s="2"/>
      <c r="U351" s="2"/>
      <c r="V351" s="2"/>
      <c r="W351" s="4"/>
    </row>
    <row r="352" ht="15.75" customHeight="1">
      <c r="B352" s="1"/>
      <c r="C352" s="1"/>
      <c r="D352" s="1"/>
      <c r="E352" s="1"/>
      <c r="F352" s="1"/>
      <c r="G352" s="1"/>
      <c r="H352" s="2"/>
      <c r="I352" s="3"/>
      <c r="J352" s="3"/>
      <c r="K352" s="3"/>
      <c r="L352" s="2"/>
      <c r="M352" s="2"/>
      <c r="N352" s="2"/>
      <c r="U352" s="2"/>
      <c r="V352" s="2"/>
      <c r="W352" s="4"/>
    </row>
    <row r="353" ht="15.75" customHeight="1">
      <c r="B353" s="1"/>
      <c r="C353" s="1"/>
      <c r="D353" s="1"/>
      <c r="E353" s="1"/>
      <c r="F353" s="1"/>
      <c r="G353" s="1"/>
      <c r="H353" s="2"/>
      <c r="I353" s="3"/>
      <c r="J353" s="3"/>
      <c r="K353" s="3"/>
      <c r="L353" s="2"/>
      <c r="M353" s="2"/>
      <c r="N353" s="2"/>
      <c r="U353" s="2"/>
      <c r="V353" s="2"/>
      <c r="W353" s="4"/>
    </row>
    <row r="354" ht="15.75" customHeight="1">
      <c r="B354" s="1"/>
      <c r="C354" s="1"/>
      <c r="D354" s="1"/>
      <c r="E354" s="1"/>
      <c r="F354" s="1"/>
      <c r="G354" s="1"/>
      <c r="H354" s="2"/>
      <c r="I354" s="3"/>
      <c r="J354" s="3"/>
      <c r="K354" s="3"/>
      <c r="L354" s="2"/>
      <c r="M354" s="2"/>
      <c r="N354" s="2"/>
      <c r="U354" s="2"/>
      <c r="V354" s="2"/>
      <c r="W354" s="4"/>
    </row>
    <row r="355" ht="15.75" customHeight="1">
      <c r="B355" s="1"/>
      <c r="C355" s="1"/>
      <c r="D355" s="1"/>
      <c r="E355" s="1"/>
      <c r="F355" s="1"/>
      <c r="G355" s="1"/>
      <c r="H355" s="2"/>
      <c r="I355" s="3"/>
      <c r="J355" s="3"/>
      <c r="K355" s="3"/>
      <c r="L355" s="2"/>
      <c r="M355" s="2"/>
      <c r="N355" s="2"/>
      <c r="U355" s="2"/>
      <c r="V355" s="2"/>
      <c r="W355" s="4"/>
    </row>
    <row r="356" ht="15.75" customHeight="1">
      <c r="B356" s="1"/>
      <c r="C356" s="1"/>
      <c r="D356" s="1"/>
      <c r="E356" s="1"/>
      <c r="F356" s="1"/>
      <c r="G356" s="1"/>
      <c r="H356" s="2"/>
      <c r="I356" s="3"/>
      <c r="J356" s="3"/>
      <c r="K356" s="3"/>
      <c r="L356" s="2"/>
      <c r="M356" s="2"/>
      <c r="N356" s="2"/>
      <c r="U356" s="2"/>
      <c r="V356" s="2"/>
      <c r="W356" s="4"/>
    </row>
    <row r="357" ht="15.75" customHeight="1">
      <c r="B357" s="1"/>
      <c r="C357" s="1"/>
      <c r="D357" s="1"/>
      <c r="E357" s="1"/>
      <c r="F357" s="1"/>
      <c r="G357" s="1"/>
      <c r="H357" s="2"/>
      <c r="I357" s="3"/>
      <c r="J357" s="3"/>
      <c r="K357" s="3"/>
      <c r="L357" s="2"/>
      <c r="M357" s="2"/>
      <c r="N357" s="2"/>
      <c r="U357" s="2"/>
      <c r="V357" s="2"/>
      <c r="W357" s="4"/>
    </row>
    <row r="358" ht="15.75" customHeight="1">
      <c r="B358" s="1"/>
      <c r="C358" s="1"/>
      <c r="D358" s="1"/>
      <c r="E358" s="1"/>
      <c r="F358" s="1"/>
      <c r="G358" s="1"/>
      <c r="H358" s="2"/>
      <c r="I358" s="3"/>
      <c r="J358" s="3"/>
      <c r="K358" s="3"/>
      <c r="L358" s="2"/>
      <c r="M358" s="2"/>
      <c r="N358" s="2"/>
      <c r="U358" s="2"/>
      <c r="V358" s="2"/>
      <c r="W358" s="4"/>
    </row>
    <row r="359" ht="15.75" customHeight="1">
      <c r="B359" s="1"/>
      <c r="C359" s="1"/>
      <c r="D359" s="1"/>
      <c r="E359" s="1"/>
      <c r="F359" s="1"/>
      <c r="G359" s="1"/>
      <c r="H359" s="2"/>
      <c r="I359" s="3"/>
      <c r="J359" s="3"/>
      <c r="K359" s="3"/>
      <c r="L359" s="2"/>
      <c r="M359" s="2"/>
      <c r="N359" s="2"/>
      <c r="U359" s="2"/>
      <c r="V359" s="2"/>
      <c r="W359" s="4"/>
    </row>
    <row r="360" ht="15.75" customHeight="1">
      <c r="B360" s="1"/>
      <c r="C360" s="1"/>
      <c r="D360" s="1"/>
      <c r="E360" s="1"/>
      <c r="F360" s="1"/>
      <c r="G360" s="1"/>
      <c r="H360" s="2"/>
      <c r="I360" s="3"/>
      <c r="J360" s="3"/>
      <c r="K360" s="3"/>
      <c r="L360" s="2"/>
      <c r="M360" s="2"/>
      <c r="N360" s="2"/>
      <c r="U360" s="2"/>
      <c r="V360" s="2"/>
      <c r="W360" s="4"/>
    </row>
    <row r="361" ht="15.75" customHeight="1">
      <c r="B361" s="1"/>
      <c r="C361" s="1"/>
      <c r="D361" s="1"/>
      <c r="E361" s="1"/>
      <c r="F361" s="1"/>
      <c r="G361" s="1"/>
      <c r="H361" s="2"/>
      <c r="I361" s="3"/>
      <c r="J361" s="3"/>
      <c r="K361" s="3"/>
      <c r="L361" s="2"/>
      <c r="M361" s="2"/>
      <c r="N361" s="2"/>
      <c r="U361" s="2"/>
      <c r="V361" s="2"/>
      <c r="W361" s="4"/>
    </row>
    <row r="362" ht="15.75" customHeight="1">
      <c r="B362" s="1"/>
      <c r="C362" s="1"/>
      <c r="D362" s="1"/>
      <c r="E362" s="1"/>
      <c r="F362" s="1"/>
      <c r="G362" s="1"/>
      <c r="H362" s="2"/>
      <c r="I362" s="3"/>
      <c r="J362" s="3"/>
      <c r="K362" s="3"/>
      <c r="L362" s="2"/>
      <c r="M362" s="2"/>
      <c r="N362" s="2"/>
      <c r="U362" s="2"/>
      <c r="V362" s="2"/>
      <c r="W362" s="4"/>
    </row>
    <row r="363" ht="15.75" customHeight="1">
      <c r="B363" s="1"/>
      <c r="C363" s="1"/>
      <c r="D363" s="1"/>
      <c r="E363" s="1"/>
      <c r="F363" s="1"/>
      <c r="G363" s="1"/>
      <c r="H363" s="2"/>
      <c r="I363" s="3"/>
      <c r="J363" s="3"/>
      <c r="K363" s="3"/>
      <c r="L363" s="2"/>
      <c r="M363" s="2"/>
      <c r="N363" s="2"/>
      <c r="U363" s="2"/>
      <c r="V363" s="2"/>
      <c r="W363" s="4"/>
    </row>
    <row r="364" ht="15.75" customHeight="1">
      <c r="B364" s="1"/>
      <c r="C364" s="1"/>
      <c r="D364" s="1"/>
      <c r="E364" s="1"/>
      <c r="F364" s="1"/>
      <c r="G364" s="1"/>
      <c r="H364" s="2"/>
      <c r="I364" s="3"/>
      <c r="J364" s="3"/>
      <c r="K364" s="3"/>
      <c r="L364" s="2"/>
      <c r="M364" s="2"/>
      <c r="N364" s="2"/>
      <c r="U364" s="2"/>
      <c r="V364" s="2"/>
      <c r="W364" s="4"/>
    </row>
    <row r="365" ht="15.75" customHeight="1">
      <c r="B365" s="1"/>
      <c r="C365" s="1"/>
      <c r="D365" s="1"/>
      <c r="E365" s="1"/>
      <c r="F365" s="1"/>
      <c r="G365" s="1"/>
      <c r="H365" s="2"/>
      <c r="I365" s="3"/>
      <c r="J365" s="3"/>
      <c r="K365" s="3"/>
      <c r="L365" s="2"/>
      <c r="M365" s="2"/>
      <c r="N365" s="2"/>
      <c r="U365" s="2"/>
      <c r="V365" s="2"/>
      <c r="W365" s="4"/>
    </row>
    <row r="366" ht="15.75" customHeight="1">
      <c r="B366" s="1"/>
      <c r="C366" s="1"/>
      <c r="D366" s="1"/>
      <c r="E366" s="1"/>
      <c r="F366" s="1"/>
      <c r="G366" s="1"/>
      <c r="H366" s="2"/>
      <c r="I366" s="3"/>
      <c r="J366" s="3"/>
      <c r="K366" s="3"/>
      <c r="L366" s="2"/>
      <c r="M366" s="2"/>
      <c r="N366" s="2"/>
      <c r="U366" s="2"/>
      <c r="V366" s="2"/>
      <c r="W366" s="4"/>
    </row>
    <row r="367" ht="15.75" customHeight="1">
      <c r="B367" s="1"/>
      <c r="C367" s="1"/>
      <c r="D367" s="1"/>
      <c r="E367" s="1"/>
      <c r="F367" s="1"/>
      <c r="G367" s="1"/>
      <c r="H367" s="2"/>
      <c r="I367" s="3"/>
      <c r="J367" s="3"/>
      <c r="K367" s="3"/>
      <c r="L367" s="2"/>
      <c r="M367" s="2"/>
      <c r="N367" s="2"/>
      <c r="U367" s="2"/>
      <c r="V367" s="2"/>
      <c r="W367" s="4"/>
    </row>
    <row r="368" ht="15.75" customHeight="1">
      <c r="B368" s="1"/>
      <c r="C368" s="1"/>
      <c r="D368" s="1"/>
      <c r="E368" s="1"/>
      <c r="F368" s="1"/>
      <c r="G368" s="1"/>
      <c r="H368" s="2"/>
      <c r="I368" s="3"/>
      <c r="J368" s="3"/>
      <c r="K368" s="3"/>
      <c r="L368" s="2"/>
      <c r="M368" s="2"/>
      <c r="N368" s="2"/>
      <c r="U368" s="2"/>
      <c r="V368" s="2"/>
      <c r="W368" s="4"/>
    </row>
    <row r="369" ht="15.75" customHeight="1">
      <c r="B369" s="1"/>
      <c r="C369" s="1"/>
      <c r="D369" s="1"/>
      <c r="E369" s="1"/>
      <c r="F369" s="1"/>
      <c r="G369" s="1"/>
      <c r="H369" s="2"/>
      <c r="I369" s="3"/>
      <c r="J369" s="3"/>
      <c r="K369" s="3"/>
      <c r="L369" s="2"/>
      <c r="M369" s="2"/>
      <c r="N369" s="2"/>
      <c r="U369" s="2"/>
      <c r="V369" s="2"/>
      <c r="W369" s="4"/>
    </row>
    <row r="370" ht="15.75" customHeight="1">
      <c r="B370" s="1"/>
      <c r="C370" s="1"/>
      <c r="D370" s="1"/>
      <c r="E370" s="1"/>
      <c r="F370" s="1"/>
      <c r="G370" s="1"/>
      <c r="H370" s="2"/>
      <c r="I370" s="3"/>
      <c r="J370" s="3"/>
      <c r="K370" s="3"/>
      <c r="L370" s="2"/>
      <c r="M370" s="2"/>
      <c r="N370" s="2"/>
      <c r="U370" s="2"/>
      <c r="V370" s="2"/>
      <c r="W370" s="4"/>
    </row>
    <row r="371" ht="15.75" customHeight="1">
      <c r="B371" s="1"/>
      <c r="C371" s="1"/>
      <c r="D371" s="1"/>
      <c r="E371" s="1"/>
      <c r="F371" s="1"/>
      <c r="G371" s="1"/>
      <c r="H371" s="2"/>
      <c r="I371" s="3"/>
      <c r="J371" s="3"/>
      <c r="K371" s="3"/>
      <c r="L371" s="2"/>
      <c r="M371" s="2"/>
      <c r="N371" s="2"/>
      <c r="U371" s="2"/>
      <c r="V371" s="2"/>
      <c r="W371" s="4"/>
    </row>
    <row r="372" ht="15.75" customHeight="1">
      <c r="B372" s="1"/>
      <c r="C372" s="1"/>
      <c r="D372" s="1"/>
      <c r="E372" s="1"/>
      <c r="F372" s="1"/>
      <c r="G372" s="1"/>
      <c r="H372" s="2"/>
      <c r="I372" s="3"/>
      <c r="J372" s="3"/>
      <c r="K372" s="3"/>
      <c r="L372" s="2"/>
      <c r="M372" s="2"/>
      <c r="N372" s="2"/>
      <c r="U372" s="2"/>
      <c r="V372" s="2"/>
      <c r="W372" s="4"/>
    </row>
    <row r="373" ht="15.75" customHeight="1">
      <c r="B373" s="1"/>
      <c r="C373" s="1"/>
      <c r="D373" s="1"/>
      <c r="E373" s="1"/>
      <c r="F373" s="1"/>
      <c r="G373" s="1"/>
      <c r="H373" s="2"/>
      <c r="I373" s="3"/>
      <c r="J373" s="3"/>
      <c r="K373" s="3"/>
      <c r="L373" s="2"/>
      <c r="M373" s="2"/>
      <c r="N373" s="2"/>
      <c r="U373" s="2"/>
      <c r="V373" s="2"/>
      <c r="W373" s="4"/>
    </row>
    <row r="374" ht="15.75" customHeight="1">
      <c r="B374" s="1"/>
      <c r="C374" s="1"/>
      <c r="D374" s="1"/>
      <c r="E374" s="1"/>
      <c r="F374" s="1"/>
      <c r="G374" s="1"/>
      <c r="H374" s="2"/>
      <c r="I374" s="3"/>
      <c r="J374" s="3"/>
      <c r="K374" s="3"/>
      <c r="L374" s="2"/>
      <c r="M374" s="2"/>
      <c r="N374" s="2"/>
      <c r="U374" s="2"/>
      <c r="V374" s="2"/>
      <c r="W374" s="4"/>
    </row>
    <row r="375" ht="15.75" customHeight="1">
      <c r="B375" s="1"/>
      <c r="C375" s="1"/>
      <c r="D375" s="1"/>
      <c r="E375" s="1"/>
      <c r="F375" s="1"/>
      <c r="G375" s="1"/>
      <c r="H375" s="2"/>
      <c r="I375" s="3"/>
      <c r="J375" s="3"/>
      <c r="K375" s="3"/>
      <c r="L375" s="2"/>
      <c r="M375" s="2"/>
      <c r="N375" s="2"/>
      <c r="U375" s="2"/>
      <c r="V375" s="2"/>
      <c r="W375" s="4"/>
    </row>
    <row r="376" ht="15.75" customHeight="1">
      <c r="B376" s="1"/>
      <c r="C376" s="1"/>
      <c r="D376" s="1"/>
      <c r="E376" s="1"/>
      <c r="F376" s="1"/>
      <c r="G376" s="1"/>
      <c r="H376" s="2"/>
      <c r="I376" s="3"/>
      <c r="J376" s="3"/>
      <c r="K376" s="3"/>
      <c r="L376" s="2"/>
      <c r="M376" s="2"/>
      <c r="N376" s="2"/>
      <c r="U376" s="2"/>
      <c r="V376" s="2"/>
      <c r="W376" s="4"/>
    </row>
    <row r="377" ht="15.75" customHeight="1">
      <c r="B377" s="1"/>
      <c r="C377" s="1"/>
      <c r="D377" s="1"/>
      <c r="E377" s="1"/>
      <c r="F377" s="1"/>
      <c r="G377" s="1"/>
      <c r="H377" s="2"/>
      <c r="I377" s="3"/>
      <c r="J377" s="3"/>
      <c r="K377" s="3"/>
      <c r="L377" s="2"/>
      <c r="M377" s="2"/>
      <c r="N377" s="2"/>
      <c r="U377" s="2"/>
      <c r="V377" s="2"/>
      <c r="W377" s="4"/>
    </row>
    <row r="378" ht="15.75" customHeight="1">
      <c r="B378" s="1"/>
      <c r="C378" s="1"/>
      <c r="D378" s="1"/>
      <c r="E378" s="1"/>
      <c r="F378" s="1"/>
      <c r="G378" s="1"/>
      <c r="H378" s="2"/>
      <c r="I378" s="3"/>
      <c r="J378" s="3"/>
      <c r="K378" s="3"/>
      <c r="L378" s="2"/>
      <c r="M378" s="2"/>
      <c r="N378" s="2"/>
      <c r="U378" s="2"/>
      <c r="V378" s="2"/>
      <c r="W378" s="4"/>
    </row>
    <row r="379" ht="15.75" customHeight="1">
      <c r="B379" s="1"/>
      <c r="C379" s="1"/>
      <c r="D379" s="1"/>
      <c r="E379" s="1"/>
      <c r="F379" s="1"/>
      <c r="G379" s="1"/>
      <c r="H379" s="2"/>
      <c r="I379" s="3"/>
      <c r="J379" s="3"/>
      <c r="K379" s="3"/>
      <c r="L379" s="2"/>
      <c r="M379" s="2"/>
      <c r="N379" s="2"/>
      <c r="U379" s="2"/>
      <c r="V379" s="2"/>
      <c r="W379" s="4"/>
    </row>
    <row r="380" ht="15.75" customHeight="1">
      <c r="B380" s="1"/>
      <c r="C380" s="1"/>
      <c r="D380" s="1"/>
      <c r="E380" s="1"/>
      <c r="F380" s="1"/>
      <c r="G380" s="1"/>
      <c r="H380" s="2"/>
      <c r="I380" s="3"/>
      <c r="J380" s="3"/>
      <c r="K380" s="3"/>
      <c r="L380" s="2"/>
      <c r="M380" s="2"/>
      <c r="N380" s="2"/>
      <c r="U380" s="2"/>
      <c r="V380" s="2"/>
      <c r="W380" s="4"/>
    </row>
    <row r="381" ht="15.75" customHeight="1">
      <c r="B381" s="1"/>
      <c r="C381" s="1"/>
      <c r="D381" s="1"/>
      <c r="E381" s="1"/>
      <c r="F381" s="1"/>
      <c r="G381" s="1"/>
      <c r="H381" s="2"/>
      <c r="I381" s="3"/>
      <c r="J381" s="3"/>
      <c r="K381" s="3"/>
      <c r="L381" s="2"/>
      <c r="M381" s="2"/>
      <c r="N381" s="2"/>
      <c r="U381" s="2"/>
      <c r="V381" s="2"/>
      <c r="W381" s="4"/>
    </row>
    <row r="382" ht="15.75" customHeight="1">
      <c r="B382" s="1"/>
      <c r="C382" s="1"/>
      <c r="D382" s="1"/>
      <c r="E382" s="1"/>
      <c r="F382" s="1"/>
      <c r="G382" s="1"/>
      <c r="H382" s="2"/>
      <c r="I382" s="3"/>
      <c r="J382" s="3"/>
      <c r="K382" s="3"/>
      <c r="L382" s="2"/>
      <c r="M382" s="2"/>
      <c r="N382" s="2"/>
      <c r="U382" s="2"/>
      <c r="V382" s="2"/>
      <c r="W382" s="4"/>
    </row>
    <row r="383" ht="15.75" customHeight="1">
      <c r="B383" s="1"/>
      <c r="C383" s="1"/>
      <c r="D383" s="1"/>
      <c r="E383" s="1"/>
      <c r="F383" s="1"/>
      <c r="G383" s="1"/>
      <c r="H383" s="2"/>
      <c r="I383" s="3"/>
      <c r="J383" s="3"/>
      <c r="K383" s="3"/>
      <c r="L383" s="2"/>
      <c r="M383" s="2"/>
      <c r="N383" s="2"/>
      <c r="U383" s="2"/>
      <c r="V383" s="2"/>
      <c r="W383" s="4"/>
    </row>
    <row r="384" ht="15.75" customHeight="1">
      <c r="B384" s="1"/>
      <c r="C384" s="1"/>
      <c r="D384" s="1"/>
      <c r="E384" s="1"/>
      <c r="F384" s="1"/>
      <c r="G384" s="1"/>
      <c r="H384" s="2"/>
      <c r="I384" s="3"/>
      <c r="J384" s="3"/>
      <c r="K384" s="3"/>
      <c r="L384" s="2"/>
      <c r="M384" s="2"/>
      <c r="N384" s="2"/>
      <c r="U384" s="2"/>
      <c r="V384" s="2"/>
      <c r="W384" s="4"/>
    </row>
    <row r="385" ht="15.75" customHeight="1">
      <c r="B385" s="1"/>
      <c r="C385" s="1"/>
      <c r="D385" s="1"/>
      <c r="E385" s="1"/>
      <c r="F385" s="1"/>
      <c r="G385" s="1"/>
      <c r="H385" s="2"/>
      <c r="I385" s="3"/>
      <c r="J385" s="3"/>
      <c r="K385" s="3"/>
      <c r="L385" s="2"/>
      <c r="M385" s="2"/>
      <c r="N385" s="2"/>
      <c r="U385" s="2"/>
      <c r="V385" s="2"/>
      <c r="W385" s="4"/>
    </row>
    <row r="386" ht="15.75" customHeight="1">
      <c r="B386" s="1"/>
      <c r="C386" s="1"/>
      <c r="D386" s="1"/>
      <c r="E386" s="1"/>
      <c r="F386" s="1"/>
      <c r="G386" s="1"/>
      <c r="H386" s="2"/>
      <c r="I386" s="3"/>
      <c r="J386" s="3"/>
      <c r="K386" s="3"/>
      <c r="L386" s="2"/>
      <c r="M386" s="2"/>
      <c r="N386" s="2"/>
      <c r="U386" s="2"/>
      <c r="V386" s="2"/>
      <c r="W386" s="4"/>
    </row>
    <row r="387" ht="15.75" customHeight="1">
      <c r="B387" s="1"/>
      <c r="C387" s="1"/>
      <c r="D387" s="1"/>
      <c r="E387" s="1"/>
      <c r="F387" s="1"/>
      <c r="G387" s="1"/>
      <c r="H387" s="2"/>
      <c r="I387" s="3"/>
      <c r="J387" s="3"/>
      <c r="K387" s="3"/>
      <c r="L387" s="2"/>
      <c r="M387" s="2"/>
      <c r="N387" s="2"/>
      <c r="U387" s="2"/>
      <c r="V387" s="2"/>
      <c r="W387" s="4"/>
    </row>
    <row r="388" ht="15.75" customHeight="1">
      <c r="B388" s="1"/>
      <c r="C388" s="1"/>
      <c r="D388" s="1"/>
      <c r="E388" s="1"/>
      <c r="F388" s="1"/>
      <c r="G388" s="1"/>
      <c r="H388" s="2"/>
      <c r="I388" s="3"/>
      <c r="J388" s="3"/>
      <c r="K388" s="3"/>
      <c r="L388" s="2"/>
      <c r="M388" s="2"/>
      <c r="N388" s="2"/>
      <c r="U388" s="2"/>
      <c r="V388" s="2"/>
      <c r="W388" s="4"/>
    </row>
    <row r="389" ht="15.75" customHeight="1">
      <c r="B389" s="1"/>
      <c r="C389" s="1"/>
      <c r="D389" s="1"/>
      <c r="E389" s="1"/>
      <c r="F389" s="1"/>
      <c r="G389" s="1"/>
      <c r="H389" s="2"/>
      <c r="I389" s="3"/>
      <c r="J389" s="3"/>
      <c r="K389" s="3"/>
      <c r="L389" s="2"/>
      <c r="M389" s="2"/>
      <c r="N389" s="2"/>
      <c r="U389" s="2"/>
      <c r="V389" s="2"/>
      <c r="W389" s="4"/>
    </row>
    <row r="390" ht="15.75" customHeight="1">
      <c r="B390" s="1"/>
      <c r="C390" s="1"/>
      <c r="D390" s="1"/>
      <c r="E390" s="1"/>
      <c r="F390" s="1"/>
      <c r="G390" s="1"/>
      <c r="H390" s="2"/>
      <c r="I390" s="3"/>
      <c r="J390" s="3"/>
      <c r="K390" s="3"/>
      <c r="L390" s="2"/>
      <c r="M390" s="2"/>
      <c r="N390" s="2"/>
      <c r="U390" s="2"/>
      <c r="V390" s="2"/>
      <c r="W390" s="4"/>
    </row>
    <row r="391" ht="15.75" customHeight="1">
      <c r="B391" s="1"/>
      <c r="C391" s="1"/>
      <c r="D391" s="1"/>
      <c r="E391" s="1"/>
      <c r="F391" s="1"/>
      <c r="G391" s="1"/>
      <c r="H391" s="2"/>
      <c r="I391" s="3"/>
      <c r="J391" s="3"/>
      <c r="K391" s="3"/>
      <c r="L391" s="2"/>
      <c r="M391" s="2"/>
      <c r="N391" s="2"/>
      <c r="U391" s="2"/>
      <c r="V391" s="2"/>
      <c r="W391" s="4"/>
    </row>
    <row r="392" ht="15.75" customHeight="1">
      <c r="B392" s="1"/>
      <c r="C392" s="1"/>
      <c r="D392" s="1"/>
      <c r="E392" s="1"/>
      <c r="F392" s="1"/>
      <c r="G392" s="1"/>
      <c r="H392" s="2"/>
      <c r="I392" s="3"/>
      <c r="J392" s="3"/>
      <c r="K392" s="3"/>
      <c r="L392" s="2"/>
      <c r="M392" s="2"/>
      <c r="N392" s="2"/>
      <c r="U392" s="2"/>
      <c r="V392" s="2"/>
      <c r="W392" s="4"/>
    </row>
    <row r="393" ht="15.75" customHeight="1">
      <c r="B393" s="1"/>
      <c r="C393" s="1"/>
      <c r="D393" s="1"/>
      <c r="E393" s="1"/>
      <c r="F393" s="1"/>
      <c r="G393" s="1"/>
      <c r="H393" s="2"/>
      <c r="I393" s="3"/>
      <c r="J393" s="3"/>
      <c r="K393" s="3"/>
      <c r="L393" s="2"/>
      <c r="M393" s="2"/>
      <c r="N393" s="2"/>
      <c r="U393" s="2"/>
      <c r="V393" s="2"/>
      <c r="W393" s="4"/>
    </row>
    <row r="394" ht="15.75" customHeight="1">
      <c r="B394" s="1"/>
      <c r="C394" s="1"/>
      <c r="D394" s="1"/>
      <c r="E394" s="1"/>
      <c r="F394" s="1"/>
      <c r="G394" s="1"/>
      <c r="H394" s="2"/>
      <c r="I394" s="3"/>
      <c r="J394" s="3"/>
      <c r="K394" s="3"/>
      <c r="L394" s="2"/>
      <c r="M394" s="2"/>
      <c r="N394" s="2"/>
      <c r="U394" s="2"/>
      <c r="V394" s="2"/>
      <c r="W394" s="4"/>
    </row>
    <row r="395" ht="15.75" customHeight="1">
      <c r="B395" s="1"/>
      <c r="C395" s="1"/>
      <c r="D395" s="1"/>
      <c r="E395" s="1"/>
      <c r="F395" s="1"/>
      <c r="G395" s="1"/>
      <c r="H395" s="2"/>
      <c r="I395" s="3"/>
      <c r="J395" s="3"/>
      <c r="K395" s="3"/>
      <c r="L395" s="2"/>
      <c r="M395" s="2"/>
      <c r="N395" s="2"/>
      <c r="U395" s="2"/>
      <c r="V395" s="2"/>
      <c r="W395" s="4"/>
    </row>
    <row r="396" ht="15.75" customHeight="1">
      <c r="B396" s="1"/>
      <c r="C396" s="1"/>
      <c r="D396" s="1"/>
      <c r="E396" s="1"/>
      <c r="F396" s="1"/>
      <c r="G396" s="1"/>
      <c r="H396" s="2"/>
      <c r="I396" s="3"/>
      <c r="J396" s="3"/>
      <c r="K396" s="3"/>
      <c r="L396" s="2"/>
      <c r="M396" s="2"/>
      <c r="N396" s="2"/>
      <c r="U396" s="2"/>
      <c r="V396" s="2"/>
      <c r="W396" s="4"/>
    </row>
    <row r="397" ht="15.75" customHeight="1">
      <c r="B397" s="1"/>
      <c r="C397" s="1"/>
      <c r="D397" s="1"/>
      <c r="E397" s="1"/>
      <c r="F397" s="1"/>
      <c r="G397" s="1"/>
      <c r="H397" s="2"/>
      <c r="I397" s="3"/>
      <c r="J397" s="3"/>
      <c r="K397" s="3"/>
      <c r="L397" s="2"/>
      <c r="M397" s="2"/>
      <c r="N397" s="2"/>
      <c r="U397" s="2"/>
      <c r="V397" s="2"/>
      <c r="W397" s="4"/>
    </row>
    <row r="398" ht="15.75" customHeight="1">
      <c r="B398" s="1"/>
      <c r="C398" s="1"/>
      <c r="D398" s="1"/>
      <c r="E398" s="1"/>
      <c r="F398" s="1"/>
      <c r="G398" s="1"/>
      <c r="H398" s="2"/>
      <c r="I398" s="3"/>
      <c r="J398" s="3"/>
      <c r="K398" s="3"/>
      <c r="L398" s="2"/>
      <c r="M398" s="2"/>
      <c r="N398" s="2"/>
      <c r="U398" s="2"/>
      <c r="V398" s="2"/>
      <c r="W398" s="4"/>
    </row>
    <row r="399" ht="15.75" customHeight="1">
      <c r="B399" s="1"/>
      <c r="C399" s="1"/>
      <c r="D399" s="1"/>
      <c r="E399" s="1"/>
      <c r="F399" s="1"/>
      <c r="G399" s="1"/>
      <c r="H399" s="2"/>
      <c r="I399" s="3"/>
      <c r="J399" s="3"/>
      <c r="K399" s="3"/>
      <c r="L399" s="2"/>
      <c r="M399" s="2"/>
      <c r="N399" s="2"/>
      <c r="U399" s="2"/>
      <c r="V399" s="2"/>
      <c r="W399" s="4"/>
    </row>
    <row r="400" ht="15.75" customHeight="1">
      <c r="B400" s="1"/>
      <c r="C400" s="1"/>
      <c r="D400" s="1"/>
      <c r="E400" s="1"/>
      <c r="F400" s="1"/>
      <c r="G400" s="1"/>
      <c r="H400" s="2"/>
      <c r="I400" s="3"/>
      <c r="J400" s="3"/>
      <c r="K400" s="3"/>
      <c r="L400" s="2"/>
      <c r="M400" s="2"/>
      <c r="N400" s="2"/>
      <c r="U400" s="2"/>
      <c r="V400" s="2"/>
      <c r="W400" s="4"/>
    </row>
    <row r="401" ht="15.75" customHeight="1">
      <c r="B401" s="1"/>
      <c r="C401" s="1"/>
      <c r="D401" s="1"/>
      <c r="E401" s="1"/>
      <c r="F401" s="1"/>
      <c r="G401" s="1"/>
      <c r="H401" s="2"/>
      <c r="I401" s="3"/>
      <c r="J401" s="3"/>
      <c r="K401" s="3"/>
      <c r="L401" s="2"/>
      <c r="M401" s="2"/>
      <c r="N401" s="2"/>
      <c r="U401" s="2"/>
      <c r="V401" s="2"/>
      <c r="W401" s="4"/>
    </row>
    <row r="402" ht="15.75" customHeight="1">
      <c r="B402" s="1"/>
      <c r="C402" s="1"/>
      <c r="D402" s="1"/>
      <c r="E402" s="1"/>
      <c r="F402" s="1"/>
      <c r="G402" s="1"/>
      <c r="H402" s="2"/>
      <c r="I402" s="3"/>
      <c r="J402" s="3"/>
      <c r="K402" s="3"/>
      <c r="L402" s="2"/>
      <c r="M402" s="2"/>
      <c r="N402" s="2"/>
      <c r="U402" s="2"/>
      <c r="V402" s="2"/>
      <c r="W402" s="4"/>
    </row>
    <row r="403" ht="15.75" customHeight="1">
      <c r="B403" s="1"/>
      <c r="C403" s="1"/>
      <c r="D403" s="1"/>
      <c r="E403" s="1"/>
      <c r="F403" s="1"/>
      <c r="G403" s="1"/>
      <c r="H403" s="2"/>
      <c r="I403" s="3"/>
      <c r="J403" s="3"/>
      <c r="K403" s="3"/>
      <c r="L403" s="2"/>
      <c r="M403" s="2"/>
      <c r="N403" s="2"/>
      <c r="U403" s="2"/>
      <c r="V403" s="2"/>
      <c r="W403" s="4"/>
    </row>
    <row r="404" ht="15.75" customHeight="1">
      <c r="B404" s="1"/>
      <c r="C404" s="1"/>
      <c r="D404" s="1"/>
      <c r="E404" s="1"/>
      <c r="F404" s="1"/>
      <c r="G404" s="1"/>
      <c r="H404" s="2"/>
      <c r="I404" s="3"/>
      <c r="J404" s="3"/>
      <c r="K404" s="3"/>
      <c r="L404" s="2"/>
      <c r="M404" s="2"/>
      <c r="N404" s="2"/>
      <c r="U404" s="2"/>
      <c r="V404" s="2"/>
      <c r="W404" s="4"/>
    </row>
    <row r="405" ht="15.75" customHeight="1">
      <c r="B405" s="1"/>
      <c r="C405" s="1"/>
      <c r="D405" s="1"/>
      <c r="E405" s="1"/>
      <c r="F405" s="1"/>
      <c r="G405" s="1"/>
      <c r="H405" s="2"/>
      <c r="I405" s="3"/>
      <c r="J405" s="3"/>
      <c r="K405" s="3"/>
      <c r="L405" s="2"/>
      <c r="M405" s="2"/>
      <c r="N405" s="2"/>
      <c r="U405" s="2"/>
      <c r="V405" s="2"/>
      <c r="W405" s="4"/>
    </row>
    <row r="406" ht="15.75" customHeight="1">
      <c r="B406" s="1"/>
      <c r="C406" s="1"/>
      <c r="D406" s="1"/>
      <c r="E406" s="1"/>
      <c r="F406" s="1"/>
      <c r="G406" s="1"/>
      <c r="H406" s="2"/>
      <c r="I406" s="3"/>
      <c r="J406" s="3"/>
      <c r="K406" s="3"/>
      <c r="L406" s="2"/>
      <c r="M406" s="2"/>
      <c r="N406" s="2"/>
      <c r="U406" s="2"/>
      <c r="V406" s="2"/>
      <c r="W406" s="4"/>
    </row>
    <row r="407" ht="15.75" customHeight="1">
      <c r="B407" s="1"/>
      <c r="C407" s="1"/>
      <c r="D407" s="1"/>
      <c r="E407" s="1"/>
      <c r="F407" s="1"/>
      <c r="G407" s="1"/>
      <c r="H407" s="2"/>
      <c r="I407" s="3"/>
      <c r="J407" s="3"/>
      <c r="K407" s="3"/>
      <c r="L407" s="2"/>
      <c r="M407" s="2"/>
      <c r="N407" s="2"/>
      <c r="U407" s="2"/>
      <c r="V407" s="2"/>
      <c r="W407" s="4"/>
    </row>
    <row r="408" ht="15.75" customHeight="1">
      <c r="B408" s="1"/>
      <c r="C408" s="1"/>
      <c r="D408" s="1"/>
      <c r="E408" s="1"/>
      <c r="F408" s="1"/>
      <c r="G408" s="1"/>
      <c r="H408" s="2"/>
      <c r="I408" s="3"/>
      <c r="J408" s="3"/>
      <c r="K408" s="3"/>
      <c r="L408" s="2"/>
      <c r="M408" s="2"/>
      <c r="N408" s="2"/>
      <c r="U408" s="2"/>
      <c r="V408" s="2"/>
      <c r="W408" s="4"/>
    </row>
    <row r="409" ht="15.75" customHeight="1">
      <c r="B409" s="1"/>
      <c r="C409" s="1"/>
      <c r="D409" s="1"/>
      <c r="E409" s="1"/>
      <c r="F409" s="1"/>
      <c r="G409" s="1"/>
      <c r="H409" s="2"/>
      <c r="I409" s="3"/>
      <c r="J409" s="3"/>
      <c r="K409" s="3"/>
      <c r="L409" s="2"/>
      <c r="M409" s="2"/>
      <c r="N409" s="2"/>
      <c r="U409" s="2"/>
      <c r="V409" s="2"/>
      <c r="W409" s="4"/>
    </row>
    <row r="410" ht="15.75" customHeight="1">
      <c r="B410" s="1"/>
      <c r="C410" s="1"/>
      <c r="D410" s="1"/>
      <c r="E410" s="1"/>
      <c r="F410" s="1"/>
      <c r="G410" s="1"/>
      <c r="H410" s="2"/>
      <c r="I410" s="3"/>
      <c r="J410" s="3"/>
      <c r="K410" s="3"/>
      <c r="L410" s="2"/>
      <c r="M410" s="2"/>
      <c r="N410" s="2"/>
      <c r="U410" s="2"/>
      <c r="V410" s="2"/>
      <c r="W410" s="4"/>
    </row>
    <row r="411" ht="15.75" customHeight="1">
      <c r="B411" s="1"/>
      <c r="C411" s="1"/>
      <c r="D411" s="1"/>
      <c r="E411" s="1"/>
      <c r="F411" s="1"/>
      <c r="G411" s="1"/>
      <c r="H411" s="2"/>
      <c r="I411" s="3"/>
      <c r="J411" s="3"/>
      <c r="K411" s="3"/>
      <c r="L411" s="2"/>
      <c r="M411" s="2"/>
      <c r="N411" s="2"/>
      <c r="U411" s="2"/>
      <c r="V411" s="2"/>
      <c r="W411" s="4"/>
    </row>
    <row r="412" ht="15.75" customHeight="1">
      <c r="B412" s="1"/>
      <c r="C412" s="1"/>
      <c r="D412" s="1"/>
      <c r="E412" s="1"/>
      <c r="F412" s="1"/>
      <c r="G412" s="1"/>
      <c r="H412" s="2"/>
      <c r="I412" s="3"/>
      <c r="J412" s="3"/>
      <c r="K412" s="3"/>
      <c r="L412" s="2"/>
      <c r="M412" s="2"/>
      <c r="N412" s="2"/>
      <c r="U412" s="2"/>
      <c r="V412" s="2"/>
      <c r="W412" s="4"/>
    </row>
    <row r="413" ht="15.75" customHeight="1">
      <c r="B413" s="1"/>
      <c r="C413" s="1"/>
      <c r="D413" s="1"/>
      <c r="E413" s="1"/>
      <c r="F413" s="1"/>
      <c r="G413" s="1"/>
      <c r="H413" s="2"/>
      <c r="I413" s="3"/>
      <c r="J413" s="3"/>
      <c r="K413" s="3"/>
      <c r="L413" s="2"/>
      <c r="M413" s="2"/>
      <c r="N413" s="2"/>
      <c r="U413" s="2"/>
      <c r="V413" s="2"/>
      <c r="W413" s="4"/>
    </row>
    <row r="414" ht="15.75" customHeight="1">
      <c r="B414" s="1"/>
      <c r="C414" s="1"/>
      <c r="D414" s="1"/>
      <c r="E414" s="1"/>
      <c r="F414" s="1"/>
      <c r="G414" s="1"/>
      <c r="H414" s="2"/>
      <c r="I414" s="3"/>
      <c r="J414" s="3"/>
      <c r="K414" s="3"/>
      <c r="L414" s="2"/>
      <c r="M414" s="2"/>
      <c r="N414" s="2"/>
      <c r="U414" s="2"/>
      <c r="V414" s="2"/>
      <c r="W414" s="4"/>
    </row>
    <row r="415" ht="15.75" customHeight="1">
      <c r="B415" s="1"/>
      <c r="C415" s="1"/>
      <c r="D415" s="1"/>
      <c r="E415" s="1"/>
      <c r="F415" s="1"/>
      <c r="G415" s="1"/>
      <c r="H415" s="2"/>
      <c r="I415" s="3"/>
      <c r="J415" s="3"/>
      <c r="K415" s="3"/>
      <c r="L415" s="2"/>
      <c r="M415" s="2"/>
      <c r="N415" s="2"/>
      <c r="U415" s="2"/>
      <c r="V415" s="2"/>
      <c r="W415" s="4"/>
    </row>
    <row r="416" ht="15.75" customHeight="1">
      <c r="B416" s="1"/>
      <c r="C416" s="1"/>
      <c r="D416" s="1"/>
      <c r="E416" s="1"/>
      <c r="F416" s="1"/>
      <c r="G416" s="1"/>
      <c r="H416" s="2"/>
      <c r="I416" s="3"/>
      <c r="J416" s="3"/>
      <c r="K416" s="3"/>
      <c r="L416" s="2"/>
      <c r="M416" s="2"/>
      <c r="N416" s="2"/>
      <c r="U416" s="2"/>
      <c r="V416" s="2"/>
      <c r="W416" s="4"/>
    </row>
    <row r="417" ht="15.75" customHeight="1">
      <c r="B417" s="1"/>
      <c r="C417" s="1"/>
      <c r="D417" s="1"/>
      <c r="E417" s="1"/>
      <c r="F417" s="1"/>
      <c r="G417" s="1"/>
      <c r="H417" s="2"/>
      <c r="I417" s="3"/>
      <c r="J417" s="3"/>
      <c r="K417" s="3"/>
      <c r="L417" s="2"/>
      <c r="M417" s="2"/>
      <c r="N417" s="2"/>
      <c r="U417" s="2"/>
      <c r="V417" s="2"/>
      <c r="W417" s="4"/>
    </row>
    <row r="418" ht="15.75" customHeight="1">
      <c r="B418" s="1"/>
      <c r="C418" s="1"/>
      <c r="D418" s="1"/>
      <c r="E418" s="1"/>
      <c r="F418" s="1"/>
      <c r="G418" s="1"/>
      <c r="H418" s="2"/>
      <c r="I418" s="3"/>
      <c r="J418" s="3"/>
      <c r="K418" s="3"/>
      <c r="L418" s="2"/>
      <c r="M418" s="2"/>
      <c r="N418" s="2"/>
      <c r="U418" s="2"/>
      <c r="V418" s="2"/>
      <c r="W418" s="4"/>
    </row>
    <row r="419" ht="15.75" customHeight="1">
      <c r="B419" s="1"/>
      <c r="C419" s="1"/>
      <c r="D419" s="1"/>
      <c r="E419" s="1"/>
      <c r="F419" s="1"/>
      <c r="G419" s="1"/>
      <c r="H419" s="2"/>
      <c r="I419" s="3"/>
      <c r="J419" s="3"/>
      <c r="K419" s="3"/>
      <c r="L419" s="2"/>
      <c r="M419" s="2"/>
      <c r="N419" s="2"/>
      <c r="U419" s="2"/>
      <c r="V419" s="2"/>
      <c r="W419" s="4"/>
    </row>
    <row r="420" ht="15.75" customHeight="1">
      <c r="B420" s="1"/>
      <c r="C420" s="1"/>
      <c r="D420" s="1"/>
      <c r="E420" s="1"/>
      <c r="F420" s="1"/>
      <c r="G420" s="1"/>
      <c r="H420" s="2"/>
      <c r="I420" s="3"/>
      <c r="J420" s="3"/>
      <c r="K420" s="3"/>
      <c r="L420" s="2"/>
      <c r="M420" s="2"/>
      <c r="N420" s="2"/>
      <c r="U420" s="2"/>
      <c r="V420" s="2"/>
      <c r="W420" s="4"/>
    </row>
    <row r="421" ht="15.75" customHeight="1">
      <c r="B421" s="1"/>
      <c r="C421" s="1"/>
      <c r="D421" s="1"/>
      <c r="E421" s="1"/>
      <c r="F421" s="1"/>
      <c r="G421" s="1"/>
      <c r="H421" s="2"/>
      <c r="I421" s="3"/>
      <c r="J421" s="3"/>
      <c r="K421" s="3"/>
      <c r="L421" s="2"/>
      <c r="M421" s="2"/>
      <c r="N421" s="2"/>
      <c r="U421" s="2"/>
      <c r="V421" s="2"/>
      <c r="W421" s="4"/>
    </row>
    <row r="422" ht="15.75" customHeight="1">
      <c r="B422" s="1"/>
      <c r="C422" s="1"/>
      <c r="D422" s="1"/>
      <c r="E422" s="1"/>
      <c r="F422" s="1"/>
      <c r="G422" s="1"/>
      <c r="H422" s="2"/>
      <c r="I422" s="3"/>
      <c r="J422" s="3"/>
      <c r="K422" s="3"/>
      <c r="L422" s="2"/>
      <c r="M422" s="2"/>
      <c r="N422" s="2"/>
      <c r="U422" s="2"/>
      <c r="V422" s="2"/>
      <c r="W422" s="4"/>
    </row>
    <row r="423" ht="15.75" customHeight="1">
      <c r="B423" s="1"/>
      <c r="C423" s="1"/>
      <c r="D423" s="1"/>
      <c r="E423" s="1"/>
      <c r="F423" s="1"/>
      <c r="G423" s="1"/>
      <c r="H423" s="2"/>
      <c r="I423" s="3"/>
      <c r="J423" s="3"/>
      <c r="K423" s="3"/>
      <c r="L423" s="2"/>
      <c r="M423" s="2"/>
      <c r="N423" s="2"/>
      <c r="U423" s="2"/>
      <c r="V423" s="2"/>
      <c r="W423" s="4"/>
    </row>
    <row r="424" ht="15.75" customHeight="1">
      <c r="B424" s="1"/>
      <c r="C424" s="1"/>
      <c r="D424" s="1"/>
      <c r="E424" s="1"/>
      <c r="F424" s="1"/>
      <c r="G424" s="1"/>
      <c r="H424" s="2"/>
      <c r="I424" s="3"/>
      <c r="J424" s="3"/>
      <c r="K424" s="3"/>
      <c r="L424" s="2"/>
      <c r="M424" s="2"/>
      <c r="N424" s="2"/>
      <c r="U424" s="2"/>
      <c r="V424" s="2"/>
      <c r="W424" s="4"/>
    </row>
    <row r="425" ht="15.75" customHeight="1">
      <c r="B425" s="1"/>
      <c r="C425" s="1"/>
      <c r="D425" s="1"/>
      <c r="E425" s="1"/>
      <c r="F425" s="1"/>
      <c r="G425" s="1"/>
      <c r="H425" s="2"/>
      <c r="I425" s="3"/>
      <c r="J425" s="3"/>
      <c r="K425" s="3"/>
      <c r="L425" s="2"/>
      <c r="M425" s="2"/>
      <c r="N425" s="2"/>
      <c r="U425" s="2"/>
      <c r="V425" s="2"/>
      <c r="W425" s="4"/>
    </row>
    <row r="426" ht="15.75" customHeight="1">
      <c r="B426" s="1"/>
      <c r="C426" s="1"/>
      <c r="D426" s="1"/>
      <c r="E426" s="1"/>
      <c r="F426" s="1"/>
      <c r="G426" s="1"/>
      <c r="H426" s="2"/>
      <c r="I426" s="3"/>
      <c r="J426" s="3"/>
      <c r="K426" s="3"/>
      <c r="L426" s="2"/>
      <c r="M426" s="2"/>
      <c r="N426" s="2"/>
      <c r="U426" s="2"/>
      <c r="V426" s="2"/>
      <c r="W426" s="4"/>
    </row>
    <row r="427" ht="15.75" customHeight="1">
      <c r="B427" s="1"/>
      <c r="C427" s="1"/>
      <c r="D427" s="1"/>
      <c r="E427" s="1"/>
      <c r="F427" s="1"/>
      <c r="G427" s="1"/>
      <c r="H427" s="2"/>
      <c r="I427" s="3"/>
      <c r="J427" s="3"/>
      <c r="K427" s="3"/>
      <c r="L427" s="2"/>
      <c r="M427" s="2"/>
      <c r="N427" s="2"/>
      <c r="U427" s="2"/>
      <c r="V427" s="2"/>
      <c r="W427" s="4"/>
    </row>
    <row r="428" ht="15.75" customHeight="1">
      <c r="B428" s="1"/>
      <c r="C428" s="1"/>
      <c r="D428" s="1"/>
      <c r="E428" s="1"/>
      <c r="F428" s="1"/>
      <c r="G428" s="1"/>
      <c r="H428" s="2"/>
      <c r="I428" s="3"/>
      <c r="J428" s="3"/>
      <c r="K428" s="3"/>
      <c r="L428" s="2"/>
      <c r="M428" s="2"/>
      <c r="N428" s="2"/>
      <c r="U428" s="2"/>
      <c r="V428" s="2"/>
      <c r="W428" s="4"/>
    </row>
    <row r="429" ht="15.75" customHeight="1">
      <c r="B429" s="1"/>
      <c r="C429" s="1"/>
      <c r="D429" s="1"/>
      <c r="E429" s="1"/>
      <c r="F429" s="1"/>
      <c r="G429" s="1"/>
      <c r="H429" s="2"/>
      <c r="I429" s="3"/>
      <c r="J429" s="3"/>
      <c r="K429" s="3"/>
      <c r="L429" s="2"/>
      <c r="M429" s="2"/>
      <c r="N429" s="2"/>
      <c r="U429" s="2"/>
      <c r="V429" s="2"/>
      <c r="W429" s="4"/>
    </row>
    <row r="430" ht="15.75" customHeight="1">
      <c r="B430" s="1"/>
      <c r="C430" s="1"/>
      <c r="D430" s="1"/>
      <c r="E430" s="1"/>
      <c r="F430" s="1"/>
      <c r="G430" s="1"/>
      <c r="H430" s="2"/>
      <c r="I430" s="3"/>
      <c r="J430" s="3"/>
      <c r="K430" s="3"/>
      <c r="L430" s="2"/>
      <c r="M430" s="2"/>
      <c r="N430" s="2"/>
      <c r="U430" s="2"/>
      <c r="V430" s="2"/>
      <c r="W430" s="4"/>
    </row>
    <row r="431" ht="15.75" customHeight="1">
      <c r="B431" s="1"/>
      <c r="C431" s="1"/>
      <c r="D431" s="1"/>
      <c r="E431" s="1"/>
      <c r="F431" s="1"/>
      <c r="G431" s="1"/>
      <c r="H431" s="2"/>
      <c r="I431" s="3"/>
      <c r="J431" s="3"/>
      <c r="K431" s="3"/>
      <c r="L431" s="2"/>
      <c r="M431" s="2"/>
      <c r="N431" s="2"/>
      <c r="U431" s="2"/>
      <c r="V431" s="2"/>
      <c r="W431" s="4"/>
    </row>
    <row r="432" ht="15.75" customHeight="1">
      <c r="B432" s="1"/>
      <c r="C432" s="1"/>
      <c r="D432" s="1"/>
      <c r="E432" s="1"/>
      <c r="F432" s="1"/>
      <c r="G432" s="1"/>
      <c r="H432" s="2"/>
      <c r="I432" s="3"/>
      <c r="J432" s="3"/>
      <c r="K432" s="3"/>
      <c r="L432" s="2"/>
      <c r="M432" s="2"/>
      <c r="N432" s="2"/>
      <c r="U432" s="2"/>
      <c r="V432" s="2"/>
      <c r="W432" s="4"/>
    </row>
    <row r="433" ht="15.75" customHeight="1">
      <c r="B433" s="1"/>
      <c r="C433" s="1"/>
      <c r="D433" s="1"/>
      <c r="E433" s="1"/>
      <c r="F433" s="1"/>
      <c r="G433" s="1"/>
      <c r="H433" s="2"/>
      <c r="I433" s="3"/>
      <c r="J433" s="3"/>
      <c r="K433" s="3"/>
      <c r="L433" s="2"/>
      <c r="M433" s="2"/>
      <c r="N433" s="2"/>
      <c r="U433" s="2"/>
      <c r="V433" s="2"/>
      <c r="W433" s="4"/>
    </row>
    <row r="434" ht="15.75" customHeight="1">
      <c r="B434" s="1"/>
      <c r="C434" s="1"/>
      <c r="D434" s="1"/>
      <c r="E434" s="1"/>
      <c r="F434" s="1"/>
      <c r="G434" s="1"/>
      <c r="H434" s="2"/>
      <c r="I434" s="3"/>
      <c r="J434" s="3"/>
      <c r="K434" s="3"/>
      <c r="L434" s="2"/>
      <c r="M434" s="2"/>
      <c r="N434" s="2"/>
      <c r="U434" s="2"/>
      <c r="V434" s="2"/>
      <c r="W434" s="4"/>
    </row>
    <row r="435" ht="15.75" customHeight="1">
      <c r="B435" s="1"/>
      <c r="C435" s="1"/>
      <c r="D435" s="1"/>
      <c r="E435" s="1"/>
      <c r="F435" s="1"/>
      <c r="G435" s="1"/>
      <c r="H435" s="2"/>
      <c r="I435" s="3"/>
      <c r="J435" s="3"/>
      <c r="K435" s="3"/>
      <c r="L435" s="2"/>
      <c r="M435" s="2"/>
      <c r="N435" s="2"/>
      <c r="U435" s="2"/>
      <c r="V435" s="2"/>
      <c r="W435" s="4"/>
    </row>
    <row r="436" ht="15.75" customHeight="1">
      <c r="B436" s="1"/>
      <c r="C436" s="1"/>
      <c r="D436" s="1"/>
      <c r="E436" s="1"/>
      <c r="F436" s="1"/>
      <c r="G436" s="1"/>
      <c r="H436" s="2"/>
      <c r="I436" s="3"/>
      <c r="J436" s="3"/>
      <c r="K436" s="3"/>
      <c r="L436" s="2"/>
      <c r="M436" s="2"/>
      <c r="N436" s="2"/>
      <c r="U436" s="2"/>
      <c r="V436" s="2"/>
      <c r="W436" s="4"/>
    </row>
    <row r="437" ht="15.75" customHeight="1">
      <c r="B437" s="1"/>
      <c r="C437" s="1"/>
      <c r="D437" s="1"/>
      <c r="E437" s="1"/>
      <c r="F437" s="1"/>
      <c r="G437" s="1"/>
      <c r="H437" s="2"/>
      <c r="I437" s="3"/>
      <c r="J437" s="3"/>
      <c r="K437" s="3"/>
      <c r="L437" s="2"/>
      <c r="M437" s="2"/>
      <c r="N437" s="2"/>
      <c r="U437" s="2"/>
      <c r="V437" s="2"/>
      <c r="W437" s="4"/>
    </row>
    <row r="438" ht="15.75" customHeight="1">
      <c r="B438" s="1"/>
      <c r="C438" s="1"/>
      <c r="D438" s="1"/>
      <c r="E438" s="1"/>
      <c r="F438" s="1"/>
      <c r="G438" s="1"/>
      <c r="H438" s="2"/>
      <c r="I438" s="3"/>
      <c r="J438" s="3"/>
      <c r="K438" s="3"/>
      <c r="L438" s="2"/>
      <c r="M438" s="2"/>
      <c r="N438" s="2"/>
      <c r="U438" s="2"/>
      <c r="V438" s="2"/>
      <c r="W438" s="4"/>
    </row>
    <row r="439" ht="15.75" customHeight="1">
      <c r="B439" s="1"/>
      <c r="C439" s="1"/>
      <c r="D439" s="1"/>
      <c r="E439" s="1"/>
      <c r="F439" s="1"/>
      <c r="G439" s="1"/>
      <c r="H439" s="2"/>
      <c r="I439" s="3"/>
      <c r="J439" s="3"/>
      <c r="K439" s="3"/>
      <c r="L439" s="2"/>
      <c r="M439" s="2"/>
      <c r="N439" s="2"/>
      <c r="U439" s="2"/>
      <c r="V439" s="2"/>
      <c r="W439" s="4"/>
    </row>
    <row r="440" ht="15.75" customHeight="1">
      <c r="B440" s="1"/>
      <c r="C440" s="1"/>
      <c r="D440" s="1"/>
      <c r="E440" s="1"/>
      <c r="F440" s="1"/>
      <c r="G440" s="1"/>
      <c r="H440" s="2"/>
      <c r="I440" s="3"/>
      <c r="J440" s="3"/>
      <c r="K440" s="3"/>
      <c r="L440" s="2"/>
      <c r="M440" s="2"/>
      <c r="N440" s="2"/>
      <c r="U440" s="2"/>
      <c r="V440" s="2"/>
      <c r="W440" s="4"/>
    </row>
    <row r="441" ht="15.75" customHeight="1">
      <c r="B441" s="1"/>
      <c r="C441" s="1"/>
      <c r="D441" s="1"/>
      <c r="E441" s="1"/>
      <c r="F441" s="1"/>
      <c r="G441" s="1"/>
      <c r="H441" s="2"/>
      <c r="I441" s="3"/>
      <c r="J441" s="3"/>
      <c r="K441" s="3"/>
      <c r="L441" s="2"/>
      <c r="M441" s="2"/>
      <c r="N441" s="2"/>
      <c r="U441" s="2"/>
      <c r="V441" s="2"/>
      <c r="W441" s="4"/>
    </row>
    <row r="442" ht="15.75" customHeight="1">
      <c r="B442" s="1"/>
      <c r="C442" s="1"/>
      <c r="D442" s="1"/>
      <c r="E442" s="1"/>
      <c r="F442" s="1"/>
      <c r="G442" s="1"/>
      <c r="H442" s="2"/>
      <c r="I442" s="3"/>
      <c r="J442" s="3"/>
      <c r="K442" s="3"/>
      <c r="L442" s="2"/>
      <c r="M442" s="2"/>
      <c r="N442" s="2"/>
      <c r="U442" s="2"/>
      <c r="V442" s="2"/>
      <c r="W442" s="4"/>
    </row>
    <row r="443" ht="15.75" customHeight="1">
      <c r="B443" s="1"/>
      <c r="C443" s="1"/>
      <c r="D443" s="1"/>
      <c r="E443" s="1"/>
      <c r="F443" s="1"/>
      <c r="G443" s="1"/>
      <c r="H443" s="2"/>
      <c r="I443" s="3"/>
      <c r="J443" s="3"/>
      <c r="K443" s="3"/>
      <c r="L443" s="2"/>
      <c r="M443" s="2"/>
      <c r="N443" s="2"/>
      <c r="U443" s="2"/>
      <c r="V443" s="2"/>
      <c r="W443" s="4"/>
    </row>
    <row r="444" ht="15.75" customHeight="1">
      <c r="B444" s="1"/>
      <c r="C444" s="1"/>
      <c r="D444" s="1"/>
      <c r="E444" s="1"/>
      <c r="F444" s="1"/>
      <c r="G444" s="1"/>
      <c r="H444" s="2"/>
      <c r="I444" s="3"/>
      <c r="J444" s="3"/>
      <c r="K444" s="3"/>
      <c r="L444" s="2"/>
      <c r="M444" s="2"/>
      <c r="N444" s="2"/>
      <c r="U444" s="2"/>
      <c r="V444" s="2"/>
      <c r="W444" s="4"/>
    </row>
    <row r="445" ht="15.75" customHeight="1">
      <c r="B445" s="1"/>
      <c r="C445" s="1"/>
      <c r="D445" s="1"/>
      <c r="E445" s="1"/>
      <c r="F445" s="1"/>
      <c r="G445" s="1"/>
      <c r="H445" s="2"/>
      <c r="I445" s="3"/>
      <c r="J445" s="3"/>
      <c r="K445" s="3"/>
      <c r="L445" s="2"/>
      <c r="M445" s="2"/>
      <c r="N445" s="2"/>
      <c r="U445" s="2"/>
      <c r="V445" s="2"/>
      <c r="W445" s="4"/>
    </row>
    <row r="446" ht="15.75" customHeight="1">
      <c r="B446" s="1"/>
      <c r="C446" s="1"/>
      <c r="D446" s="1"/>
      <c r="E446" s="1"/>
      <c r="F446" s="1"/>
      <c r="G446" s="1"/>
      <c r="H446" s="2"/>
      <c r="I446" s="3"/>
      <c r="J446" s="3"/>
      <c r="K446" s="3"/>
      <c r="L446" s="2"/>
      <c r="M446" s="2"/>
      <c r="N446" s="2"/>
      <c r="U446" s="2"/>
      <c r="V446" s="2"/>
      <c r="W446" s="4"/>
    </row>
    <row r="447" ht="15.75" customHeight="1">
      <c r="B447" s="1"/>
      <c r="C447" s="1"/>
      <c r="D447" s="1"/>
      <c r="E447" s="1"/>
      <c r="F447" s="1"/>
      <c r="G447" s="1"/>
      <c r="H447" s="2"/>
      <c r="I447" s="3"/>
      <c r="J447" s="3"/>
      <c r="K447" s="3"/>
      <c r="L447" s="2"/>
      <c r="M447" s="2"/>
      <c r="N447" s="2"/>
      <c r="U447" s="2"/>
      <c r="V447" s="2"/>
      <c r="W447" s="4"/>
    </row>
    <row r="448" ht="15.75" customHeight="1">
      <c r="B448" s="1"/>
      <c r="C448" s="1"/>
      <c r="D448" s="1"/>
      <c r="E448" s="1"/>
      <c r="F448" s="1"/>
      <c r="G448" s="1"/>
      <c r="H448" s="2"/>
      <c r="I448" s="3"/>
      <c r="J448" s="3"/>
      <c r="K448" s="3"/>
      <c r="L448" s="2"/>
      <c r="M448" s="2"/>
      <c r="N448" s="2"/>
      <c r="U448" s="2"/>
      <c r="V448" s="2"/>
      <c r="W448" s="4"/>
    </row>
    <row r="449" ht="15.75" customHeight="1">
      <c r="B449" s="1"/>
      <c r="C449" s="1"/>
      <c r="D449" s="1"/>
      <c r="E449" s="1"/>
      <c r="F449" s="1"/>
      <c r="G449" s="1"/>
      <c r="H449" s="2"/>
      <c r="I449" s="3"/>
      <c r="J449" s="3"/>
      <c r="K449" s="3"/>
      <c r="L449" s="2"/>
      <c r="M449" s="2"/>
      <c r="N449" s="2"/>
      <c r="U449" s="2"/>
      <c r="V449" s="2"/>
      <c r="W449" s="4"/>
    </row>
    <row r="450" ht="15.75" customHeight="1">
      <c r="B450" s="1"/>
      <c r="C450" s="1"/>
      <c r="D450" s="1"/>
      <c r="E450" s="1"/>
      <c r="F450" s="1"/>
      <c r="G450" s="1"/>
      <c r="H450" s="2"/>
      <c r="I450" s="3"/>
      <c r="J450" s="3"/>
      <c r="K450" s="3"/>
      <c r="L450" s="2"/>
      <c r="M450" s="2"/>
      <c r="N450" s="2"/>
      <c r="U450" s="2"/>
      <c r="V450" s="2"/>
      <c r="W450" s="4"/>
    </row>
    <row r="451" ht="15.75" customHeight="1">
      <c r="B451" s="1"/>
      <c r="C451" s="1"/>
      <c r="D451" s="1"/>
      <c r="E451" s="1"/>
      <c r="F451" s="1"/>
      <c r="G451" s="1"/>
      <c r="H451" s="2"/>
      <c r="I451" s="3"/>
      <c r="J451" s="3"/>
      <c r="K451" s="3"/>
      <c r="L451" s="2"/>
      <c r="M451" s="2"/>
      <c r="N451" s="2"/>
      <c r="U451" s="2"/>
      <c r="V451" s="2"/>
      <c r="W451" s="4"/>
    </row>
    <row r="452" ht="15.75" customHeight="1">
      <c r="B452" s="1"/>
      <c r="C452" s="1"/>
      <c r="D452" s="1"/>
      <c r="E452" s="1"/>
      <c r="F452" s="1"/>
      <c r="G452" s="1"/>
      <c r="H452" s="2"/>
      <c r="I452" s="3"/>
      <c r="J452" s="3"/>
      <c r="K452" s="3"/>
      <c r="L452" s="2"/>
      <c r="M452" s="2"/>
      <c r="N452" s="2"/>
      <c r="U452" s="2"/>
      <c r="V452" s="2"/>
      <c r="W452" s="4"/>
    </row>
    <row r="453" ht="15.75" customHeight="1">
      <c r="B453" s="1"/>
      <c r="C453" s="1"/>
      <c r="D453" s="1"/>
      <c r="E453" s="1"/>
      <c r="F453" s="1"/>
      <c r="G453" s="1"/>
      <c r="H453" s="2"/>
      <c r="I453" s="3"/>
      <c r="J453" s="3"/>
      <c r="K453" s="3"/>
      <c r="L453" s="2"/>
      <c r="M453" s="2"/>
      <c r="N453" s="2"/>
      <c r="U453" s="2"/>
      <c r="V453" s="2"/>
      <c r="W453" s="4"/>
    </row>
    <row r="454" ht="15.75" customHeight="1">
      <c r="B454" s="1"/>
      <c r="C454" s="1"/>
      <c r="D454" s="1"/>
      <c r="E454" s="1"/>
      <c r="F454" s="1"/>
      <c r="G454" s="1"/>
      <c r="H454" s="2"/>
      <c r="I454" s="3"/>
      <c r="J454" s="3"/>
      <c r="K454" s="3"/>
      <c r="L454" s="2"/>
      <c r="M454" s="2"/>
      <c r="N454" s="2"/>
      <c r="U454" s="2"/>
      <c r="V454" s="2"/>
      <c r="W454" s="4"/>
    </row>
    <row r="455" ht="15.75" customHeight="1">
      <c r="B455" s="1"/>
      <c r="C455" s="1"/>
      <c r="D455" s="1"/>
      <c r="E455" s="1"/>
      <c r="F455" s="1"/>
      <c r="G455" s="1"/>
      <c r="H455" s="2"/>
      <c r="I455" s="3"/>
      <c r="J455" s="3"/>
      <c r="K455" s="3"/>
      <c r="L455" s="2"/>
      <c r="M455" s="2"/>
      <c r="N455" s="2"/>
      <c r="U455" s="2"/>
      <c r="V455" s="2"/>
      <c r="W455" s="4"/>
    </row>
    <row r="456" ht="15.75" customHeight="1">
      <c r="B456" s="1"/>
      <c r="C456" s="1"/>
      <c r="D456" s="1"/>
      <c r="E456" s="1"/>
      <c r="F456" s="1"/>
      <c r="G456" s="1"/>
      <c r="H456" s="2"/>
      <c r="I456" s="3"/>
      <c r="J456" s="3"/>
      <c r="K456" s="3"/>
      <c r="L456" s="2"/>
      <c r="M456" s="2"/>
      <c r="N456" s="2"/>
      <c r="U456" s="2"/>
      <c r="V456" s="2"/>
      <c r="W456" s="4"/>
    </row>
    <row r="457" ht="15.75" customHeight="1">
      <c r="B457" s="1"/>
      <c r="C457" s="1"/>
      <c r="D457" s="1"/>
      <c r="E457" s="1"/>
      <c r="F457" s="1"/>
      <c r="G457" s="1"/>
      <c r="H457" s="2"/>
      <c r="I457" s="3"/>
      <c r="J457" s="3"/>
      <c r="K457" s="3"/>
      <c r="L457" s="2"/>
      <c r="M457" s="2"/>
      <c r="N457" s="2"/>
      <c r="U457" s="2"/>
      <c r="V457" s="2"/>
      <c r="W457" s="4"/>
    </row>
    <row r="458" ht="15.75" customHeight="1">
      <c r="B458" s="1"/>
      <c r="C458" s="1"/>
      <c r="D458" s="1"/>
      <c r="E458" s="1"/>
      <c r="F458" s="1"/>
      <c r="G458" s="1"/>
      <c r="H458" s="2"/>
      <c r="I458" s="3"/>
      <c r="J458" s="3"/>
      <c r="K458" s="3"/>
      <c r="L458" s="2"/>
      <c r="M458" s="2"/>
      <c r="N458" s="2"/>
      <c r="U458" s="2"/>
      <c r="V458" s="2"/>
      <c r="W458" s="4"/>
    </row>
    <row r="459" ht="15.75" customHeight="1">
      <c r="B459" s="1"/>
      <c r="C459" s="1"/>
      <c r="D459" s="1"/>
      <c r="E459" s="1"/>
      <c r="F459" s="1"/>
      <c r="G459" s="1"/>
      <c r="H459" s="2"/>
      <c r="I459" s="3"/>
      <c r="J459" s="3"/>
      <c r="K459" s="3"/>
      <c r="L459" s="2"/>
      <c r="M459" s="2"/>
      <c r="N459" s="2"/>
      <c r="U459" s="2"/>
      <c r="V459" s="2"/>
      <c r="W459" s="4"/>
    </row>
    <row r="460" ht="15.75" customHeight="1">
      <c r="B460" s="1"/>
      <c r="C460" s="1"/>
      <c r="D460" s="1"/>
      <c r="E460" s="1"/>
      <c r="F460" s="1"/>
      <c r="G460" s="1"/>
      <c r="H460" s="2"/>
      <c r="I460" s="3"/>
      <c r="J460" s="3"/>
      <c r="K460" s="3"/>
      <c r="L460" s="2"/>
      <c r="M460" s="2"/>
      <c r="N460" s="2"/>
      <c r="U460" s="2"/>
      <c r="V460" s="2"/>
      <c r="W460" s="4"/>
    </row>
    <row r="461" ht="15.75" customHeight="1">
      <c r="B461" s="1"/>
      <c r="C461" s="1"/>
      <c r="D461" s="1"/>
      <c r="E461" s="1"/>
      <c r="F461" s="1"/>
      <c r="G461" s="1"/>
      <c r="H461" s="2"/>
      <c r="I461" s="3"/>
      <c r="J461" s="3"/>
      <c r="K461" s="3"/>
      <c r="L461" s="2"/>
      <c r="M461" s="2"/>
      <c r="N461" s="2"/>
      <c r="U461" s="2"/>
      <c r="V461" s="2"/>
      <c r="W461" s="4"/>
    </row>
    <row r="462" ht="15.75" customHeight="1">
      <c r="B462" s="1"/>
      <c r="C462" s="1"/>
      <c r="D462" s="1"/>
      <c r="E462" s="1"/>
      <c r="F462" s="1"/>
      <c r="G462" s="1"/>
      <c r="H462" s="2"/>
      <c r="I462" s="3"/>
      <c r="J462" s="3"/>
      <c r="K462" s="3"/>
      <c r="L462" s="2"/>
      <c r="M462" s="2"/>
      <c r="N462" s="2"/>
      <c r="U462" s="2"/>
      <c r="V462" s="2"/>
      <c r="W462" s="4"/>
    </row>
    <row r="463" ht="15.75" customHeight="1">
      <c r="B463" s="1"/>
      <c r="C463" s="1"/>
      <c r="D463" s="1"/>
      <c r="E463" s="1"/>
      <c r="F463" s="1"/>
      <c r="G463" s="1"/>
      <c r="H463" s="2"/>
      <c r="I463" s="3"/>
      <c r="J463" s="3"/>
      <c r="K463" s="3"/>
      <c r="L463" s="2"/>
      <c r="M463" s="2"/>
      <c r="N463" s="2"/>
      <c r="U463" s="2"/>
      <c r="V463" s="2"/>
      <c r="W463" s="4"/>
    </row>
    <row r="464" ht="15.75" customHeight="1">
      <c r="B464" s="1"/>
      <c r="C464" s="1"/>
      <c r="D464" s="1"/>
      <c r="E464" s="1"/>
      <c r="F464" s="1"/>
      <c r="G464" s="1"/>
      <c r="H464" s="2"/>
      <c r="I464" s="3"/>
      <c r="J464" s="3"/>
      <c r="K464" s="3"/>
      <c r="L464" s="2"/>
      <c r="M464" s="2"/>
      <c r="N464" s="2"/>
      <c r="U464" s="2"/>
      <c r="V464" s="2"/>
      <c r="W464" s="4"/>
    </row>
    <row r="465" ht="15.75" customHeight="1">
      <c r="B465" s="1"/>
      <c r="C465" s="1"/>
      <c r="D465" s="1"/>
      <c r="E465" s="1"/>
      <c r="F465" s="1"/>
      <c r="G465" s="1"/>
      <c r="H465" s="2"/>
      <c r="I465" s="3"/>
      <c r="J465" s="3"/>
      <c r="K465" s="3"/>
      <c r="L465" s="2"/>
      <c r="M465" s="2"/>
      <c r="N465" s="2"/>
      <c r="U465" s="2"/>
      <c r="V465" s="2"/>
      <c r="W465" s="4"/>
    </row>
    <row r="466" ht="15.75" customHeight="1">
      <c r="B466" s="1"/>
      <c r="C466" s="1"/>
      <c r="D466" s="1"/>
      <c r="E466" s="1"/>
      <c r="F466" s="1"/>
      <c r="G466" s="1"/>
      <c r="H466" s="2"/>
      <c r="I466" s="3"/>
      <c r="J466" s="3"/>
      <c r="K466" s="3"/>
      <c r="L466" s="2"/>
      <c r="M466" s="2"/>
      <c r="N466" s="2"/>
      <c r="U466" s="2"/>
      <c r="V466" s="2"/>
      <c r="W466" s="4"/>
    </row>
    <row r="467" ht="15.75" customHeight="1">
      <c r="B467" s="1"/>
      <c r="C467" s="1"/>
      <c r="D467" s="1"/>
      <c r="E467" s="1"/>
      <c r="F467" s="1"/>
      <c r="G467" s="1"/>
      <c r="H467" s="2"/>
      <c r="I467" s="3"/>
      <c r="J467" s="3"/>
      <c r="K467" s="3"/>
      <c r="L467" s="2"/>
      <c r="M467" s="2"/>
      <c r="N467" s="2"/>
      <c r="U467" s="2"/>
      <c r="V467" s="2"/>
      <c r="W467" s="4"/>
    </row>
    <row r="468" ht="15.75" customHeight="1">
      <c r="B468" s="1"/>
      <c r="C468" s="1"/>
      <c r="D468" s="1"/>
      <c r="E468" s="1"/>
      <c r="F468" s="1"/>
      <c r="G468" s="1"/>
      <c r="H468" s="2"/>
      <c r="I468" s="3"/>
      <c r="J468" s="3"/>
      <c r="K468" s="3"/>
      <c r="L468" s="2"/>
      <c r="M468" s="2"/>
      <c r="N468" s="2"/>
      <c r="U468" s="2"/>
      <c r="V468" s="2"/>
      <c r="W468" s="4"/>
    </row>
    <row r="469" ht="15.75" customHeight="1">
      <c r="B469" s="1"/>
      <c r="C469" s="1"/>
      <c r="D469" s="1"/>
      <c r="E469" s="1"/>
      <c r="F469" s="1"/>
      <c r="G469" s="1"/>
      <c r="H469" s="2"/>
      <c r="I469" s="3"/>
      <c r="J469" s="3"/>
      <c r="K469" s="3"/>
      <c r="L469" s="2"/>
      <c r="M469" s="2"/>
      <c r="N469" s="2"/>
      <c r="U469" s="2"/>
      <c r="V469" s="2"/>
      <c r="W469" s="4"/>
    </row>
    <row r="470" ht="15.75" customHeight="1">
      <c r="B470" s="1"/>
      <c r="C470" s="1"/>
      <c r="D470" s="1"/>
      <c r="E470" s="1"/>
      <c r="F470" s="1"/>
      <c r="G470" s="1"/>
      <c r="H470" s="2"/>
      <c r="I470" s="3"/>
      <c r="J470" s="3"/>
      <c r="K470" s="3"/>
      <c r="L470" s="2"/>
      <c r="M470" s="2"/>
      <c r="N470" s="2"/>
      <c r="U470" s="2"/>
      <c r="V470" s="2"/>
      <c r="W470" s="4"/>
    </row>
    <row r="471" ht="15.75" customHeight="1">
      <c r="B471" s="1"/>
      <c r="C471" s="1"/>
      <c r="D471" s="1"/>
      <c r="E471" s="1"/>
      <c r="F471" s="1"/>
      <c r="G471" s="1"/>
      <c r="H471" s="2"/>
      <c r="I471" s="3"/>
      <c r="J471" s="3"/>
      <c r="K471" s="3"/>
      <c r="L471" s="2"/>
      <c r="M471" s="2"/>
      <c r="N471" s="2"/>
      <c r="U471" s="2"/>
      <c r="V471" s="2"/>
      <c r="W471" s="4"/>
    </row>
    <row r="472" ht="15.75" customHeight="1">
      <c r="B472" s="1"/>
      <c r="C472" s="1"/>
      <c r="D472" s="1"/>
      <c r="E472" s="1"/>
      <c r="F472" s="1"/>
      <c r="G472" s="1"/>
      <c r="H472" s="2"/>
      <c r="I472" s="3"/>
      <c r="J472" s="3"/>
      <c r="K472" s="3"/>
      <c r="L472" s="2"/>
      <c r="M472" s="2"/>
      <c r="N472" s="2"/>
      <c r="U472" s="2"/>
      <c r="V472" s="2"/>
      <c r="W472" s="4"/>
    </row>
    <row r="473" ht="15.75" customHeight="1">
      <c r="B473" s="1"/>
      <c r="C473" s="1"/>
      <c r="D473" s="1"/>
      <c r="E473" s="1"/>
      <c r="F473" s="1"/>
      <c r="G473" s="1"/>
      <c r="H473" s="2"/>
      <c r="I473" s="3"/>
      <c r="J473" s="3"/>
      <c r="K473" s="3"/>
      <c r="L473" s="2"/>
      <c r="M473" s="2"/>
      <c r="N473" s="2"/>
      <c r="U473" s="2"/>
      <c r="V473" s="2"/>
      <c r="W473" s="4"/>
    </row>
    <row r="474" ht="15.75" customHeight="1">
      <c r="B474" s="1"/>
      <c r="C474" s="1"/>
      <c r="D474" s="1"/>
      <c r="E474" s="1"/>
      <c r="F474" s="1"/>
      <c r="G474" s="1"/>
      <c r="H474" s="2"/>
      <c r="I474" s="3"/>
      <c r="J474" s="3"/>
      <c r="K474" s="3"/>
      <c r="L474" s="2"/>
      <c r="M474" s="2"/>
      <c r="N474" s="2"/>
      <c r="U474" s="2"/>
      <c r="V474" s="2"/>
      <c r="W474" s="4"/>
    </row>
    <row r="475" ht="15.75" customHeight="1">
      <c r="B475" s="1"/>
      <c r="C475" s="1"/>
      <c r="D475" s="1"/>
      <c r="E475" s="1"/>
      <c r="F475" s="1"/>
      <c r="G475" s="1"/>
      <c r="H475" s="2"/>
      <c r="I475" s="3"/>
      <c r="J475" s="3"/>
      <c r="K475" s="3"/>
      <c r="L475" s="2"/>
      <c r="M475" s="2"/>
      <c r="N475" s="2"/>
      <c r="U475" s="2"/>
      <c r="V475" s="2"/>
      <c r="W475" s="4"/>
    </row>
    <row r="476" ht="15.75" customHeight="1">
      <c r="B476" s="1"/>
      <c r="C476" s="1"/>
      <c r="D476" s="1"/>
      <c r="E476" s="1"/>
      <c r="F476" s="1"/>
      <c r="G476" s="1"/>
      <c r="H476" s="2"/>
      <c r="I476" s="3"/>
      <c r="J476" s="3"/>
      <c r="K476" s="3"/>
      <c r="L476" s="2"/>
      <c r="M476" s="2"/>
      <c r="N476" s="2"/>
      <c r="U476" s="2"/>
      <c r="V476" s="2"/>
      <c r="W476" s="4"/>
    </row>
    <row r="477" ht="15.75" customHeight="1">
      <c r="B477" s="1"/>
      <c r="C477" s="1"/>
      <c r="D477" s="1"/>
      <c r="E477" s="1"/>
      <c r="F477" s="1"/>
      <c r="G477" s="1"/>
      <c r="H477" s="2"/>
      <c r="I477" s="3"/>
      <c r="J477" s="3"/>
      <c r="K477" s="3"/>
      <c r="L477" s="2"/>
      <c r="M477" s="2"/>
      <c r="N477" s="2"/>
      <c r="U477" s="2"/>
      <c r="V477" s="2"/>
      <c r="W477" s="4"/>
    </row>
    <row r="478" ht="15.75" customHeight="1">
      <c r="B478" s="1"/>
      <c r="C478" s="1"/>
      <c r="D478" s="1"/>
      <c r="E478" s="1"/>
      <c r="F478" s="1"/>
      <c r="G478" s="1"/>
      <c r="H478" s="2"/>
      <c r="I478" s="3"/>
      <c r="J478" s="3"/>
      <c r="K478" s="3"/>
      <c r="L478" s="2"/>
      <c r="M478" s="2"/>
      <c r="N478" s="2"/>
      <c r="U478" s="2"/>
      <c r="V478" s="2"/>
      <c r="W478" s="4"/>
    </row>
    <row r="479" ht="15.75" customHeight="1">
      <c r="B479" s="1"/>
      <c r="C479" s="1"/>
      <c r="D479" s="1"/>
      <c r="E479" s="1"/>
      <c r="F479" s="1"/>
      <c r="G479" s="1"/>
      <c r="H479" s="2"/>
      <c r="I479" s="3"/>
      <c r="J479" s="3"/>
      <c r="K479" s="3"/>
      <c r="L479" s="2"/>
      <c r="M479" s="2"/>
      <c r="N479" s="2"/>
      <c r="U479" s="2"/>
      <c r="V479" s="2"/>
      <c r="W479" s="4"/>
    </row>
    <row r="480" ht="15.75" customHeight="1">
      <c r="B480" s="1"/>
      <c r="C480" s="1"/>
      <c r="D480" s="1"/>
      <c r="E480" s="1"/>
      <c r="F480" s="1"/>
      <c r="G480" s="1"/>
      <c r="H480" s="2"/>
      <c r="I480" s="3"/>
      <c r="J480" s="3"/>
      <c r="K480" s="3"/>
      <c r="L480" s="2"/>
      <c r="M480" s="2"/>
      <c r="N480" s="2"/>
      <c r="U480" s="2"/>
      <c r="V480" s="2"/>
      <c r="W480" s="4"/>
    </row>
    <row r="481" ht="15.75" customHeight="1">
      <c r="B481" s="1"/>
      <c r="C481" s="1"/>
      <c r="D481" s="1"/>
      <c r="E481" s="1"/>
      <c r="F481" s="1"/>
      <c r="G481" s="1"/>
      <c r="H481" s="2"/>
      <c r="I481" s="3"/>
      <c r="J481" s="3"/>
      <c r="K481" s="3"/>
      <c r="L481" s="2"/>
      <c r="M481" s="2"/>
      <c r="N481" s="2"/>
      <c r="U481" s="2"/>
      <c r="V481" s="2"/>
      <c r="W481" s="4"/>
    </row>
    <row r="482" ht="15.75" customHeight="1">
      <c r="B482" s="1"/>
      <c r="C482" s="1"/>
      <c r="D482" s="1"/>
      <c r="E482" s="1"/>
      <c r="F482" s="1"/>
      <c r="G482" s="1"/>
      <c r="H482" s="2"/>
      <c r="I482" s="3"/>
      <c r="J482" s="3"/>
      <c r="K482" s="3"/>
      <c r="L482" s="2"/>
      <c r="M482" s="2"/>
      <c r="N482" s="2"/>
      <c r="U482" s="2"/>
      <c r="V482" s="2"/>
      <c r="W482" s="4"/>
    </row>
    <row r="483" ht="15.75" customHeight="1">
      <c r="B483" s="1"/>
      <c r="C483" s="1"/>
      <c r="D483" s="1"/>
      <c r="E483" s="1"/>
      <c r="F483" s="1"/>
      <c r="G483" s="1"/>
      <c r="H483" s="2"/>
      <c r="I483" s="3"/>
      <c r="J483" s="3"/>
      <c r="K483" s="3"/>
      <c r="L483" s="2"/>
      <c r="M483" s="2"/>
      <c r="N483" s="2"/>
      <c r="U483" s="2"/>
      <c r="V483" s="2"/>
      <c r="W483" s="4"/>
    </row>
    <row r="484" ht="15.75" customHeight="1">
      <c r="B484" s="1"/>
      <c r="C484" s="1"/>
      <c r="D484" s="1"/>
      <c r="E484" s="1"/>
      <c r="F484" s="1"/>
      <c r="G484" s="1"/>
      <c r="H484" s="2"/>
      <c r="I484" s="3"/>
      <c r="J484" s="3"/>
      <c r="K484" s="3"/>
      <c r="L484" s="2"/>
      <c r="M484" s="2"/>
      <c r="N484" s="2"/>
      <c r="U484" s="2"/>
      <c r="V484" s="2"/>
      <c r="W484" s="4"/>
    </row>
    <row r="485" ht="15.75" customHeight="1">
      <c r="B485" s="1"/>
      <c r="C485" s="1"/>
      <c r="D485" s="1"/>
      <c r="E485" s="1"/>
      <c r="F485" s="1"/>
      <c r="G485" s="1"/>
      <c r="H485" s="2"/>
      <c r="I485" s="3"/>
      <c r="J485" s="3"/>
      <c r="K485" s="3"/>
      <c r="L485" s="2"/>
      <c r="M485" s="2"/>
      <c r="N485" s="2"/>
      <c r="U485" s="2"/>
      <c r="V485" s="2"/>
      <c r="W485" s="4"/>
    </row>
    <row r="486" ht="15.75" customHeight="1">
      <c r="B486" s="1"/>
      <c r="C486" s="1"/>
      <c r="D486" s="1"/>
      <c r="E486" s="1"/>
      <c r="F486" s="1"/>
      <c r="G486" s="1"/>
      <c r="H486" s="2"/>
      <c r="I486" s="3"/>
      <c r="J486" s="3"/>
      <c r="K486" s="3"/>
      <c r="L486" s="2"/>
      <c r="M486" s="2"/>
      <c r="N486" s="2"/>
      <c r="U486" s="2"/>
      <c r="V486" s="2"/>
      <c r="W486" s="4"/>
    </row>
    <row r="487" ht="15.75" customHeight="1">
      <c r="B487" s="1"/>
      <c r="C487" s="1"/>
      <c r="D487" s="1"/>
      <c r="E487" s="1"/>
      <c r="F487" s="1"/>
      <c r="G487" s="1"/>
      <c r="H487" s="2"/>
      <c r="I487" s="3"/>
      <c r="J487" s="3"/>
      <c r="K487" s="3"/>
      <c r="L487" s="2"/>
      <c r="M487" s="2"/>
      <c r="N487" s="2"/>
      <c r="U487" s="2"/>
      <c r="V487" s="2"/>
      <c r="W487" s="4"/>
    </row>
    <row r="488" ht="15.75" customHeight="1">
      <c r="B488" s="1"/>
      <c r="C488" s="1"/>
      <c r="D488" s="1"/>
      <c r="E488" s="1"/>
      <c r="F488" s="1"/>
      <c r="G488" s="1"/>
      <c r="H488" s="2"/>
      <c r="I488" s="3"/>
      <c r="J488" s="3"/>
      <c r="K488" s="3"/>
      <c r="L488" s="2"/>
      <c r="M488" s="2"/>
      <c r="N488" s="2"/>
      <c r="U488" s="2"/>
      <c r="V488" s="2"/>
      <c r="W488" s="4"/>
    </row>
    <row r="489" ht="15.75" customHeight="1">
      <c r="B489" s="1"/>
      <c r="C489" s="1"/>
      <c r="D489" s="1"/>
      <c r="E489" s="1"/>
      <c r="F489" s="1"/>
      <c r="G489" s="1"/>
      <c r="H489" s="2"/>
      <c r="I489" s="3"/>
      <c r="J489" s="3"/>
      <c r="K489" s="3"/>
      <c r="L489" s="2"/>
      <c r="M489" s="2"/>
      <c r="N489" s="2"/>
      <c r="U489" s="2"/>
      <c r="V489" s="2"/>
      <c r="W489" s="4"/>
    </row>
    <row r="490" ht="15.75" customHeight="1">
      <c r="B490" s="1"/>
      <c r="C490" s="1"/>
      <c r="D490" s="1"/>
      <c r="E490" s="1"/>
      <c r="F490" s="1"/>
      <c r="G490" s="1"/>
      <c r="H490" s="2"/>
      <c r="I490" s="3"/>
      <c r="J490" s="3"/>
      <c r="K490" s="3"/>
      <c r="L490" s="2"/>
      <c r="M490" s="2"/>
      <c r="N490" s="2"/>
      <c r="U490" s="2"/>
      <c r="V490" s="2"/>
      <c r="W490" s="4"/>
    </row>
    <row r="491" ht="15.75" customHeight="1">
      <c r="B491" s="1"/>
      <c r="C491" s="1"/>
      <c r="D491" s="1"/>
      <c r="E491" s="1"/>
      <c r="F491" s="1"/>
      <c r="G491" s="1"/>
      <c r="H491" s="2"/>
      <c r="I491" s="3"/>
      <c r="J491" s="3"/>
      <c r="K491" s="3"/>
      <c r="L491" s="2"/>
      <c r="M491" s="2"/>
      <c r="N491" s="2"/>
      <c r="U491" s="2"/>
      <c r="V491" s="2"/>
      <c r="W491" s="4"/>
    </row>
    <row r="492" ht="15.75" customHeight="1">
      <c r="B492" s="1"/>
      <c r="C492" s="1"/>
      <c r="D492" s="1"/>
      <c r="E492" s="1"/>
      <c r="F492" s="1"/>
      <c r="G492" s="1"/>
      <c r="H492" s="2"/>
      <c r="I492" s="3"/>
      <c r="J492" s="3"/>
      <c r="K492" s="3"/>
      <c r="L492" s="2"/>
      <c r="M492" s="2"/>
      <c r="N492" s="2"/>
      <c r="U492" s="2"/>
      <c r="V492" s="2"/>
      <c r="W492" s="4"/>
    </row>
    <row r="493" ht="15.75" customHeight="1">
      <c r="B493" s="1"/>
      <c r="C493" s="1"/>
      <c r="D493" s="1"/>
      <c r="E493" s="1"/>
      <c r="F493" s="1"/>
      <c r="G493" s="1"/>
      <c r="H493" s="2"/>
      <c r="I493" s="3"/>
      <c r="J493" s="3"/>
      <c r="K493" s="3"/>
      <c r="L493" s="2"/>
      <c r="M493" s="2"/>
      <c r="N493" s="2"/>
      <c r="U493" s="2"/>
      <c r="V493" s="2"/>
      <c r="W493" s="4"/>
    </row>
    <row r="494" ht="15.75" customHeight="1">
      <c r="B494" s="1"/>
      <c r="C494" s="1"/>
      <c r="D494" s="1"/>
      <c r="E494" s="1"/>
      <c r="F494" s="1"/>
      <c r="G494" s="1"/>
      <c r="H494" s="2"/>
      <c r="I494" s="3"/>
      <c r="J494" s="3"/>
      <c r="K494" s="3"/>
      <c r="L494" s="2"/>
      <c r="M494" s="2"/>
      <c r="N494" s="2"/>
      <c r="U494" s="2"/>
      <c r="V494" s="2"/>
      <c r="W494" s="4"/>
    </row>
    <row r="495" ht="15.75" customHeight="1">
      <c r="B495" s="1"/>
      <c r="C495" s="1"/>
      <c r="D495" s="1"/>
      <c r="E495" s="1"/>
      <c r="F495" s="1"/>
      <c r="G495" s="1"/>
      <c r="H495" s="2"/>
      <c r="I495" s="3"/>
      <c r="J495" s="3"/>
      <c r="K495" s="3"/>
      <c r="L495" s="2"/>
      <c r="M495" s="2"/>
      <c r="N495" s="2"/>
      <c r="U495" s="2"/>
      <c r="V495" s="2"/>
      <c r="W495" s="4"/>
    </row>
    <row r="496" ht="15.75" customHeight="1">
      <c r="B496" s="1"/>
      <c r="C496" s="1"/>
      <c r="D496" s="1"/>
      <c r="E496" s="1"/>
      <c r="F496" s="1"/>
      <c r="G496" s="1"/>
      <c r="H496" s="2"/>
      <c r="I496" s="3"/>
      <c r="J496" s="3"/>
      <c r="K496" s="3"/>
      <c r="L496" s="2"/>
      <c r="M496" s="2"/>
      <c r="N496" s="2"/>
      <c r="U496" s="2"/>
      <c r="V496" s="2"/>
      <c r="W496" s="4"/>
    </row>
    <row r="497" ht="15.75" customHeight="1">
      <c r="B497" s="1"/>
      <c r="C497" s="1"/>
      <c r="D497" s="1"/>
      <c r="E497" s="1"/>
      <c r="F497" s="1"/>
      <c r="G497" s="1"/>
      <c r="H497" s="2"/>
      <c r="I497" s="3"/>
      <c r="J497" s="3"/>
      <c r="K497" s="3"/>
      <c r="L497" s="2"/>
      <c r="M497" s="2"/>
      <c r="N497" s="2"/>
      <c r="U497" s="2"/>
      <c r="V497" s="2"/>
      <c r="W497" s="4"/>
    </row>
    <row r="498" ht="15.75" customHeight="1">
      <c r="B498" s="1"/>
      <c r="C498" s="1"/>
      <c r="D498" s="1"/>
      <c r="E498" s="1"/>
      <c r="F498" s="1"/>
      <c r="G498" s="1"/>
      <c r="H498" s="2"/>
      <c r="I498" s="3"/>
      <c r="J498" s="3"/>
      <c r="K498" s="3"/>
      <c r="L498" s="2"/>
      <c r="M498" s="2"/>
      <c r="N498" s="2"/>
      <c r="U498" s="2"/>
      <c r="V498" s="2"/>
      <c r="W498" s="4"/>
    </row>
    <row r="499" ht="15.75" customHeight="1">
      <c r="B499" s="1"/>
      <c r="C499" s="1"/>
      <c r="D499" s="1"/>
      <c r="E499" s="1"/>
      <c r="F499" s="1"/>
      <c r="G499" s="1"/>
      <c r="H499" s="2"/>
      <c r="I499" s="3"/>
      <c r="J499" s="3"/>
      <c r="K499" s="3"/>
      <c r="L499" s="2"/>
      <c r="M499" s="2"/>
      <c r="N499" s="2"/>
      <c r="U499" s="2"/>
      <c r="V499" s="2"/>
      <c r="W499" s="4"/>
    </row>
    <row r="500" ht="15.75" customHeight="1">
      <c r="B500" s="1"/>
      <c r="C500" s="1"/>
      <c r="D500" s="1"/>
      <c r="E500" s="1"/>
      <c r="F500" s="1"/>
      <c r="G500" s="1"/>
      <c r="H500" s="2"/>
      <c r="I500" s="3"/>
      <c r="J500" s="3"/>
      <c r="K500" s="3"/>
      <c r="L500" s="2"/>
      <c r="M500" s="2"/>
      <c r="N500" s="2"/>
      <c r="U500" s="2"/>
      <c r="V500" s="2"/>
      <c r="W500" s="4"/>
    </row>
    <row r="501" ht="15.75" customHeight="1">
      <c r="B501" s="1"/>
      <c r="C501" s="1"/>
      <c r="D501" s="1"/>
      <c r="E501" s="1"/>
      <c r="F501" s="1"/>
      <c r="G501" s="1"/>
      <c r="H501" s="2"/>
      <c r="I501" s="3"/>
      <c r="J501" s="3"/>
      <c r="K501" s="3"/>
      <c r="L501" s="2"/>
      <c r="M501" s="2"/>
      <c r="N501" s="2"/>
      <c r="U501" s="2"/>
      <c r="V501" s="2"/>
      <c r="W501" s="4"/>
    </row>
    <row r="502" ht="15.75" customHeight="1">
      <c r="B502" s="1"/>
      <c r="C502" s="1"/>
      <c r="D502" s="1"/>
      <c r="E502" s="1"/>
      <c r="F502" s="1"/>
      <c r="G502" s="1"/>
      <c r="H502" s="2"/>
      <c r="I502" s="3"/>
      <c r="J502" s="3"/>
      <c r="K502" s="3"/>
      <c r="L502" s="2"/>
      <c r="M502" s="2"/>
      <c r="N502" s="2"/>
      <c r="U502" s="2"/>
      <c r="V502" s="2"/>
      <c r="W502" s="4"/>
    </row>
    <row r="503" ht="15.75" customHeight="1">
      <c r="B503" s="1"/>
      <c r="C503" s="1"/>
      <c r="D503" s="1"/>
      <c r="E503" s="1"/>
      <c r="F503" s="1"/>
      <c r="G503" s="1"/>
      <c r="H503" s="2"/>
      <c r="I503" s="3"/>
      <c r="J503" s="3"/>
      <c r="K503" s="3"/>
      <c r="L503" s="2"/>
      <c r="M503" s="2"/>
      <c r="N503" s="2"/>
      <c r="U503" s="2"/>
      <c r="V503" s="2"/>
      <c r="W503" s="4"/>
    </row>
    <row r="504" ht="15.75" customHeight="1">
      <c r="B504" s="1"/>
      <c r="C504" s="1"/>
      <c r="D504" s="1"/>
      <c r="E504" s="1"/>
      <c r="F504" s="1"/>
      <c r="G504" s="1"/>
      <c r="H504" s="2"/>
      <c r="I504" s="3"/>
      <c r="J504" s="3"/>
      <c r="K504" s="3"/>
      <c r="L504" s="2"/>
      <c r="M504" s="2"/>
      <c r="N504" s="2"/>
      <c r="U504" s="2"/>
      <c r="V504" s="2"/>
      <c r="W504" s="4"/>
    </row>
    <row r="505" ht="15.75" customHeight="1">
      <c r="B505" s="1"/>
      <c r="C505" s="1"/>
      <c r="D505" s="1"/>
      <c r="E505" s="1"/>
      <c r="F505" s="1"/>
      <c r="G505" s="1"/>
      <c r="H505" s="2"/>
      <c r="I505" s="3"/>
      <c r="J505" s="3"/>
      <c r="K505" s="3"/>
      <c r="L505" s="2"/>
      <c r="M505" s="2"/>
      <c r="N505" s="2"/>
      <c r="U505" s="2"/>
      <c r="V505" s="2"/>
      <c r="W505" s="4"/>
    </row>
    <row r="506" ht="15.75" customHeight="1">
      <c r="B506" s="1"/>
      <c r="C506" s="1"/>
      <c r="D506" s="1"/>
      <c r="E506" s="1"/>
      <c r="F506" s="1"/>
      <c r="G506" s="1"/>
      <c r="H506" s="2"/>
      <c r="I506" s="3"/>
      <c r="J506" s="3"/>
      <c r="K506" s="3"/>
      <c r="L506" s="2"/>
      <c r="M506" s="2"/>
      <c r="N506" s="2"/>
      <c r="U506" s="2"/>
      <c r="V506" s="2"/>
      <c r="W506" s="4"/>
    </row>
    <row r="507" ht="15.75" customHeight="1">
      <c r="B507" s="1"/>
      <c r="C507" s="1"/>
      <c r="D507" s="1"/>
      <c r="E507" s="1"/>
      <c r="F507" s="1"/>
      <c r="G507" s="1"/>
      <c r="H507" s="2"/>
      <c r="I507" s="3"/>
      <c r="J507" s="3"/>
      <c r="K507" s="3"/>
      <c r="L507" s="2"/>
      <c r="M507" s="2"/>
      <c r="N507" s="2"/>
      <c r="U507" s="2"/>
      <c r="V507" s="2"/>
      <c r="W507" s="4"/>
    </row>
    <row r="508" ht="15.75" customHeight="1">
      <c r="B508" s="1"/>
      <c r="C508" s="1"/>
      <c r="D508" s="1"/>
      <c r="E508" s="1"/>
      <c r="F508" s="1"/>
      <c r="G508" s="1"/>
      <c r="H508" s="2"/>
      <c r="I508" s="3"/>
      <c r="J508" s="3"/>
      <c r="K508" s="3"/>
      <c r="L508" s="2"/>
      <c r="M508" s="2"/>
      <c r="N508" s="2"/>
      <c r="U508" s="2"/>
      <c r="V508" s="2"/>
      <c r="W508" s="4"/>
    </row>
    <row r="509" ht="15.75" customHeight="1">
      <c r="B509" s="1"/>
      <c r="C509" s="1"/>
      <c r="D509" s="1"/>
      <c r="E509" s="1"/>
      <c r="F509" s="1"/>
      <c r="G509" s="1"/>
      <c r="H509" s="2"/>
      <c r="I509" s="3"/>
      <c r="J509" s="3"/>
      <c r="K509" s="3"/>
      <c r="L509" s="2"/>
      <c r="M509" s="2"/>
      <c r="N509" s="2"/>
      <c r="U509" s="2"/>
      <c r="V509" s="2"/>
      <c r="W509" s="4"/>
    </row>
    <row r="510" ht="15.75" customHeight="1">
      <c r="B510" s="1"/>
      <c r="C510" s="1"/>
      <c r="D510" s="1"/>
      <c r="E510" s="1"/>
      <c r="F510" s="1"/>
      <c r="G510" s="1"/>
      <c r="H510" s="2"/>
      <c r="I510" s="3"/>
      <c r="J510" s="3"/>
      <c r="K510" s="3"/>
      <c r="L510" s="2"/>
      <c r="M510" s="2"/>
      <c r="N510" s="2"/>
      <c r="U510" s="2"/>
      <c r="V510" s="2"/>
      <c r="W510" s="4"/>
    </row>
    <row r="511" ht="15.75" customHeight="1">
      <c r="B511" s="1"/>
      <c r="C511" s="1"/>
      <c r="D511" s="1"/>
      <c r="E511" s="1"/>
      <c r="F511" s="1"/>
      <c r="G511" s="1"/>
      <c r="H511" s="2"/>
      <c r="I511" s="3"/>
      <c r="J511" s="3"/>
      <c r="K511" s="3"/>
      <c r="L511" s="2"/>
      <c r="M511" s="2"/>
      <c r="N511" s="2"/>
      <c r="U511" s="2"/>
      <c r="V511" s="2"/>
      <c r="W511" s="4"/>
    </row>
    <row r="512" ht="15.75" customHeight="1">
      <c r="B512" s="1"/>
      <c r="C512" s="1"/>
      <c r="D512" s="1"/>
      <c r="E512" s="1"/>
      <c r="F512" s="1"/>
      <c r="G512" s="1"/>
      <c r="H512" s="2"/>
      <c r="I512" s="3"/>
      <c r="J512" s="3"/>
      <c r="K512" s="3"/>
      <c r="L512" s="2"/>
      <c r="M512" s="2"/>
      <c r="N512" s="2"/>
      <c r="U512" s="2"/>
      <c r="V512" s="2"/>
      <c r="W512" s="4"/>
    </row>
    <row r="513" ht="15.75" customHeight="1">
      <c r="B513" s="1"/>
      <c r="C513" s="1"/>
      <c r="D513" s="1"/>
      <c r="E513" s="1"/>
      <c r="F513" s="1"/>
      <c r="G513" s="1"/>
      <c r="H513" s="2"/>
      <c r="I513" s="3"/>
      <c r="J513" s="3"/>
      <c r="K513" s="3"/>
      <c r="L513" s="2"/>
      <c r="M513" s="2"/>
      <c r="N513" s="2"/>
      <c r="U513" s="2"/>
      <c r="V513" s="2"/>
      <c r="W513" s="4"/>
    </row>
    <row r="514" ht="15.75" customHeight="1">
      <c r="B514" s="1"/>
      <c r="C514" s="1"/>
      <c r="D514" s="1"/>
      <c r="E514" s="1"/>
      <c r="F514" s="1"/>
      <c r="G514" s="1"/>
      <c r="H514" s="2"/>
      <c r="I514" s="3"/>
      <c r="J514" s="3"/>
      <c r="K514" s="3"/>
      <c r="L514" s="2"/>
      <c r="M514" s="2"/>
      <c r="N514" s="2"/>
      <c r="U514" s="2"/>
      <c r="V514" s="2"/>
      <c r="W514" s="4"/>
    </row>
    <row r="515" ht="15.75" customHeight="1">
      <c r="B515" s="1"/>
      <c r="C515" s="1"/>
      <c r="D515" s="1"/>
      <c r="E515" s="1"/>
      <c r="F515" s="1"/>
      <c r="G515" s="1"/>
      <c r="H515" s="2"/>
      <c r="I515" s="3"/>
      <c r="J515" s="3"/>
      <c r="K515" s="3"/>
      <c r="L515" s="2"/>
      <c r="M515" s="2"/>
      <c r="N515" s="2"/>
      <c r="U515" s="2"/>
      <c r="V515" s="2"/>
      <c r="W515" s="4"/>
    </row>
    <row r="516" ht="15.75" customHeight="1">
      <c r="B516" s="1"/>
      <c r="C516" s="1"/>
      <c r="D516" s="1"/>
      <c r="E516" s="1"/>
      <c r="F516" s="1"/>
      <c r="G516" s="1"/>
      <c r="H516" s="2"/>
      <c r="I516" s="3"/>
      <c r="J516" s="3"/>
      <c r="K516" s="3"/>
      <c r="L516" s="2"/>
      <c r="M516" s="2"/>
      <c r="N516" s="2"/>
      <c r="U516" s="2"/>
      <c r="V516" s="2"/>
      <c r="W516" s="4"/>
    </row>
    <row r="517" ht="15.75" customHeight="1">
      <c r="B517" s="1"/>
      <c r="C517" s="1"/>
      <c r="D517" s="1"/>
      <c r="E517" s="1"/>
      <c r="F517" s="1"/>
      <c r="G517" s="1"/>
      <c r="H517" s="2"/>
      <c r="I517" s="3"/>
      <c r="J517" s="3"/>
      <c r="K517" s="3"/>
      <c r="L517" s="2"/>
      <c r="M517" s="2"/>
      <c r="N517" s="2"/>
      <c r="U517" s="2"/>
      <c r="V517" s="2"/>
      <c r="W517" s="4"/>
    </row>
    <row r="518" ht="15.75" customHeight="1">
      <c r="B518" s="1"/>
      <c r="C518" s="1"/>
      <c r="D518" s="1"/>
      <c r="E518" s="1"/>
      <c r="F518" s="1"/>
      <c r="G518" s="1"/>
      <c r="H518" s="2"/>
      <c r="I518" s="3"/>
      <c r="J518" s="3"/>
      <c r="K518" s="3"/>
      <c r="L518" s="2"/>
      <c r="M518" s="2"/>
      <c r="N518" s="2"/>
      <c r="U518" s="2"/>
      <c r="V518" s="2"/>
      <c r="W518" s="4"/>
    </row>
    <row r="519" ht="15.75" customHeight="1">
      <c r="B519" s="1"/>
      <c r="C519" s="1"/>
      <c r="D519" s="1"/>
      <c r="E519" s="1"/>
      <c r="F519" s="1"/>
      <c r="G519" s="1"/>
      <c r="H519" s="2"/>
      <c r="I519" s="3"/>
      <c r="J519" s="3"/>
      <c r="K519" s="3"/>
      <c r="L519" s="2"/>
      <c r="M519" s="2"/>
      <c r="N519" s="2"/>
      <c r="U519" s="2"/>
      <c r="V519" s="2"/>
      <c r="W519" s="4"/>
    </row>
    <row r="520" ht="15.75" customHeight="1">
      <c r="B520" s="1"/>
      <c r="C520" s="1"/>
      <c r="D520" s="1"/>
      <c r="E520" s="1"/>
      <c r="F520" s="1"/>
      <c r="G520" s="1"/>
      <c r="H520" s="2"/>
      <c r="I520" s="3"/>
      <c r="J520" s="3"/>
      <c r="K520" s="3"/>
      <c r="L520" s="2"/>
      <c r="M520" s="2"/>
      <c r="N520" s="2"/>
      <c r="U520" s="2"/>
      <c r="V520" s="2"/>
      <c r="W520" s="4"/>
    </row>
    <row r="521" ht="15.75" customHeight="1">
      <c r="B521" s="1"/>
      <c r="C521" s="1"/>
      <c r="D521" s="1"/>
      <c r="E521" s="1"/>
      <c r="F521" s="1"/>
      <c r="G521" s="1"/>
      <c r="H521" s="2"/>
      <c r="I521" s="3"/>
      <c r="J521" s="3"/>
      <c r="K521" s="3"/>
      <c r="L521" s="2"/>
      <c r="M521" s="2"/>
      <c r="N521" s="2"/>
      <c r="U521" s="2"/>
      <c r="V521" s="2"/>
      <c r="W521" s="4"/>
    </row>
    <row r="522" ht="15.75" customHeight="1">
      <c r="B522" s="1"/>
      <c r="C522" s="1"/>
      <c r="D522" s="1"/>
      <c r="E522" s="1"/>
      <c r="F522" s="1"/>
      <c r="G522" s="1"/>
      <c r="H522" s="2"/>
      <c r="I522" s="3"/>
      <c r="J522" s="3"/>
      <c r="K522" s="3"/>
      <c r="L522" s="2"/>
      <c r="M522" s="2"/>
      <c r="N522" s="2"/>
      <c r="U522" s="2"/>
      <c r="V522" s="2"/>
      <c r="W522" s="4"/>
    </row>
    <row r="523" ht="15.75" customHeight="1">
      <c r="B523" s="1"/>
      <c r="C523" s="1"/>
      <c r="D523" s="1"/>
      <c r="E523" s="1"/>
      <c r="F523" s="1"/>
      <c r="G523" s="1"/>
      <c r="H523" s="2"/>
      <c r="I523" s="3"/>
      <c r="J523" s="3"/>
      <c r="K523" s="3"/>
      <c r="L523" s="2"/>
      <c r="M523" s="2"/>
      <c r="N523" s="2"/>
      <c r="U523" s="2"/>
      <c r="V523" s="2"/>
      <c r="W523" s="4"/>
    </row>
    <row r="524" ht="15.75" customHeight="1">
      <c r="B524" s="1"/>
      <c r="C524" s="1"/>
      <c r="D524" s="1"/>
      <c r="E524" s="1"/>
      <c r="F524" s="1"/>
      <c r="G524" s="1"/>
      <c r="H524" s="2"/>
      <c r="I524" s="3"/>
      <c r="J524" s="3"/>
      <c r="K524" s="3"/>
      <c r="L524" s="2"/>
      <c r="M524" s="2"/>
      <c r="N524" s="2"/>
      <c r="U524" s="2"/>
      <c r="V524" s="2"/>
      <c r="W524" s="4"/>
    </row>
    <row r="525" ht="15.75" customHeight="1">
      <c r="B525" s="1"/>
      <c r="C525" s="1"/>
      <c r="D525" s="1"/>
      <c r="E525" s="1"/>
      <c r="F525" s="1"/>
      <c r="G525" s="1"/>
      <c r="H525" s="2"/>
      <c r="I525" s="3"/>
      <c r="J525" s="3"/>
      <c r="K525" s="3"/>
      <c r="L525" s="2"/>
      <c r="M525" s="2"/>
      <c r="N525" s="2"/>
      <c r="U525" s="2"/>
      <c r="V525" s="2"/>
      <c r="W525" s="4"/>
    </row>
    <row r="526" ht="15.75" customHeight="1">
      <c r="B526" s="1"/>
      <c r="C526" s="1"/>
      <c r="D526" s="1"/>
      <c r="E526" s="1"/>
      <c r="F526" s="1"/>
      <c r="G526" s="1"/>
      <c r="H526" s="2"/>
      <c r="I526" s="3"/>
      <c r="J526" s="3"/>
      <c r="K526" s="3"/>
      <c r="L526" s="2"/>
      <c r="M526" s="2"/>
      <c r="N526" s="2"/>
      <c r="U526" s="2"/>
      <c r="V526" s="2"/>
      <c r="W526" s="4"/>
    </row>
    <row r="527" ht="15.75" customHeight="1">
      <c r="B527" s="1"/>
      <c r="C527" s="1"/>
      <c r="D527" s="1"/>
      <c r="E527" s="1"/>
      <c r="F527" s="1"/>
      <c r="G527" s="1"/>
      <c r="H527" s="2"/>
      <c r="I527" s="3"/>
      <c r="J527" s="3"/>
      <c r="K527" s="3"/>
      <c r="L527" s="2"/>
      <c r="M527" s="2"/>
      <c r="N527" s="2"/>
      <c r="U527" s="2"/>
      <c r="V527" s="2"/>
      <c r="W527" s="4"/>
    </row>
    <row r="528" ht="15.75" customHeight="1">
      <c r="B528" s="1"/>
      <c r="C528" s="1"/>
      <c r="D528" s="1"/>
      <c r="E528" s="1"/>
      <c r="F528" s="1"/>
      <c r="G528" s="1"/>
      <c r="H528" s="2"/>
      <c r="I528" s="3"/>
      <c r="J528" s="3"/>
      <c r="K528" s="3"/>
      <c r="L528" s="2"/>
      <c r="M528" s="2"/>
      <c r="N528" s="2"/>
      <c r="U528" s="2"/>
      <c r="V528" s="2"/>
      <c r="W528" s="4"/>
    </row>
    <row r="529" ht="15.75" customHeight="1">
      <c r="B529" s="1"/>
      <c r="C529" s="1"/>
      <c r="D529" s="1"/>
      <c r="E529" s="1"/>
      <c r="F529" s="1"/>
      <c r="G529" s="1"/>
      <c r="H529" s="2"/>
      <c r="I529" s="3"/>
      <c r="J529" s="3"/>
      <c r="K529" s="3"/>
      <c r="L529" s="2"/>
      <c r="M529" s="2"/>
      <c r="N529" s="2"/>
      <c r="U529" s="2"/>
      <c r="V529" s="2"/>
      <c r="W529" s="4"/>
    </row>
    <row r="530" ht="15.75" customHeight="1">
      <c r="B530" s="1"/>
      <c r="C530" s="1"/>
      <c r="D530" s="1"/>
      <c r="E530" s="1"/>
      <c r="F530" s="1"/>
      <c r="G530" s="1"/>
      <c r="H530" s="2"/>
      <c r="I530" s="3"/>
      <c r="J530" s="3"/>
      <c r="K530" s="3"/>
      <c r="L530" s="2"/>
      <c r="M530" s="2"/>
      <c r="N530" s="2"/>
      <c r="U530" s="2"/>
      <c r="V530" s="2"/>
      <c r="W530" s="4"/>
    </row>
    <row r="531" ht="15.75" customHeight="1">
      <c r="B531" s="1"/>
      <c r="C531" s="1"/>
      <c r="D531" s="1"/>
      <c r="E531" s="1"/>
      <c r="F531" s="1"/>
      <c r="G531" s="1"/>
      <c r="H531" s="2"/>
      <c r="I531" s="3"/>
      <c r="J531" s="3"/>
      <c r="K531" s="3"/>
      <c r="L531" s="2"/>
      <c r="M531" s="2"/>
      <c r="N531" s="2"/>
      <c r="U531" s="2"/>
      <c r="V531" s="2"/>
      <c r="W531" s="4"/>
    </row>
    <row r="532" ht="15.75" customHeight="1">
      <c r="B532" s="1"/>
      <c r="C532" s="1"/>
      <c r="D532" s="1"/>
      <c r="E532" s="1"/>
      <c r="F532" s="1"/>
      <c r="G532" s="1"/>
      <c r="H532" s="2"/>
      <c r="I532" s="3"/>
      <c r="J532" s="3"/>
      <c r="K532" s="3"/>
      <c r="L532" s="2"/>
      <c r="M532" s="2"/>
      <c r="N532" s="2"/>
      <c r="U532" s="2"/>
      <c r="V532" s="2"/>
      <c r="W532" s="4"/>
    </row>
    <row r="533" ht="15.75" customHeight="1">
      <c r="B533" s="1"/>
      <c r="C533" s="1"/>
      <c r="D533" s="1"/>
      <c r="E533" s="1"/>
      <c r="F533" s="1"/>
      <c r="G533" s="1"/>
      <c r="H533" s="2"/>
      <c r="I533" s="3"/>
      <c r="J533" s="3"/>
      <c r="K533" s="3"/>
      <c r="L533" s="2"/>
      <c r="M533" s="2"/>
      <c r="N533" s="2"/>
      <c r="U533" s="2"/>
      <c r="V533" s="2"/>
      <c r="W533" s="4"/>
    </row>
    <row r="534" ht="15.75" customHeight="1">
      <c r="B534" s="1"/>
      <c r="C534" s="1"/>
      <c r="D534" s="1"/>
      <c r="E534" s="1"/>
      <c r="F534" s="1"/>
      <c r="G534" s="1"/>
      <c r="H534" s="2"/>
      <c r="I534" s="3"/>
      <c r="J534" s="3"/>
      <c r="K534" s="3"/>
      <c r="L534" s="2"/>
      <c r="M534" s="2"/>
      <c r="N534" s="2"/>
      <c r="U534" s="2"/>
      <c r="V534" s="2"/>
      <c r="W534" s="4"/>
    </row>
    <row r="535" ht="15.75" customHeight="1">
      <c r="B535" s="1"/>
      <c r="C535" s="1"/>
      <c r="D535" s="1"/>
      <c r="E535" s="1"/>
      <c r="F535" s="1"/>
      <c r="G535" s="1"/>
      <c r="H535" s="2"/>
      <c r="I535" s="3"/>
      <c r="J535" s="3"/>
      <c r="K535" s="3"/>
      <c r="L535" s="2"/>
      <c r="M535" s="2"/>
      <c r="N535" s="2"/>
      <c r="U535" s="2"/>
      <c r="V535" s="2"/>
      <c r="W535" s="4"/>
    </row>
    <row r="536" ht="15.75" customHeight="1">
      <c r="B536" s="1"/>
      <c r="C536" s="1"/>
      <c r="D536" s="1"/>
      <c r="E536" s="1"/>
      <c r="F536" s="1"/>
      <c r="G536" s="1"/>
      <c r="H536" s="2"/>
      <c r="I536" s="3"/>
      <c r="J536" s="3"/>
      <c r="K536" s="3"/>
      <c r="L536" s="2"/>
      <c r="M536" s="2"/>
      <c r="N536" s="2"/>
      <c r="U536" s="2"/>
      <c r="V536" s="2"/>
      <c r="W536" s="4"/>
    </row>
    <row r="537" ht="15.75" customHeight="1">
      <c r="B537" s="1"/>
      <c r="C537" s="1"/>
      <c r="D537" s="1"/>
      <c r="E537" s="1"/>
      <c r="F537" s="1"/>
      <c r="G537" s="1"/>
      <c r="H537" s="2"/>
      <c r="I537" s="3"/>
      <c r="J537" s="3"/>
      <c r="K537" s="3"/>
      <c r="L537" s="2"/>
      <c r="M537" s="2"/>
      <c r="N537" s="2"/>
      <c r="U537" s="2"/>
      <c r="V537" s="2"/>
      <c r="W537" s="4"/>
    </row>
    <row r="538" ht="15.75" customHeight="1">
      <c r="B538" s="1"/>
      <c r="C538" s="1"/>
      <c r="D538" s="1"/>
      <c r="E538" s="1"/>
      <c r="F538" s="1"/>
      <c r="G538" s="1"/>
      <c r="H538" s="2"/>
      <c r="I538" s="3"/>
      <c r="J538" s="3"/>
      <c r="K538" s="3"/>
      <c r="L538" s="2"/>
      <c r="M538" s="2"/>
      <c r="N538" s="2"/>
      <c r="U538" s="2"/>
      <c r="V538" s="2"/>
      <c r="W538" s="4"/>
    </row>
    <row r="539" ht="15.75" customHeight="1">
      <c r="B539" s="1"/>
      <c r="C539" s="1"/>
      <c r="D539" s="1"/>
      <c r="E539" s="1"/>
      <c r="F539" s="1"/>
      <c r="G539" s="1"/>
      <c r="H539" s="2"/>
      <c r="I539" s="3"/>
      <c r="J539" s="3"/>
      <c r="K539" s="3"/>
      <c r="L539" s="2"/>
      <c r="M539" s="2"/>
      <c r="N539" s="2"/>
      <c r="U539" s="2"/>
      <c r="V539" s="2"/>
      <c r="W539" s="4"/>
    </row>
    <row r="540" ht="15.75" customHeight="1">
      <c r="B540" s="1"/>
      <c r="C540" s="1"/>
      <c r="D540" s="1"/>
      <c r="E540" s="1"/>
      <c r="F540" s="1"/>
      <c r="G540" s="1"/>
      <c r="H540" s="2"/>
      <c r="I540" s="3"/>
      <c r="J540" s="3"/>
      <c r="K540" s="3"/>
      <c r="L540" s="2"/>
      <c r="M540" s="2"/>
      <c r="N540" s="2"/>
      <c r="U540" s="2"/>
      <c r="V540" s="2"/>
      <c r="W540" s="4"/>
    </row>
    <row r="541" ht="15.75" customHeight="1">
      <c r="B541" s="1"/>
      <c r="C541" s="1"/>
      <c r="D541" s="1"/>
      <c r="E541" s="1"/>
      <c r="F541" s="1"/>
      <c r="G541" s="1"/>
      <c r="H541" s="2"/>
      <c r="I541" s="3"/>
      <c r="J541" s="3"/>
      <c r="K541" s="3"/>
      <c r="L541" s="2"/>
      <c r="M541" s="2"/>
      <c r="N541" s="2"/>
      <c r="U541" s="2"/>
      <c r="V541" s="2"/>
      <c r="W541" s="4"/>
    </row>
    <row r="542" ht="15.75" customHeight="1">
      <c r="B542" s="1"/>
      <c r="C542" s="1"/>
      <c r="D542" s="1"/>
      <c r="E542" s="1"/>
      <c r="F542" s="1"/>
      <c r="G542" s="1"/>
      <c r="H542" s="2"/>
      <c r="I542" s="3"/>
      <c r="J542" s="3"/>
      <c r="K542" s="3"/>
      <c r="L542" s="2"/>
      <c r="M542" s="2"/>
      <c r="N542" s="2"/>
      <c r="U542" s="2"/>
      <c r="V542" s="2"/>
      <c r="W542" s="4"/>
    </row>
    <row r="543" ht="15.75" customHeight="1">
      <c r="B543" s="1"/>
      <c r="C543" s="1"/>
      <c r="D543" s="1"/>
      <c r="E543" s="1"/>
      <c r="F543" s="1"/>
      <c r="G543" s="1"/>
      <c r="H543" s="2"/>
      <c r="I543" s="3"/>
      <c r="J543" s="3"/>
      <c r="K543" s="3"/>
      <c r="L543" s="2"/>
      <c r="M543" s="2"/>
      <c r="N543" s="2"/>
      <c r="U543" s="2"/>
      <c r="V543" s="2"/>
      <c r="W543" s="4"/>
    </row>
    <row r="544" ht="15.75" customHeight="1">
      <c r="B544" s="1"/>
      <c r="C544" s="1"/>
      <c r="D544" s="1"/>
      <c r="E544" s="1"/>
      <c r="F544" s="1"/>
      <c r="G544" s="1"/>
      <c r="H544" s="2"/>
      <c r="I544" s="3"/>
      <c r="J544" s="3"/>
      <c r="K544" s="3"/>
      <c r="L544" s="2"/>
      <c r="M544" s="2"/>
      <c r="N544" s="2"/>
      <c r="U544" s="2"/>
      <c r="V544" s="2"/>
      <c r="W544" s="4"/>
    </row>
    <row r="545" ht="15.75" customHeight="1">
      <c r="B545" s="1"/>
      <c r="C545" s="1"/>
      <c r="D545" s="1"/>
      <c r="E545" s="1"/>
      <c r="F545" s="1"/>
      <c r="G545" s="1"/>
      <c r="H545" s="2"/>
      <c r="I545" s="3"/>
      <c r="J545" s="3"/>
      <c r="K545" s="3"/>
      <c r="L545" s="2"/>
      <c r="M545" s="2"/>
      <c r="N545" s="2"/>
      <c r="U545" s="2"/>
      <c r="V545" s="2"/>
      <c r="W545" s="4"/>
    </row>
    <row r="546" ht="15.75" customHeight="1">
      <c r="B546" s="1"/>
      <c r="C546" s="1"/>
      <c r="D546" s="1"/>
      <c r="E546" s="1"/>
      <c r="F546" s="1"/>
      <c r="G546" s="1"/>
      <c r="H546" s="2"/>
      <c r="I546" s="3"/>
      <c r="J546" s="3"/>
      <c r="K546" s="3"/>
      <c r="L546" s="2"/>
      <c r="M546" s="2"/>
      <c r="N546" s="2"/>
      <c r="U546" s="2"/>
      <c r="V546" s="2"/>
      <c r="W546" s="4"/>
    </row>
    <row r="547" ht="15.75" customHeight="1">
      <c r="B547" s="1"/>
      <c r="C547" s="1"/>
      <c r="D547" s="1"/>
      <c r="E547" s="1"/>
      <c r="F547" s="1"/>
      <c r="G547" s="1"/>
      <c r="H547" s="2"/>
      <c r="I547" s="3"/>
      <c r="J547" s="3"/>
      <c r="K547" s="3"/>
      <c r="L547" s="2"/>
      <c r="M547" s="2"/>
      <c r="N547" s="2"/>
      <c r="U547" s="2"/>
      <c r="V547" s="2"/>
      <c r="W547" s="4"/>
    </row>
    <row r="548" ht="15.75" customHeight="1">
      <c r="B548" s="1"/>
      <c r="C548" s="1"/>
      <c r="D548" s="1"/>
      <c r="E548" s="1"/>
      <c r="F548" s="1"/>
      <c r="G548" s="1"/>
      <c r="H548" s="2"/>
      <c r="I548" s="3"/>
      <c r="J548" s="3"/>
      <c r="K548" s="3"/>
      <c r="L548" s="2"/>
      <c r="M548" s="2"/>
      <c r="N548" s="2"/>
      <c r="U548" s="2"/>
      <c r="V548" s="2"/>
      <c r="W548" s="4"/>
    </row>
    <row r="549" ht="15.75" customHeight="1">
      <c r="B549" s="1"/>
      <c r="C549" s="1"/>
      <c r="D549" s="1"/>
      <c r="E549" s="1"/>
      <c r="F549" s="1"/>
      <c r="G549" s="1"/>
      <c r="H549" s="2"/>
      <c r="I549" s="3"/>
      <c r="J549" s="3"/>
      <c r="K549" s="3"/>
      <c r="L549" s="2"/>
      <c r="M549" s="2"/>
      <c r="N549" s="2"/>
      <c r="U549" s="2"/>
      <c r="V549" s="2"/>
      <c r="W549" s="4"/>
    </row>
    <row r="550" ht="15.75" customHeight="1">
      <c r="B550" s="1"/>
      <c r="C550" s="1"/>
      <c r="D550" s="1"/>
      <c r="E550" s="1"/>
      <c r="F550" s="1"/>
      <c r="G550" s="1"/>
      <c r="H550" s="2"/>
      <c r="I550" s="3"/>
      <c r="J550" s="3"/>
      <c r="K550" s="3"/>
      <c r="L550" s="2"/>
      <c r="M550" s="2"/>
      <c r="N550" s="2"/>
      <c r="U550" s="2"/>
      <c r="V550" s="2"/>
      <c r="W550" s="4"/>
    </row>
    <row r="551" ht="15.75" customHeight="1">
      <c r="B551" s="1"/>
      <c r="C551" s="1"/>
      <c r="D551" s="1"/>
      <c r="E551" s="1"/>
      <c r="F551" s="1"/>
      <c r="G551" s="1"/>
      <c r="H551" s="2"/>
      <c r="I551" s="3"/>
      <c r="J551" s="3"/>
      <c r="K551" s="3"/>
      <c r="L551" s="2"/>
      <c r="M551" s="2"/>
      <c r="N551" s="2"/>
      <c r="U551" s="2"/>
      <c r="V551" s="2"/>
      <c r="W551" s="4"/>
    </row>
    <row r="552" ht="15.75" customHeight="1">
      <c r="B552" s="1"/>
      <c r="C552" s="1"/>
      <c r="D552" s="1"/>
      <c r="E552" s="1"/>
      <c r="F552" s="1"/>
      <c r="G552" s="1"/>
      <c r="H552" s="2"/>
      <c r="I552" s="3"/>
      <c r="J552" s="3"/>
      <c r="K552" s="3"/>
      <c r="L552" s="2"/>
      <c r="M552" s="2"/>
      <c r="N552" s="2"/>
      <c r="U552" s="2"/>
      <c r="V552" s="2"/>
      <c r="W552" s="4"/>
    </row>
    <row r="553" ht="15.75" customHeight="1">
      <c r="B553" s="1"/>
      <c r="C553" s="1"/>
      <c r="D553" s="1"/>
      <c r="E553" s="1"/>
      <c r="F553" s="1"/>
      <c r="G553" s="1"/>
      <c r="H553" s="2"/>
      <c r="I553" s="3"/>
      <c r="J553" s="3"/>
      <c r="K553" s="3"/>
      <c r="L553" s="2"/>
      <c r="M553" s="2"/>
      <c r="N553" s="2"/>
      <c r="U553" s="2"/>
      <c r="V553" s="2"/>
      <c r="W553" s="4"/>
    </row>
    <row r="554" ht="15.75" customHeight="1">
      <c r="B554" s="1"/>
      <c r="C554" s="1"/>
      <c r="D554" s="1"/>
      <c r="E554" s="1"/>
      <c r="F554" s="1"/>
      <c r="G554" s="1"/>
      <c r="H554" s="2"/>
      <c r="I554" s="3"/>
      <c r="J554" s="3"/>
      <c r="K554" s="3"/>
      <c r="L554" s="2"/>
      <c r="M554" s="2"/>
      <c r="N554" s="2"/>
      <c r="U554" s="2"/>
      <c r="V554" s="2"/>
      <c r="W554" s="4"/>
    </row>
    <row r="555" ht="15.75" customHeight="1">
      <c r="B555" s="1"/>
      <c r="C555" s="1"/>
      <c r="D555" s="1"/>
      <c r="E555" s="1"/>
      <c r="F555" s="1"/>
      <c r="G555" s="1"/>
      <c r="H555" s="2"/>
      <c r="I555" s="3"/>
      <c r="J555" s="3"/>
      <c r="K555" s="3"/>
      <c r="L555" s="2"/>
      <c r="M555" s="2"/>
      <c r="N555" s="2"/>
      <c r="U555" s="2"/>
      <c r="V555" s="2"/>
      <c r="W555" s="4"/>
    </row>
    <row r="556" ht="15.75" customHeight="1">
      <c r="B556" s="1"/>
      <c r="C556" s="1"/>
      <c r="D556" s="1"/>
      <c r="E556" s="1"/>
      <c r="F556" s="1"/>
      <c r="G556" s="1"/>
      <c r="H556" s="2"/>
      <c r="I556" s="3"/>
      <c r="J556" s="3"/>
      <c r="K556" s="3"/>
      <c r="L556" s="2"/>
      <c r="M556" s="2"/>
      <c r="N556" s="2"/>
      <c r="U556" s="2"/>
      <c r="V556" s="2"/>
      <c r="W556" s="4"/>
    </row>
    <row r="557" ht="15.75" customHeight="1">
      <c r="B557" s="1"/>
      <c r="C557" s="1"/>
      <c r="D557" s="1"/>
      <c r="E557" s="1"/>
      <c r="F557" s="1"/>
      <c r="G557" s="1"/>
      <c r="H557" s="2"/>
      <c r="I557" s="3"/>
      <c r="J557" s="3"/>
      <c r="K557" s="3"/>
      <c r="L557" s="2"/>
      <c r="M557" s="2"/>
      <c r="N557" s="2"/>
      <c r="U557" s="2"/>
      <c r="V557" s="2"/>
      <c r="W557" s="4"/>
    </row>
    <row r="558" ht="15.75" customHeight="1">
      <c r="B558" s="1"/>
      <c r="C558" s="1"/>
      <c r="D558" s="1"/>
      <c r="E558" s="1"/>
      <c r="F558" s="1"/>
      <c r="G558" s="1"/>
      <c r="H558" s="2"/>
      <c r="I558" s="3"/>
      <c r="J558" s="3"/>
      <c r="K558" s="3"/>
      <c r="L558" s="2"/>
      <c r="M558" s="2"/>
      <c r="N558" s="2"/>
      <c r="U558" s="2"/>
      <c r="V558" s="2"/>
      <c r="W558" s="4"/>
    </row>
    <row r="559" ht="15.75" customHeight="1">
      <c r="B559" s="1"/>
      <c r="C559" s="1"/>
      <c r="D559" s="1"/>
      <c r="E559" s="1"/>
      <c r="F559" s="1"/>
      <c r="G559" s="1"/>
      <c r="H559" s="2"/>
      <c r="I559" s="3"/>
      <c r="J559" s="3"/>
      <c r="K559" s="3"/>
      <c r="L559" s="2"/>
      <c r="M559" s="2"/>
      <c r="N559" s="2"/>
      <c r="U559" s="2"/>
      <c r="V559" s="2"/>
      <c r="W559" s="4"/>
    </row>
    <row r="560" ht="15.75" customHeight="1">
      <c r="B560" s="1"/>
      <c r="C560" s="1"/>
      <c r="D560" s="1"/>
      <c r="E560" s="1"/>
      <c r="F560" s="1"/>
      <c r="G560" s="1"/>
      <c r="H560" s="2"/>
      <c r="I560" s="3"/>
      <c r="J560" s="3"/>
      <c r="K560" s="3"/>
      <c r="L560" s="2"/>
      <c r="M560" s="2"/>
      <c r="N560" s="2"/>
      <c r="U560" s="2"/>
      <c r="V560" s="2"/>
      <c r="W560" s="4"/>
    </row>
    <row r="561" ht="15.75" customHeight="1">
      <c r="B561" s="1"/>
      <c r="C561" s="1"/>
      <c r="D561" s="1"/>
      <c r="E561" s="1"/>
      <c r="F561" s="1"/>
      <c r="G561" s="1"/>
      <c r="H561" s="2"/>
      <c r="I561" s="3"/>
      <c r="J561" s="3"/>
      <c r="K561" s="3"/>
      <c r="L561" s="2"/>
      <c r="M561" s="2"/>
      <c r="N561" s="2"/>
      <c r="U561" s="2"/>
      <c r="V561" s="2"/>
      <c r="W561" s="4"/>
    </row>
    <row r="562" ht="15.75" customHeight="1">
      <c r="B562" s="1"/>
      <c r="C562" s="1"/>
      <c r="D562" s="1"/>
      <c r="E562" s="1"/>
      <c r="F562" s="1"/>
      <c r="G562" s="1"/>
      <c r="H562" s="2"/>
      <c r="I562" s="3"/>
      <c r="J562" s="3"/>
      <c r="K562" s="3"/>
      <c r="L562" s="2"/>
      <c r="M562" s="2"/>
      <c r="N562" s="2"/>
      <c r="U562" s="2"/>
      <c r="V562" s="2"/>
      <c r="W562" s="4"/>
    </row>
    <row r="563" ht="15.75" customHeight="1">
      <c r="B563" s="1"/>
      <c r="C563" s="1"/>
      <c r="D563" s="1"/>
      <c r="E563" s="1"/>
      <c r="F563" s="1"/>
      <c r="G563" s="1"/>
      <c r="H563" s="2"/>
      <c r="I563" s="3"/>
      <c r="J563" s="3"/>
      <c r="K563" s="3"/>
      <c r="L563" s="2"/>
      <c r="M563" s="2"/>
      <c r="N563" s="2"/>
      <c r="U563" s="2"/>
      <c r="V563" s="2"/>
      <c r="W563" s="4"/>
    </row>
    <row r="564" ht="15.75" customHeight="1">
      <c r="B564" s="1"/>
      <c r="C564" s="1"/>
      <c r="D564" s="1"/>
      <c r="E564" s="1"/>
      <c r="F564" s="1"/>
      <c r="G564" s="1"/>
      <c r="H564" s="2"/>
      <c r="I564" s="3"/>
      <c r="J564" s="3"/>
      <c r="K564" s="3"/>
      <c r="L564" s="2"/>
      <c r="M564" s="2"/>
      <c r="N564" s="2"/>
      <c r="U564" s="2"/>
      <c r="V564" s="2"/>
      <c r="W564" s="4"/>
    </row>
    <row r="565" ht="15.75" customHeight="1">
      <c r="B565" s="1"/>
      <c r="C565" s="1"/>
      <c r="D565" s="1"/>
      <c r="E565" s="1"/>
      <c r="F565" s="1"/>
      <c r="G565" s="1"/>
      <c r="H565" s="2"/>
      <c r="I565" s="3"/>
      <c r="J565" s="3"/>
      <c r="K565" s="3"/>
      <c r="L565" s="2"/>
      <c r="M565" s="2"/>
      <c r="N565" s="2"/>
      <c r="U565" s="2"/>
      <c r="V565" s="2"/>
      <c r="W565" s="4"/>
    </row>
    <row r="566" ht="15.75" customHeight="1">
      <c r="B566" s="1"/>
      <c r="C566" s="1"/>
      <c r="D566" s="1"/>
      <c r="E566" s="1"/>
      <c r="F566" s="1"/>
      <c r="G566" s="1"/>
      <c r="H566" s="2"/>
      <c r="I566" s="3"/>
      <c r="J566" s="3"/>
      <c r="K566" s="3"/>
      <c r="L566" s="2"/>
      <c r="M566" s="2"/>
      <c r="N566" s="2"/>
      <c r="U566" s="2"/>
      <c r="V566" s="2"/>
      <c r="W566" s="4"/>
    </row>
    <row r="567" ht="15.75" customHeight="1">
      <c r="B567" s="1"/>
      <c r="C567" s="1"/>
      <c r="D567" s="1"/>
      <c r="E567" s="1"/>
      <c r="F567" s="1"/>
      <c r="G567" s="1"/>
      <c r="H567" s="2"/>
      <c r="I567" s="3"/>
      <c r="J567" s="3"/>
      <c r="K567" s="3"/>
      <c r="L567" s="2"/>
      <c r="M567" s="2"/>
      <c r="N567" s="2"/>
      <c r="U567" s="2"/>
      <c r="V567" s="2"/>
      <c r="W567" s="4"/>
    </row>
    <row r="568" ht="15.75" customHeight="1">
      <c r="B568" s="1"/>
      <c r="C568" s="1"/>
      <c r="D568" s="1"/>
      <c r="E568" s="1"/>
      <c r="F568" s="1"/>
      <c r="G568" s="1"/>
      <c r="H568" s="2"/>
      <c r="I568" s="3"/>
      <c r="J568" s="3"/>
      <c r="K568" s="3"/>
      <c r="L568" s="2"/>
      <c r="M568" s="2"/>
      <c r="N568" s="2"/>
      <c r="U568" s="2"/>
      <c r="V568" s="2"/>
      <c r="W568" s="4"/>
    </row>
    <row r="569" ht="15.75" customHeight="1">
      <c r="B569" s="1"/>
      <c r="C569" s="1"/>
      <c r="D569" s="1"/>
      <c r="E569" s="1"/>
      <c r="F569" s="1"/>
      <c r="G569" s="1"/>
      <c r="H569" s="2"/>
      <c r="I569" s="3"/>
      <c r="J569" s="3"/>
      <c r="K569" s="3"/>
      <c r="L569" s="2"/>
      <c r="M569" s="2"/>
      <c r="N569" s="2"/>
      <c r="U569" s="2"/>
      <c r="V569" s="2"/>
      <c r="W569" s="4"/>
    </row>
    <row r="570" ht="15.75" customHeight="1">
      <c r="B570" s="1"/>
      <c r="C570" s="1"/>
      <c r="D570" s="1"/>
      <c r="E570" s="1"/>
      <c r="F570" s="1"/>
      <c r="G570" s="1"/>
      <c r="H570" s="2"/>
      <c r="I570" s="3"/>
      <c r="J570" s="3"/>
      <c r="K570" s="3"/>
      <c r="L570" s="2"/>
      <c r="M570" s="2"/>
      <c r="N570" s="2"/>
      <c r="U570" s="2"/>
      <c r="V570" s="2"/>
      <c r="W570" s="4"/>
    </row>
    <row r="571" ht="15.75" customHeight="1">
      <c r="B571" s="1"/>
      <c r="C571" s="1"/>
      <c r="D571" s="1"/>
      <c r="E571" s="1"/>
      <c r="F571" s="1"/>
      <c r="G571" s="1"/>
      <c r="H571" s="2"/>
      <c r="I571" s="3"/>
      <c r="J571" s="3"/>
      <c r="K571" s="3"/>
      <c r="L571" s="2"/>
      <c r="M571" s="2"/>
      <c r="N571" s="2"/>
      <c r="U571" s="2"/>
      <c r="V571" s="2"/>
      <c r="W571" s="4"/>
    </row>
    <row r="572" ht="15.75" customHeight="1">
      <c r="B572" s="1"/>
      <c r="C572" s="1"/>
      <c r="D572" s="1"/>
      <c r="E572" s="1"/>
      <c r="F572" s="1"/>
      <c r="G572" s="1"/>
      <c r="H572" s="2"/>
      <c r="I572" s="3"/>
      <c r="J572" s="3"/>
      <c r="K572" s="3"/>
      <c r="L572" s="2"/>
      <c r="M572" s="2"/>
      <c r="N572" s="2"/>
      <c r="U572" s="2"/>
      <c r="V572" s="2"/>
      <c r="W572" s="4"/>
    </row>
    <row r="573" ht="15.75" customHeight="1">
      <c r="B573" s="1"/>
      <c r="C573" s="1"/>
      <c r="D573" s="1"/>
      <c r="E573" s="1"/>
      <c r="F573" s="1"/>
      <c r="G573" s="1"/>
      <c r="H573" s="2"/>
      <c r="I573" s="3"/>
      <c r="J573" s="3"/>
      <c r="K573" s="3"/>
      <c r="L573" s="2"/>
      <c r="M573" s="2"/>
      <c r="N573" s="2"/>
      <c r="U573" s="2"/>
      <c r="V573" s="2"/>
      <c r="W573" s="4"/>
    </row>
    <row r="574" ht="15.75" customHeight="1">
      <c r="B574" s="1"/>
      <c r="C574" s="1"/>
      <c r="D574" s="1"/>
      <c r="E574" s="1"/>
      <c r="F574" s="1"/>
      <c r="G574" s="1"/>
      <c r="H574" s="2"/>
      <c r="I574" s="3"/>
      <c r="J574" s="3"/>
      <c r="K574" s="3"/>
      <c r="L574" s="2"/>
      <c r="M574" s="2"/>
      <c r="N574" s="2"/>
      <c r="U574" s="2"/>
      <c r="V574" s="2"/>
      <c r="W574" s="4"/>
    </row>
    <row r="575" ht="15.75" customHeight="1">
      <c r="B575" s="1"/>
      <c r="C575" s="1"/>
      <c r="D575" s="1"/>
      <c r="E575" s="1"/>
      <c r="F575" s="1"/>
      <c r="G575" s="1"/>
      <c r="H575" s="2"/>
      <c r="I575" s="3"/>
      <c r="J575" s="3"/>
      <c r="K575" s="3"/>
      <c r="L575" s="2"/>
      <c r="M575" s="2"/>
      <c r="N575" s="2"/>
      <c r="U575" s="2"/>
      <c r="V575" s="2"/>
      <c r="W575" s="4"/>
    </row>
    <row r="576" ht="15.75" customHeight="1">
      <c r="B576" s="1"/>
      <c r="C576" s="1"/>
      <c r="D576" s="1"/>
      <c r="E576" s="1"/>
      <c r="F576" s="1"/>
      <c r="G576" s="1"/>
      <c r="H576" s="2"/>
      <c r="I576" s="3"/>
      <c r="J576" s="3"/>
      <c r="K576" s="3"/>
      <c r="L576" s="2"/>
      <c r="M576" s="2"/>
      <c r="N576" s="2"/>
      <c r="U576" s="2"/>
      <c r="V576" s="2"/>
      <c r="W576" s="4"/>
    </row>
    <row r="577" ht="15.75" customHeight="1">
      <c r="B577" s="1"/>
      <c r="C577" s="1"/>
      <c r="D577" s="1"/>
      <c r="E577" s="1"/>
      <c r="F577" s="1"/>
      <c r="G577" s="1"/>
      <c r="H577" s="2"/>
      <c r="I577" s="3"/>
      <c r="J577" s="3"/>
      <c r="K577" s="3"/>
      <c r="L577" s="2"/>
      <c r="M577" s="2"/>
      <c r="N577" s="2"/>
      <c r="U577" s="2"/>
      <c r="V577" s="2"/>
      <c r="W577" s="4"/>
    </row>
    <row r="578" ht="15.75" customHeight="1">
      <c r="B578" s="1"/>
      <c r="C578" s="1"/>
      <c r="D578" s="1"/>
      <c r="E578" s="1"/>
      <c r="F578" s="1"/>
      <c r="G578" s="1"/>
      <c r="H578" s="2"/>
      <c r="I578" s="3"/>
      <c r="J578" s="3"/>
      <c r="K578" s="3"/>
      <c r="L578" s="2"/>
      <c r="M578" s="2"/>
      <c r="N578" s="2"/>
      <c r="U578" s="2"/>
      <c r="V578" s="2"/>
      <c r="W578" s="4"/>
    </row>
    <row r="579" ht="15.75" customHeight="1">
      <c r="B579" s="1"/>
      <c r="C579" s="1"/>
      <c r="D579" s="1"/>
      <c r="E579" s="1"/>
      <c r="F579" s="1"/>
      <c r="G579" s="1"/>
      <c r="H579" s="2"/>
      <c r="I579" s="3"/>
      <c r="J579" s="3"/>
      <c r="K579" s="3"/>
      <c r="L579" s="2"/>
      <c r="M579" s="2"/>
      <c r="N579" s="2"/>
      <c r="U579" s="2"/>
      <c r="V579" s="2"/>
      <c r="W579" s="4"/>
    </row>
    <row r="580" ht="15.75" customHeight="1">
      <c r="B580" s="1"/>
      <c r="C580" s="1"/>
      <c r="D580" s="1"/>
      <c r="E580" s="1"/>
      <c r="F580" s="1"/>
      <c r="G580" s="1"/>
      <c r="H580" s="2"/>
      <c r="I580" s="3"/>
      <c r="J580" s="3"/>
      <c r="K580" s="3"/>
      <c r="L580" s="2"/>
      <c r="M580" s="2"/>
      <c r="N580" s="2"/>
      <c r="U580" s="2"/>
      <c r="V580" s="2"/>
      <c r="W580" s="4"/>
    </row>
    <row r="581" ht="15.75" customHeight="1">
      <c r="B581" s="1"/>
      <c r="C581" s="1"/>
      <c r="D581" s="1"/>
      <c r="E581" s="1"/>
      <c r="F581" s="1"/>
      <c r="G581" s="1"/>
      <c r="H581" s="2"/>
      <c r="I581" s="3"/>
      <c r="J581" s="3"/>
      <c r="K581" s="3"/>
      <c r="L581" s="2"/>
      <c r="M581" s="2"/>
      <c r="N581" s="2"/>
      <c r="U581" s="2"/>
      <c r="V581" s="2"/>
      <c r="W581" s="4"/>
    </row>
    <row r="582" ht="15.75" customHeight="1">
      <c r="B582" s="1"/>
      <c r="C582" s="1"/>
      <c r="D582" s="1"/>
      <c r="E582" s="1"/>
      <c r="F582" s="1"/>
      <c r="G582" s="1"/>
      <c r="H582" s="2"/>
      <c r="I582" s="3"/>
      <c r="J582" s="3"/>
      <c r="K582" s="3"/>
      <c r="L582" s="2"/>
      <c r="M582" s="2"/>
      <c r="N582" s="2"/>
      <c r="U582" s="2"/>
      <c r="V582" s="2"/>
      <c r="W582" s="4"/>
    </row>
    <row r="583" ht="15.75" customHeight="1">
      <c r="B583" s="1"/>
      <c r="C583" s="1"/>
      <c r="D583" s="1"/>
      <c r="E583" s="1"/>
      <c r="F583" s="1"/>
      <c r="G583" s="1"/>
      <c r="H583" s="2"/>
      <c r="I583" s="3"/>
      <c r="J583" s="3"/>
      <c r="K583" s="3"/>
      <c r="L583" s="2"/>
      <c r="M583" s="2"/>
      <c r="N583" s="2"/>
      <c r="U583" s="2"/>
      <c r="V583" s="2"/>
      <c r="W583" s="4"/>
    </row>
    <row r="584" ht="15.75" customHeight="1">
      <c r="B584" s="1"/>
      <c r="C584" s="1"/>
      <c r="D584" s="1"/>
      <c r="E584" s="1"/>
      <c r="F584" s="1"/>
      <c r="G584" s="1"/>
      <c r="H584" s="2"/>
      <c r="I584" s="3"/>
      <c r="J584" s="3"/>
      <c r="K584" s="3"/>
      <c r="L584" s="2"/>
      <c r="M584" s="2"/>
      <c r="N584" s="2"/>
      <c r="U584" s="2"/>
      <c r="V584" s="2"/>
      <c r="W584" s="4"/>
    </row>
    <row r="585" ht="15.75" customHeight="1">
      <c r="B585" s="1"/>
      <c r="C585" s="1"/>
      <c r="D585" s="1"/>
      <c r="E585" s="1"/>
      <c r="F585" s="1"/>
      <c r="G585" s="1"/>
      <c r="H585" s="2"/>
      <c r="I585" s="3"/>
      <c r="J585" s="3"/>
      <c r="K585" s="3"/>
      <c r="L585" s="2"/>
      <c r="M585" s="2"/>
      <c r="N585" s="2"/>
      <c r="U585" s="2"/>
      <c r="V585" s="2"/>
      <c r="W585" s="4"/>
    </row>
    <row r="586" ht="15.75" customHeight="1">
      <c r="B586" s="1"/>
      <c r="C586" s="1"/>
      <c r="D586" s="1"/>
      <c r="E586" s="1"/>
      <c r="F586" s="1"/>
      <c r="G586" s="1"/>
      <c r="H586" s="2"/>
      <c r="I586" s="3"/>
      <c r="J586" s="3"/>
      <c r="K586" s="3"/>
      <c r="L586" s="2"/>
      <c r="M586" s="2"/>
      <c r="N586" s="2"/>
      <c r="U586" s="2"/>
      <c r="V586" s="2"/>
      <c r="W586" s="4"/>
    </row>
    <row r="587" ht="15.75" customHeight="1">
      <c r="B587" s="1"/>
      <c r="C587" s="1"/>
      <c r="D587" s="1"/>
      <c r="E587" s="1"/>
      <c r="F587" s="1"/>
      <c r="G587" s="1"/>
      <c r="H587" s="2"/>
      <c r="I587" s="3"/>
      <c r="J587" s="3"/>
      <c r="K587" s="3"/>
      <c r="L587" s="2"/>
      <c r="M587" s="2"/>
      <c r="N587" s="2"/>
      <c r="U587" s="2"/>
      <c r="V587" s="2"/>
      <c r="W587" s="4"/>
    </row>
    <row r="588" ht="15.75" customHeight="1">
      <c r="B588" s="1"/>
      <c r="C588" s="1"/>
      <c r="D588" s="1"/>
      <c r="E588" s="1"/>
      <c r="F588" s="1"/>
      <c r="G588" s="1"/>
      <c r="H588" s="2"/>
      <c r="I588" s="3"/>
      <c r="J588" s="3"/>
      <c r="K588" s="3"/>
      <c r="L588" s="2"/>
      <c r="M588" s="2"/>
      <c r="N588" s="2"/>
      <c r="U588" s="2"/>
      <c r="V588" s="2"/>
      <c r="W588" s="4"/>
    </row>
    <row r="589" ht="15.75" customHeight="1">
      <c r="B589" s="1"/>
      <c r="C589" s="1"/>
      <c r="D589" s="1"/>
      <c r="E589" s="1"/>
      <c r="F589" s="1"/>
      <c r="G589" s="1"/>
      <c r="H589" s="2"/>
      <c r="I589" s="3"/>
      <c r="J589" s="3"/>
      <c r="K589" s="3"/>
      <c r="L589" s="2"/>
      <c r="M589" s="2"/>
      <c r="N589" s="2"/>
      <c r="U589" s="2"/>
      <c r="V589" s="2"/>
      <c r="W589" s="4"/>
    </row>
    <row r="590" ht="15.75" customHeight="1">
      <c r="B590" s="1"/>
      <c r="C590" s="1"/>
      <c r="D590" s="1"/>
      <c r="E590" s="1"/>
      <c r="F590" s="1"/>
      <c r="G590" s="1"/>
      <c r="H590" s="2"/>
      <c r="I590" s="3"/>
      <c r="J590" s="3"/>
      <c r="K590" s="3"/>
      <c r="L590" s="2"/>
      <c r="M590" s="2"/>
      <c r="N590" s="2"/>
      <c r="U590" s="2"/>
      <c r="V590" s="2"/>
      <c r="W590" s="4"/>
    </row>
    <row r="591" ht="15.75" customHeight="1">
      <c r="B591" s="1"/>
      <c r="C591" s="1"/>
      <c r="D591" s="1"/>
      <c r="E591" s="1"/>
      <c r="F591" s="1"/>
      <c r="G591" s="1"/>
      <c r="H591" s="2"/>
      <c r="I591" s="3"/>
      <c r="J591" s="3"/>
      <c r="K591" s="3"/>
      <c r="L591" s="2"/>
      <c r="M591" s="2"/>
      <c r="N591" s="2"/>
      <c r="U591" s="2"/>
      <c r="V591" s="2"/>
      <c r="W591" s="4"/>
    </row>
    <row r="592" ht="15.75" customHeight="1">
      <c r="B592" s="1"/>
      <c r="C592" s="1"/>
      <c r="D592" s="1"/>
      <c r="E592" s="1"/>
      <c r="F592" s="1"/>
      <c r="G592" s="1"/>
      <c r="H592" s="2"/>
      <c r="I592" s="3"/>
      <c r="J592" s="3"/>
      <c r="K592" s="3"/>
      <c r="L592" s="2"/>
      <c r="M592" s="2"/>
      <c r="N592" s="2"/>
      <c r="U592" s="2"/>
      <c r="V592" s="2"/>
      <c r="W592" s="4"/>
    </row>
    <row r="593" ht="15.75" customHeight="1">
      <c r="B593" s="1"/>
      <c r="C593" s="1"/>
      <c r="D593" s="1"/>
      <c r="E593" s="1"/>
      <c r="F593" s="1"/>
      <c r="G593" s="1"/>
      <c r="H593" s="2"/>
      <c r="I593" s="3"/>
      <c r="J593" s="3"/>
      <c r="K593" s="3"/>
      <c r="L593" s="2"/>
      <c r="M593" s="2"/>
      <c r="N593" s="2"/>
      <c r="U593" s="2"/>
      <c r="V593" s="2"/>
      <c r="W593" s="4"/>
    </row>
    <row r="594" ht="15.75" customHeight="1">
      <c r="B594" s="1"/>
      <c r="C594" s="1"/>
      <c r="D594" s="1"/>
      <c r="E594" s="1"/>
      <c r="F594" s="1"/>
      <c r="G594" s="1"/>
      <c r="H594" s="2"/>
      <c r="I594" s="3"/>
      <c r="J594" s="3"/>
      <c r="K594" s="3"/>
      <c r="L594" s="2"/>
      <c r="M594" s="2"/>
      <c r="N594" s="2"/>
      <c r="U594" s="2"/>
      <c r="V594" s="2"/>
      <c r="W594" s="4"/>
    </row>
    <row r="595" ht="15.75" customHeight="1">
      <c r="B595" s="1"/>
      <c r="C595" s="1"/>
      <c r="D595" s="1"/>
      <c r="E595" s="1"/>
      <c r="F595" s="1"/>
      <c r="G595" s="1"/>
      <c r="H595" s="2"/>
      <c r="I595" s="3"/>
      <c r="J595" s="3"/>
      <c r="K595" s="3"/>
      <c r="L595" s="2"/>
      <c r="M595" s="2"/>
      <c r="N595" s="2"/>
      <c r="U595" s="2"/>
      <c r="V595" s="2"/>
      <c r="W595" s="4"/>
    </row>
    <row r="596" ht="15.75" customHeight="1">
      <c r="B596" s="1"/>
      <c r="C596" s="1"/>
      <c r="D596" s="1"/>
      <c r="E596" s="1"/>
      <c r="F596" s="1"/>
      <c r="G596" s="1"/>
      <c r="H596" s="2"/>
      <c r="I596" s="3"/>
      <c r="J596" s="3"/>
      <c r="K596" s="3"/>
      <c r="L596" s="2"/>
      <c r="M596" s="2"/>
      <c r="N596" s="2"/>
      <c r="U596" s="2"/>
      <c r="V596" s="2"/>
      <c r="W596" s="4"/>
    </row>
    <row r="597" ht="15.75" customHeight="1">
      <c r="B597" s="1"/>
      <c r="C597" s="1"/>
      <c r="D597" s="1"/>
      <c r="E597" s="1"/>
      <c r="F597" s="1"/>
      <c r="G597" s="1"/>
      <c r="H597" s="2"/>
      <c r="I597" s="3"/>
      <c r="J597" s="3"/>
      <c r="K597" s="3"/>
      <c r="L597" s="2"/>
      <c r="M597" s="2"/>
      <c r="N597" s="2"/>
      <c r="U597" s="2"/>
      <c r="V597" s="2"/>
      <c r="W597" s="4"/>
    </row>
    <row r="598" ht="15.75" customHeight="1">
      <c r="B598" s="1"/>
      <c r="C598" s="1"/>
      <c r="D598" s="1"/>
      <c r="E598" s="1"/>
      <c r="F598" s="1"/>
      <c r="G598" s="1"/>
      <c r="H598" s="2"/>
      <c r="I598" s="3"/>
      <c r="J598" s="3"/>
      <c r="K598" s="3"/>
      <c r="L598" s="2"/>
      <c r="M598" s="2"/>
      <c r="N598" s="2"/>
      <c r="U598" s="2"/>
      <c r="V598" s="2"/>
      <c r="W598" s="4"/>
    </row>
    <row r="599" ht="15.75" customHeight="1">
      <c r="B599" s="1"/>
      <c r="C599" s="1"/>
      <c r="D599" s="1"/>
      <c r="E599" s="1"/>
      <c r="F599" s="1"/>
      <c r="G599" s="1"/>
      <c r="H599" s="2"/>
      <c r="I599" s="3"/>
      <c r="J599" s="3"/>
      <c r="K599" s="3"/>
      <c r="L599" s="2"/>
      <c r="M599" s="2"/>
      <c r="N599" s="2"/>
      <c r="U599" s="2"/>
      <c r="V599" s="2"/>
      <c r="W599" s="4"/>
    </row>
    <row r="600" ht="15.75" customHeight="1">
      <c r="B600" s="1"/>
      <c r="C600" s="1"/>
      <c r="D600" s="1"/>
      <c r="E600" s="1"/>
      <c r="F600" s="1"/>
      <c r="G600" s="1"/>
      <c r="H600" s="2"/>
      <c r="I600" s="3"/>
      <c r="J600" s="3"/>
      <c r="K600" s="3"/>
      <c r="L600" s="2"/>
      <c r="M600" s="2"/>
      <c r="N600" s="2"/>
      <c r="U600" s="2"/>
      <c r="V600" s="2"/>
      <c r="W600" s="4"/>
    </row>
    <row r="601" ht="15.75" customHeight="1">
      <c r="B601" s="1"/>
      <c r="C601" s="1"/>
      <c r="D601" s="1"/>
      <c r="E601" s="1"/>
      <c r="F601" s="1"/>
      <c r="G601" s="1"/>
      <c r="H601" s="2"/>
      <c r="I601" s="3"/>
      <c r="J601" s="3"/>
      <c r="K601" s="3"/>
      <c r="L601" s="2"/>
      <c r="M601" s="2"/>
      <c r="N601" s="2"/>
      <c r="U601" s="2"/>
      <c r="V601" s="2"/>
      <c r="W601" s="4"/>
    </row>
    <row r="602" ht="15.75" customHeight="1">
      <c r="B602" s="1"/>
      <c r="C602" s="1"/>
      <c r="D602" s="1"/>
      <c r="E602" s="1"/>
      <c r="F602" s="1"/>
      <c r="G602" s="1"/>
      <c r="H602" s="2"/>
      <c r="I602" s="3"/>
      <c r="J602" s="3"/>
      <c r="K602" s="3"/>
      <c r="L602" s="2"/>
      <c r="M602" s="2"/>
      <c r="N602" s="2"/>
      <c r="U602" s="2"/>
      <c r="V602" s="2"/>
      <c r="W602" s="4"/>
    </row>
    <row r="603" ht="15.75" customHeight="1">
      <c r="B603" s="1"/>
      <c r="C603" s="1"/>
      <c r="D603" s="1"/>
      <c r="E603" s="1"/>
      <c r="F603" s="1"/>
      <c r="G603" s="1"/>
      <c r="H603" s="2"/>
      <c r="I603" s="3"/>
      <c r="J603" s="3"/>
      <c r="K603" s="3"/>
      <c r="L603" s="2"/>
      <c r="M603" s="2"/>
      <c r="N603" s="2"/>
      <c r="U603" s="2"/>
      <c r="V603" s="2"/>
      <c r="W603" s="4"/>
    </row>
    <row r="604" ht="15.75" customHeight="1">
      <c r="B604" s="1"/>
      <c r="C604" s="1"/>
      <c r="D604" s="1"/>
      <c r="E604" s="1"/>
      <c r="F604" s="1"/>
      <c r="G604" s="1"/>
      <c r="H604" s="2"/>
      <c r="I604" s="3"/>
      <c r="J604" s="3"/>
      <c r="K604" s="3"/>
      <c r="L604" s="2"/>
      <c r="M604" s="2"/>
      <c r="N604" s="2"/>
      <c r="U604" s="2"/>
      <c r="V604" s="2"/>
      <c r="W604" s="4"/>
    </row>
    <row r="605" ht="15.75" customHeight="1">
      <c r="B605" s="1"/>
      <c r="C605" s="1"/>
      <c r="D605" s="1"/>
      <c r="E605" s="1"/>
      <c r="F605" s="1"/>
      <c r="G605" s="1"/>
      <c r="H605" s="2"/>
      <c r="I605" s="3"/>
      <c r="J605" s="3"/>
      <c r="K605" s="3"/>
      <c r="L605" s="2"/>
      <c r="M605" s="2"/>
      <c r="N605" s="2"/>
      <c r="U605" s="2"/>
      <c r="V605" s="2"/>
      <c r="W605" s="4"/>
    </row>
    <row r="606" ht="15.75" customHeight="1">
      <c r="B606" s="1"/>
      <c r="C606" s="1"/>
      <c r="D606" s="1"/>
      <c r="E606" s="1"/>
      <c r="F606" s="1"/>
      <c r="G606" s="1"/>
      <c r="H606" s="2"/>
      <c r="I606" s="3"/>
      <c r="J606" s="3"/>
      <c r="K606" s="3"/>
      <c r="L606" s="2"/>
      <c r="M606" s="2"/>
      <c r="N606" s="2"/>
      <c r="U606" s="2"/>
      <c r="V606" s="2"/>
      <c r="W606" s="4"/>
    </row>
    <row r="607" ht="15.75" customHeight="1">
      <c r="B607" s="1"/>
      <c r="C607" s="1"/>
      <c r="D607" s="1"/>
      <c r="E607" s="1"/>
      <c r="F607" s="1"/>
      <c r="G607" s="1"/>
      <c r="H607" s="2"/>
      <c r="I607" s="3"/>
      <c r="J607" s="3"/>
      <c r="K607" s="3"/>
      <c r="L607" s="2"/>
      <c r="M607" s="2"/>
      <c r="N607" s="2"/>
      <c r="U607" s="2"/>
      <c r="V607" s="2"/>
      <c r="W607" s="4"/>
    </row>
    <row r="608" ht="15.75" customHeight="1">
      <c r="B608" s="1"/>
      <c r="C608" s="1"/>
      <c r="D608" s="1"/>
      <c r="E608" s="1"/>
      <c r="F608" s="1"/>
      <c r="G608" s="1"/>
      <c r="H608" s="2"/>
      <c r="I608" s="3"/>
      <c r="J608" s="3"/>
      <c r="K608" s="3"/>
      <c r="L608" s="2"/>
      <c r="M608" s="2"/>
      <c r="N608" s="2"/>
      <c r="U608" s="2"/>
      <c r="V608" s="2"/>
      <c r="W608" s="4"/>
    </row>
    <row r="609" ht="15.75" customHeight="1">
      <c r="B609" s="1"/>
      <c r="C609" s="1"/>
      <c r="D609" s="1"/>
      <c r="E609" s="1"/>
      <c r="F609" s="1"/>
      <c r="G609" s="1"/>
      <c r="H609" s="2"/>
      <c r="I609" s="3"/>
      <c r="J609" s="3"/>
      <c r="K609" s="3"/>
      <c r="L609" s="2"/>
      <c r="M609" s="2"/>
      <c r="N609" s="2"/>
      <c r="U609" s="2"/>
      <c r="V609" s="2"/>
      <c r="W609" s="4"/>
    </row>
    <row r="610" ht="15.75" customHeight="1">
      <c r="B610" s="1"/>
      <c r="C610" s="1"/>
      <c r="D610" s="1"/>
      <c r="E610" s="1"/>
      <c r="F610" s="1"/>
      <c r="G610" s="1"/>
      <c r="H610" s="2"/>
      <c r="I610" s="3"/>
      <c r="J610" s="3"/>
      <c r="K610" s="3"/>
      <c r="L610" s="2"/>
      <c r="M610" s="2"/>
      <c r="N610" s="2"/>
      <c r="U610" s="2"/>
      <c r="V610" s="2"/>
      <c r="W610" s="4"/>
    </row>
    <row r="611" ht="15.75" customHeight="1">
      <c r="B611" s="1"/>
      <c r="C611" s="1"/>
      <c r="D611" s="1"/>
      <c r="E611" s="1"/>
      <c r="F611" s="1"/>
      <c r="G611" s="1"/>
      <c r="H611" s="2"/>
      <c r="I611" s="3"/>
      <c r="J611" s="3"/>
      <c r="K611" s="3"/>
      <c r="L611" s="2"/>
      <c r="M611" s="2"/>
      <c r="N611" s="2"/>
      <c r="U611" s="2"/>
      <c r="V611" s="2"/>
      <c r="W611" s="4"/>
    </row>
    <row r="612" ht="15.75" customHeight="1">
      <c r="B612" s="1"/>
      <c r="C612" s="1"/>
      <c r="D612" s="1"/>
      <c r="E612" s="1"/>
      <c r="F612" s="1"/>
      <c r="G612" s="1"/>
      <c r="H612" s="2"/>
      <c r="I612" s="3"/>
      <c r="J612" s="3"/>
      <c r="K612" s="3"/>
      <c r="L612" s="2"/>
      <c r="M612" s="2"/>
      <c r="N612" s="2"/>
      <c r="U612" s="2"/>
      <c r="V612" s="2"/>
      <c r="W612" s="4"/>
    </row>
    <row r="613" ht="15.75" customHeight="1">
      <c r="B613" s="1"/>
      <c r="C613" s="1"/>
      <c r="D613" s="1"/>
      <c r="E613" s="1"/>
      <c r="F613" s="1"/>
      <c r="G613" s="1"/>
      <c r="H613" s="2"/>
      <c r="I613" s="3"/>
      <c r="J613" s="3"/>
      <c r="K613" s="3"/>
      <c r="L613" s="2"/>
      <c r="M613" s="2"/>
      <c r="N613" s="2"/>
      <c r="U613" s="2"/>
      <c r="V613" s="2"/>
      <c r="W613" s="4"/>
    </row>
    <row r="614" ht="15.75" customHeight="1">
      <c r="B614" s="1"/>
      <c r="C614" s="1"/>
      <c r="D614" s="1"/>
      <c r="E614" s="1"/>
      <c r="F614" s="1"/>
      <c r="G614" s="1"/>
      <c r="H614" s="2"/>
      <c r="I614" s="3"/>
      <c r="J614" s="3"/>
      <c r="K614" s="3"/>
      <c r="L614" s="2"/>
      <c r="M614" s="2"/>
      <c r="N614" s="2"/>
      <c r="U614" s="2"/>
      <c r="V614" s="2"/>
      <c r="W614" s="4"/>
    </row>
    <row r="615" ht="15.75" customHeight="1">
      <c r="B615" s="1"/>
      <c r="C615" s="1"/>
      <c r="D615" s="1"/>
      <c r="E615" s="1"/>
      <c r="F615" s="1"/>
      <c r="G615" s="1"/>
      <c r="H615" s="2"/>
      <c r="I615" s="3"/>
      <c r="J615" s="3"/>
      <c r="K615" s="3"/>
      <c r="L615" s="2"/>
      <c r="M615" s="2"/>
      <c r="N615" s="2"/>
      <c r="U615" s="2"/>
      <c r="V615" s="2"/>
      <c r="W615" s="4"/>
    </row>
    <row r="616" ht="15.75" customHeight="1">
      <c r="B616" s="1"/>
      <c r="C616" s="1"/>
      <c r="D616" s="1"/>
      <c r="E616" s="1"/>
      <c r="F616" s="1"/>
      <c r="G616" s="1"/>
      <c r="H616" s="2"/>
      <c r="I616" s="3"/>
      <c r="J616" s="3"/>
      <c r="K616" s="3"/>
      <c r="L616" s="2"/>
      <c r="M616" s="2"/>
      <c r="N616" s="2"/>
      <c r="U616" s="2"/>
      <c r="V616" s="2"/>
      <c r="W616" s="4"/>
    </row>
    <row r="617" ht="15.75" customHeight="1">
      <c r="B617" s="1"/>
      <c r="C617" s="1"/>
      <c r="D617" s="1"/>
      <c r="E617" s="1"/>
      <c r="F617" s="1"/>
      <c r="G617" s="1"/>
      <c r="H617" s="2"/>
      <c r="I617" s="3"/>
      <c r="J617" s="3"/>
      <c r="K617" s="3"/>
      <c r="L617" s="2"/>
      <c r="M617" s="2"/>
      <c r="N617" s="2"/>
      <c r="U617" s="2"/>
      <c r="V617" s="2"/>
      <c r="W617" s="4"/>
    </row>
    <row r="618" ht="15.75" customHeight="1">
      <c r="B618" s="1"/>
      <c r="C618" s="1"/>
      <c r="D618" s="1"/>
      <c r="E618" s="1"/>
      <c r="F618" s="1"/>
      <c r="G618" s="1"/>
      <c r="H618" s="2"/>
      <c r="I618" s="3"/>
      <c r="J618" s="3"/>
      <c r="K618" s="3"/>
      <c r="L618" s="2"/>
      <c r="M618" s="2"/>
      <c r="N618" s="2"/>
      <c r="U618" s="2"/>
      <c r="V618" s="2"/>
      <c r="W618" s="4"/>
    </row>
    <row r="619" ht="15.75" customHeight="1">
      <c r="B619" s="1"/>
      <c r="C619" s="1"/>
      <c r="D619" s="1"/>
      <c r="E619" s="1"/>
      <c r="F619" s="1"/>
      <c r="G619" s="1"/>
      <c r="H619" s="2"/>
      <c r="I619" s="3"/>
      <c r="J619" s="3"/>
      <c r="K619" s="3"/>
      <c r="L619" s="2"/>
      <c r="M619" s="2"/>
      <c r="N619" s="2"/>
      <c r="U619" s="2"/>
      <c r="V619" s="2"/>
      <c r="W619" s="4"/>
    </row>
    <row r="620" ht="15.75" customHeight="1">
      <c r="B620" s="1"/>
      <c r="C620" s="1"/>
      <c r="D620" s="1"/>
      <c r="E620" s="1"/>
      <c r="F620" s="1"/>
      <c r="G620" s="1"/>
      <c r="H620" s="2"/>
      <c r="I620" s="3"/>
      <c r="J620" s="3"/>
      <c r="K620" s="3"/>
      <c r="L620" s="2"/>
      <c r="M620" s="2"/>
      <c r="N620" s="2"/>
      <c r="U620" s="2"/>
      <c r="V620" s="2"/>
      <c r="W620" s="4"/>
    </row>
    <row r="621" ht="15.75" customHeight="1">
      <c r="B621" s="1"/>
      <c r="C621" s="1"/>
      <c r="D621" s="1"/>
      <c r="E621" s="1"/>
      <c r="F621" s="1"/>
      <c r="G621" s="1"/>
      <c r="H621" s="2"/>
      <c r="I621" s="3"/>
      <c r="J621" s="3"/>
      <c r="K621" s="3"/>
      <c r="L621" s="2"/>
      <c r="M621" s="2"/>
      <c r="N621" s="2"/>
      <c r="U621" s="2"/>
      <c r="V621" s="2"/>
      <c r="W621" s="4"/>
    </row>
    <row r="622" ht="15.75" customHeight="1">
      <c r="B622" s="1"/>
      <c r="C622" s="1"/>
      <c r="D622" s="1"/>
      <c r="E622" s="1"/>
      <c r="F622" s="1"/>
      <c r="G622" s="1"/>
      <c r="H622" s="2"/>
      <c r="I622" s="3"/>
      <c r="J622" s="3"/>
      <c r="K622" s="3"/>
      <c r="L622" s="2"/>
      <c r="M622" s="2"/>
      <c r="N622" s="2"/>
      <c r="U622" s="2"/>
      <c r="V622" s="2"/>
      <c r="W622" s="4"/>
    </row>
    <row r="623" ht="15.75" customHeight="1">
      <c r="B623" s="1"/>
      <c r="C623" s="1"/>
      <c r="D623" s="1"/>
      <c r="E623" s="1"/>
      <c r="F623" s="1"/>
      <c r="G623" s="1"/>
      <c r="H623" s="2"/>
      <c r="I623" s="3"/>
      <c r="J623" s="3"/>
      <c r="K623" s="3"/>
      <c r="L623" s="2"/>
      <c r="M623" s="2"/>
      <c r="N623" s="2"/>
      <c r="U623" s="2"/>
      <c r="V623" s="2"/>
      <c r="W623" s="4"/>
    </row>
    <row r="624" ht="15.75" customHeight="1">
      <c r="B624" s="1"/>
      <c r="C624" s="1"/>
      <c r="D624" s="1"/>
      <c r="E624" s="1"/>
      <c r="F624" s="1"/>
      <c r="G624" s="1"/>
      <c r="H624" s="2"/>
      <c r="I624" s="3"/>
      <c r="J624" s="3"/>
      <c r="K624" s="3"/>
      <c r="L624" s="2"/>
      <c r="M624" s="2"/>
      <c r="N624" s="2"/>
      <c r="U624" s="2"/>
      <c r="V624" s="2"/>
      <c r="W624" s="4"/>
    </row>
    <row r="625" ht="15.75" customHeight="1">
      <c r="B625" s="1"/>
      <c r="C625" s="1"/>
      <c r="D625" s="1"/>
      <c r="E625" s="1"/>
      <c r="F625" s="1"/>
      <c r="G625" s="1"/>
      <c r="H625" s="2"/>
      <c r="I625" s="3"/>
      <c r="J625" s="3"/>
      <c r="K625" s="3"/>
      <c r="L625" s="2"/>
      <c r="M625" s="2"/>
      <c r="N625" s="2"/>
      <c r="U625" s="2"/>
      <c r="V625" s="2"/>
      <c r="W625" s="4"/>
    </row>
    <row r="626" ht="15.75" customHeight="1">
      <c r="B626" s="1"/>
      <c r="C626" s="1"/>
      <c r="D626" s="1"/>
      <c r="E626" s="1"/>
      <c r="F626" s="1"/>
      <c r="G626" s="1"/>
      <c r="H626" s="2"/>
      <c r="I626" s="3"/>
      <c r="J626" s="3"/>
      <c r="K626" s="3"/>
      <c r="L626" s="2"/>
      <c r="M626" s="2"/>
      <c r="N626" s="2"/>
      <c r="U626" s="2"/>
      <c r="V626" s="2"/>
      <c r="W626" s="4"/>
    </row>
    <row r="627" ht="15.75" customHeight="1">
      <c r="B627" s="1"/>
      <c r="C627" s="1"/>
      <c r="D627" s="1"/>
      <c r="E627" s="1"/>
      <c r="F627" s="1"/>
      <c r="G627" s="1"/>
      <c r="H627" s="2"/>
      <c r="I627" s="3"/>
      <c r="J627" s="3"/>
      <c r="K627" s="3"/>
      <c r="L627" s="2"/>
      <c r="M627" s="2"/>
      <c r="N627" s="2"/>
      <c r="U627" s="2"/>
      <c r="V627" s="2"/>
      <c r="W627" s="4"/>
    </row>
    <row r="628" ht="15.75" customHeight="1">
      <c r="B628" s="1"/>
      <c r="C628" s="1"/>
      <c r="D628" s="1"/>
      <c r="E628" s="1"/>
      <c r="F628" s="1"/>
      <c r="G628" s="1"/>
      <c r="H628" s="2"/>
      <c r="I628" s="3"/>
      <c r="J628" s="3"/>
      <c r="K628" s="3"/>
      <c r="L628" s="2"/>
      <c r="M628" s="2"/>
      <c r="N628" s="2"/>
      <c r="U628" s="2"/>
      <c r="V628" s="2"/>
      <c r="W628" s="4"/>
    </row>
    <row r="629" ht="15.75" customHeight="1">
      <c r="B629" s="1"/>
      <c r="C629" s="1"/>
      <c r="D629" s="1"/>
      <c r="E629" s="1"/>
      <c r="F629" s="1"/>
      <c r="G629" s="1"/>
      <c r="H629" s="2"/>
      <c r="I629" s="3"/>
      <c r="J629" s="3"/>
      <c r="K629" s="3"/>
      <c r="L629" s="2"/>
      <c r="M629" s="2"/>
      <c r="N629" s="2"/>
      <c r="U629" s="2"/>
      <c r="V629" s="2"/>
      <c r="W629" s="4"/>
    </row>
    <row r="630" ht="15.75" customHeight="1">
      <c r="B630" s="1"/>
      <c r="C630" s="1"/>
      <c r="D630" s="1"/>
      <c r="E630" s="1"/>
      <c r="F630" s="1"/>
      <c r="G630" s="1"/>
      <c r="H630" s="2"/>
      <c r="I630" s="3"/>
      <c r="J630" s="3"/>
      <c r="K630" s="3"/>
      <c r="L630" s="2"/>
      <c r="M630" s="2"/>
      <c r="N630" s="2"/>
      <c r="U630" s="2"/>
      <c r="V630" s="2"/>
      <c r="W630" s="4"/>
    </row>
    <row r="631" ht="15.75" customHeight="1">
      <c r="B631" s="1"/>
      <c r="C631" s="1"/>
      <c r="D631" s="1"/>
      <c r="E631" s="1"/>
      <c r="F631" s="1"/>
      <c r="G631" s="1"/>
      <c r="H631" s="2"/>
      <c r="I631" s="3"/>
      <c r="J631" s="3"/>
      <c r="K631" s="3"/>
      <c r="L631" s="2"/>
      <c r="M631" s="2"/>
      <c r="N631" s="2"/>
      <c r="U631" s="2"/>
      <c r="V631" s="2"/>
      <c r="W631" s="4"/>
    </row>
    <row r="632" ht="15.75" customHeight="1">
      <c r="B632" s="1"/>
      <c r="C632" s="1"/>
      <c r="D632" s="1"/>
      <c r="E632" s="1"/>
      <c r="F632" s="1"/>
      <c r="G632" s="1"/>
      <c r="H632" s="2"/>
      <c r="I632" s="3"/>
      <c r="J632" s="3"/>
      <c r="K632" s="3"/>
      <c r="L632" s="2"/>
      <c r="M632" s="2"/>
      <c r="N632" s="2"/>
      <c r="U632" s="2"/>
      <c r="V632" s="2"/>
      <c r="W632" s="4"/>
    </row>
    <row r="633" ht="15.75" customHeight="1">
      <c r="B633" s="1"/>
      <c r="C633" s="1"/>
      <c r="D633" s="1"/>
      <c r="E633" s="1"/>
      <c r="F633" s="1"/>
      <c r="G633" s="1"/>
      <c r="H633" s="2"/>
      <c r="I633" s="3"/>
      <c r="J633" s="3"/>
      <c r="K633" s="3"/>
      <c r="L633" s="2"/>
      <c r="M633" s="2"/>
      <c r="N633" s="2"/>
      <c r="U633" s="2"/>
      <c r="V633" s="2"/>
      <c r="W633" s="4"/>
    </row>
    <row r="634" ht="15.75" customHeight="1">
      <c r="B634" s="1"/>
      <c r="C634" s="1"/>
      <c r="D634" s="1"/>
      <c r="E634" s="1"/>
      <c r="F634" s="1"/>
      <c r="G634" s="1"/>
      <c r="H634" s="2"/>
      <c r="I634" s="3"/>
      <c r="J634" s="3"/>
      <c r="K634" s="3"/>
      <c r="L634" s="2"/>
      <c r="M634" s="2"/>
      <c r="N634" s="2"/>
      <c r="U634" s="2"/>
      <c r="V634" s="2"/>
      <c r="W634" s="4"/>
    </row>
    <row r="635" ht="15.75" customHeight="1">
      <c r="B635" s="1"/>
      <c r="C635" s="1"/>
      <c r="D635" s="1"/>
      <c r="E635" s="1"/>
      <c r="F635" s="1"/>
      <c r="G635" s="1"/>
      <c r="H635" s="2"/>
      <c r="I635" s="3"/>
      <c r="J635" s="3"/>
      <c r="K635" s="3"/>
      <c r="L635" s="2"/>
      <c r="M635" s="2"/>
      <c r="N635" s="2"/>
      <c r="U635" s="2"/>
      <c r="V635" s="2"/>
      <c r="W635" s="4"/>
    </row>
    <row r="636" ht="15.75" customHeight="1">
      <c r="B636" s="1"/>
      <c r="C636" s="1"/>
      <c r="D636" s="1"/>
      <c r="E636" s="1"/>
      <c r="F636" s="1"/>
      <c r="G636" s="1"/>
      <c r="H636" s="2"/>
      <c r="I636" s="3"/>
      <c r="J636" s="3"/>
      <c r="K636" s="3"/>
      <c r="L636" s="2"/>
      <c r="M636" s="2"/>
      <c r="N636" s="2"/>
      <c r="U636" s="2"/>
      <c r="V636" s="2"/>
      <c r="W636" s="4"/>
    </row>
    <row r="637" ht="15.75" customHeight="1">
      <c r="B637" s="1"/>
      <c r="C637" s="1"/>
      <c r="D637" s="1"/>
      <c r="E637" s="1"/>
      <c r="F637" s="1"/>
      <c r="G637" s="1"/>
      <c r="H637" s="2"/>
      <c r="I637" s="3"/>
      <c r="J637" s="3"/>
      <c r="K637" s="3"/>
      <c r="L637" s="2"/>
      <c r="M637" s="2"/>
      <c r="N637" s="2"/>
      <c r="U637" s="2"/>
      <c r="V637" s="2"/>
      <c r="W637" s="4"/>
    </row>
    <row r="638" ht="15.75" customHeight="1">
      <c r="B638" s="1"/>
      <c r="C638" s="1"/>
      <c r="D638" s="1"/>
      <c r="E638" s="1"/>
      <c r="F638" s="1"/>
      <c r="G638" s="1"/>
      <c r="H638" s="2"/>
      <c r="I638" s="3"/>
      <c r="J638" s="3"/>
      <c r="K638" s="3"/>
      <c r="L638" s="2"/>
      <c r="M638" s="2"/>
      <c r="N638" s="2"/>
      <c r="U638" s="2"/>
      <c r="V638" s="2"/>
      <c r="W638" s="4"/>
    </row>
    <row r="639" ht="15.75" customHeight="1">
      <c r="B639" s="1"/>
      <c r="C639" s="1"/>
      <c r="D639" s="1"/>
      <c r="E639" s="1"/>
      <c r="F639" s="1"/>
      <c r="G639" s="1"/>
      <c r="H639" s="2"/>
      <c r="I639" s="3"/>
      <c r="J639" s="3"/>
      <c r="K639" s="3"/>
      <c r="L639" s="2"/>
      <c r="M639" s="2"/>
      <c r="N639" s="2"/>
      <c r="U639" s="2"/>
      <c r="V639" s="2"/>
      <c r="W639" s="4"/>
    </row>
    <row r="640" ht="15.75" customHeight="1">
      <c r="B640" s="1"/>
      <c r="C640" s="1"/>
      <c r="D640" s="1"/>
      <c r="E640" s="1"/>
      <c r="F640" s="1"/>
      <c r="G640" s="1"/>
      <c r="H640" s="2"/>
      <c r="I640" s="3"/>
      <c r="J640" s="3"/>
      <c r="K640" s="3"/>
      <c r="L640" s="2"/>
      <c r="M640" s="2"/>
      <c r="N640" s="2"/>
      <c r="U640" s="2"/>
      <c r="V640" s="2"/>
      <c r="W640" s="4"/>
    </row>
    <row r="641" ht="15.75" customHeight="1">
      <c r="B641" s="1"/>
      <c r="C641" s="1"/>
      <c r="D641" s="1"/>
      <c r="E641" s="1"/>
      <c r="F641" s="1"/>
      <c r="G641" s="1"/>
      <c r="H641" s="2"/>
      <c r="I641" s="3"/>
      <c r="J641" s="3"/>
      <c r="K641" s="3"/>
      <c r="L641" s="2"/>
      <c r="M641" s="2"/>
      <c r="N641" s="2"/>
      <c r="U641" s="2"/>
      <c r="V641" s="2"/>
      <c r="W641" s="4"/>
    </row>
    <row r="642" ht="15.75" customHeight="1">
      <c r="B642" s="1"/>
      <c r="C642" s="1"/>
      <c r="D642" s="1"/>
      <c r="E642" s="1"/>
      <c r="F642" s="1"/>
      <c r="G642" s="1"/>
      <c r="H642" s="2"/>
      <c r="I642" s="3"/>
      <c r="J642" s="3"/>
      <c r="K642" s="3"/>
      <c r="L642" s="2"/>
      <c r="M642" s="2"/>
      <c r="N642" s="2"/>
      <c r="U642" s="2"/>
      <c r="V642" s="2"/>
      <c r="W642" s="4"/>
    </row>
    <row r="643" ht="15.75" customHeight="1">
      <c r="B643" s="1"/>
      <c r="C643" s="1"/>
      <c r="D643" s="1"/>
      <c r="E643" s="1"/>
      <c r="F643" s="1"/>
      <c r="G643" s="1"/>
      <c r="H643" s="2"/>
      <c r="I643" s="3"/>
      <c r="J643" s="3"/>
      <c r="K643" s="3"/>
      <c r="L643" s="2"/>
      <c r="M643" s="2"/>
      <c r="N643" s="2"/>
      <c r="U643" s="2"/>
      <c r="V643" s="2"/>
      <c r="W643" s="4"/>
    </row>
    <row r="644" ht="15.75" customHeight="1">
      <c r="B644" s="1"/>
      <c r="C644" s="1"/>
      <c r="D644" s="1"/>
      <c r="E644" s="1"/>
      <c r="F644" s="1"/>
      <c r="G644" s="1"/>
      <c r="H644" s="2"/>
      <c r="I644" s="3"/>
      <c r="J644" s="3"/>
      <c r="K644" s="3"/>
      <c r="L644" s="2"/>
      <c r="M644" s="2"/>
      <c r="N644" s="2"/>
      <c r="U644" s="2"/>
      <c r="V644" s="2"/>
      <c r="W644" s="4"/>
    </row>
    <row r="645" ht="15.75" customHeight="1">
      <c r="B645" s="1"/>
      <c r="C645" s="1"/>
      <c r="D645" s="1"/>
      <c r="E645" s="1"/>
      <c r="F645" s="1"/>
      <c r="G645" s="1"/>
      <c r="H645" s="2"/>
      <c r="I645" s="3"/>
      <c r="J645" s="3"/>
      <c r="K645" s="3"/>
      <c r="L645" s="2"/>
      <c r="M645" s="2"/>
      <c r="N645" s="2"/>
      <c r="U645" s="2"/>
      <c r="V645" s="2"/>
      <c r="W645" s="4"/>
    </row>
    <row r="646" ht="15.75" customHeight="1">
      <c r="B646" s="1"/>
      <c r="C646" s="1"/>
      <c r="D646" s="1"/>
      <c r="E646" s="1"/>
      <c r="F646" s="1"/>
      <c r="G646" s="1"/>
      <c r="H646" s="2"/>
      <c r="I646" s="3"/>
      <c r="J646" s="3"/>
      <c r="K646" s="3"/>
      <c r="L646" s="2"/>
      <c r="M646" s="2"/>
      <c r="N646" s="2"/>
      <c r="U646" s="2"/>
      <c r="V646" s="2"/>
      <c r="W646" s="4"/>
    </row>
    <row r="647" ht="15.75" customHeight="1">
      <c r="B647" s="1"/>
      <c r="C647" s="1"/>
      <c r="D647" s="1"/>
      <c r="E647" s="1"/>
      <c r="F647" s="1"/>
      <c r="G647" s="1"/>
      <c r="H647" s="2"/>
      <c r="I647" s="3"/>
      <c r="J647" s="3"/>
      <c r="K647" s="3"/>
      <c r="L647" s="2"/>
      <c r="M647" s="2"/>
      <c r="N647" s="2"/>
      <c r="U647" s="2"/>
      <c r="V647" s="2"/>
      <c r="W647" s="4"/>
    </row>
    <row r="648" ht="15.75" customHeight="1">
      <c r="B648" s="1"/>
      <c r="C648" s="1"/>
      <c r="D648" s="1"/>
      <c r="E648" s="1"/>
      <c r="F648" s="1"/>
      <c r="G648" s="1"/>
      <c r="H648" s="2"/>
      <c r="I648" s="3"/>
      <c r="J648" s="3"/>
      <c r="K648" s="3"/>
      <c r="L648" s="2"/>
      <c r="M648" s="2"/>
      <c r="N648" s="2"/>
      <c r="U648" s="2"/>
      <c r="V648" s="2"/>
      <c r="W648" s="4"/>
    </row>
    <row r="649" ht="15.75" customHeight="1">
      <c r="B649" s="1"/>
      <c r="C649" s="1"/>
      <c r="D649" s="1"/>
      <c r="E649" s="1"/>
      <c r="F649" s="1"/>
      <c r="G649" s="1"/>
      <c r="H649" s="2"/>
      <c r="I649" s="3"/>
      <c r="J649" s="3"/>
      <c r="K649" s="3"/>
      <c r="L649" s="2"/>
      <c r="M649" s="2"/>
      <c r="N649" s="2"/>
      <c r="U649" s="2"/>
      <c r="V649" s="2"/>
      <c r="W649" s="4"/>
    </row>
    <row r="650" ht="15.75" customHeight="1">
      <c r="B650" s="1"/>
      <c r="C650" s="1"/>
      <c r="D650" s="1"/>
      <c r="E650" s="1"/>
      <c r="F650" s="1"/>
      <c r="G650" s="1"/>
      <c r="H650" s="2"/>
      <c r="I650" s="3"/>
      <c r="J650" s="3"/>
      <c r="K650" s="3"/>
      <c r="L650" s="2"/>
      <c r="M650" s="2"/>
      <c r="N650" s="2"/>
      <c r="U650" s="2"/>
      <c r="V650" s="2"/>
      <c r="W650" s="4"/>
    </row>
    <row r="651" ht="15.75" customHeight="1">
      <c r="B651" s="1"/>
      <c r="C651" s="1"/>
      <c r="D651" s="1"/>
      <c r="E651" s="1"/>
      <c r="F651" s="1"/>
      <c r="G651" s="1"/>
      <c r="H651" s="2"/>
      <c r="I651" s="3"/>
      <c r="J651" s="3"/>
      <c r="K651" s="3"/>
      <c r="L651" s="2"/>
      <c r="M651" s="2"/>
      <c r="N651" s="2"/>
      <c r="U651" s="2"/>
      <c r="V651" s="2"/>
      <c r="W651" s="4"/>
    </row>
    <row r="652" ht="15.75" customHeight="1">
      <c r="B652" s="1"/>
      <c r="C652" s="1"/>
      <c r="D652" s="1"/>
      <c r="E652" s="1"/>
      <c r="F652" s="1"/>
      <c r="G652" s="1"/>
      <c r="H652" s="2"/>
      <c r="I652" s="3"/>
      <c r="J652" s="3"/>
      <c r="K652" s="3"/>
      <c r="L652" s="2"/>
      <c r="M652" s="2"/>
      <c r="N652" s="2"/>
      <c r="U652" s="2"/>
      <c r="V652" s="2"/>
      <c r="W652" s="4"/>
    </row>
    <row r="653" ht="15.75" customHeight="1">
      <c r="B653" s="1"/>
      <c r="C653" s="1"/>
      <c r="D653" s="1"/>
      <c r="E653" s="1"/>
      <c r="F653" s="1"/>
      <c r="G653" s="1"/>
      <c r="H653" s="2"/>
      <c r="I653" s="3"/>
      <c r="J653" s="3"/>
      <c r="K653" s="3"/>
      <c r="L653" s="2"/>
      <c r="M653" s="2"/>
      <c r="N653" s="2"/>
      <c r="U653" s="2"/>
      <c r="V653" s="2"/>
      <c r="W653" s="4"/>
    </row>
    <row r="654" ht="15.75" customHeight="1">
      <c r="B654" s="1"/>
      <c r="C654" s="1"/>
      <c r="D654" s="1"/>
      <c r="E654" s="1"/>
      <c r="F654" s="1"/>
      <c r="G654" s="1"/>
      <c r="H654" s="2"/>
      <c r="I654" s="3"/>
      <c r="J654" s="3"/>
      <c r="K654" s="3"/>
      <c r="L654" s="2"/>
      <c r="M654" s="2"/>
      <c r="N654" s="2"/>
      <c r="U654" s="2"/>
      <c r="V654" s="2"/>
      <c r="W654" s="4"/>
    </row>
    <row r="655" ht="15.75" customHeight="1">
      <c r="B655" s="1"/>
      <c r="C655" s="1"/>
      <c r="D655" s="1"/>
      <c r="E655" s="1"/>
      <c r="F655" s="1"/>
      <c r="G655" s="1"/>
      <c r="H655" s="2"/>
      <c r="I655" s="3"/>
      <c r="J655" s="3"/>
      <c r="K655" s="3"/>
      <c r="L655" s="2"/>
      <c r="M655" s="2"/>
      <c r="N655" s="2"/>
      <c r="U655" s="2"/>
      <c r="V655" s="2"/>
      <c r="W655" s="4"/>
    </row>
    <row r="656" ht="15.75" customHeight="1">
      <c r="B656" s="1"/>
      <c r="C656" s="1"/>
      <c r="D656" s="1"/>
      <c r="E656" s="1"/>
      <c r="F656" s="1"/>
      <c r="G656" s="1"/>
      <c r="H656" s="2"/>
      <c r="I656" s="3"/>
      <c r="J656" s="3"/>
      <c r="K656" s="3"/>
      <c r="L656" s="2"/>
      <c r="M656" s="2"/>
      <c r="N656" s="2"/>
      <c r="U656" s="2"/>
      <c r="V656" s="2"/>
      <c r="W656" s="4"/>
    </row>
    <row r="657" ht="15.75" customHeight="1">
      <c r="B657" s="1"/>
      <c r="C657" s="1"/>
      <c r="D657" s="1"/>
      <c r="E657" s="1"/>
      <c r="F657" s="1"/>
      <c r="G657" s="1"/>
      <c r="H657" s="2"/>
      <c r="I657" s="3"/>
      <c r="J657" s="3"/>
      <c r="K657" s="3"/>
      <c r="L657" s="2"/>
      <c r="M657" s="2"/>
      <c r="N657" s="2"/>
      <c r="U657" s="2"/>
      <c r="V657" s="2"/>
      <c r="W657" s="4"/>
    </row>
    <row r="658" ht="15.75" customHeight="1">
      <c r="B658" s="1"/>
      <c r="C658" s="1"/>
      <c r="D658" s="1"/>
      <c r="E658" s="1"/>
      <c r="F658" s="1"/>
      <c r="G658" s="1"/>
      <c r="H658" s="2"/>
      <c r="I658" s="3"/>
      <c r="J658" s="3"/>
      <c r="K658" s="3"/>
      <c r="L658" s="2"/>
      <c r="M658" s="2"/>
      <c r="N658" s="2"/>
      <c r="U658" s="2"/>
      <c r="V658" s="2"/>
      <c r="W658" s="4"/>
    </row>
    <row r="659" ht="15.75" customHeight="1">
      <c r="B659" s="1"/>
      <c r="C659" s="1"/>
      <c r="D659" s="1"/>
      <c r="E659" s="1"/>
      <c r="F659" s="1"/>
      <c r="G659" s="1"/>
      <c r="H659" s="2"/>
      <c r="I659" s="3"/>
      <c r="J659" s="3"/>
      <c r="K659" s="3"/>
      <c r="L659" s="2"/>
      <c r="M659" s="2"/>
      <c r="N659" s="2"/>
      <c r="U659" s="2"/>
      <c r="V659" s="2"/>
      <c r="W659" s="4"/>
    </row>
    <row r="660" ht="15.75" customHeight="1">
      <c r="B660" s="1"/>
      <c r="C660" s="1"/>
      <c r="D660" s="1"/>
      <c r="E660" s="1"/>
      <c r="F660" s="1"/>
      <c r="G660" s="1"/>
      <c r="H660" s="2"/>
      <c r="I660" s="3"/>
      <c r="J660" s="3"/>
      <c r="K660" s="3"/>
      <c r="L660" s="2"/>
      <c r="M660" s="2"/>
      <c r="N660" s="2"/>
      <c r="U660" s="2"/>
      <c r="V660" s="2"/>
      <c r="W660" s="4"/>
    </row>
    <row r="661" ht="15.75" customHeight="1">
      <c r="B661" s="1"/>
      <c r="C661" s="1"/>
      <c r="D661" s="1"/>
      <c r="E661" s="1"/>
      <c r="F661" s="1"/>
      <c r="G661" s="1"/>
      <c r="H661" s="2"/>
      <c r="I661" s="3"/>
      <c r="J661" s="3"/>
      <c r="K661" s="3"/>
      <c r="L661" s="2"/>
      <c r="M661" s="2"/>
      <c r="N661" s="2"/>
      <c r="U661" s="2"/>
      <c r="V661" s="2"/>
      <c r="W661" s="4"/>
    </row>
    <row r="662" ht="15.75" customHeight="1">
      <c r="B662" s="1"/>
      <c r="C662" s="1"/>
      <c r="D662" s="1"/>
      <c r="E662" s="1"/>
      <c r="F662" s="1"/>
      <c r="G662" s="1"/>
      <c r="H662" s="2"/>
      <c r="I662" s="3"/>
      <c r="J662" s="3"/>
      <c r="K662" s="3"/>
      <c r="L662" s="2"/>
      <c r="M662" s="2"/>
      <c r="N662" s="2"/>
      <c r="U662" s="2"/>
      <c r="V662" s="2"/>
      <c r="W662" s="4"/>
    </row>
    <row r="663" ht="15.75" customHeight="1">
      <c r="B663" s="1"/>
      <c r="C663" s="1"/>
      <c r="D663" s="1"/>
      <c r="E663" s="1"/>
      <c r="F663" s="1"/>
      <c r="G663" s="1"/>
      <c r="H663" s="2"/>
      <c r="I663" s="3"/>
      <c r="J663" s="3"/>
      <c r="K663" s="3"/>
      <c r="L663" s="2"/>
      <c r="M663" s="2"/>
      <c r="N663" s="2"/>
      <c r="U663" s="2"/>
      <c r="V663" s="2"/>
      <c r="W663" s="4"/>
    </row>
    <row r="664" ht="15.75" customHeight="1">
      <c r="B664" s="1"/>
      <c r="C664" s="1"/>
      <c r="D664" s="1"/>
      <c r="E664" s="1"/>
      <c r="F664" s="1"/>
      <c r="G664" s="1"/>
      <c r="H664" s="2"/>
      <c r="I664" s="3"/>
      <c r="J664" s="3"/>
      <c r="K664" s="3"/>
      <c r="L664" s="2"/>
      <c r="M664" s="2"/>
      <c r="N664" s="2"/>
      <c r="U664" s="2"/>
      <c r="V664" s="2"/>
      <c r="W664" s="4"/>
    </row>
    <row r="665" ht="15.75" customHeight="1">
      <c r="B665" s="1"/>
      <c r="C665" s="1"/>
      <c r="D665" s="1"/>
      <c r="E665" s="1"/>
      <c r="F665" s="1"/>
      <c r="G665" s="1"/>
      <c r="H665" s="2"/>
      <c r="I665" s="3"/>
      <c r="J665" s="3"/>
      <c r="K665" s="3"/>
      <c r="L665" s="2"/>
      <c r="M665" s="2"/>
      <c r="N665" s="2"/>
      <c r="U665" s="2"/>
      <c r="V665" s="2"/>
      <c r="W665" s="4"/>
    </row>
    <row r="666" ht="15.75" customHeight="1">
      <c r="B666" s="1"/>
      <c r="C666" s="1"/>
      <c r="D666" s="1"/>
      <c r="E666" s="1"/>
      <c r="F666" s="1"/>
      <c r="G666" s="1"/>
      <c r="H666" s="2"/>
      <c r="I666" s="3"/>
      <c r="J666" s="3"/>
      <c r="K666" s="3"/>
      <c r="L666" s="2"/>
      <c r="M666" s="2"/>
      <c r="N666" s="2"/>
      <c r="U666" s="2"/>
      <c r="V666" s="2"/>
      <c r="W666" s="4"/>
    </row>
    <row r="667" ht="15.75" customHeight="1">
      <c r="B667" s="1"/>
      <c r="C667" s="1"/>
      <c r="D667" s="1"/>
      <c r="E667" s="1"/>
      <c r="F667" s="1"/>
      <c r="G667" s="1"/>
      <c r="H667" s="2"/>
      <c r="I667" s="3"/>
      <c r="J667" s="3"/>
      <c r="K667" s="3"/>
      <c r="L667" s="2"/>
      <c r="M667" s="2"/>
      <c r="N667" s="2"/>
      <c r="U667" s="2"/>
      <c r="V667" s="2"/>
      <c r="W667" s="4"/>
    </row>
    <row r="668" ht="15.75" customHeight="1">
      <c r="B668" s="1"/>
      <c r="C668" s="1"/>
      <c r="D668" s="1"/>
      <c r="E668" s="1"/>
      <c r="F668" s="1"/>
      <c r="G668" s="1"/>
      <c r="H668" s="2"/>
      <c r="I668" s="3"/>
      <c r="J668" s="3"/>
      <c r="K668" s="3"/>
      <c r="L668" s="2"/>
      <c r="M668" s="2"/>
      <c r="N668" s="2"/>
      <c r="U668" s="2"/>
      <c r="V668" s="2"/>
      <c r="W668" s="4"/>
    </row>
    <row r="669" ht="15.75" customHeight="1">
      <c r="B669" s="1"/>
      <c r="C669" s="1"/>
      <c r="D669" s="1"/>
      <c r="E669" s="1"/>
      <c r="F669" s="1"/>
      <c r="G669" s="1"/>
      <c r="H669" s="2"/>
      <c r="I669" s="3"/>
      <c r="J669" s="3"/>
      <c r="K669" s="3"/>
      <c r="L669" s="2"/>
      <c r="M669" s="2"/>
      <c r="N669" s="2"/>
      <c r="U669" s="2"/>
      <c r="V669" s="2"/>
      <c r="W669" s="4"/>
    </row>
    <row r="670" ht="15.75" customHeight="1">
      <c r="B670" s="1"/>
      <c r="C670" s="1"/>
      <c r="D670" s="1"/>
      <c r="E670" s="1"/>
      <c r="F670" s="1"/>
      <c r="G670" s="1"/>
      <c r="H670" s="2"/>
      <c r="I670" s="3"/>
      <c r="J670" s="3"/>
      <c r="K670" s="3"/>
      <c r="L670" s="2"/>
      <c r="M670" s="2"/>
      <c r="N670" s="2"/>
      <c r="U670" s="2"/>
      <c r="V670" s="2"/>
      <c r="W670" s="4"/>
    </row>
    <row r="671" ht="15.75" customHeight="1">
      <c r="B671" s="1"/>
      <c r="C671" s="1"/>
      <c r="D671" s="1"/>
      <c r="E671" s="1"/>
      <c r="F671" s="1"/>
      <c r="G671" s="1"/>
      <c r="H671" s="2"/>
      <c r="I671" s="3"/>
      <c r="J671" s="3"/>
      <c r="K671" s="3"/>
      <c r="L671" s="2"/>
      <c r="M671" s="2"/>
      <c r="N671" s="2"/>
      <c r="U671" s="2"/>
      <c r="V671" s="2"/>
      <c r="W671" s="4"/>
    </row>
    <row r="672" ht="15.75" customHeight="1">
      <c r="B672" s="1"/>
      <c r="C672" s="1"/>
      <c r="D672" s="1"/>
      <c r="E672" s="1"/>
      <c r="F672" s="1"/>
      <c r="G672" s="1"/>
      <c r="H672" s="2"/>
      <c r="I672" s="3"/>
      <c r="J672" s="3"/>
      <c r="K672" s="3"/>
      <c r="L672" s="2"/>
      <c r="M672" s="2"/>
      <c r="N672" s="2"/>
      <c r="U672" s="2"/>
      <c r="V672" s="2"/>
      <c r="W672" s="4"/>
    </row>
    <row r="673" ht="15.75" customHeight="1">
      <c r="B673" s="1"/>
      <c r="C673" s="1"/>
      <c r="D673" s="1"/>
      <c r="E673" s="1"/>
      <c r="F673" s="1"/>
      <c r="G673" s="1"/>
      <c r="H673" s="2"/>
      <c r="I673" s="3"/>
      <c r="J673" s="3"/>
      <c r="K673" s="3"/>
      <c r="L673" s="2"/>
      <c r="M673" s="2"/>
      <c r="N673" s="2"/>
      <c r="U673" s="2"/>
      <c r="V673" s="2"/>
      <c r="W673" s="4"/>
    </row>
    <row r="674" ht="15.75" customHeight="1">
      <c r="B674" s="1"/>
      <c r="C674" s="1"/>
      <c r="D674" s="1"/>
      <c r="E674" s="1"/>
      <c r="F674" s="1"/>
      <c r="G674" s="1"/>
      <c r="H674" s="2"/>
      <c r="I674" s="3"/>
      <c r="J674" s="3"/>
      <c r="K674" s="3"/>
      <c r="L674" s="2"/>
      <c r="M674" s="2"/>
      <c r="N674" s="2"/>
      <c r="U674" s="2"/>
      <c r="V674" s="2"/>
      <c r="W674" s="4"/>
    </row>
    <row r="675" ht="15.75" customHeight="1">
      <c r="B675" s="1"/>
      <c r="C675" s="1"/>
      <c r="D675" s="1"/>
      <c r="E675" s="1"/>
      <c r="F675" s="1"/>
      <c r="G675" s="1"/>
      <c r="H675" s="2"/>
      <c r="I675" s="3"/>
      <c r="J675" s="3"/>
      <c r="K675" s="3"/>
      <c r="L675" s="2"/>
      <c r="M675" s="2"/>
      <c r="N675" s="2"/>
      <c r="U675" s="2"/>
      <c r="V675" s="2"/>
      <c r="W675" s="4"/>
    </row>
    <row r="676" ht="15.75" customHeight="1">
      <c r="B676" s="1"/>
      <c r="C676" s="1"/>
      <c r="D676" s="1"/>
      <c r="E676" s="1"/>
      <c r="F676" s="1"/>
      <c r="G676" s="1"/>
      <c r="H676" s="2"/>
      <c r="I676" s="3"/>
      <c r="J676" s="3"/>
      <c r="K676" s="3"/>
      <c r="L676" s="2"/>
      <c r="M676" s="2"/>
      <c r="N676" s="2"/>
      <c r="U676" s="2"/>
      <c r="V676" s="2"/>
      <c r="W676" s="4"/>
    </row>
    <row r="677" ht="15.75" customHeight="1">
      <c r="B677" s="1"/>
      <c r="C677" s="1"/>
      <c r="D677" s="1"/>
      <c r="E677" s="1"/>
      <c r="F677" s="1"/>
      <c r="G677" s="1"/>
      <c r="H677" s="2"/>
      <c r="I677" s="3"/>
      <c r="J677" s="3"/>
      <c r="K677" s="3"/>
      <c r="L677" s="2"/>
      <c r="M677" s="2"/>
      <c r="N677" s="2"/>
      <c r="U677" s="2"/>
      <c r="V677" s="2"/>
      <c r="W677" s="4"/>
    </row>
    <row r="678" ht="15.75" customHeight="1">
      <c r="B678" s="1"/>
      <c r="C678" s="1"/>
      <c r="D678" s="1"/>
      <c r="E678" s="1"/>
      <c r="F678" s="1"/>
      <c r="G678" s="1"/>
      <c r="H678" s="2"/>
      <c r="I678" s="3"/>
      <c r="J678" s="3"/>
      <c r="K678" s="3"/>
      <c r="L678" s="2"/>
      <c r="M678" s="2"/>
      <c r="N678" s="2"/>
      <c r="U678" s="2"/>
      <c r="V678" s="2"/>
      <c r="W678" s="4"/>
    </row>
    <row r="679" ht="15.75" customHeight="1">
      <c r="B679" s="1"/>
      <c r="C679" s="1"/>
      <c r="D679" s="1"/>
      <c r="E679" s="1"/>
      <c r="F679" s="1"/>
      <c r="G679" s="1"/>
      <c r="H679" s="2"/>
      <c r="I679" s="3"/>
      <c r="J679" s="3"/>
      <c r="K679" s="3"/>
      <c r="L679" s="2"/>
      <c r="M679" s="2"/>
      <c r="N679" s="2"/>
      <c r="U679" s="2"/>
      <c r="V679" s="2"/>
      <c r="W679" s="4"/>
    </row>
    <row r="680" ht="15.75" customHeight="1">
      <c r="B680" s="1"/>
      <c r="C680" s="1"/>
      <c r="D680" s="1"/>
      <c r="E680" s="1"/>
      <c r="F680" s="1"/>
      <c r="G680" s="1"/>
      <c r="H680" s="2"/>
      <c r="I680" s="3"/>
      <c r="J680" s="3"/>
      <c r="K680" s="3"/>
      <c r="L680" s="2"/>
      <c r="M680" s="2"/>
      <c r="N680" s="2"/>
      <c r="U680" s="2"/>
      <c r="V680" s="2"/>
      <c r="W680" s="4"/>
    </row>
    <row r="681" ht="15.75" customHeight="1">
      <c r="B681" s="1"/>
      <c r="C681" s="1"/>
      <c r="D681" s="1"/>
      <c r="E681" s="1"/>
      <c r="F681" s="1"/>
      <c r="G681" s="1"/>
      <c r="H681" s="2"/>
      <c r="I681" s="3"/>
      <c r="J681" s="3"/>
      <c r="K681" s="3"/>
      <c r="L681" s="2"/>
      <c r="M681" s="2"/>
      <c r="N681" s="2"/>
      <c r="U681" s="2"/>
      <c r="V681" s="2"/>
      <c r="W681" s="4"/>
    </row>
    <row r="682" ht="15.75" customHeight="1">
      <c r="B682" s="1"/>
      <c r="C682" s="1"/>
      <c r="D682" s="1"/>
      <c r="E682" s="1"/>
      <c r="F682" s="1"/>
      <c r="G682" s="1"/>
      <c r="H682" s="2"/>
      <c r="I682" s="3"/>
      <c r="J682" s="3"/>
      <c r="K682" s="3"/>
      <c r="L682" s="2"/>
      <c r="M682" s="2"/>
      <c r="N682" s="2"/>
      <c r="U682" s="2"/>
      <c r="V682" s="2"/>
      <c r="W682" s="4"/>
    </row>
    <row r="683" ht="15.75" customHeight="1">
      <c r="B683" s="1"/>
      <c r="C683" s="1"/>
      <c r="D683" s="1"/>
      <c r="E683" s="1"/>
      <c r="F683" s="1"/>
      <c r="G683" s="1"/>
      <c r="H683" s="2"/>
      <c r="I683" s="3"/>
      <c r="J683" s="3"/>
      <c r="K683" s="3"/>
      <c r="L683" s="2"/>
      <c r="M683" s="2"/>
      <c r="N683" s="2"/>
      <c r="U683" s="2"/>
      <c r="V683" s="2"/>
      <c r="W683" s="4"/>
    </row>
    <row r="684" ht="15.75" customHeight="1">
      <c r="B684" s="1"/>
      <c r="C684" s="1"/>
      <c r="D684" s="1"/>
      <c r="E684" s="1"/>
      <c r="F684" s="1"/>
      <c r="G684" s="1"/>
      <c r="H684" s="2"/>
      <c r="I684" s="3"/>
      <c r="J684" s="3"/>
      <c r="K684" s="3"/>
      <c r="L684" s="2"/>
      <c r="M684" s="2"/>
      <c r="N684" s="2"/>
      <c r="U684" s="2"/>
      <c r="V684" s="2"/>
      <c r="W684" s="4"/>
    </row>
    <row r="685" ht="15.75" customHeight="1">
      <c r="B685" s="1"/>
      <c r="C685" s="1"/>
      <c r="D685" s="1"/>
      <c r="E685" s="1"/>
      <c r="F685" s="1"/>
      <c r="G685" s="1"/>
      <c r="H685" s="2"/>
      <c r="I685" s="3"/>
      <c r="J685" s="3"/>
      <c r="K685" s="3"/>
      <c r="L685" s="2"/>
      <c r="M685" s="2"/>
      <c r="N685" s="2"/>
      <c r="U685" s="2"/>
      <c r="V685" s="2"/>
      <c r="W685" s="4"/>
    </row>
    <row r="686" ht="15.75" customHeight="1">
      <c r="B686" s="1"/>
      <c r="C686" s="1"/>
      <c r="D686" s="1"/>
      <c r="E686" s="1"/>
      <c r="F686" s="1"/>
      <c r="G686" s="1"/>
      <c r="H686" s="2"/>
      <c r="I686" s="3"/>
      <c r="J686" s="3"/>
      <c r="K686" s="3"/>
      <c r="L686" s="2"/>
      <c r="M686" s="2"/>
      <c r="N686" s="2"/>
      <c r="U686" s="2"/>
      <c r="V686" s="2"/>
      <c r="W686" s="4"/>
    </row>
    <row r="687" ht="15.75" customHeight="1">
      <c r="B687" s="1"/>
      <c r="C687" s="1"/>
      <c r="D687" s="1"/>
      <c r="E687" s="1"/>
      <c r="F687" s="1"/>
      <c r="G687" s="1"/>
      <c r="H687" s="2"/>
      <c r="I687" s="3"/>
      <c r="J687" s="3"/>
      <c r="K687" s="3"/>
      <c r="L687" s="2"/>
      <c r="M687" s="2"/>
      <c r="N687" s="2"/>
      <c r="U687" s="2"/>
      <c r="V687" s="2"/>
      <c r="W687" s="4"/>
    </row>
    <row r="688" ht="15.75" customHeight="1">
      <c r="B688" s="1"/>
      <c r="C688" s="1"/>
      <c r="D688" s="1"/>
      <c r="E688" s="1"/>
      <c r="F688" s="1"/>
      <c r="G688" s="1"/>
      <c r="H688" s="2"/>
      <c r="I688" s="3"/>
      <c r="J688" s="3"/>
      <c r="K688" s="3"/>
      <c r="L688" s="2"/>
      <c r="M688" s="2"/>
      <c r="N688" s="2"/>
      <c r="U688" s="2"/>
      <c r="V688" s="2"/>
      <c r="W688" s="4"/>
    </row>
    <row r="689" ht="15.75" customHeight="1">
      <c r="B689" s="1"/>
      <c r="C689" s="1"/>
      <c r="D689" s="1"/>
      <c r="E689" s="1"/>
      <c r="F689" s="1"/>
      <c r="G689" s="1"/>
      <c r="H689" s="2"/>
      <c r="I689" s="3"/>
      <c r="J689" s="3"/>
      <c r="K689" s="3"/>
      <c r="L689" s="2"/>
      <c r="M689" s="2"/>
      <c r="N689" s="2"/>
      <c r="U689" s="2"/>
      <c r="V689" s="2"/>
      <c r="W689" s="4"/>
    </row>
    <row r="690" ht="15.75" customHeight="1">
      <c r="B690" s="1"/>
      <c r="C690" s="1"/>
      <c r="D690" s="1"/>
      <c r="E690" s="1"/>
      <c r="F690" s="1"/>
      <c r="G690" s="1"/>
      <c r="H690" s="2"/>
      <c r="I690" s="3"/>
      <c r="J690" s="3"/>
      <c r="K690" s="3"/>
      <c r="L690" s="2"/>
      <c r="M690" s="2"/>
      <c r="N690" s="2"/>
      <c r="U690" s="2"/>
      <c r="V690" s="2"/>
      <c r="W690" s="4"/>
    </row>
    <row r="691" ht="15.75" customHeight="1">
      <c r="B691" s="1"/>
      <c r="C691" s="1"/>
      <c r="D691" s="1"/>
      <c r="E691" s="1"/>
      <c r="F691" s="1"/>
      <c r="G691" s="1"/>
      <c r="H691" s="2"/>
      <c r="I691" s="3"/>
      <c r="J691" s="3"/>
      <c r="K691" s="3"/>
      <c r="L691" s="2"/>
      <c r="M691" s="2"/>
      <c r="N691" s="2"/>
      <c r="U691" s="2"/>
      <c r="V691" s="2"/>
      <c r="W691" s="4"/>
    </row>
    <row r="692" ht="15.75" customHeight="1">
      <c r="B692" s="1"/>
      <c r="C692" s="1"/>
      <c r="D692" s="1"/>
      <c r="E692" s="1"/>
      <c r="F692" s="1"/>
      <c r="G692" s="1"/>
      <c r="H692" s="2"/>
      <c r="I692" s="3"/>
      <c r="J692" s="3"/>
      <c r="K692" s="3"/>
      <c r="L692" s="2"/>
      <c r="M692" s="2"/>
      <c r="N692" s="2"/>
      <c r="U692" s="2"/>
      <c r="V692" s="2"/>
      <c r="W692" s="4"/>
    </row>
    <row r="693" ht="15.75" customHeight="1">
      <c r="B693" s="1"/>
      <c r="C693" s="1"/>
      <c r="D693" s="1"/>
      <c r="E693" s="1"/>
      <c r="F693" s="1"/>
      <c r="G693" s="1"/>
      <c r="H693" s="2"/>
      <c r="I693" s="3"/>
      <c r="J693" s="3"/>
      <c r="K693" s="3"/>
      <c r="L693" s="2"/>
      <c r="M693" s="2"/>
      <c r="N693" s="2"/>
      <c r="U693" s="2"/>
      <c r="V693" s="2"/>
      <c r="W693" s="4"/>
    </row>
    <row r="694" ht="15.75" customHeight="1">
      <c r="B694" s="1"/>
      <c r="C694" s="1"/>
      <c r="D694" s="1"/>
      <c r="E694" s="1"/>
      <c r="F694" s="1"/>
      <c r="G694" s="1"/>
      <c r="H694" s="2"/>
      <c r="I694" s="3"/>
      <c r="J694" s="3"/>
      <c r="K694" s="3"/>
      <c r="L694" s="2"/>
      <c r="M694" s="2"/>
      <c r="N694" s="2"/>
      <c r="U694" s="2"/>
      <c r="V694" s="2"/>
      <c r="W694" s="4"/>
    </row>
    <row r="695" ht="15.75" customHeight="1">
      <c r="B695" s="1"/>
      <c r="C695" s="1"/>
      <c r="D695" s="1"/>
      <c r="E695" s="1"/>
      <c r="F695" s="1"/>
      <c r="G695" s="1"/>
      <c r="H695" s="2"/>
      <c r="I695" s="3"/>
      <c r="J695" s="3"/>
      <c r="K695" s="3"/>
      <c r="L695" s="2"/>
      <c r="M695" s="2"/>
      <c r="N695" s="2"/>
      <c r="U695" s="2"/>
      <c r="V695" s="2"/>
      <c r="W695" s="4"/>
    </row>
    <row r="696" ht="15.75" customHeight="1">
      <c r="B696" s="1"/>
      <c r="C696" s="1"/>
      <c r="D696" s="1"/>
      <c r="E696" s="1"/>
      <c r="F696" s="1"/>
      <c r="G696" s="1"/>
      <c r="H696" s="2"/>
      <c r="I696" s="3"/>
      <c r="J696" s="3"/>
      <c r="K696" s="3"/>
      <c r="L696" s="2"/>
      <c r="M696" s="2"/>
      <c r="N696" s="2"/>
      <c r="U696" s="2"/>
      <c r="V696" s="2"/>
      <c r="W696" s="4"/>
    </row>
    <row r="697" ht="15.75" customHeight="1">
      <c r="B697" s="1"/>
      <c r="C697" s="1"/>
      <c r="D697" s="1"/>
      <c r="E697" s="1"/>
      <c r="F697" s="1"/>
      <c r="G697" s="1"/>
      <c r="H697" s="2"/>
      <c r="I697" s="3"/>
      <c r="J697" s="3"/>
      <c r="K697" s="3"/>
      <c r="L697" s="2"/>
      <c r="M697" s="2"/>
      <c r="N697" s="2"/>
      <c r="U697" s="2"/>
      <c r="V697" s="2"/>
      <c r="W697" s="4"/>
    </row>
    <row r="698" ht="15.75" customHeight="1">
      <c r="B698" s="1"/>
      <c r="C698" s="1"/>
      <c r="D698" s="1"/>
      <c r="E698" s="1"/>
      <c r="F698" s="1"/>
      <c r="G698" s="1"/>
      <c r="H698" s="2"/>
      <c r="I698" s="3"/>
      <c r="J698" s="3"/>
      <c r="K698" s="3"/>
      <c r="L698" s="2"/>
      <c r="M698" s="2"/>
      <c r="N698" s="2"/>
      <c r="U698" s="2"/>
      <c r="V698" s="2"/>
      <c r="W698" s="4"/>
    </row>
    <row r="699" ht="15.75" customHeight="1">
      <c r="B699" s="1"/>
      <c r="C699" s="1"/>
      <c r="D699" s="1"/>
      <c r="E699" s="1"/>
      <c r="F699" s="1"/>
      <c r="G699" s="1"/>
      <c r="H699" s="2"/>
      <c r="I699" s="3"/>
      <c r="J699" s="3"/>
      <c r="K699" s="3"/>
      <c r="L699" s="2"/>
      <c r="M699" s="2"/>
      <c r="N699" s="2"/>
      <c r="U699" s="2"/>
      <c r="V699" s="2"/>
      <c r="W699" s="4"/>
    </row>
    <row r="700" ht="15.75" customHeight="1">
      <c r="B700" s="1"/>
      <c r="C700" s="1"/>
      <c r="D700" s="1"/>
      <c r="E700" s="1"/>
      <c r="F700" s="1"/>
      <c r="G700" s="1"/>
      <c r="H700" s="2"/>
      <c r="I700" s="3"/>
      <c r="J700" s="3"/>
      <c r="K700" s="3"/>
      <c r="L700" s="2"/>
      <c r="M700" s="2"/>
      <c r="N700" s="2"/>
      <c r="U700" s="2"/>
      <c r="V700" s="2"/>
      <c r="W700" s="4"/>
    </row>
    <row r="701" ht="15.75" customHeight="1">
      <c r="B701" s="1"/>
      <c r="C701" s="1"/>
      <c r="D701" s="1"/>
      <c r="E701" s="1"/>
      <c r="F701" s="1"/>
      <c r="G701" s="1"/>
      <c r="H701" s="2"/>
      <c r="I701" s="3"/>
      <c r="J701" s="3"/>
      <c r="K701" s="3"/>
      <c r="L701" s="2"/>
      <c r="M701" s="2"/>
      <c r="N701" s="2"/>
      <c r="U701" s="2"/>
      <c r="V701" s="2"/>
      <c r="W701" s="4"/>
    </row>
    <row r="702" ht="15.75" customHeight="1">
      <c r="B702" s="1"/>
      <c r="C702" s="1"/>
      <c r="D702" s="1"/>
      <c r="E702" s="1"/>
      <c r="F702" s="1"/>
      <c r="G702" s="1"/>
      <c r="H702" s="2"/>
      <c r="I702" s="3"/>
      <c r="J702" s="3"/>
      <c r="K702" s="3"/>
      <c r="L702" s="2"/>
      <c r="M702" s="2"/>
      <c r="N702" s="2"/>
      <c r="U702" s="2"/>
      <c r="V702" s="2"/>
      <c r="W702" s="4"/>
    </row>
    <row r="703" ht="15.75" customHeight="1">
      <c r="B703" s="1"/>
      <c r="C703" s="1"/>
      <c r="D703" s="1"/>
      <c r="E703" s="1"/>
      <c r="F703" s="1"/>
      <c r="G703" s="1"/>
      <c r="H703" s="2"/>
      <c r="I703" s="3"/>
      <c r="J703" s="3"/>
      <c r="K703" s="3"/>
      <c r="L703" s="2"/>
      <c r="M703" s="2"/>
      <c r="N703" s="2"/>
      <c r="U703" s="2"/>
      <c r="V703" s="2"/>
      <c r="W703" s="4"/>
    </row>
    <row r="704" ht="15.75" customHeight="1">
      <c r="B704" s="1"/>
      <c r="C704" s="1"/>
      <c r="D704" s="1"/>
      <c r="E704" s="1"/>
      <c r="F704" s="1"/>
      <c r="G704" s="1"/>
      <c r="H704" s="2"/>
      <c r="I704" s="3"/>
      <c r="J704" s="3"/>
      <c r="K704" s="3"/>
      <c r="L704" s="2"/>
      <c r="M704" s="2"/>
      <c r="N704" s="2"/>
      <c r="U704" s="2"/>
      <c r="V704" s="2"/>
      <c r="W704" s="4"/>
    </row>
    <row r="705" ht="15.75" customHeight="1">
      <c r="B705" s="1"/>
      <c r="C705" s="1"/>
      <c r="D705" s="1"/>
      <c r="E705" s="1"/>
      <c r="F705" s="1"/>
      <c r="G705" s="1"/>
      <c r="H705" s="2"/>
      <c r="I705" s="3"/>
      <c r="J705" s="3"/>
      <c r="K705" s="3"/>
      <c r="L705" s="2"/>
      <c r="M705" s="2"/>
      <c r="N705" s="2"/>
      <c r="U705" s="2"/>
      <c r="V705" s="2"/>
      <c r="W705" s="4"/>
    </row>
    <row r="706" ht="15.75" customHeight="1">
      <c r="B706" s="1"/>
      <c r="C706" s="1"/>
      <c r="D706" s="1"/>
      <c r="E706" s="1"/>
      <c r="F706" s="1"/>
      <c r="G706" s="1"/>
      <c r="H706" s="2"/>
      <c r="I706" s="3"/>
      <c r="J706" s="3"/>
      <c r="K706" s="3"/>
      <c r="L706" s="2"/>
      <c r="M706" s="2"/>
      <c r="N706" s="2"/>
      <c r="U706" s="2"/>
      <c r="V706" s="2"/>
      <c r="W706" s="4"/>
    </row>
    <row r="707" ht="15.75" customHeight="1">
      <c r="B707" s="1"/>
      <c r="C707" s="1"/>
      <c r="D707" s="1"/>
      <c r="E707" s="1"/>
      <c r="F707" s="1"/>
      <c r="G707" s="1"/>
      <c r="H707" s="2"/>
      <c r="I707" s="3"/>
      <c r="J707" s="3"/>
      <c r="K707" s="3"/>
      <c r="L707" s="2"/>
      <c r="M707" s="2"/>
      <c r="N707" s="2"/>
      <c r="U707" s="2"/>
      <c r="V707" s="2"/>
      <c r="W707" s="4"/>
    </row>
    <row r="708" ht="15.75" customHeight="1">
      <c r="B708" s="1"/>
      <c r="C708" s="1"/>
      <c r="D708" s="1"/>
      <c r="E708" s="1"/>
      <c r="F708" s="1"/>
      <c r="G708" s="1"/>
      <c r="H708" s="2"/>
      <c r="I708" s="3"/>
      <c r="J708" s="3"/>
      <c r="K708" s="3"/>
      <c r="L708" s="2"/>
      <c r="M708" s="2"/>
      <c r="N708" s="2"/>
      <c r="U708" s="2"/>
      <c r="V708" s="2"/>
      <c r="W708" s="4"/>
    </row>
    <row r="709" ht="15.75" customHeight="1">
      <c r="B709" s="1"/>
      <c r="C709" s="1"/>
      <c r="D709" s="1"/>
      <c r="E709" s="1"/>
      <c r="F709" s="1"/>
      <c r="G709" s="1"/>
      <c r="H709" s="2"/>
      <c r="I709" s="3"/>
      <c r="J709" s="3"/>
      <c r="K709" s="3"/>
      <c r="L709" s="2"/>
      <c r="M709" s="2"/>
      <c r="N709" s="2"/>
      <c r="U709" s="2"/>
      <c r="V709" s="2"/>
      <c r="W709" s="4"/>
    </row>
    <row r="710" ht="15.75" customHeight="1">
      <c r="B710" s="1"/>
      <c r="C710" s="1"/>
      <c r="D710" s="1"/>
      <c r="E710" s="1"/>
      <c r="F710" s="1"/>
      <c r="G710" s="1"/>
      <c r="H710" s="2"/>
      <c r="I710" s="3"/>
      <c r="J710" s="3"/>
      <c r="K710" s="3"/>
      <c r="L710" s="2"/>
      <c r="M710" s="2"/>
      <c r="N710" s="2"/>
      <c r="U710" s="2"/>
      <c r="V710" s="2"/>
      <c r="W710" s="4"/>
    </row>
    <row r="711" ht="15.75" customHeight="1">
      <c r="B711" s="1"/>
      <c r="C711" s="1"/>
      <c r="D711" s="1"/>
      <c r="E711" s="1"/>
      <c r="F711" s="1"/>
      <c r="G711" s="1"/>
      <c r="H711" s="2"/>
      <c r="I711" s="3"/>
      <c r="J711" s="3"/>
      <c r="K711" s="3"/>
      <c r="L711" s="2"/>
      <c r="M711" s="2"/>
      <c r="N711" s="2"/>
      <c r="U711" s="2"/>
      <c r="V711" s="2"/>
      <c r="W711" s="4"/>
    </row>
    <row r="712" ht="15.75" customHeight="1">
      <c r="B712" s="1"/>
      <c r="C712" s="1"/>
      <c r="D712" s="1"/>
      <c r="E712" s="1"/>
      <c r="F712" s="1"/>
      <c r="G712" s="1"/>
      <c r="H712" s="2"/>
      <c r="I712" s="3"/>
      <c r="J712" s="3"/>
      <c r="K712" s="3"/>
      <c r="L712" s="2"/>
      <c r="M712" s="2"/>
      <c r="N712" s="2"/>
      <c r="U712" s="2"/>
      <c r="V712" s="2"/>
      <c r="W712" s="4"/>
    </row>
    <row r="713" ht="15.75" customHeight="1">
      <c r="B713" s="1"/>
      <c r="C713" s="1"/>
      <c r="D713" s="1"/>
      <c r="E713" s="1"/>
      <c r="F713" s="1"/>
      <c r="G713" s="1"/>
      <c r="H713" s="2"/>
      <c r="I713" s="3"/>
      <c r="J713" s="3"/>
      <c r="K713" s="3"/>
      <c r="L713" s="2"/>
      <c r="M713" s="2"/>
      <c r="N713" s="2"/>
      <c r="U713" s="2"/>
      <c r="V713" s="2"/>
      <c r="W713" s="4"/>
    </row>
    <row r="714" ht="15.75" customHeight="1">
      <c r="B714" s="1"/>
      <c r="C714" s="1"/>
      <c r="D714" s="1"/>
      <c r="E714" s="1"/>
      <c r="F714" s="1"/>
      <c r="G714" s="1"/>
      <c r="H714" s="2"/>
      <c r="I714" s="3"/>
      <c r="J714" s="3"/>
      <c r="K714" s="3"/>
      <c r="L714" s="2"/>
      <c r="M714" s="2"/>
      <c r="N714" s="2"/>
      <c r="U714" s="2"/>
      <c r="V714" s="2"/>
      <c r="W714" s="4"/>
    </row>
    <row r="715" ht="15.75" customHeight="1">
      <c r="B715" s="1"/>
      <c r="C715" s="1"/>
      <c r="D715" s="1"/>
      <c r="E715" s="1"/>
      <c r="F715" s="1"/>
      <c r="G715" s="1"/>
      <c r="H715" s="2"/>
      <c r="I715" s="3"/>
      <c r="J715" s="3"/>
      <c r="K715" s="3"/>
      <c r="L715" s="2"/>
      <c r="M715" s="2"/>
      <c r="N715" s="2"/>
      <c r="U715" s="2"/>
      <c r="V715" s="2"/>
      <c r="W715" s="4"/>
    </row>
    <row r="716" ht="15.75" customHeight="1">
      <c r="B716" s="1"/>
      <c r="C716" s="1"/>
      <c r="D716" s="1"/>
      <c r="E716" s="1"/>
      <c r="F716" s="1"/>
      <c r="G716" s="1"/>
      <c r="H716" s="2"/>
      <c r="I716" s="3"/>
      <c r="J716" s="3"/>
      <c r="K716" s="3"/>
      <c r="L716" s="2"/>
      <c r="M716" s="2"/>
      <c r="N716" s="2"/>
      <c r="U716" s="2"/>
      <c r="V716" s="2"/>
      <c r="W716" s="4"/>
    </row>
    <row r="717" ht="15.75" customHeight="1">
      <c r="B717" s="1"/>
      <c r="C717" s="1"/>
      <c r="D717" s="1"/>
      <c r="E717" s="1"/>
      <c r="F717" s="1"/>
      <c r="G717" s="1"/>
      <c r="H717" s="2"/>
      <c r="I717" s="3"/>
      <c r="J717" s="3"/>
      <c r="K717" s="3"/>
      <c r="L717" s="2"/>
      <c r="M717" s="2"/>
      <c r="N717" s="2"/>
      <c r="U717" s="2"/>
      <c r="V717" s="2"/>
      <c r="W717" s="4"/>
    </row>
    <row r="718" ht="15.75" customHeight="1">
      <c r="B718" s="1"/>
      <c r="C718" s="1"/>
      <c r="D718" s="1"/>
      <c r="E718" s="1"/>
      <c r="F718" s="1"/>
      <c r="G718" s="1"/>
      <c r="H718" s="2"/>
      <c r="I718" s="3"/>
      <c r="J718" s="3"/>
      <c r="K718" s="3"/>
      <c r="L718" s="2"/>
      <c r="M718" s="2"/>
      <c r="N718" s="2"/>
      <c r="U718" s="2"/>
      <c r="V718" s="2"/>
      <c r="W718" s="4"/>
    </row>
    <row r="719" ht="15.75" customHeight="1">
      <c r="B719" s="1"/>
      <c r="C719" s="1"/>
      <c r="D719" s="1"/>
      <c r="E719" s="1"/>
      <c r="F719" s="1"/>
      <c r="G719" s="1"/>
      <c r="H719" s="2"/>
      <c r="I719" s="3"/>
      <c r="J719" s="3"/>
      <c r="K719" s="3"/>
      <c r="L719" s="2"/>
      <c r="M719" s="2"/>
      <c r="N719" s="2"/>
      <c r="U719" s="2"/>
      <c r="V719" s="2"/>
      <c r="W719" s="4"/>
    </row>
    <row r="720" ht="15.75" customHeight="1">
      <c r="B720" s="1"/>
      <c r="C720" s="1"/>
      <c r="D720" s="1"/>
      <c r="E720" s="1"/>
      <c r="F720" s="1"/>
      <c r="G720" s="1"/>
      <c r="H720" s="2"/>
      <c r="I720" s="3"/>
      <c r="J720" s="3"/>
      <c r="K720" s="3"/>
      <c r="L720" s="2"/>
      <c r="M720" s="2"/>
      <c r="N720" s="2"/>
      <c r="U720" s="2"/>
      <c r="V720" s="2"/>
      <c r="W720" s="4"/>
    </row>
    <row r="721" ht="15.75" customHeight="1">
      <c r="B721" s="1"/>
      <c r="C721" s="1"/>
      <c r="D721" s="1"/>
      <c r="E721" s="1"/>
      <c r="F721" s="1"/>
      <c r="G721" s="1"/>
      <c r="H721" s="2"/>
      <c r="I721" s="3"/>
      <c r="J721" s="3"/>
      <c r="K721" s="3"/>
      <c r="L721" s="2"/>
      <c r="M721" s="2"/>
      <c r="N721" s="2"/>
      <c r="U721" s="2"/>
      <c r="V721" s="2"/>
      <c r="W721" s="4"/>
    </row>
    <row r="722" ht="15.75" customHeight="1">
      <c r="B722" s="1"/>
      <c r="C722" s="1"/>
      <c r="D722" s="1"/>
      <c r="E722" s="1"/>
      <c r="F722" s="1"/>
      <c r="G722" s="1"/>
      <c r="H722" s="2"/>
      <c r="I722" s="3"/>
      <c r="J722" s="3"/>
      <c r="K722" s="3"/>
      <c r="L722" s="2"/>
      <c r="M722" s="2"/>
      <c r="N722" s="2"/>
      <c r="U722" s="2"/>
      <c r="V722" s="2"/>
      <c r="W722" s="4"/>
    </row>
    <row r="723" ht="15.75" customHeight="1">
      <c r="B723" s="1"/>
      <c r="C723" s="1"/>
      <c r="D723" s="1"/>
      <c r="E723" s="1"/>
      <c r="F723" s="1"/>
      <c r="G723" s="1"/>
      <c r="H723" s="2"/>
      <c r="I723" s="3"/>
      <c r="J723" s="3"/>
      <c r="K723" s="3"/>
      <c r="L723" s="2"/>
      <c r="M723" s="2"/>
      <c r="N723" s="2"/>
      <c r="U723" s="2"/>
      <c r="V723" s="2"/>
      <c r="W723" s="4"/>
    </row>
    <row r="724" ht="15.75" customHeight="1">
      <c r="B724" s="1"/>
      <c r="C724" s="1"/>
      <c r="D724" s="1"/>
      <c r="E724" s="1"/>
      <c r="F724" s="1"/>
      <c r="G724" s="1"/>
      <c r="H724" s="2"/>
      <c r="I724" s="3"/>
      <c r="J724" s="3"/>
      <c r="K724" s="3"/>
      <c r="L724" s="2"/>
      <c r="M724" s="2"/>
      <c r="N724" s="2"/>
      <c r="U724" s="2"/>
      <c r="V724" s="2"/>
      <c r="W724" s="4"/>
    </row>
    <row r="725" ht="15.75" customHeight="1">
      <c r="B725" s="1"/>
      <c r="C725" s="1"/>
      <c r="D725" s="1"/>
      <c r="E725" s="1"/>
      <c r="F725" s="1"/>
      <c r="G725" s="1"/>
      <c r="H725" s="2"/>
      <c r="I725" s="3"/>
      <c r="J725" s="3"/>
      <c r="K725" s="3"/>
      <c r="L725" s="2"/>
      <c r="M725" s="2"/>
      <c r="N725" s="2"/>
      <c r="U725" s="2"/>
      <c r="V725" s="2"/>
      <c r="W725" s="4"/>
    </row>
    <row r="726" ht="15.75" customHeight="1">
      <c r="B726" s="1"/>
      <c r="C726" s="1"/>
      <c r="D726" s="1"/>
      <c r="E726" s="1"/>
      <c r="F726" s="1"/>
      <c r="G726" s="1"/>
      <c r="H726" s="2"/>
      <c r="I726" s="3"/>
      <c r="J726" s="3"/>
      <c r="K726" s="3"/>
      <c r="L726" s="2"/>
      <c r="M726" s="2"/>
      <c r="N726" s="2"/>
      <c r="U726" s="2"/>
      <c r="V726" s="2"/>
      <c r="W726" s="4"/>
    </row>
    <row r="727" ht="15.75" customHeight="1">
      <c r="B727" s="1"/>
      <c r="C727" s="1"/>
      <c r="D727" s="1"/>
      <c r="E727" s="1"/>
      <c r="F727" s="1"/>
      <c r="G727" s="1"/>
      <c r="H727" s="2"/>
      <c r="I727" s="3"/>
      <c r="J727" s="3"/>
      <c r="K727" s="3"/>
      <c r="L727" s="2"/>
      <c r="M727" s="2"/>
      <c r="N727" s="2"/>
      <c r="U727" s="2"/>
      <c r="V727" s="2"/>
      <c r="W727" s="4"/>
    </row>
    <row r="728" ht="15.75" customHeight="1">
      <c r="B728" s="1"/>
      <c r="C728" s="1"/>
      <c r="D728" s="1"/>
      <c r="E728" s="1"/>
      <c r="F728" s="1"/>
      <c r="G728" s="1"/>
      <c r="H728" s="2"/>
      <c r="I728" s="3"/>
      <c r="J728" s="3"/>
      <c r="K728" s="3"/>
      <c r="L728" s="2"/>
      <c r="M728" s="2"/>
      <c r="N728" s="2"/>
      <c r="U728" s="2"/>
      <c r="V728" s="2"/>
      <c r="W728" s="4"/>
    </row>
    <row r="729" ht="15.75" customHeight="1">
      <c r="B729" s="1"/>
      <c r="C729" s="1"/>
      <c r="D729" s="1"/>
      <c r="E729" s="1"/>
      <c r="F729" s="1"/>
      <c r="G729" s="1"/>
      <c r="H729" s="2"/>
      <c r="I729" s="3"/>
      <c r="J729" s="3"/>
      <c r="K729" s="3"/>
      <c r="L729" s="2"/>
      <c r="M729" s="2"/>
      <c r="N729" s="2"/>
      <c r="U729" s="2"/>
      <c r="V729" s="2"/>
      <c r="W729" s="4"/>
    </row>
    <row r="730" ht="15.75" customHeight="1">
      <c r="B730" s="1"/>
      <c r="C730" s="1"/>
      <c r="D730" s="1"/>
      <c r="E730" s="1"/>
      <c r="F730" s="1"/>
      <c r="G730" s="1"/>
      <c r="H730" s="2"/>
      <c r="I730" s="3"/>
      <c r="J730" s="3"/>
      <c r="K730" s="3"/>
      <c r="L730" s="2"/>
      <c r="M730" s="2"/>
      <c r="N730" s="2"/>
      <c r="U730" s="2"/>
      <c r="V730" s="2"/>
      <c r="W730" s="4"/>
    </row>
    <row r="731" ht="15.75" customHeight="1">
      <c r="B731" s="1"/>
      <c r="C731" s="1"/>
      <c r="D731" s="1"/>
      <c r="E731" s="1"/>
      <c r="F731" s="1"/>
      <c r="G731" s="1"/>
      <c r="H731" s="2"/>
      <c r="I731" s="3"/>
      <c r="J731" s="3"/>
      <c r="K731" s="3"/>
      <c r="L731" s="2"/>
      <c r="M731" s="2"/>
      <c r="N731" s="2"/>
      <c r="U731" s="2"/>
      <c r="V731" s="2"/>
      <c r="W731" s="4"/>
    </row>
    <row r="732" ht="15.75" customHeight="1">
      <c r="B732" s="1"/>
      <c r="C732" s="1"/>
      <c r="D732" s="1"/>
      <c r="E732" s="1"/>
      <c r="F732" s="1"/>
      <c r="G732" s="1"/>
      <c r="H732" s="2"/>
      <c r="I732" s="3"/>
      <c r="J732" s="3"/>
      <c r="K732" s="3"/>
      <c r="L732" s="2"/>
      <c r="M732" s="2"/>
      <c r="N732" s="2"/>
      <c r="U732" s="2"/>
      <c r="V732" s="2"/>
      <c r="W732" s="4"/>
    </row>
    <row r="733" ht="15.75" customHeight="1">
      <c r="B733" s="1"/>
      <c r="C733" s="1"/>
      <c r="D733" s="1"/>
      <c r="E733" s="1"/>
      <c r="F733" s="1"/>
      <c r="G733" s="1"/>
      <c r="H733" s="2"/>
      <c r="I733" s="3"/>
      <c r="J733" s="3"/>
      <c r="K733" s="3"/>
      <c r="L733" s="2"/>
      <c r="M733" s="2"/>
      <c r="N733" s="2"/>
      <c r="U733" s="2"/>
      <c r="V733" s="2"/>
      <c r="W733" s="4"/>
    </row>
    <row r="734" ht="15.75" customHeight="1">
      <c r="B734" s="1"/>
      <c r="C734" s="1"/>
      <c r="D734" s="1"/>
      <c r="E734" s="1"/>
      <c r="F734" s="1"/>
      <c r="G734" s="1"/>
      <c r="H734" s="2"/>
      <c r="I734" s="3"/>
      <c r="J734" s="3"/>
      <c r="K734" s="3"/>
      <c r="L734" s="2"/>
      <c r="M734" s="2"/>
      <c r="N734" s="2"/>
      <c r="U734" s="2"/>
      <c r="V734" s="2"/>
      <c r="W734" s="4"/>
    </row>
    <row r="735" ht="15.75" customHeight="1">
      <c r="B735" s="1"/>
      <c r="C735" s="1"/>
      <c r="D735" s="1"/>
      <c r="E735" s="1"/>
      <c r="F735" s="1"/>
      <c r="G735" s="1"/>
      <c r="H735" s="2"/>
      <c r="I735" s="3"/>
      <c r="J735" s="3"/>
      <c r="K735" s="3"/>
      <c r="L735" s="2"/>
      <c r="M735" s="2"/>
      <c r="N735" s="2"/>
      <c r="U735" s="2"/>
      <c r="V735" s="2"/>
      <c r="W735" s="4"/>
    </row>
    <row r="736" ht="15.75" customHeight="1">
      <c r="B736" s="1"/>
      <c r="C736" s="1"/>
      <c r="D736" s="1"/>
      <c r="E736" s="1"/>
      <c r="F736" s="1"/>
      <c r="G736" s="1"/>
      <c r="H736" s="2"/>
      <c r="I736" s="3"/>
      <c r="J736" s="3"/>
      <c r="K736" s="3"/>
      <c r="L736" s="2"/>
      <c r="M736" s="2"/>
      <c r="N736" s="2"/>
      <c r="U736" s="2"/>
      <c r="V736" s="2"/>
      <c r="W736" s="4"/>
    </row>
    <row r="737" ht="15.75" customHeight="1">
      <c r="B737" s="1"/>
      <c r="C737" s="1"/>
      <c r="D737" s="1"/>
      <c r="E737" s="1"/>
      <c r="F737" s="1"/>
      <c r="G737" s="1"/>
      <c r="H737" s="2"/>
      <c r="I737" s="3"/>
      <c r="J737" s="3"/>
      <c r="K737" s="3"/>
      <c r="L737" s="2"/>
      <c r="M737" s="2"/>
      <c r="N737" s="2"/>
      <c r="U737" s="2"/>
      <c r="V737" s="2"/>
      <c r="W737" s="4"/>
    </row>
    <row r="738" ht="15.75" customHeight="1">
      <c r="B738" s="1"/>
      <c r="C738" s="1"/>
      <c r="D738" s="1"/>
      <c r="E738" s="1"/>
      <c r="F738" s="1"/>
      <c r="G738" s="1"/>
      <c r="H738" s="2"/>
      <c r="I738" s="3"/>
      <c r="J738" s="3"/>
      <c r="K738" s="3"/>
      <c r="L738" s="2"/>
      <c r="M738" s="2"/>
      <c r="N738" s="2"/>
      <c r="U738" s="2"/>
      <c r="V738" s="2"/>
      <c r="W738" s="4"/>
    </row>
    <row r="739" ht="15.75" customHeight="1">
      <c r="B739" s="1"/>
      <c r="C739" s="1"/>
      <c r="D739" s="1"/>
      <c r="E739" s="1"/>
      <c r="F739" s="1"/>
      <c r="G739" s="1"/>
      <c r="H739" s="2"/>
      <c r="I739" s="3"/>
      <c r="J739" s="3"/>
      <c r="K739" s="3"/>
      <c r="L739" s="2"/>
      <c r="M739" s="2"/>
      <c r="N739" s="2"/>
      <c r="U739" s="2"/>
      <c r="V739" s="2"/>
      <c r="W739" s="4"/>
    </row>
    <row r="740" ht="15.75" customHeight="1">
      <c r="B740" s="1"/>
      <c r="C740" s="1"/>
      <c r="D740" s="1"/>
      <c r="E740" s="1"/>
      <c r="F740" s="1"/>
      <c r="G740" s="1"/>
      <c r="H740" s="2"/>
      <c r="I740" s="3"/>
      <c r="J740" s="3"/>
      <c r="K740" s="3"/>
      <c r="L740" s="2"/>
      <c r="M740" s="2"/>
      <c r="N740" s="2"/>
      <c r="U740" s="2"/>
      <c r="V740" s="2"/>
      <c r="W740" s="4"/>
    </row>
    <row r="741" ht="15.75" customHeight="1">
      <c r="B741" s="1"/>
      <c r="C741" s="1"/>
      <c r="D741" s="1"/>
      <c r="E741" s="1"/>
      <c r="F741" s="1"/>
      <c r="G741" s="1"/>
      <c r="H741" s="2"/>
      <c r="I741" s="3"/>
      <c r="J741" s="3"/>
      <c r="K741" s="3"/>
      <c r="L741" s="2"/>
      <c r="M741" s="2"/>
      <c r="N741" s="2"/>
      <c r="U741" s="2"/>
      <c r="V741" s="2"/>
      <c r="W741" s="4"/>
    </row>
    <row r="742" ht="15.75" customHeight="1">
      <c r="B742" s="1"/>
      <c r="C742" s="1"/>
      <c r="D742" s="1"/>
      <c r="E742" s="1"/>
      <c r="F742" s="1"/>
      <c r="G742" s="1"/>
      <c r="H742" s="2"/>
      <c r="I742" s="3"/>
      <c r="J742" s="3"/>
      <c r="K742" s="3"/>
      <c r="L742" s="2"/>
      <c r="M742" s="2"/>
      <c r="N742" s="2"/>
      <c r="U742" s="2"/>
      <c r="V742" s="2"/>
      <c r="W742" s="4"/>
    </row>
    <row r="743" ht="15.75" customHeight="1">
      <c r="B743" s="1"/>
      <c r="C743" s="1"/>
      <c r="D743" s="1"/>
      <c r="E743" s="1"/>
      <c r="F743" s="1"/>
      <c r="G743" s="1"/>
      <c r="H743" s="2"/>
      <c r="I743" s="3"/>
      <c r="J743" s="3"/>
      <c r="K743" s="3"/>
      <c r="L743" s="2"/>
      <c r="M743" s="2"/>
      <c r="N743" s="2"/>
      <c r="U743" s="2"/>
      <c r="V743" s="2"/>
      <c r="W743" s="4"/>
    </row>
    <row r="744" ht="15.75" customHeight="1">
      <c r="B744" s="1"/>
      <c r="C744" s="1"/>
      <c r="D744" s="1"/>
      <c r="E744" s="1"/>
      <c r="F744" s="1"/>
      <c r="G744" s="1"/>
      <c r="H744" s="2"/>
      <c r="I744" s="3"/>
      <c r="J744" s="3"/>
      <c r="K744" s="3"/>
      <c r="L744" s="2"/>
      <c r="M744" s="2"/>
      <c r="N744" s="2"/>
      <c r="U744" s="2"/>
      <c r="V744" s="2"/>
      <c r="W744" s="4"/>
    </row>
    <row r="745" ht="15.75" customHeight="1">
      <c r="B745" s="1"/>
      <c r="C745" s="1"/>
      <c r="D745" s="1"/>
      <c r="E745" s="1"/>
      <c r="F745" s="1"/>
      <c r="G745" s="1"/>
      <c r="H745" s="2"/>
      <c r="I745" s="3"/>
      <c r="J745" s="3"/>
      <c r="K745" s="3"/>
      <c r="L745" s="2"/>
      <c r="M745" s="2"/>
      <c r="N745" s="2"/>
      <c r="U745" s="2"/>
      <c r="V745" s="2"/>
      <c r="W745" s="4"/>
    </row>
    <row r="746" ht="15.75" customHeight="1">
      <c r="B746" s="1"/>
      <c r="C746" s="1"/>
      <c r="D746" s="1"/>
      <c r="E746" s="1"/>
      <c r="F746" s="1"/>
      <c r="G746" s="1"/>
      <c r="H746" s="2"/>
      <c r="I746" s="3"/>
      <c r="J746" s="3"/>
      <c r="K746" s="3"/>
      <c r="L746" s="2"/>
      <c r="M746" s="2"/>
      <c r="N746" s="2"/>
      <c r="U746" s="2"/>
      <c r="V746" s="2"/>
      <c r="W746" s="4"/>
    </row>
    <row r="747" ht="15.75" customHeight="1">
      <c r="B747" s="1"/>
      <c r="C747" s="1"/>
      <c r="D747" s="1"/>
      <c r="E747" s="1"/>
      <c r="F747" s="1"/>
      <c r="G747" s="1"/>
      <c r="H747" s="2"/>
      <c r="I747" s="3"/>
      <c r="J747" s="3"/>
      <c r="K747" s="3"/>
      <c r="L747" s="2"/>
      <c r="M747" s="2"/>
      <c r="N747" s="2"/>
      <c r="U747" s="2"/>
      <c r="V747" s="2"/>
      <c r="W747" s="4"/>
    </row>
    <row r="748" ht="15.75" customHeight="1">
      <c r="B748" s="1"/>
      <c r="C748" s="1"/>
      <c r="D748" s="1"/>
      <c r="E748" s="1"/>
      <c r="F748" s="1"/>
      <c r="G748" s="1"/>
      <c r="H748" s="2"/>
      <c r="I748" s="3"/>
      <c r="J748" s="3"/>
      <c r="K748" s="3"/>
      <c r="L748" s="2"/>
      <c r="M748" s="2"/>
      <c r="N748" s="2"/>
      <c r="U748" s="2"/>
      <c r="V748" s="2"/>
      <c r="W748" s="4"/>
    </row>
    <row r="749" ht="15.75" customHeight="1">
      <c r="B749" s="1"/>
      <c r="C749" s="1"/>
      <c r="D749" s="1"/>
      <c r="E749" s="1"/>
      <c r="F749" s="1"/>
      <c r="G749" s="1"/>
      <c r="H749" s="2"/>
      <c r="I749" s="3"/>
      <c r="J749" s="3"/>
      <c r="K749" s="3"/>
      <c r="L749" s="2"/>
      <c r="M749" s="2"/>
      <c r="N749" s="2"/>
      <c r="U749" s="2"/>
      <c r="V749" s="2"/>
      <c r="W749" s="4"/>
    </row>
    <row r="750" ht="15.75" customHeight="1">
      <c r="B750" s="1"/>
      <c r="C750" s="1"/>
      <c r="D750" s="1"/>
      <c r="E750" s="1"/>
      <c r="F750" s="1"/>
      <c r="G750" s="1"/>
      <c r="H750" s="2"/>
      <c r="I750" s="3"/>
      <c r="J750" s="3"/>
      <c r="K750" s="3"/>
      <c r="L750" s="2"/>
      <c r="M750" s="2"/>
      <c r="N750" s="2"/>
      <c r="U750" s="2"/>
      <c r="V750" s="2"/>
      <c r="W750" s="4"/>
    </row>
    <row r="751" ht="15.75" customHeight="1">
      <c r="B751" s="1"/>
      <c r="C751" s="1"/>
      <c r="D751" s="1"/>
      <c r="E751" s="1"/>
      <c r="F751" s="1"/>
      <c r="G751" s="1"/>
      <c r="H751" s="2"/>
      <c r="I751" s="3"/>
      <c r="J751" s="3"/>
      <c r="K751" s="3"/>
      <c r="L751" s="2"/>
      <c r="M751" s="2"/>
      <c r="N751" s="2"/>
      <c r="U751" s="2"/>
      <c r="V751" s="2"/>
      <c r="W751" s="4"/>
    </row>
    <row r="752" ht="15.75" customHeight="1">
      <c r="B752" s="1"/>
      <c r="C752" s="1"/>
      <c r="D752" s="1"/>
      <c r="E752" s="1"/>
      <c r="F752" s="1"/>
      <c r="G752" s="1"/>
      <c r="H752" s="2"/>
      <c r="I752" s="3"/>
      <c r="J752" s="3"/>
      <c r="K752" s="3"/>
      <c r="L752" s="2"/>
      <c r="M752" s="2"/>
      <c r="N752" s="2"/>
      <c r="U752" s="2"/>
      <c r="V752" s="2"/>
      <c r="W752" s="4"/>
    </row>
    <row r="753" ht="15.75" customHeight="1">
      <c r="B753" s="1"/>
      <c r="C753" s="1"/>
      <c r="D753" s="1"/>
      <c r="E753" s="1"/>
      <c r="F753" s="1"/>
      <c r="G753" s="1"/>
      <c r="H753" s="2"/>
      <c r="I753" s="3"/>
      <c r="J753" s="3"/>
      <c r="K753" s="3"/>
      <c r="L753" s="2"/>
      <c r="M753" s="2"/>
      <c r="N753" s="2"/>
      <c r="U753" s="2"/>
      <c r="V753" s="2"/>
      <c r="W753" s="4"/>
    </row>
    <row r="754" ht="15.75" customHeight="1">
      <c r="B754" s="1"/>
      <c r="C754" s="1"/>
      <c r="D754" s="1"/>
      <c r="E754" s="1"/>
      <c r="F754" s="1"/>
      <c r="G754" s="1"/>
      <c r="H754" s="2"/>
      <c r="I754" s="3"/>
      <c r="J754" s="3"/>
      <c r="K754" s="3"/>
      <c r="L754" s="2"/>
      <c r="M754" s="2"/>
      <c r="N754" s="2"/>
      <c r="U754" s="2"/>
      <c r="V754" s="2"/>
      <c r="W754" s="4"/>
    </row>
    <row r="755" ht="15.75" customHeight="1">
      <c r="B755" s="1"/>
      <c r="C755" s="1"/>
      <c r="D755" s="1"/>
      <c r="E755" s="1"/>
      <c r="F755" s="1"/>
      <c r="G755" s="1"/>
      <c r="H755" s="2"/>
      <c r="I755" s="3"/>
      <c r="J755" s="3"/>
      <c r="K755" s="3"/>
      <c r="L755" s="2"/>
      <c r="M755" s="2"/>
      <c r="N755" s="2"/>
      <c r="U755" s="2"/>
      <c r="V755" s="2"/>
      <c r="W755" s="4"/>
    </row>
    <row r="756" ht="15.75" customHeight="1">
      <c r="B756" s="1"/>
      <c r="C756" s="1"/>
      <c r="D756" s="1"/>
      <c r="E756" s="1"/>
      <c r="F756" s="1"/>
      <c r="G756" s="1"/>
      <c r="H756" s="2"/>
      <c r="I756" s="3"/>
      <c r="J756" s="3"/>
      <c r="K756" s="3"/>
      <c r="L756" s="2"/>
      <c r="M756" s="2"/>
      <c r="N756" s="2"/>
      <c r="U756" s="2"/>
      <c r="V756" s="2"/>
      <c r="W756" s="4"/>
    </row>
    <row r="757" ht="15.75" customHeight="1">
      <c r="B757" s="1"/>
      <c r="C757" s="1"/>
      <c r="D757" s="1"/>
      <c r="E757" s="1"/>
      <c r="F757" s="1"/>
      <c r="G757" s="1"/>
      <c r="H757" s="2"/>
      <c r="I757" s="3"/>
      <c r="J757" s="3"/>
      <c r="K757" s="3"/>
      <c r="L757" s="2"/>
      <c r="M757" s="2"/>
      <c r="N757" s="2"/>
      <c r="U757" s="2"/>
      <c r="V757" s="2"/>
      <c r="W757" s="4"/>
    </row>
    <row r="758" ht="15.75" customHeight="1">
      <c r="B758" s="1"/>
      <c r="C758" s="1"/>
      <c r="D758" s="1"/>
      <c r="E758" s="1"/>
      <c r="F758" s="1"/>
      <c r="G758" s="1"/>
      <c r="H758" s="2"/>
      <c r="I758" s="3"/>
      <c r="J758" s="3"/>
      <c r="K758" s="3"/>
      <c r="L758" s="2"/>
      <c r="M758" s="2"/>
      <c r="N758" s="2"/>
      <c r="U758" s="2"/>
      <c r="V758" s="2"/>
      <c r="W758" s="4"/>
    </row>
    <row r="759" ht="15.75" customHeight="1">
      <c r="B759" s="1"/>
      <c r="C759" s="1"/>
      <c r="D759" s="1"/>
      <c r="E759" s="1"/>
      <c r="F759" s="1"/>
      <c r="G759" s="1"/>
      <c r="H759" s="2"/>
      <c r="I759" s="3"/>
      <c r="J759" s="3"/>
      <c r="K759" s="3"/>
      <c r="L759" s="2"/>
      <c r="M759" s="2"/>
      <c r="N759" s="2"/>
      <c r="U759" s="2"/>
      <c r="V759" s="2"/>
      <c r="W759" s="4"/>
    </row>
    <row r="760" ht="15.75" customHeight="1">
      <c r="B760" s="1"/>
      <c r="C760" s="1"/>
      <c r="D760" s="1"/>
      <c r="E760" s="1"/>
      <c r="F760" s="1"/>
      <c r="G760" s="1"/>
      <c r="H760" s="2"/>
      <c r="I760" s="3"/>
      <c r="J760" s="3"/>
      <c r="K760" s="3"/>
      <c r="L760" s="2"/>
      <c r="M760" s="2"/>
      <c r="N760" s="2"/>
      <c r="U760" s="2"/>
      <c r="V760" s="2"/>
      <c r="W760" s="4"/>
    </row>
    <row r="761" ht="15.75" customHeight="1">
      <c r="B761" s="1"/>
      <c r="C761" s="1"/>
      <c r="D761" s="1"/>
      <c r="E761" s="1"/>
      <c r="F761" s="1"/>
      <c r="G761" s="1"/>
      <c r="H761" s="2"/>
      <c r="I761" s="3"/>
      <c r="J761" s="3"/>
      <c r="K761" s="3"/>
      <c r="L761" s="2"/>
      <c r="M761" s="2"/>
      <c r="N761" s="2"/>
      <c r="U761" s="2"/>
      <c r="V761" s="2"/>
      <c r="W761" s="4"/>
    </row>
    <row r="762" ht="15.75" customHeight="1">
      <c r="B762" s="1"/>
      <c r="C762" s="1"/>
      <c r="D762" s="1"/>
      <c r="E762" s="1"/>
      <c r="F762" s="1"/>
      <c r="G762" s="1"/>
      <c r="H762" s="2"/>
      <c r="I762" s="3"/>
      <c r="J762" s="3"/>
      <c r="K762" s="3"/>
      <c r="L762" s="2"/>
      <c r="M762" s="2"/>
      <c r="N762" s="2"/>
      <c r="U762" s="2"/>
      <c r="V762" s="2"/>
      <c r="W762" s="4"/>
    </row>
    <row r="763" ht="15.75" customHeight="1">
      <c r="B763" s="1"/>
      <c r="C763" s="1"/>
      <c r="D763" s="1"/>
      <c r="E763" s="1"/>
      <c r="F763" s="1"/>
      <c r="G763" s="1"/>
      <c r="H763" s="2"/>
      <c r="I763" s="3"/>
      <c r="J763" s="3"/>
      <c r="K763" s="3"/>
      <c r="L763" s="2"/>
      <c r="M763" s="2"/>
      <c r="N763" s="2"/>
      <c r="U763" s="2"/>
      <c r="V763" s="2"/>
      <c r="W763" s="4"/>
    </row>
    <row r="764" ht="15.75" customHeight="1">
      <c r="B764" s="1"/>
      <c r="C764" s="1"/>
      <c r="D764" s="1"/>
      <c r="E764" s="1"/>
      <c r="F764" s="1"/>
      <c r="G764" s="1"/>
      <c r="H764" s="2"/>
      <c r="I764" s="3"/>
      <c r="J764" s="3"/>
      <c r="K764" s="3"/>
      <c r="L764" s="2"/>
      <c r="M764" s="2"/>
      <c r="N764" s="2"/>
      <c r="U764" s="2"/>
      <c r="V764" s="2"/>
      <c r="W764" s="4"/>
    </row>
    <row r="765" ht="15.75" customHeight="1">
      <c r="B765" s="1"/>
      <c r="C765" s="1"/>
      <c r="D765" s="1"/>
      <c r="E765" s="1"/>
      <c r="F765" s="1"/>
      <c r="G765" s="1"/>
      <c r="H765" s="2"/>
      <c r="I765" s="3"/>
      <c r="J765" s="3"/>
      <c r="K765" s="3"/>
      <c r="L765" s="2"/>
      <c r="M765" s="2"/>
      <c r="N765" s="2"/>
      <c r="U765" s="2"/>
      <c r="V765" s="2"/>
      <c r="W765" s="4"/>
    </row>
    <row r="766" ht="15.75" customHeight="1">
      <c r="B766" s="1"/>
      <c r="C766" s="1"/>
      <c r="D766" s="1"/>
      <c r="E766" s="1"/>
      <c r="F766" s="1"/>
      <c r="G766" s="1"/>
      <c r="H766" s="2"/>
      <c r="I766" s="3"/>
      <c r="J766" s="3"/>
      <c r="K766" s="3"/>
      <c r="L766" s="2"/>
      <c r="M766" s="2"/>
      <c r="N766" s="2"/>
      <c r="U766" s="2"/>
      <c r="V766" s="2"/>
      <c r="W766" s="4"/>
    </row>
    <row r="767" ht="15.75" customHeight="1">
      <c r="B767" s="1"/>
      <c r="C767" s="1"/>
      <c r="D767" s="1"/>
      <c r="E767" s="1"/>
      <c r="F767" s="1"/>
      <c r="G767" s="1"/>
      <c r="H767" s="2"/>
      <c r="I767" s="3"/>
      <c r="J767" s="3"/>
      <c r="K767" s="3"/>
      <c r="L767" s="2"/>
      <c r="M767" s="2"/>
      <c r="N767" s="2"/>
      <c r="U767" s="2"/>
      <c r="V767" s="2"/>
      <c r="W767" s="4"/>
    </row>
    <row r="768" ht="15.75" customHeight="1">
      <c r="B768" s="1"/>
      <c r="C768" s="1"/>
      <c r="D768" s="1"/>
      <c r="E768" s="1"/>
      <c r="F768" s="1"/>
      <c r="G768" s="1"/>
      <c r="H768" s="2"/>
      <c r="I768" s="3"/>
      <c r="J768" s="3"/>
      <c r="K768" s="3"/>
      <c r="L768" s="2"/>
      <c r="M768" s="2"/>
      <c r="N768" s="2"/>
      <c r="U768" s="2"/>
      <c r="V768" s="2"/>
      <c r="W768" s="4"/>
    </row>
    <row r="769" ht="15.75" customHeight="1">
      <c r="B769" s="1"/>
      <c r="C769" s="1"/>
      <c r="D769" s="1"/>
      <c r="E769" s="1"/>
      <c r="F769" s="1"/>
      <c r="G769" s="1"/>
      <c r="H769" s="2"/>
      <c r="I769" s="3"/>
      <c r="J769" s="3"/>
      <c r="K769" s="3"/>
      <c r="L769" s="2"/>
      <c r="M769" s="2"/>
      <c r="N769" s="2"/>
      <c r="U769" s="2"/>
      <c r="V769" s="2"/>
      <c r="W769" s="4"/>
    </row>
    <row r="770" ht="15.75" customHeight="1">
      <c r="B770" s="1"/>
      <c r="C770" s="1"/>
      <c r="D770" s="1"/>
      <c r="E770" s="1"/>
      <c r="F770" s="1"/>
      <c r="G770" s="1"/>
      <c r="H770" s="2"/>
      <c r="I770" s="3"/>
      <c r="J770" s="3"/>
      <c r="K770" s="3"/>
      <c r="L770" s="2"/>
      <c r="M770" s="2"/>
      <c r="N770" s="2"/>
      <c r="U770" s="2"/>
      <c r="V770" s="2"/>
      <c r="W770" s="4"/>
    </row>
    <row r="771" ht="15.75" customHeight="1">
      <c r="B771" s="1"/>
      <c r="C771" s="1"/>
      <c r="D771" s="1"/>
      <c r="E771" s="1"/>
      <c r="F771" s="1"/>
      <c r="G771" s="1"/>
      <c r="H771" s="2"/>
      <c r="I771" s="3"/>
      <c r="J771" s="3"/>
      <c r="K771" s="3"/>
      <c r="L771" s="2"/>
      <c r="M771" s="2"/>
      <c r="N771" s="2"/>
      <c r="U771" s="2"/>
      <c r="V771" s="2"/>
      <c r="W771" s="4"/>
    </row>
    <row r="772" ht="15.75" customHeight="1">
      <c r="B772" s="1"/>
      <c r="C772" s="1"/>
      <c r="D772" s="1"/>
      <c r="E772" s="1"/>
      <c r="F772" s="1"/>
      <c r="G772" s="1"/>
      <c r="H772" s="2"/>
      <c r="I772" s="3"/>
      <c r="J772" s="3"/>
      <c r="K772" s="3"/>
      <c r="L772" s="2"/>
      <c r="M772" s="2"/>
      <c r="N772" s="2"/>
      <c r="U772" s="2"/>
      <c r="V772" s="2"/>
      <c r="W772" s="4"/>
    </row>
    <row r="773" ht="15.75" customHeight="1">
      <c r="B773" s="1"/>
      <c r="C773" s="1"/>
      <c r="D773" s="1"/>
      <c r="E773" s="1"/>
      <c r="F773" s="1"/>
      <c r="G773" s="1"/>
      <c r="H773" s="2"/>
      <c r="I773" s="3"/>
      <c r="J773" s="3"/>
      <c r="K773" s="3"/>
      <c r="L773" s="2"/>
      <c r="M773" s="2"/>
      <c r="N773" s="2"/>
      <c r="U773" s="2"/>
      <c r="V773" s="2"/>
      <c r="W773" s="4"/>
    </row>
    <row r="774" ht="15.75" customHeight="1">
      <c r="B774" s="1"/>
      <c r="C774" s="1"/>
      <c r="D774" s="1"/>
      <c r="E774" s="1"/>
      <c r="F774" s="1"/>
      <c r="G774" s="1"/>
      <c r="H774" s="2"/>
      <c r="I774" s="3"/>
      <c r="J774" s="3"/>
      <c r="K774" s="3"/>
      <c r="L774" s="2"/>
      <c r="M774" s="2"/>
      <c r="N774" s="2"/>
      <c r="U774" s="2"/>
      <c r="V774" s="2"/>
      <c r="W774" s="4"/>
    </row>
    <row r="775" ht="15.75" customHeight="1">
      <c r="B775" s="1"/>
      <c r="C775" s="1"/>
      <c r="D775" s="1"/>
      <c r="E775" s="1"/>
      <c r="F775" s="1"/>
      <c r="G775" s="1"/>
      <c r="H775" s="2"/>
      <c r="I775" s="3"/>
      <c r="J775" s="3"/>
      <c r="K775" s="3"/>
      <c r="L775" s="2"/>
      <c r="M775" s="2"/>
      <c r="N775" s="2"/>
      <c r="U775" s="2"/>
      <c r="V775" s="2"/>
      <c r="W775" s="4"/>
    </row>
    <row r="776" ht="15.75" customHeight="1">
      <c r="B776" s="1"/>
      <c r="C776" s="1"/>
      <c r="D776" s="1"/>
      <c r="E776" s="1"/>
      <c r="F776" s="1"/>
      <c r="G776" s="1"/>
      <c r="H776" s="2"/>
      <c r="I776" s="3"/>
      <c r="J776" s="3"/>
      <c r="K776" s="3"/>
      <c r="L776" s="2"/>
      <c r="M776" s="2"/>
      <c r="N776" s="2"/>
      <c r="U776" s="2"/>
      <c r="V776" s="2"/>
      <c r="W776" s="4"/>
    </row>
    <row r="777" ht="15.75" customHeight="1">
      <c r="B777" s="1"/>
      <c r="C777" s="1"/>
      <c r="D777" s="1"/>
      <c r="E777" s="1"/>
      <c r="F777" s="1"/>
      <c r="G777" s="1"/>
      <c r="H777" s="2"/>
      <c r="I777" s="3"/>
      <c r="J777" s="3"/>
      <c r="K777" s="3"/>
      <c r="L777" s="2"/>
      <c r="M777" s="2"/>
      <c r="N777" s="2"/>
      <c r="U777" s="2"/>
      <c r="V777" s="2"/>
      <c r="W777" s="4"/>
    </row>
    <row r="778" ht="15.75" customHeight="1">
      <c r="B778" s="1"/>
      <c r="C778" s="1"/>
      <c r="D778" s="1"/>
      <c r="E778" s="1"/>
      <c r="F778" s="1"/>
      <c r="G778" s="1"/>
      <c r="H778" s="2"/>
      <c r="I778" s="3"/>
      <c r="J778" s="3"/>
      <c r="K778" s="3"/>
      <c r="L778" s="2"/>
      <c r="M778" s="2"/>
      <c r="N778" s="2"/>
      <c r="U778" s="2"/>
      <c r="V778" s="2"/>
      <c r="W778" s="4"/>
    </row>
    <row r="779" ht="15.75" customHeight="1">
      <c r="B779" s="1"/>
      <c r="C779" s="1"/>
      <c r="D779" s="1"/>
      <c r="E779" s="1"/>
      <c r="F779" s="1"/>
      <c r="G779" s="1"/>
      <c r="H779" s="2"/>
      <c r="I779" s="3"/>
      <c r="J779" s="3"/>
      <c r="K779" s="3"/>
      <c r="L779" s="2"/>
      <c r="M779" s="2"/>
      <c r="N779" s="2"/>
      <c r="U779" s="2"/>
      <c r="V779" s="2"/>
      <c r="W779" s="4"/>
    </row>
    <row r="780" ht="15.75" customHeight="1">
      <c r="B780" s="1"/>
      <c r="C780" s="1"/>
      <c r="D780" s="1"/>
      <c r="E780" s="1"/>
      <c r="F780" s="1"/>
      <c r="G780" s="1"/>
      <c r="H780" s="2"/>
      <c r="I780" s="3"/>
      <c r="J780" s="3"/>
      <c r="K780" s="3"/>
      <c r="L780" s="2"/>
      <c r="M780" s="2"/>
      <c r="N780" s="2"/>
      <c r="U780" s="2"/>
      <c r="V780" s="2"/>
      <c r="W780" s="4"/>
    </row>
    <row r="781" ht="15.75" customHeight="1">
      <c r="B781" s="1"/>
      <c r="C781" s="1"/>
      <c r="D781" s="1"/>
      <c r="E781" s="1"/>
      <c r="F781" s="1"/>
      <c r="G781" s="1"/>
      <c r="H781" s="2"/>
      <c r="I781" s="3"/>
      <c r="J781" s="3"/>
      <c r="K781" s="3"/>
      <c r="L781" s="2"/>
      <c r="M781" s="2"/>
      <c r="N781" s="2"/>
      <c r="U781" s="2"/>
      <c r="V781" s="2"/>
      <c r="W781" s="4"/>
    </row>
    <row r="782" ht="15.75" customHeight="1">
      <c r="B782" s="1"/>
      <c r="C782" s="1"/>
      <c r="D782" s="1"/>
      <c r="E782" s="1"/>
      <c r="F782" s="1"/>
      <c r="G782" s="1"/>
      <c r="H782" s="2"/>
      <c r="I782" s="3"/>
      <c r="J782" s="3"/>
      <c r="K782" s="3"/>
      <c r="L782" s="2"/>
      <c r="M782" s="2"/>
      <c r="N782" s="2"/>
      <c r="U782" s="2"/>
      <c r="V782" s="2"/>
      <c r="W782" s="4"/>
    </row>
    <row r="783" ht="15.75" customHeight="1">
      <c r="B783" s="1"/>
      <c r="C783" s="1"/>
      <c r="D783" s="1"/>
      <c r="E783" s="1"/>
      <c r="F783" s="1"/>
      <c r="G783" s="1"/>
      <c r="H783" s="2"/>
      <c r="I783" s="3"/>
      <c r="J783" s="3"/>
      <c r="K783" s="3"/>
      <c r="L783" s="2"/>
      <c r="M783" s="2"/>
      <c r="N783" s="2"/>
      <c r="U783" s="2"/>
      <c r="V783" s="2"/>
      <c r="W783" s="4"/>
    </row>
    <row r="784" ht="15.75" customHeight="1">
      <c r="B784" s="1"/>
      <c r="C784" s="1"/>
      <c r="D784" s="1"/>
      <c r="E784" s="1"/>
      <c r="F784" s="1"/>
      <c r="G784" s="1"/>
      <c r="H784" s="2"/>
      <c r="I784" s="3"/>
      <c r="J784" s="3"/>
      <c r="K784" s="3"/>
      <c r="L784" s="2"/>
      <c r="M784" s="2"/>
      <c r="N784" s="2"/>
      <c r="U784" s="2"/>
      <c r="V784" s="2"/>
      <c r="W784" s="4"/>
    </row>
    <row r="785" ht="15.75" customHeight="1">
      <c r="B785" s="1"/>
      <c r="C785" s="1"/>
      <c r="D785" s="1"/>
      <c r="E785" s="1"/>
      <c r="F785" s="1"/>
      <c r="G785" s="1"/>
      <c r="H785" s="2"/>
      <c r="I785" s="3"/>
      <c r="J785" s="3"/>
      <c r="K785" s="3"/>
      <c r="L785" s="2"/>
      <c r="M785" s="2"/>
      <c r="N785" s="2"/>
      <c r="U785" s="2"/>
      <c r="V785" s="2"/>
      <c r="W785" s="4"/>
    </row>
    <row r="786" ht="15.75" customHeight="1">
      <c r="B786" s="1"/>
      <c r="C786" s="1"/>
      <c r="D786" s="1"/>
      <c r="E786" s="1"/>
      <c r="F786" s="1"/>
      <c r="G786" s="1"/>
      <c r="H786" s="2"/>
      <c r="I786" s="3"/>
      <c r="J786" s="3"/>
      <c r="K786" s="3"/>
      <c r="L786" s="2"/>
      <c r="M786" s="2"/>
      <c r="N786" s="2"/>
      <c r="U786" s="2"/>
      <c r="V786" s="2"/>
      <c r="W786" s="4"/>
    </row>
    <row r="787" ht="15.75" customHeight="1">
      <c r="B787" s="1"/>
      <c r="C787" s="1"/>
      <c r="D787" s="1"/>
      <c r="E787" s="1"/>
      <c r="F787" s="1"/>
      <c r="G787" s="1"/>
      <c r="H787" s="2"/>
      <c r="I787" s="3"/>
      <c r="J787" s="3"/>
      <c r="K787" s="3"/>
      <c r="L787" s="2"/>
      <c r="M787" s="2"/>
      <c r="N787" s="2"/>
      <c r="U787" s="2"/>
      <c r="V787" s="2"/>
      <c r="W787" s="4"/>
    </row>
    <row r="788" ht="15.75" customHeight="1">
      <c r="B788" s="1"/>
      <c r="C788" s="1"/>
      <c r="D788" s="1"/>
      <c r="E788" s="1"/>
      <c r="F788" s="1"/>
      <c r="G788" s="1"/>
      <c r="H788" s="2"/>
      <c r="I788" s="3"/>
      <c r="J788" s="3"/>
      <c r="K788" s="3"/>
      <c r="L788" s="2"/>
      <c r="M788" s="2"/>
      <c r="N788" s="2"/>
      <c r="U788" s="2"/>
      <c r="V788" s="2"/>
      <c r="W788" s="4"/>
    </row>
    <row r="789" ht="15.75" customHeight="1">
      <c r="B789" s="1"/>
      <c r="C789" s="1"/>
      <c r="D789" s="1"/>
      <c r="E789" s="1"/>
      <c r="F789" s="1"/>
      <c r="G789" s="1"/>
      <c r="H789" s="2"/>
      <c r="I789" s="3"/>
      <c r="J789" s="3"/>
      <c r="K789" s="3"/>
      <c r="L789" s="2"/>
      <c r="M789" s="2"/>
      <c r="N789" s="2"/>
      <c r="U789" s="2"/>
      <c r="V789" s="2"/>
      <c r="W789" s="4"/>
    </row>
    <row r="790" ht="15.75" customHeight="1">
      <c r="B790" s="1"/>
      <c r="C790" s="1"/>
      <c r="D790" s="1"/>
      <c r="E790" s="1"/>
      <c r="F790" s="1"/>
      <c r="G790" s="1"/>
      <c r="H790" s="2"/>
      <c r="I790" s="3"/>
      <c r="J790" s="3"/>
      <c r="K790" s="3"/>
      <c r="L790" s="2"/>
      <c r="M790" s="2"/>
      <c r="N790" s="2"/>
      <c r="U790" s="2"/>
      <c r="V790" s="2"/>
      <c r="W790" s="4"/>
    </row>
    <row r="791" ht="15.75" customHeight="1">
      <c r="B791" s="1"/>
      <c r="C791" s="1"/>
      <c r="D791" s="1"/>
      <c r="E791" s="1"/>
      <c r="F791" s="1"/>
      <c r="G791" s="1"/>
      <c r="H791" s="2"/>
      <c r="I791" s="3"/>
      <c r="J791" s="3"/>
      <c r="K791" s="3"/>
      <c r="L791" s="2"/>
      <c r="M791" s="2"/>
      <c r="N791" s="2"/>
      <c r="U791" s="2"/>
      <c r="V791" s="2"/>
      <c r="W791" s="4"/>
    </row>
    <row r="792" ht="15.75" customHeight="1">
      <c r="B792" s="1"/>
      <c r="C792" s="1"/>
      <c r="D792" s="1"/>
      <c r="E792" s="1"/>
      <c r="F792" s="1"/>
      <c r="G792" s="1"/>
      <c r="H792" s="2"/>
      <c r="I792" s="3"/>
      <c r="J792" s="3"/>
      <c r="K792" s="3"/>
      <c r="L792" s="2"/>
      <c r="M792" s="2"/>
      <c r="N792" s="2"/>
      <c r="U792" s="2"/>
      <c r="V792" s="2"/>
      <c r="W792" s="4"/>
    </row>
    <row r="793" ht="15.75" customHeight="1">
      <c r="B793" s="1"/>
      <c r="C793" s="1"/>
      <c r="D793" s="1"/>
      <c r="E793" s="1"/>
      <c r="F793" s="1"/>
      <c r="G793" s="1"/>
      <c r="H793" s="2"/>
      <c r="I793" s="3"/>
      <c r="J793" s="3"/>
      <c r="K793" s="3"/>
      <c r="L793" s="2"/>
      <c r="M793" s="2"/>
      <c r="N793" s="2"/>
      <c r="U793" s="2"/>
      <c r="V793" s="2"/>
      <c r="W793" s="4"/>
    </row>
    <row r="794" ht="15.75" customHeight="1">
      <c r="B794" s="1"/>
      <c r="C794" s="1"/>
      <c r="D794" s="1"/>
      <c r="E794" s="1"/>
      <c r="F794" s="1"/>
      <c r="G794" s="1"/>
      <c r="H794" s="2"/>
      <c r="I794" s="3"/>
      <c r="J794" s="3"/>
      <c r="K794" s="3"/>
      <c r="L794" s="2"/>
      <c r="M794" s="2"/>
      <c r="N794" s="2"/>
      <c r="U794" s="2"/>
      <c r="V794" s="2"/>
      <c r="W794" s="4"/>
    </row>
    <row r="795" ht="15.75" customHeight="1">
      <c r="B795" s="1"/>
      <c r="C795" s="1"/>
      <c r="D795" s="1"/>
      <c r="E795" s="1"/>
      <c r="F795" s="1"/>
      <c r="G795" s="1"/>
      <c r="H795" s="2"/>
      <c r="I795" s="3"/>
      <c r="J795" s="3"/>
      <c r="K795" s="3"/>
      <c r="L795" s="2"/>
      <c r="M795" s="2"/>
      <c r="N795" s="2"/>
      <c r="U795" s="2"/>
      <c r="V795" s="2"/>
      <c r="W795" s="4"/>
    </row>
    <row r="796" ht="15.75" customHeight="1">
      <c r="B796" s="1"/>
      <c r="C796" s="1"/>
      <c r="D796" s="1"/>
      <c r="E796" s="1"/>
      <c r="F796" s="1"/>
      <c r="G796" s="1"/>
      <c r="H796" s="2"/>
      <c r="I796" s="3"/>
      <c r="J796" s="3"/>
      <c r="K796" s="3"/>
      <c r="L796" s="2"/>
      <c r="M796" s="2"/>
      <c r="N796" s="2"/>
      <c r="U796" s="2"/>
      <c r="V796" s="2"/>
      <c r="W796" s="4"/>
    </row>
    <row r="797" ht="15.75" customHeight="1">
      <c r="B797" s="1"/>
      <c r="C797" s="1"/>
      <c r="D797" s="1"/>
      <c r="E797" s="1"/>
      <c r="F797" s="1"/>
      <c r="G797" s="1"/>
      <c r="H797" s="2"/>
      <c r="I797" s="3"/>
      <c r="J797" s="3"/>
      <c r="K797" s="3"/>
      <c r="L797" s="2"/>
      <c r="M797" s="2"/>
      <c r="N797" s="2"/>
      <c r="U797" s="2"/>
      <c r="V797" s="2"/>
      <c r="W797" s="4"/>
    </row>
    <row r="798" ht="15.75" customHeight="1">
      <c r="B798" s="1"/>
      <c r="C798" s="1"/>
      <c r="D798" s="1"/>
      <c r="E798" s="1"/>
      <c r="F798" s="1"/>
      <c r="G798" s="1"/>
      <c r="H798" s="2"/>
      <c r="I798" s="3"/>
      <c r="J798" s="3"/>
      <c r="K798" s="3"/>
      <c r="L798" s="2"/>
      <c r="M798" s="2"/>
      <c r="N798" s="2"/>
      <c r="U798" s="2"/>
      <c r="V798" s="2"/>
      <c r="W798" s="4"/>
    </row>
    <row r="799" ht="15.75" customHeight="1">
      <c r="B799" s="1"/>
      <c r="C799" s="1"/>
      <c r="D799" s="1"/>
      <c r="E799" s="1"/>
      <c r="F799" s="1"/>
      <c r="G799" s="1"/>
      <c r="H799" s="2"/>
      <c r="I799" s="3"/>
      <c r="J799" s="3"/>
      <c r="K799" s="3"/>
      <c r="L799" s="2"/>
      <c r="M799" s="2"/>
      <c r="N799" s="2"/>
      <c r="U799" s="2"/>
      <c r="V799" s="2"/>
      <c r="W799" s="4"/>
    </row>
    <row r="800" ht="15.75" customHeight="1">
      <c r="B800" s="1"/>
      <c r="C800" s="1"/>
      <c r="D800" s="1"/>
      <c r="E800" s="1"/>
      <c r="F800" s="1"/>
      <c r="G800" s="1"/>
      <c r="H800" s="2"/>
      <c r="I800" s="3"/>
      <c r="J800" s="3"/>
      <c r="K800" s="3"/>
      <c r="L800" s="2"/>
      <c r="M800" s="2"/>
      <c r="N800" s="2"/>
      <c r="U800" s="2"/>
      <c r="V800" s="2"/>
      <c r="W800" s="4"/>
    </row>
    <row r="801" ht="15.75" customHeight="1">
      <c r="B801" s="1"/>
      <c r="C801" s="1"/>
      <c r="D801" s="1"/>
      <c r="E801" s="1"/>
      <c r="F801" s="1"/>
      <c r="G801" s="1"/>
      <c r="H801" s="2"/>
      <c r="I801" s="3"/>
      <c r="J801" s="3"/>
      <c r="K801" s="3"/>
      <c r="L801" s="2"/>
      <c r="M801" s="2"/>
      <c r="N801" s="2"/>
      <c r="U801" s="2"/>
      <c r="V801" s="2"/>
      <c r="W801" s="4"/>
    </row>
    <row r="802" ht="15.75" customHeight="1">
      <c r="B802" s="1"/>
      <c r="C802" s="1"/>
      <c r="D802" s="1"/>
      <c r="E802" s="1"/>
      <c r="F802" s="1"/>
      <c r="G802" s="1"/>
      <c r="H802" s="2"/>
      <c r="I802" s="3"/>
      <c r="J802" s="3"/>
      <c r="K802" s="3"/>
      <c r="L802" s="2"/>
      <c r="M802" s="2"/>
      <c r="N802" s="2"/>
      <c r="U802" s="2"/>
      <c r="V802" s="2"/>
      <c r="W802" s="4"/>
    </row>
    <row r="803" ht="15.75" customHeight="1">
      <c r="B803" s="1"/>
      <c r="C803" s="1"/>
      <c r="D803" s="1"/>
      <c r="E803" s="1"/>
      <c r="F803" s="1"/>
      <c r="G803" s="1"/>
      <c r="H803" s="2"/>
      <c r="I803" s="3"/>
      <c r="J803" s="3"/>
      <c r="K803" s="3"/>
      <c r="L803" s="2"/>
      <c r="M803" s="2"/>
      <c r="N803" s="2"/>
      <c r="U803" s="2"/>
      <c r="V803" s="2"/>
      <c r="W803" s="4"/>
    </row>
    <row r="804" ht="15.75" customHeight="1">
      <c r="B804" s="1"/>
      <c r="C804" s="1"/>
      <c r="D804" s="1"/>
      <c r="E804" s="1"/>
      <c r="F804" s="1"/>
      <c r="G804" s="1"/>
      <c r="H804" s="2"/>
      <c r="I804" s="3"/>
      <c r="J804" s="3"/>
      <c r="K804" s="3"/>
      <c r="L804" s="2"/>
      <c r="M804" s="2"/>
      <c r="N804" s="2"/>
      <c r="U804" s="2"/>
      <c r="V804" s="2"/>
      <c r="W804" s="4"/>
    </row>
    <row r="805" ht="15.75" customHeight="1">
      <c r="B805" s="1"/>
      <c r="C805" s="1"/>
      <c r="D805" s="1"/>
      <c r="E805" s="1"/>
      <c r="F805" s="1"/>
      <c r="G805" s="1"/>
      <c r="H805" s="2"/>
      <c r="I805" s="3"/>
      <c r="J805" s="3"/>
      <c r="K805" s="3"/>
      <c r="L805" s="2"/>
      <c r="M805" s="2"/>
      <c r="N805" s="2"/>
      <c r="U805" s="2"/>
      <c r="V805" s="2"/>
      <c r="W805" s="4"/>
    </row>
    <row r="806" ht="15.75" customHeight="1">
      <c r="B806" s="1"/>
      <c r="C806" s="1"/>
      <c r="D806" s="1"/>
      <c r="E806" s="1"/>
      <c r="F806" s="1"/>
      <c r="G806" s="1"/>
      <c r="H806" s="2"/>
      <c r="I806" s="3"/>
      <c r="J806" s="3"/>
      <c r="K806" s="3"/>
      <c r="L806" s="2"/>
      <c r="M806" s="2"/>
      <c r="N806" s="2"/>
      <c r="U806" s="2"/>
      <c r="V806" s="2"/>
      <c r="W806" s="4"/>
    </row>
    <row r="807" ht="15.75" customHeight="1">
      <c r="B807" s="1"/>
      <c r="C807" s="1"/>
      <c r="D807" s="1"/>
      <c r="E807" s="1"/>
      <c r="F807" s="1"/>
      <c r="G807" s="1"/>
      <c r="H807" s="2"/>
      <c r="I807" s="3"/>
      <c r="J807" s="3"/>
      <c r="K807" s="3"/>
      <c r="L807" s="2"/>
      <c r="M807" s="2"/>
      <c r="N807" s="2"/>
      <c r="U807" s="2"/>
      <c r="V807" s="2"/>
      <c r="W807" s="4"/>
    </row>
    <row r="808" ht="15.75" customHeight="1">
      <c r="B808" s="1"/>
      <c r="C808" s="1"/>
      <c r="D808" s="1"/>
      <c r="E808" s="1"/>
      <c r="F808" s="1"/>
      <c r="G808" s="1"/>
      <c r="H808" s="2"/>
      <c r="I808" s="3"/>
      <c r="J808" s="3"/>
      <c r="K808" s="3"/>
      <c r="L808" s="2"/>
      <c r="M808" s="2"/>
      <c r="N808" s="2"/>
      <c r="U808" s="2"/>
      <c r="V808" s="2"/>
      <c r="W808" s="4"/>
    </row>
    <row r="809" ht="15.75" customHeight="1">
      <c r="B809" s="1"/>
      <c r="C809" s="1"/>
      <c r="D809" s="1"/>
      <c r="E809" s="1"/>
      <c r="F809" s="1"/>
      <c r="G809" s="1"/>
      <c r="H809" s="2"/>
      <c r="I809" s="3"/>
      <c r="J809" s="3"/>
      <c r="K809" s="3"/>
      <c r="L809" s="2"/>
      <c r="M809" s="2"/>
      <c r="N809" s="2"/>
      <c r="U809" s="2"/>
      <c r="V809" s="2"/>
      <c r="W809" s="4"/>
    </row>
    <row r="810" ht="15.75" customHeight="1">
      <c r="B810" s="1"/>
      <c r="C810" s="1"/>
      <c r="D810" s="1"/>
      <c r="E810" s="1"/>
      <c r="F810" s="1"/>
      <c r="G810" s="1"/>
      <c r="H810" s="2"/>
      <c r="I810" s="3"/>
      <c r="J810" s="3"/>
      <c r="K810" s="3"/>
      <c r="L810" s="2"/>
      <c r="M810" s="2"/>
      <c r="N810" s="2"/>
      <c r="U810" s="2"/>
      <c r="V810" s="2"/>
      <c r="W810" s="4"/>
    </row>
    <row r="811" ht="15.75" customHeight="1">
      <c r="B811" s="1"/>
      <c r="C811" s="1"/>
      <c r="D811" s="1"/>
      <c r="E811" s="1"/>
      <c r="F811" s="1"/>
      <c r="G811" s="1"/>
      <c r="H811" s="2"/>
      <c r="I811" s="3"/>
      <c r="J811" s="3"/>
      <c r="K811" s="3"/>
      <c r="L811" s="2"/>
      <c r="M811" s="2"/>
      <c r="N811" s="2"/>
      <c r="U811" s="2"/>
      <c r="V811" s="2"/>
      <c r="W811" s="4"/>
    </row>
    <row r="812" ht="15.75" customHeight="1">
      <c r="B812" s="1"/>
      <c r="C812" s="1"/>
      <c r="D812" s="1"/>
      <c r="E812" s="1"/>
      <c r="F812" s="1"/>
      <c r="G812" s="1"/>
      <c r="H812" s="2"/>
      <c r="I812" s="3"/>
      <c r="J812" s="3"/>
      <c r="K812" s="3"/>
      <c r="L812" s="2"/>
      <c r="M812" s="2"/>
      <c r="N812" s="2"/>
      <c r="U812" s="2"/>
      <c r="V812" s="2"/>
      <c r="W812" s="4"/>
    </row>
    <row r="813" ht="15.75" customHeight="1">
      <c r="B813" s="1"/>
      <c r="C813" s="1"/>
      <c r="D813" s="1"/>
      <c r="E813" s="1"/>
      <c r="F813" s="1"/>
      <c r="G813" s="1"/>
      <c r="H813" s="2"/>
      <c r="I813" s="3"/>
      <c r="J813" s="3"/>
      <c r="K813" s="3"/>
      <c r="L813" s="2"/>
      <c r="M813" s="2"/>
      <c r="N813" s="2"/>
      <c r="U813" s="2"/>
      <c r="V813" s="2"/>
      <c r="W813" s="4"/>
    </row>
    <row r="814" ht="15.75" customHeight="1">
      <c r="B814" s="1"/>
      <c r="C814" s="1"/>
      <c r="D814" s="1"/>
      <c r="E814" s="1"/>
      <c r="F814" s="1"/>
      <c r="G814" s="1"/>
      <c r="H814" s="2"/>
      <c r="I814" s="3"/>
      <c r="J814" s="3"/>
      <c r="K814" s="3"/>
      <c r="L814" s="2"/>
      <c r="M814" s="2"/>
      <c r="N814" s="2"/>
      <c r="U814" s="2"/>
      <c r="V814" s="2"/>
      <c r="W814" s="4"/>
    </row>
    <row r="815" ht="15.75" customHeight="1">
      <c r="B815" s="1"/>
      <c r="C815" s="1"/>
      <c r="D815" s="1"/>
      <c r="E815" s="1"/>
      <c r="F815" s="1"/>
      <c r="G815" s="1"/>
      <c r="H815" s="2"/>
      <c r="I815" s="3"/>
      <c r="J815" s="3"/>
      <c r="K815" s="3"/>
      <c r="L815" s="2"/>
      <c r="M815" s="2"/>
      <c r="N815" s="2"/>
      <c r="U815" s="2"/>
      <c r="V815" s="2"/>
      <c r="W815" s="4"/>
    </row>
    <row r="816" ht="15.75" customHeight="1">
      <c r="B816" s="1"/>
      <c r="C816" s="1"/>
      <c r="D816" s="1"/>
      <c r="E816" s="1"/>
      <c r="F816" s="1"/>
      <c r="G816" s="1"/>
      <c r="H816" s="2"/>
      <c r="I816" s="3"/>
      <c r="J816" s="3"/>
      <c r="K816" s="3"/>
      <c r="L816" s="2"/>
      <c r="M816" s="2"/>
      <c r="N816" s="2"/>
      <c r="U816" s="2"/>
      <c r="V816" s="2"/>
      <c r="W816" s="4"/>
    </row>
    <row r="817" ht="15.75" customHeight="1">
      <c r="B817" s="1"/>
      <c r="C817" s="1"/>
      <c r="D817" s="1"/>
      <c r="E817" s="1"/>
      <c r="F817" s="1"/>
      <c r="G817" s="1"/>
      <c r="H817" s="2"/>
      <c r="I817" s="3"/>
      <c r="J817" s="3"/>
      <c r="K817" s="3"/>
      <c r="L817" s="2"/>
      <c r="M817" s="2"/>
      <c r="N817" s="2"/>
      <c r="U817" s="2"/>
      <c r="V817" s="2"/>
      <c r="W817" s="4"/>
    </row>
    <row r="818" ht="15.75" customHeight="1">
      <c r="B818" s="1"/>
      <c r="C818" s="1"/>
      <c r="D818" s="1"/>
      <c r="E818" s="1"/>
      <c r="F818" s="1"/>
      <c r="G818" s="1"/>
      <c r="H818" s="2"/>
      <c r="I818" s="3"/>
      <c r="J818" s="3"/>
      <c r="K818" s="3"/>
      <c r="L818" s="2"/>
      <c r="M818" s="2"/>
      <c r="N818" s="2"/>
      <c r="U818" s="2"/>
      <c r="V818" s="2"/>
      <c r="W818" s="4"/>
    </row>
    <row r="819" ht="15.75" customHeight="1">
      <c r="B819" s="1"/>
      <c r="C819" s="1"/>
      <c r="D819" s="1"/>
      <c r="E819" s="1"/>
      <c r="F819" s="1"/>
      <c r="G819" s="1"/>
      <c r="H819" s="2"/>
      <c r="I819" s="3"/>
      <c r="J819" s="3"/>
      <c r="K819" s="3"/>
      <c r="L819" s="2"/>
      <c r="M819" s="2"/>
      <c r="N819" s="2"/>
      <c r="U819" s="2"/>
      <c r="V819" s="2"/>
      <c r="W819" s="4"/>
    </row>
    <row r="820" ht="15.75" customHeight="1">
      <c r="B820" s="1"/>
      <c r="C820" s="1"/>
      <c r="D820" s="1"/>
      <c r="E820" s="1"/>
      <c r="F820" s="1"/>
      <c r="G820" s="1"/>
      <c r="H820" s="2"/>
      <c r="I820" s="3"/>
      <c r="J820" s="3"/>
      <c r="K820" s="3"/>
      <c r="L820" s="2"/>
      <c r="M820" s="2"/>
      <c r="N820" s="2"/>
      <c r="U820" s="2"/>
      <c r="V820" s="2"/>
      <c r="W820" s="4"/>
    </row>
    <row r="821" ht="15.75" customHeight="1">
      <c r="B821" s="1"/>
      <c r="C821" s="1"/>
      <c r="D821" s="1"/>
      <c r="E821" s="1"/>
      <c r="F821" s="1"/>
      <c r="G821" s="1"/>
      <c r="H821" s="2"/>
      <c r="I821" s="3"/>
      <c r="J821" s="3"/>
      <c r="K821" s="3"/>
      <c r="L821" s="2"/>
      <c r="M821" s="2"/>
      <c r="N821" s="2"/>
      <c r="U821" s="2"/>
      <c r="V821" s="2"/>
      <c r="W821" s="4"/>
    </row>
    <row r="822" ht="15.75" customHeight="1">
      <c r="B822" s="1"/>
      <c r="C822" s="1"/>
      <c r="D822" s="1"/>
      <c r="E822" s="1"/>
      <c r="F822" s="1"/>
      <c r="G822" s="1"/>
      <c r="H822" s="2"/>
      <c r="I822" s="3"/>
      <c r="J822" s="3"/>
      <c r="K822" s="3"/>
      <c r="L822" s="2"/>
      <c r="M822" s="2"/>
      <c r="N822" s="2"/>
      <c r="U822" s="2"/>
      <c r="V822" s="2"/>
      <c r="W822" s="4"/>
    </row>
    <row r="823" ht="15.75" customHeight="1">
      <c r="B823" s="1"/>
      <c r="C823" s="1"/>
      <c r="D823" s="1"/>
      <c r="E823" s="1"/>
      <c r="F823" s="1"/>
      <c r="G823" s="1"/>
      <c r="H823" s="2"/>
      <c r="I823" s="3"/>
      <c r="J823" s="3"/>
      <c r="K823" s="3"/>
      <c r="L823" s="2"/>
      <c r="M823" s="2"/>
      <c r="N823" s="2"/>
      <c r="U823" s="2"/>
      <c r="V823" s="2"/>
      <c r="W823" s="4"/>
    </row>
    <row r="824" ht="15.75" customHeight="1">
      <c r="B824" s="1"/>
      <c r="C824" s="1"/>
      <c r="D824" s="1"/>
      <c r="E824" s="1"/>
      <c r="F824" s="1"/>
      <c r="G824" s="1"/>
      <c r="H824" s="2"/>
      <c r="I824" s="3"/>
      <c r="J824" s="3"/>
      <c r="K824" s="3"/>
      <c r="L824" s="2"/>
      <c r="M824" s="2"/>
      <c r="N824" s="2"/>
      <c r="U824" s="2"/>
      <c r="V824" s="2"/>
      <c r="W824" s="4"/>
    </row>
    <row r="825" ht="15.75" customHeight="1">
      <c r="B825" s="1"/>
      <c r="C825" s="1"/>
      <c r="D825" s="1"/>
      <c r="E825" s="1"/>
      <c r="F825" s="1"/>
      <c r="G825" s="1"/>
      <c r="H825" s="2"/>
      <c r="I825" s="3"/>
      <c r="J825" s="3"/>
      <c r="K825" s="3"/>
      <c r="L825" s="2"/>
      <c r="M825" s="2"/>
      <c r="N825" s="2"/>
      <c r="U825" s="2"/>
      <c r="V825" s="2"/>
      <c r="W825" s="4"/>
    </row>
    <row r="826" ht="15.75" customHeight="1">
      <c r="B826" s="1"/>
      <c r="C826" s="1"/>
      <c r="D826" s="1"/>
      <c r="E826" s="1"/>
      <c r="F826" s="1"/>
      <c r="G826" s="1"/>
      <c r="H826" s="2"/>
      <c r="I826" s="3"/>
      <c r="J826" s="3"/>
      <c r="K826" s="3"/>
      <c r="L826" s="2"/>
      <c r="M826" s="2"/>
      <c r="N826" s="2"/>
      <c r="U826" s="2"/>
      <c r="V826" s="2"/>
      <c r="W826" s="4"/>
    </row>
    <row r="827" ht="15.75" customHeight="1">
      <c r="B827" s="1"/>
      <c r="C827" s="1"/>
      <c r="D827" s="1"/>
      <c r="E827" s="1"/>
      <c r="F827" s="1"/>
      <c r="G827" s="1"/>
      <c r="H827" s="2"/>
      <c r="I827" s="3"/>
      <c r="J827" s="3"/>
      <c r="K827" s="3"/>
      <c r="L827" s="2"/>
      <c r="M827" s="2"/>
      <c r="N827" s="2"/>
      <c r="U827" s="2"/>
      <c r="V827" s="2"/>
      <c r="W827" s="4"/>
    </row>
    <row r="828" ht="15.75" customHeight="1">
      <c r="B828" s="1"/>
      <c r="C828" s="1"/>
      <c r="D828" s="1"/>
      <c r="E828" s="1"/>
      <c r="F828" s="1"/>
      <c r="G828" s="1"/>
      <c r="H828" s="2"/>
      <c r="I828" s="3"/>
      <c r="J828" s="3"/>
      <c r="K828" s="3"/>
      <c r="L828" s="2"/>
      <c r="M828" s="2"/>
      <c r="N828" s="2"/>
      <c r="U828" s="2"/>
      <c r="V828" s="2"/>
      <c r="W828" s="4"/>
    </row>
    <row r="829" ht="15.75" customHeight="1">
      <c r="B829" s="1"/>
      <c r="C829" s="1"/>
      <c r="D829" s="1"/>
      <c r="E829" s="1"/>
      <c r="F829" s="1"/>
      <c r="G829" s="1"/>
      <c r="H829" s="2"/>
      <c r="I829" s="3"/>
      <c r="J829" s="3"/>
      <c r="K829" s="3"/>
      <c r="L829" s="2"/>
      <c r="M829" s="2"/>
      <c r="N829" s="2"/>
      <c r="U829" s="2"/>
      <c r="V829" s="2"/>
      <c r="W829" s="4"/>
    </row>
    <row r="830" ht="15.75" customHeight="1">
      <c r="B830" s="1"/>
      <c r="C830" s="1"/>
      <c r="D830" s="1"/>
      <c r="E830" s="1"/>
      <c r="F830" s="1"/>
      <c r="G830" s="1"/>
      <c r="H830" s="2"/>
      <c r="I830" s="3"/>
      <c r="J830" s="3"/>
      <c r="K830" s="3"/>
      <c r="L830" s="2"/>
      <c r="M830" s="2"/>
      <c r="N830" s="2"/>
      <c r="U830" s="2"/>
      <c r="V830" s="2"/>
      <c r="W830" s="4"/>
    </row>
    <row r="831" ht="15.75" customHeight="1">
      <c r="B831" s="1"/>
      <c r="C831" s="1"/>
      <c r="D831" s="1"/>
      <c r="E831" s="1"/>
      <c r="F831" s="1"/>
      <c r="G831" s="1"/>
      <c r="H831" s="2"/>
      <c r="I831" s="3"/>
      <c r="J831" s="3"/>
      <c r="K831" s="3"/>
      <c r="L831" s="2"/>
      <c r="M831" s="2"/>
      <c r="N831" s="2"/>
      <c r="U831" s="2"/>
      <c r="V831" s="2"/>
      <c r="W831" s="4"/>
    </row>
    <row r="832" ht="15.75" customHeight="1">
      <c r="B832" s="1"/>
      <c r="C832" s="1"/>
      <c r="D832" s="1"/>
      <c r="E832" s="1"/>
      <c r="F832" s="1"/>
      <c r="G832" s="1"/>
      <c r="H832" s="2"/>
      <c r="I832" s="3"/>
      <c r="J832" s="3"/>
      <c r="K832" s="3"/>
      <c r="L832" s="2"/>
      <c r="M832" s="2"/>
      <c r="N832" s="2"/>
      <c r="U832" s="2"/>
      <c r="V832" s="2"/>
      <c r="W832" s="4"/>
    </row>
    <row r="833" ht="15.75" customHeight="1">
      <c r="B833" s="1"/>
      <c r="C833" s="1"/>
      <c r="D833" s="1"/>
      <c r="E833" s="1"/>
      <c r="F833" s="1"/>
      <c r="G833" s="1"/>
      <c r="H833" s="2"/>
      <c r="I833" s="3"/>
      <c r="J833" s="3"/>
      <c r="K833" s="3"/>
      <c r="L833" s="2"/>
      <c r="M833" s="2"/>
      <c r="N833" s="2"/>
      <c r="U833" s="2"/>
      <c r="V833" s="2"/>
      <c r="W833" s="4"/>
    </row>
    <row r="834" ht="15.75" customHeight="1">
      <c r="B834" s="1"/>
      <c r="C834" s="1"/>
      <c r="D834" s="1"/>
      <c r="E834" s="1"/>
      <c r="F834" s="1"/>
      <c r="G834" s="1"/>
      <c r="H834" s="2"/>
      <c r="I834" s="3"/>
      <c r="J834" s="3"/>
      <c r="K834" s="3"/>
      <c r="L834" s="2"/>
      <c r="M834" s="2"/>
      <c r="N834" s="2"/>
      <c r="U834" s="2"/>
      <c r="V834" s="2"/>
      <c r="W834" s="4"/>
    </row>
    <row r="835" ht="15.75" customHeight="1">
      <c r="B835" s="1"/>
      <c r="C835" s="1"/>
      <c r="D835" s="1"/>
      <c r="E835" s="1"/>
      <c r="F835" s="1"/>
      <c r="G835" s="1"/>
      <c r="H835" s="2"/>
      <c r="I835" s="3"/>
      <c r="J835" s="3"/>
      <c r="K835" s="3"/>
      <c r="L835" s="2"/>
      <c r="M835" s="2"/>
      <c r="N835" s="2"/>
      <c r="U835" s="2"/>
      <c r="V835" s="2"/>
      <c r="W835" s="4"/>
    </row>
    <row r="836" ht="15.75" customHeight="1">
      <c r="B836" s="1"/>
      <c r="C836" s="1"/>
      <c r="D836" s="1"/>
      <c r="E836" s="1"/>
      <c r="F836" s="1"/>
      <c r="G836" s="1"/>
      <c r="H836" s="2"/>
      <c r="I836" s="3"/>
      <c r="J836" s="3"/>
      <c r="K836" s="3"/>
      <c r="L836" s="2"/>
      <c r="M836" s="2"/>
      <c r="N836" s="2"/>
      <c r="U836" s="2"/>
      <c r="V836" s="2"/>
      <c r="W836" s="4"/>
    </row>
    <row r="837" ht="15.75" customHeight="1">
      <c r="B837" s="1"/>
      <c r="C837" s="1"/>
      <c r="D837" s="1"/>
      <c r="E837" s="1"/>
      <c r="F837" s="1"/>
      <c r="G837" s="1"/>
      <c r="H837" s="2"/>
      <c r="I837" s="3"/>
      <c r="J837" s="3"/>
      <c r="K837" s="3"/>
      <c r="L837" s="2"/>
      <c r="M837" s="2"/>
      <c r="N837" s="2"/>
      <c r="U837" s="2"/>
      <c r="V837" s="2"/>
      <c r="W837" s="4"/>
    </row>
    <row r="838" ht="15.75" customHeight="1">
      <c r="B838" s="1"/>
      <c r="C838" s="1"/>
      <c r="D838" s="1"/>
      <c r="E838" s="1"/>
      <c r="F838" s="1"/>
      <c r="G838" s="1"/>
      <c r="H838" s="2"/>
      <c r="I838" s="3"/>
      <c r="J838" s="3"/>
      <c r="K838" s="3"/>
      <c r="L838" s="2"/>
      <c r="M838" s="2"/>
      <c r="N838" s="2"/>
      <c r="U838" s="2"/>
      <c r="V838" s="2"/>
      <c r="W838" s="4"/>
    </row>
    <row r="839" ht="15.75" customHeight="1">
      <c r="B839" s="1"/>
      <c r="C839" s="1"/>
      <c r="D839" s="1"/>
      <c r="E839" s="1"/>
      <c r="F839" s="1"/>
      <c r="G839" s="1"/>
      <c r="H839" s="2"/>
      <c r="I839" s="3"/>
      <c r="J839" s="3"/>
      <c r="K839" s="3"/>
      <c r="L839" s="2"/>
      <c r="M839" s="2"/>
      <c r="N839" s="2"/>
      <c r="U839" s="2"/>
      <c r="V839" s="2"/>
      <c r="W839" s="4"/>
    </row>
    <row r="840" ht="15.75" customHeight="1">
      <c r="B840" s="1"/>
      <c r="C840" s="1"/>
      <c r="D840" s="1"/>
      <c r="E840" s="1"/>
      <c r="F840" s="1"/>
      <c r="G840" s="1"/>
      <c r="H840" s="2"/>
      <c r="I840" s="3"/>
      <c r="J840" s="3"/>
      <c r="K840" s="3"/>
      <c r="L840" s="2"/>
      <c r="M840" s="2"/>
      <c r="N840" s="2"/>
      <c r="U840" s="2"/>
      <c r="V840" s="2"/>
      <c r="W840" s="4"/>
    </row>
    <row r="841" ht="15.75" customHeight="1">
      <c r="B841" s="1"/>
      <c r="C841" s="1"/>
      <c r="D841" s="1"/>
      <c r="E841" s="1"/>
      <c r="F841" s="1"/>
      <c r="G841" s="1"/>
      <c r="H841" s="2"/>
      <c r="I841" s="3"/>
      <c r="J841" s="3"/>
      <c r="K841" s="3"/>
      <c r="L841" s="2"/>
      <c r="M841" s="2"/>
      <c r="N841" s="2"/>
      <c r="U841" s="2"/>
      <c r="V841" s="2"/>
      <c r="W841" s="4"/>
    </row>
    <row r="842" ht="15.75" customHeight="1">
      <c r="B842" s="1"/>
      <c r="C842" s="1"/>
      <c r="D842" s="1"/>
      <c r="E842" s="1"/>
      <c r="F842" s="1"/>
      <c r="G842" s="1"/>
      <c r="H842" s="2"/>
      <c r="I842" s="3"/>
      <c r="J842" s="3"/>
      <c r="K842" s="3"/>
      <c r="L842" s="2"/>
      <c r="M842" s="2"/>
      <c r="N842" s="2"/>
      <c r="U842" s="2"/>
      <c r="V842" s="2"/>
      <c r="W842" s="4"/>
    </row>
    <row r="843" ht="15.75" customHeight="1">
      <c r="B843" s="1"/>
      <c r="C843" s="1"/>
      <c r="D843" s="1"/>
      <c r="E843" s="1"/>
      <c r="F843" s="1"/>
      <c r="G843" s="1"/>
      <c r="H843" s="2"/>
      <c r="I843" s="3"/>
      <c r="J843" s="3"/>
      <c r="K843" s="3"/>
      <c r="L843" s="2"/>
      <c r="M843" s="2"/>
      <c r="N843" s="2"/>
      <c r="U843" s="2"/>
      <c r="V843" s="2"/>
      <c r="W843" s="4"/>
    </row>
    <row r="844" ht="15.75" customHeight="1">
      <c r="B844" s="1"/>
      <c r="C844" s="1"/>
      <c r="D844" s="1"/>
      <c r="E844" s="1"/>
      <c r="F844" s="1"/>
      <c r="G844" s="1"/>
      <c r="H844" s="2"/>
      <c r="I844" s="3"/>
      <c r="J844" s="3"/>
      <c r="K844" s="3"/>
      <c r="L844" s="2"/>
      <c r="M844" s="2"/>
      <c r="N844" s="2"/>
      <c r="U844" s="2"/>
      <c r="V844" s="2"/>
      <c r="W844" s="4"/>
    </row>
    <row r="845" ht="15.75" customHeight="1">
      <c r="B845" s="1"/>
      <c r="C845" s="1"/>
      <c r="D845" s="1"/>
      <c r="E845" s="1"/>
      <c r="F845" s="1"/>
      <c r="G845" s="1"/>
      <c r="H845" s="2"/>
      <c r="I845" s="3"/>
      <c r="J845" s="3"/>
      <c r="K845" s="3"/>
      <c r="L845" s="2"/>
      <c r="M845" s="2"/>
      <c r="N845" s="2"/>
      <c r="U845" s="2"/>
      <c r="V845" s="2"/>
      <c r="W845" s="4"/>
    </row>
    <row r="846" ht="15.75" customHeight="1">
      <c r="B846" s="1"/>
      <c r="C846" s="1"/>
      <c r="D846" s="1"/>
      <c r="E846" s="1"/>
      <c r="F846" s="1"/>
      <c r="G846" s="1"/>
      <c r="H846" s="2"/>
      <c r="I846" s="3"/>
      <c r="J846" s="3"/>
      <c r="K846" s="3"/>
      <c r="L846" s="2"/>
      <c r="M846" s="2"/>
      <c r="N846" s="2"/>
      <c r="U846" s="2"/>
      <c r="V846" s="2"/>
      <c r="W846" s="4"/>
    </row>
    <row r="847" ht="15.75" customHeight="1">
      <c r="B847" s="1"/>
      <c r="C847" s="1"/>
      <c r="D847" s="1"/>
      <c r="E847" s="1"/>
      <c r="F847" s="1"/>
      <c r="G847" s="1"/>
      <c r="H847" s="2"/>
      <c r="I847" s="3"/>
      <c r="J847" s="3"/>
      <c r="K847" s="3"/>
      <c r="L847" s="2"/>
      <c r="M847" s="2"/>
      <c r="N847" s="2"/>
      <c r="U847" s="2"/>
      <c r="V847" s="2"/>
      <c r="W847" s="4"/>
    </row>
    <row r="848" ht="15.75" customHeight="1">
      <c r="B848" s="1"/>
      <c r="C848" s="1"/>
      <c r="D848" s="1"/>
      <c r="E848" s="1"/>
      <c r="F848" s="1"/>
      <c r="G848" s="1"/>
      <c r="H848" s="2"/>
      <c r="I848" s="3"/>
      <c r="J848" s="3"/>
      <c r="K848" s="3"/>
      <c r="L848" s="2"/>
      <c r="M848" s="2"/>
      <c r="N848" s="2"/>
      <c r="U848" s="2"/>
      <c r="V848" s="2"/>
      <c r="W848" s="4"/>
    </row>
    <row r="849" ht="15.75" customHeight="1">
      <c r="B849" s="1"/>
      <c r="C849" s="1"/>
      <c r="D849" s="1"/>
      <c r="E849" s="1"/>
      <c r="F849" s="1"/>
      <c r="G849" s="1"/>
      <c r="H849" s="2"/>
      <c r="I849" s="3"/>
      <c r="J849" s="3"/>
      <c r="K849" s="3"/>
      <c r="L849" s="2"/>
      <c r="M849" s="2"/>
      <c r="N849" s="2"/>
      <c r="U849" s="2"/>
      <c r="V849" s="2"/>
      <c r="W849" s="4"/>
    </row>
    <row r="850" ht="15.75" customHeight="1">
      <c r="B850" s="1"/>
      <c r="C850" s="1"/>
      <c r="D850" s="1"/>
      <c r="E850" s="1"/>
      <c r="F850" s="1"/>
      <c r="G850" s="1"/>
      <c r="H850" s="2"/>
      <c r="I850" s="3"/>
      <c r="J850" s="3"/>
      <c r="K850" s="3"/>
      <c r="L850" s="2"/>
      <c r="M850" s="2"/>
      <c r="N850" s="2"/>
      <c r="U850" s="2"/>
      <c r="V850" s="2"/>
      <c r="W850" s="4"/>
    </row>
    <row r="851" ht="15.75" customHeight="1">
      <c r="B851" s="1"/>
      <c r="C851" s="1"/>
      <c r="D851" s="1"/>
      <c r="E851" s="1"/>
      <c r="F851" s="1"/>
      <c r="G851" s="1"/>
      <c r="H851" s="2"/>
      <c r="I851" s="3"/>
      <c r="J851" s="3"/>
      <c r="K851" s="3"/>
      <c r="L851" s="2"/>
      <c r="M851" s="2"/>
      <c r="N851" s="2"/>
      <c r="U851" s="2"/>
      <c r="V851" s="2"/>
      <c r="W851" s="4"/>
    </row>
    <row r="852" ht="15.75" customHeight="1">
      <c r="B852" s="1"/>
      <c r="C852" s="1"/>
      <c r="D852" s="1"/>
      <c r="E852" s="1"/>
      <c r="F852" s="1"/>
      <c r="G852" s="1"/>
      <c r="H852" s="2"/>
      <c r="I852" s="3"/>
      <c r="J852" s="3"/>
      <c r="K852" s="3"/>
      <c r="L852" s="2"/>
      <c r="M852" s="2"/>
      <c r="N852" s="2"/>
      <c r="U852" s="2"/>
      <c r="V852" s="2"/>
      <c r="W852" s="4"/>
    </row>
    <row r="853" ht="15.75" customHeight="1">
      <c r="B853" s="1"/>
      <c r="C853" s="1"/>
      <c r="D853" s="1"/>
      <c r="E853" s="1"/>
      <c r="F853" s="1"/>
      <c r="G853" s="1"/>
      <c r="H853" s="2"/>
      <c r="I853" s="3"/>
      <c r="J853" s="3"/>
      <c r="K853" s="3"/>
      <c r="L853" s="2"/>
      <c r="M853" s="2"/>
      <c r="N853" s="2"/>
      <c r="U853" s="2"/>
      <c r="V853" s="2"/>
      <c r="W853" s="4"/>
    </row>
    <row r="854" ht="15.75" customHeight="1">
      <c r="B854" s="1"/>
      <c r="C854" s="1"/>
      <c r="D854" s="1"/>
      <c r="E854" s="1"/>
      <c r="F854" s="1"/>
      <c r="G854" s="1"/>
      <c r="H854" s="2"/>
      <c r="I854" s="3"/>
      <c r="J854" s="3"/>
      <c r="K854" s="3"/>
      <c r="L854" s="2"/>
      <c r="M854" s="2"/>
      <c r="N854" s="2"/>
      <c r="U854" s="2"/>
      <c r="V854" s="2"/>
      <c r="W854" s="4"/>
    </row>
    <row r="855" ht="15.75" customHeight="1">
      <c r="B855" s="1"/>
      <c r="C855" s="1"/>
      <c r="D855" s="1"/>
      <c r="E855" s="1"/>
      <c r="F855" s="1"/>
      <c r="G855" s="1"/>
      <c r="H855" s="2"/>
      <c r="I855" s="3"/>
      <c r="J855" s="3"/>
      <c r="K855" s="3"/>
      <c r="L855" s="2"/>
      <c r="M855" s="2"/>
      <c r="N855" s="2"/>
      <c r="U855" s="2"/>
      <c r="V855" s="2"/>
      <c r="W855" s="4"/>
    </row>
    <row r="856" ht="15.75" customHeight="1">
      <c r="B856" s="1"/>
      <c r="C856" s="1"/>
      <c r="D856" s="1"/>
      <c r="E856" s="1"/>
      <c r="F856" s="1"/>
      <c r="G856" s="1"/>
      <c r="H856" s="2"/>
      <c r="I856" s="3"/>
      <c r="J856" s="3"/>
      <c r="K856" s="3"/>
      <c r="L856" s="2"/>
      <c r="M856" s="2"/>
      <c r="N856" s="2"/>
      <c r="U856" s="2"/>
      <c r="V856" s="2"/>
      <c r="W856" s="4"/>
    </row>
    <row r="857" ht="15.75" customHeight="1">
      <c r="B857" s="1"/>
      <c r="C857" s="1"/>
      <c r="D857" s="1"/>
      <c r="E857" s="1"/>
      <c r="F857" s="1"/>
      <c r="G857" s="1"/>
      <c r="H857" s="2"/>
      <c r="I857" s="3"/>
      <c r="J857" s="3"/>
      <c r="K857" s="3"/>
      <c r="L857" s="2"/>
      <c r="M857" s="2"/>
      <c r="N857" s="2"/>
      <c r="U857" s="2"/>
      <c r="V857" s="2"/>
      <c r="W857" s="4"/>
    </row>
    <row r="858" ht="15.75" customHeight="1">
      <c r="B858" s="1"/>
      <c r="C858" s="1"/>
      <c r="D858" s="1"/>
      <c r="E858" s="1"/>
      <c r="F858" s="1"/>
      <c r="G858" s="1"/>
      <c r="H858" s="2"/>
      <c r="I858" s="3"/>
      <c r="J858" s="3"/>
      <c r="K858" s="3"/>
      <c r="L858" s="2"/>
      <c r="M858" s="2"/>
      <c r="N858" s="2"/>
      <c r="U858" s="2"/>
      <c r="V858" s="2"/>
      <c r="W858" s="4"/>
    </row>
    <row r="859" ht="15.75" customHeight="1">
      <c r="B859" s="1"/>
      <c r="C859" s="1"/>
      <c r="D859" s="1"/>
      <c r="E859" s="1"/>
      <c r="F859" s="1"/>
      <c r="G859" s="1"/>
      <c r="H859" s="2"/>
      <c r="I859" s="3"/>
      <c r="J859" s="3"/>
      <c r="K859" s="3"/>
      <c r="L859" s="2"/>
      <c r="M859" s="2"/>
      <c r="N859" s="2"/>
      <c r="U859" s="2"/>
      <c r="V859" s="2"/>
      <c r="W859" s="4"/>
    </row>
    <row r="860" ht="15.75" customHeight="1">
      <c r="B860" s="1"/>
      <c r="C860" s="1"/>
      <c r="D860" s="1"/>
      <c r="E860" s="1"/>
      <c r="F860" s="1"/>
      <c r="G860" s="1"/>
      <c r="H860" s="2"/>
      <c r="I860" s="3"/>
      <c r="J860" s="3"/>
      <c r="K860" s="3"/>
      <c r="L860" s="2"/>
      <c r="M860" s="2"/>
      <c r="N860" s="2"/>
      <c r="U860" s="2"/>
      <c r="V860" s="2"/>
      <c r="W860" s="4"/>
    </row>
    <row r="861" ht="15.75" customHeight="1">
      <c r="B861" s="1"/>
      <c r="C861" s="1"/>
      <c r="D861" s="1"/>
      <c r="E861" s="1"/>
      <c r="F861" s="1"/>
      <c r="G861" s="1"/>
      <c r="H861" s="2"/>
      <c r="I861" s="3"/>
      <c r="J861" s="3"/>
      <c r="K861" s="3"/>
      <c r="L861" s="2"/>
      <c r="M861" s="2"/>
      <c r="N861" s="2"/>
      <c r="U861" s="2"/>
      <c r="V861" s="2"/>
      <c r="W861" s="4"/>
    </row>
    <row r="862" ht="15.75" customHeight="1">
      <c r="B862" s="1"/>
      <c r="C862" s="1"/>
      <c r="D862" s="1"/>
      <c r="E862" s="1"/>
      <c r="F862" s="1"/>
      <c r="G862" s="1"/>
      <c r="H862" s="2"/>
      <c r="I862" s="3"/>
      <c r="J862" s="3"/>
      <c r="K862" s="3"/>
      <c r="L862" s="2"/>
      <c r="M862" s="2"/>
      <c r="N862" s="2"/>
      <c r="U862" s="2"/>
      <c r="V862" s="2"/>
      <c r="W862" s="4"/>
    </row>
    <row r="863" ht="15.75" customHeight="1">
      <c r="B863" s="1"/>
      <c r="C863" s="1"/>
      <c r="D863" s="1"/>
      <c r="E863" s="1"/>
      <c r="F863" s="1"/>
      <c r="G863" s="1"/>
      <c r="H863" s="2"/>
      <c r="I863" s="3"/>
      <c r="J863" s="3"/>
      <c r="K863" s="3"/>
      <c r="L863" s="2"/>
      <c r="M863" s="2"/>
      <c r="N863" s="2"/>
      <c r="U863" s="2"/>
      <c r="V863" s="2"/>
      <c r="W863" s="4"/>
    </row>
    <row r="864" ht="15.75" customHeight="1">
      <c r="B864" s="1"/>
      <c r="C864" s="1"/>
      <c r="D864" s="1"/>
      <c r="E864" s="1"/>
      <c r="F864" s="1"/>
      <c r="G864" s="1"/>
      <c r="H864" s="2"/>
      <c r="I864" s="3"/>
      <c r="J864" s="3"/>
      <c r="K864" s="3"/>
      <c r="L864" s="2"/>
      <c r="M864" s="2"/>
      <c r="N864" s="2"/>
      <c r="U864" s="2"/>
      <c r="V864" s="2"/>
      <c r="W864" s="4"/>
    </row>
    <row r="865" ht="15.75" customHeight="1">
      <c r="B865" s="1"/>
      <c r="C865" s="1"/>
      <c r="D865" s="1"/>
      <c r="E865" s="1"/>
      <c r="F865" s="1"/>
      <c r="G865" s="1"/>
      <c r="H865" s="2"/>
      <c r="I865" s="3"/>
      <c r="J865" s="3"/>
      <c r="K865" s="3"/>
      <c r="L865" s="2"/>
      <c r="M865" s="2"/>
      <c r="N865" s="2"/>
      <c r="U865" s="2"/>
      <c r="V865" s="2"/>
      <c r="W865" s="4"/>
    </row>
    <row r="866" ht="15.75" customHeight="1">
      <c r="B866" s="1"/>
      <c r="C866" s="1"/>
      <c r="D866" s="1"/>
      <c r="E866" s="1"/>
      <c r="F866" s="1"/>
      <c r="G866" s="1"/>
      <c r="H866" s="2"/>
      <c r="I866" s="3"/>
      <c r="J866" s="3"/>
      <c r="K866" s="3"/>
      <c r="L866" s="2"/>
      <c r="M866" s="2"/>
      <c r="N866" s="2"/>
      <c r="U866" s="2"/>
      <c r="V866" s="2"/>
      <c r="W866" s="4"/>
    </row>
    <row r="867" ht="15.75" customHeight="1">
      <c r="B867" s="1"/>
      <c r="C867" s="1"/>
      <c r="D867" s="1"/>
      <c r="E867" s="1"/>
      <c r="F867" s="1"/>
      <c r="G867" s="1"/>
      <c r="H867" s="2"/>
      <c r="I867" s="3"/>
      <c r="J867" s="3"/>
      <c r="K867" s="3"/>
      <c r="L867" s="2"/>
      <c r="M867" s="2"/>
      <c r="N867" s="2"/>
      <c r="U867" s="2"/>
      <c r="V867" s="2"/>
      <c r="W867" s="4"/>
    </row>
    <row r="868" ht="15.75" customHeight="1">
      <c r="B868" s="1"/>
      <c r="C868" s="1"/>
      <c r="D868" s="1"/>
      <c r="E868" s="1"/>
      <c r="F868" s="1"/>
      <c r="G868" s="1"/>
      <c r="H868" s="2"/>
      <c r="I868" s="3"/>
      <c r="J868" s="3"/>
      <c r="K868" s="3"/>
      <c r="L868" s="2"/>
      <c r="M868" s="2"/>
      <c r="N868" s="2"/>
      <c r="U868" s="2"/>
      <c r="V868" s="2"/>
      <c r="W868" s="4"/>
    </row>
    <row r="869" ht="15.75" customHeight="1">
      <c r="B869" s="1"/>
      <c r="C869" s="1"/>
      <c r="D869" s="1"/>
      <c r="E869" s="1"/>
      <c r="F869" s="1"/>
      <c r="G869" s="1"/>
      <c r="H869" s="2"/>
      <c r="I869" s="3"/>
      <c r="J869" s="3"/>
      <c r="K869" s="3"/>
      <c r="L869" s="2"/>
      <c r="M869" s="2"/>
      <c r="N869" s="2"/>
      <c r="U869" s="2"/>
      <c r="V869" s="2"/>
      <c r="W869" s="4"/>
    </row>
    <row r="870" ht="15.75" customHeight="1">
      <c r="B870" s="1"/>
      <c r="C870" s="1"/>
      <c r="D870" s="1"/>
      <c r="E870" s="1"/>
      <c r="F870" s="1"/>
      <c r="G870" s="1"/>
      <c r="H870" s="2"/>
      <c r="I870" s="3"/>
      <c r="J870" s="3"/>
      <c r="K870" s="3"/>
      <c r="L870" s="2"/>
      <c r="M870" s="2"/>
      <c r="N870" s="2"/>
      <c r="U870" s="2"/>
      <c r="V870" s="2"/>
      <c r="W870" s="4"/>
    </row>
    <row r="871" ht="15.75" customHeight="1">
      <c r="B871" s="1"/>
      <c r="C871" s="1"/>
      <c r="D871" s="1"/>
      <c r="E871" s="1"/>
      <c r="F871" s="1"/>
      <c r="G871" s="1"/>
      <c r="H871" s="2"/>
      <c r="I871" s="3"/>
      <c r="J871" s="3"/>
      <c r="K871" s="3"/>
      <c r="L871" s="2"/>
      <c r="M871" s="2"/>
      <c r="N871" s="2"/>
      <c r="U871" s="2"/>
      <c r="V871" s="2"/>
      <c r="W871" s="4"/>
    </row>
    <row r="872" ht="15.75" customHeight="1">
      <c r="B872" s="1"/>
      <c r="C872" s="1"/>
      <c r="D872" s="1"/>
      <c r="E872" s="1"/>
      <c r="F872" s="1"/>
      <c r="G872" s="1"/>
      <c r="H872" s="2"/>
      <c r="I872" s="3"/>
      <c r="J872" s="3"/>
      <c r="K872" s="3"/>
      <c r="L872" s="2"/>
      <c r="M872" s="2"/>
      <c r="N872" s="2"/>
      <c r="U872" s="2"/>
      <c r="V872" s="2"/>
      <c r="W872" s="4"/>
    </row>
    <row r="873" ht="15.75" customHeight="1">
      <c r="B873" s="1"/>
      <c r="C873" s="1"/>
      <c r="D873" s="1"/>
      <c r="E873" s="1"/>
      <c r="F873" s="1"/>
      <c r="G873" s="1"/>
      <c r="H873" s="2"/>
      <c r="I873" s="3"/>
      <c r="J873" s="3"/>
      <c r="K873" s="3"/>
      <c r="L873" s="2"/>
      <c r="M873" s="2"/>
      <c r="N873" s="2"/>
      <c r="U873" s="2"/>
      <c r="V873" s="2"/>
      <c r="W873" s="4"/>
    </row>
    <row r="874" ht="15.75" customHeight="1">
      <c r="B874" s="1"/>
      <c r="C874" s="1"/>
      <c r="D874" s="1"/>
      <c r="E874" s="1"/>
      <c r="F874" s="1"/>
      <c r="G874" s="1"/>
      <c r="H874" s="2"/>
      <c r="I874" s="3"/>
      <c r="J874" s="3"/>
      <c r="K874" s="3"/>
      <c r="L874" s="2"/>
      <c r="M874" s="2"/>
      <c r="N874" s="2"/>
      <c r="U874" s="2"/>
      <c r="V874" s="2"/>
      <c r="W874" s="4"/>
    </row>
    <row r="875" ht="15.75" customHeight="1">
      <c r="B875" s="1"/>
      <c r="C875" s="1"/>
      <c r="D875" s="1"/>
      <c r="E875" s="1"/>
      <c r="F875" s="1"/>
      <c r="G875" s="1"/>
      <c r="H875" s="2"/>
      <c r="I875" s="3"/>
      <c r="J875" s="3"/>
      <c r="K875" s="3"/>
      <c r="L875" s="2"/>
      <c r="M875" s="2"/>
      <c r="N875" s="2"/>
      <c r="U875" s="2"/>
      <c r="V875" s="2"/>
      <c r="W875" s="4"/>
    </row>
    <row r="876" ht="15.75" customHeight="1">
      <c r="B876" s="1"/>
      <c r="C876" s="1"/>
      <c r="D876" s="1"/>
      <c r="E876" s="1"/>
      <c r="F876" s="1"/>
      <c r="G876" s="1"/>
      <c r="H876" s="2"/>
      <c r="I876" s="3"/>
      <c r="J876" s="3"/>
      <c r="K876" s="3"/>
      <c r="L876" s="2"/>
      <c r="M876" s="2"/>
      <c r="N876" s="2"/>
      <c r="U876" s="2"/>
      <c r="V876" s="2"/>
      <c r="W876" s="4"/>
    </row>
    <row r="877" ht="15.75" customHeight="1">
      <c r="B877" s="1"/>
      <c r="C877" s="1"/>
      <c r="D877" s="1"/>
      <c r="E877" s="1"/>
      <c r="F877" s="1"/>
      <c r="G877" s="1"/>
      <c r="H877" s="2"/>
      <c r="I877" s="3"/>
      <c r="J877" s="3"/>
      <c r="K877" s="3"/>
      <c r="L877" s="2"/>
      <c r="M877" s="2"/>
      <c r="N877" s="2"/>
      <c r="U877" s="2"/>
      <c r="V877" s="2"/>
      <c r="W877" s="4"/>
    </row>
    <row r="878" ht="15.75" customHeight="1">
      <c r="B878" s="1"/>
      <c r="C878" s="1"/>
      <c r="D878" s="1"/>
      <c r="E878" s="1"/>
      <c r="F878" s="1"/>
      <c r="G878" s="1"/>
      <c r="H878" s="2"/>
      <c r="I878" s="3"/>
      <c r="J878" s="3"/>
      <c r="K878" s="3"/>
      <c r="L878" s="2"/>
      <c r="M878" s="2"/>
      <c r="N878" s="2"/>
      <c r="U878" s="2"/>
      <c r="V878" s="2"/>
      <c r="W878" s="4"/>
    </row>
    <row r="879" ht="15.75" customHeight="1">
      <c r="B879" s="1"/>
      <c r="C879" s="1"/>
      <c r="D879" s="1"/>
      <c r="E879" s="1"/>
      <c r="F879" s="1"/>
      <c r="G879" s="1"/>
      <c r="H879" s="2"/>
      <c r="I879" s="3"/>
      <c r="J879" s="3"/>
      <c r="K879" s="3"/>
      <c r="L879" s="2"/>
      <c r="M879" s="2"/>
      <c r="N879" s="2"/>
      <c r="U879" s="2"/>
      <c r="V879" s="2"/>
      <c r="W879" s="4"/>
    </row>
    <row r="880" ht="15.75" customHeight="1">
      <c r="B880" s="1"/>
      <c r="C880" s="1"/>
      <c r="D880" s="1"/>
      <c r="E880" s="1"/>
      <c r="F880" s="1"/>
      <c r="G880" s="1"/>
      <c r="H880" s="2"/>
      <c r="I880" s="3"/>
      <c r="J880" s="3"/>
      <c r="K880" s="3"/>
      <c r="L880" s="2"/>
      <c r="M880" s="2"/>
      <c r="N880" s="2"/>
      <c r="U880" s="2"/>
      <c r="V880" s="2"/>
      <c r="W880" s="4"/>
    </row>
    <row r="881" ht="15.75" customHeight="1">
      <c r="B881" s="1"/>
      <c r="C881" s="1"/>
      <c r="D881" s="1"/>
      <c r="E881" s="1"/>
      <c r="F881" s="1"/>
      <c r="G881" s="1"/>
      <c r="H881" s="2"/>
      <c r="I881" s="3"/>
      <c r="J881" s="3"/>
      <c r="K881" s="3"/>
      <c r="L881" s="2"/>
      <c r="M881" s="2"/>
      <c r="N881" s="2"/>
      <c r="U881" s="2"/>
      <c r="V881" s="2"/>
      <c r="W881" s="4"/>
    </row>
    <row r="882" ht="15.75" customHeight="1">
      <c r="B882" s="1"/>
      <c r="C882" s="1"/>
      <c r="D882" s="1"/>
      <c r="E882" s="1"/>
      <c r="F882" s="1"/>
      <c r="G882" s="1"/>
      <c r="H882" s="2"/>
      <c r="I882" s="3"/>
      <c r="J882" s="3"/>
      <c r="K882" s="3"/>
      <c r="L882" s="2"/>
      <c r="M882" s="2"/>
      <c r="N882" s="2"/>
      <c r="U882" s="2"/>
      <c r="V882" s="2"/>
      <c r="W882" s="4"/>
    </row>
    <row r="883" ht="15.75" customHeight="1">
      <c r="B883" s="1"/>
      <c r="C883" s="1"/>
      <c r="D883" s="1"/>
      <c r="E883" s="1"/>
      <c r="F883" s="1"/>
      <c r="G883" s="1"/>
      <c r="H883" s="2"/>
      <c r="I883" s="3"/>
      <c r="J883" s="3"/>
      <c r="K883" s="3"/>
      <c r="L883" s="2"/>
      <c r="M883" s="2"/>
      <c r="N883" s="2"/>
      <c r="U883" s="2"/>
      <c r="V883" s="2"/>
      <c r="W883" s="4"/>
    </row>
    <row r="884" ht="15.75" customHeight="1">
      <c r="B884" s="1"/>
      <c r="C884" s="1"/>
      <c r="D884" s="1"/>
      <c r="E884" s="1"/>
      <c r="F884" s="1"/>
      <c r="G884" s="1"/>
      <c r="H884" s="2"/>
      <c r="I884" s="3"/>
      <c r="J884" s="3"/>
      <c r="K884" s="3"/>
      <c r="L884" s="2"/>
      <c r="M884" s="2"/>
      <c r="N884" s="2"/>
      <c r="U884" s="2"/>
      <c r="V884" s="2"/>
      <c r="W884" s="4"/>
    </row>
    <row r="885" ht="15.75" customHeight="1">
      <c r="B885" s="1"/>
      <c r="C885" s="1"/>
      <c r="D885" s="1"/>
      <c r="E885" s="1"/>
      <c r="F885" s="1"/>
      <c r="G885" s="1"/>
      <c r="H885" s="2"/>
      <c r="I885" s="3"/>
      <c r="J885" s="3"/>
      <c r="K885" s="3"/>
      <c r="L885" s="2"/>
      <c r="M885" s="2"/>
      <c r="N885" s="2"/>
      <c r="U885" s="2"/>
      <c r="V885" s="2"/>
      <c r="W885" s="4"/>
    </row>
    <row r="886" ht="15.75" customHeight="1">
      <c r="B886" s="1"/>
      <c r="C886" s="1"/>
      <c r="D886" s="1"/>
      <c r="E886" s="1"/>
      <c r="F886" s="1"/>
      <c r="G886" s="1"/>
      <c r="H886" s="2"/>
      <c r="I886" s="3"/>
      <c r="J886" s="3"/>
      <c r="K886" s="3"/>
      <c r="L886" s="2"/>
      <c r="M886" s="2"/>
      <c r="N886" s="2"/>
      <c r="U886" s="2"/>
      <c r="V886" s="2"/>
      <c r="W886" s="4"/>
    </row>
    <row r="887" ht="15.75" customHeight="1">
      <c r="B887" s="1"/>
      <c r="C887" s="1"/>
      <c r="D887" s="1"/>
      <c r="E887" s="1"/>
      <c r="F887" s="1"/>
      <c r="G887" s="1"/>
      <c r="H887" s="2"/>
      <c r="I887" s="3"/>
      <c r="J887" s="3"/>
      <c r="K887" s="3"/>
      <c r="L887" s="2"/>
      <c r="M887" s="2"/>
      <c r="N887" s="2"/>
      <c r="U887" s="2"/>
      <c r="V887" s="2"/>
      <c r="W887" s="4"/>
    </row>
    <row r="888" ht="15.75" customHeight="1">
      <c r="B888" s="1"/>
      <c r="C888" s="1"/>
      <c r="D888" s="1"/>
      <c r="E888" s="1"/>
      <c r="F888" s="1"/>
      <c r="G888" s="1"/>
      <c r="H888" s="2"/>
      <c r="I888" s="3"/>
      <c r="J888" s="3"/>
      <c r="K888" s="3"/>
      <c r="L888" s="2"/>
      <c r="M888" s="2"/>
      <c r="N888" s="2"/>
      <c r="U888" s="2"/>
      <c r="V888" s="2"/>
      <c r="W888" s="4"/>
    </row>
    <row r="889" ht="15.75" customHeight="1">
      <c r="B889" s="1"/>
      <c r="C889" s="1"/>
      <c r="D889" s="1"/>
      <c r="E889" s="1"/>
      <c r="F889" s="1"/>
      <c r="G889" s="1"/>
      <c r="H889" s="2"/>
      <c r="I889" s="3"/>
      <c r="J889" s="3"/>
      <c r="K889" s="3"/>
      <c r="L889" s="2"/>
      <c r="M889" s="2"/>
      <c r="N889" s="2"/>
      <c r="U889" s="2"/>
      <c r="V889" s="2"/>
      <c r="W889" s="4"/>
    </row>
    <row r="890" ht="15.75" customHeight="1">
      <c r="B890" s="1"/>
      <c r="C890" s="1"/>
      <c r="D890" s="1"/>
      <c r="E890" s="1"/>
      <c r="F890" s="1"/>
      <c r="G890" s="1"/>
      <c r="H890" s="2"/>
      <c r="I890" s="3"/>
      <c r="J890" s="3"/>
      <c r="K890" s="3"/>
      <c r="L890" s="2"/>
      <c r="M890" s="2"/>
      <c r="N890" s="2"/>
      <c r="U890" s="2"/>
      <c r="V890" s="2"/>
      <c r="W890" s="4"/>
    </row>
    <row r="891" ht="15.75" customHeight="1">
      <c r="B891" s="1"/>
      <c r="C891" s="1"/>
      <c r="D891" s="1"/>
      <c r="E891" s="1"/>
      <c r="F891" s="1"/>
      <c r="G891" s="1"/>
      <c r="H891" s="2"/>
      <c r="I891" s="3"/>
      <c r="J891" s="3"/>
      <c r="K891" s="3"/>
      <c r="L891" s="2"/>
      <c r="M891" s="2"/>
      <c r="N891" s="2"/>
      <c r="U891" s="2"/>
      <c r="V891" s="2"/>
      <c r="W891" s="4"/>
    </row>
    <row r="892" ht="15.75" customHeight="1">
      <c r="B892" s="1"/>
      <c r="C892" s="1"/>
      <c r="D892" s="1"/>
      <c r="E892" s="1"/>
      <c r="F892" s="1"/>
      <c r="G892" s="1"/>
      <c r="H892" s="2"/>
      <c r="I892" s="3"/>
      <c r="J892" s="3"/>
      <c r="K892" s="3"/>
      <c r="L892" s="2"/>
      <c r="M892" s="2"/>
      <c r="N892" s="2"/>
      <c r="U892" s="2"/>
      <c r="V892" s="2"/>
      <c r="W892" s="4"/>
    </row>
    <row r="893" ht="15.75" customHeight="1">
      <c r="B893" s="1"/>
      <c r="C893" s="1"/>
      <c r="D893" s="1"/>
      <c r="E893" s="1"/>
      <c r="F893" s="1"/>
      <c r="G893" s="1"/>
      <c r="H893" s="2"/>
      <c r="I893" s="3"/>
      <c r="J893" s="3"/>
      <c r="K893" s="3"/>
      <c r="L893" s="2"/>
      <c r="M893" s="2"/>
      <c r="N893" s="2"/>
      <c r="U893" s="2"/>
      <c r="V893" s="2"/>
      <c r="W893" s="4"/>
    </row>
    <row r="894" ht="15.75" customHeight="1">
      <c r="B894" s="1"/>
      <c r="C894" s="1"/>
      <c r="D894" s="1"/>
      <c r="E894" s="1"/>
      <c r="F894" s="1"/>
      <c r="G894" s="1"/>
      <c r="H894" s="2"/>
      <c r="I894" s="3"/>
      <c r="J894" s="3"/>
      <c r="K894" s="3"/>
      <c r="L894" s="2"/>
      <c r="M894" s="2"/>
      <c r="N894" s="2"/>
      <c r="U894" s="2"/>
      <c r="V894" s="2"/>
      <c r="W894" s="4"/>
    </row>
    <row r="895" ht="15.75" customHeight="1">
      <c r="B895" s="1"/>
      <c r="C895" s="1"/>
      <c r="D895" s="1"/>
      <c r="E895" s="1"/>
      <c r="F895" s="1"/>
      <c r="G895" s="1"/>
      <c r="H895" s="2"/>
      <c r="I895" s="3"/>
      <c r="J895" s="3"/>
      <c r="K895" s="3"/>
      <c r="L895" s="2"/>
      <c r="M895" s="2"/>
      <c r="N895" s="2"/>
      <c r="U895" s="2"/>
      <c r="V895" s="2"/>
      <c r="W895" s="4"/>
    </row>
    <row r="896" ht="15.75" customHeight="1">
      <c r="B896" s="1"/>
      <c r="C896" s="1"/>
      <c r="D896" s="1"/>
      <c r="E896" s="1"/>
      <c r="F896" s="1"/>
      <c r="G896" s="1"/>
      <c r="H896" s="2"/>
      <c r="I896" s="3"/>
      <c r="J896" s="3"/>
      <c r="K896" s="3"/>
      <c r="L896" s="2"/>
      <c r="M896" s="2"/>
      <c r="N896" s="2"/>
      <c r="U896" s="2"/>
      <c r="V896" s="2"/>
      <c r="W896" s="4"/>
    </row>
    <row r="897" ht="15.75" customHeight="1">
      <c r="B897" s="1"/>
      <c r="C897" s="1"/>
      <c r="D897" s="1"/>
      <c r="E897" s="1"/>
      <c r="F897" s="1"/>
      <c r="G897" s="1"/>
      <c r="H897" s="2"/>
      <c r="I897" s="3"/>
      <c r="J897" s="3"/>
      <c r="K897" s="3"/>
      <c r="L897" s="2"/>
      <c r="M897" s="2"/>
      <c r="N897" s="2"/>
      <c r="U897" s="2"/>
      <c r="V897" s="2"/>
      <c r="W897" s="4"/>
    </row>
    <row r="898" ht="15.75" customHeight="1">
      <c r="B898" s="1"/>
      <c r="C898" s="1"/>
      <c r="D898" s="1"/>
      <c r="E898" s="1"/>
      <c r="F898" s="1"/>
      <c r="G898" s="1"/>
      <c r="H898" s="2"/>
      <c r="I898" s="3"/>
      <c r="J898" s="3"/>
      <c r="K898" s="3"/>
      <c r="L898" s="2"/>
      <c r="M898" s="2"/>
      <c r="N898" s="2"/>
      <c r="U898" s="2"/>
      <c r="V898" s="2"/>
      <c r="W898" s="4"/>
    </row>
    <row r="899" ht="15.75" customHeight="1">
      <c r="B899" s="1"/>
      <c r="C899" s="1"/>
      <c r="D899" s="1"/>
      <c r="E899" s="1"/>
      <c r="F899" s="1"/>
      <c r="G899" s="1"/>
      <c r="H899" s="2"/>
      <c r="I899" s="3"/>
      <c r="J899" s="3"/>
      <c r="K899" s="3"/>
      <c r="L899" s="2"/>
      <c r="M899" s="2"/>
      <c r="N899" s="2"/>
      <c r="U899" s="2"/>
      <c r="V899" s="2"/>
      <c r="W899" s="4"/>
    </row>
    <row r="900" ht="15.75" customHeight="1">
      <c r="B900" s="1"/>
      <c r="C900" s="1"/>
      <c r="D900" s="1"/>
      <c r="E900" s="1"/>
      <c r="F900" s="1"/>
      <c r="G900" s="1"/>
      <c r="H900" s="2"/>
      <c r="I900" s="3"/>
      <c r="J900" s="3"/>
      <c r="K900" s="3"/>
      <c r="L900" s="2"/>
      <c r="M900" s="2"/>
      <c r="N900" s="2"/>
      <c r="U900" s="2"/>
      <c r="V900" s="2"/>
      <c r="W900" s="4"/>
    </row>
    <row r="901" ht="15.75" customHeight="1">
      <c r="B901" s="1"/>
      <c r="C901" s="1"/>
      <c r="D901" s="1"/>
      <c r="E901" s="1"/>
      <c r="F901" s="1"/>
      <c r="G901" s="1"/>
      <c r="H901" s="2"/>
      <c r="I901" s="3"/>
      <c r="J901" s="3"/>
      <c r="K901" s="3"/>
      <c r="L901" s="2"/>
      <c r="M901" s="2"/>
      <c r="N901" s="2"/>
      <c r="U901" s="2"/>
      <c r="V901" s="2"/>
      <c r="W901" s="4"/>
    </row>
    <row r="902" ht="15.75" customHeight="1">
      <c r="B902" s="1"/>
      <c r="C902" s="1"/>
      <c r="D902" s="1"/>
      <c r="E902" s="1"/>
      <c r="F902" s="1"/>
      <c r="G902" s="1"/>
      <c r="H902" s="2"/>
      <c r="I902" s="3"/>
      <c r="J902" s="3"/>
      <c r="K902" s="3"/>
      <c r="L902" s="2"/>
      <c r="M902" s="2"/>
      <c r="N902" s="2"/>
      <c r="U902" s="2"/>
      <c r="V902" s="2"/>
      <c r="W902" s="4"/>
    </row>
    <row r="903" ht="15.75" customHeight="1">
      <c r="B903" s="1"/>
      <c r="C903" s="1"/>
      <c r="D903" s="1"/>
      <c r="E903" s="1"/>
      <c r="F903" s="1"/>
      <c r="G903" s="1"/>
      <c r="H903" s="2"/>
      <c r="I903" s="3"/>
      <c r="J903" s="3"/>
      <c r="K903" s="3"/>
      <c r="L903" s="2"/>
      <c r="M903" s="2"/>
      <c r="N903" s="2"/>
      <c r="U903" s="2"/>
      <c r="V903" s="2"/>
      <c r="W903" s="4"/>
    </row>
    <row r="904" ht="15.75" customHeight="1">
      <c r="B904" s="1"/>
      <c r="C904" s="1"/>
      <c r="D904" s="1"/>
      <c r="E904" s="1"/>
      <c r="F904" s="1"/>
      <c r="G904" s="1"/>
      <c r="H904" s="2"/>
      <c r="I904" s="3"/>
      <c r="J904" s="3"/>
      <c r="K904" s="3"/>
      <c r="L904" s="2"/>
      <c r="M904" s="2"/>
      <c r="N904" s="2"/>
      <c r="U904" s="2"/>
      <c r="V904" s="2"/>
      <c r="W904" s="4"/>
    </row>
    <row r="905" ht="15.75" customHeight="1">
      <c r="B905" s="1"/>
      <c r="C905" s="1"/>
      <c r="D905" s="1"/>
      <c r="E905" s="1"/>
      <c r="F905" s="1"/>
      <c r="G905" s="1"/>
      <c r="H905" s="2"/>
      <c r="I905" s="3"/>
      <c r="J905" s="3"/>
      <c r="K905" s="3"/>
      <c r="L905" s="2"/>
      <c r="M905" s="2"/>
      <c r="N905" s="2"/>
      <c r="U905" s="2"/>
      <c r="V905" s="2"/>
      <c r="W905" s="4"/>
    </row>
    <row r="906" ht="15.75" customHeight="1">
      <c r="B906" s="1"/>
      <c r="C906" s="1"/>
      <c r="D906" s="1"/>
      <c r="E906" s="1"/>
      <c r="F906" s="1"/>
      <c r="G906" s="1"/>
      <c r="H906" s="2"/>
      <c r="I906" s="3"/>
      <c r="J906" s="3"/>
      <c r="K906" s="3"/>
      <c r="L906" s="2"/>
      <c r="M906" s="2"/>
      <c r="N906" s="2"/>
      <c r="U906" s="2"/>
      <c r="V906" s="2"/>
      <c r="W906" s="4"/>
    </row>
    <row r="907" ht="15.75" customHeight="1">
      <c r="B907" s="1"/>
      <c r="C907" s="1"/>
      <c r="D907" s="1"/>
      <c r="E907" s="1"/>
      <c r="F907" s="1"/>
      <c r="G907" s="1"/>
      <c r="H907" s="2"/>
      <c r="I907" s="3"/>
      <c r="J907" s="3"/>
      <c r="K907" s="3"/>
      <c r="L907" s="2"/>
      <c r="M907" s="2"/>
      <c r="N907" s="2"/>
      <c r="U907" s="2"/>
      <c r="V907" s="2"/>
      <c r="W907" s="4"/>
    </row>
    <row r="908" ht="15.75" customHeight="1">
      <c r="B908" s="1"/>
      <c r="C908" s="1"/>
      <c r="D908" s="1"/>
      <c r="E908" s="1"/>
      <c r="F908" s="1"/>
      <c r="G908" s="1"/>
      <c r="H908" s="2"/>
      <c r="I908" s="3"/>
      <c r="J908" s="3"/>
      <c r="K908" s="3"/>
      <c r="L908" s="2"/>
      <c r="M908" s="2"/>
      <c r="N908" s="2"/>
      <c r="U908" s="2"/>
      <c r="V908" s="2"/>
      <c r="W908" s="4"/>
    </row>
    <row r="909" ht="15.75" customHeight="1">
      <c r="B909" s="1"/>
      <c r="C909" s="1"/>
      <c r="D909" s="1"/>
      <c r="E909" s="1"/>
      <c r="F909" s="1"/>
      <c r="G909" s="1"/>
      <c r="H909" s="2"/>
      <c r="I909" s="3"/>
      <c r="J909" s="3"/>
      <c r="K909" s="3"/>
      <c r="L909" s="2"/>
      <c r="M909" s="2"/>
      <c r="N909" s="2"/>
      <c r="U909" s="2"/>
      <c r="V909" s="2"/>
      <c r="W909" s="4"/>
    </row>
    <row r="910" ht="15.75" customHeight="1">
      <c r="B910" s="1"/>
      <c r="C910" s="1"/>
      <c r="D910" s="1"/>
      <c r="E910" s="1"/>
      <c r="F910" s="1"/>
      <c r="G910" s="1"/>
      <c r="H910" s="2"/>
      <c r="I910" s="3"/>
      <c r="J910" s="3"/>
      <c r="K910" s="3"/>
      <c r="L910" s="2"/>
      <c r="M910" s="2"/>
      <c r="N910" s="2"/>
      <c r="U910" s="2"/>
      <c r="V910" s="2"/>
      <c r="W910" s="4"/>
    </row>
    <row r="911" ht="15.75" customHeight="1">
      <c r="B911" s="1"/>
      <c r="C911" s="1"/>
      <c r="D911" s="1"/>
      <c r="E911" s="1"/>
      <c r="F911" s="1"/>
      <c r="G911" s="1"/>
      <c r="H911" s="2"/>
      <c r="I911" s="3"/>
      <c r="J911" s="3"/>
      <c r="K911" s="3"/>
      <c r="L911" s="2"/>
      <c r="M911" s="2"/>
      <c r="N911" s="2"/>
      <c r="U911" s="2"/>
      <c r="V911" s="2"/>
      <c r="W911" s="4"/>
    </row>
    <row r="912" ht="15.75" customHeight="1">
      <c r="B912" s="1"/>
      <c r="C912" s="1"/>
      <c r="D912" s="1"/>
      <c r="E912" s="1"/>
      <c r="F912" s="1"/>
      <c r="G912" s="1"/>
      <c r="H912" s="2"/>
      <c r="I912" s="3"/>
      <c r="J912" s="3"/>
      <c r="K912" s="3"/>
      <c r="L912" s="2"/>
      <c r="M912" s="2"/>
      <c r="N912" s="2"/>
      <c r="U912" s="2"/>
      <c r="V912" s="2"/>
      <c r="W912" s="4"/>
    </row>
    <row r="913" ht="15.75" customHeight="1">
      <c r="B913" s="1"/>
      <c r="C913" s="1"/>
      <c r="D913" s="1"/>
      <c r="E913" s="1"/>
      <c r="F913" s="1"/>
      <c r="G913" s="1"/>
      <c r="H913" s="2"/>
      <c r="I913" s="3"/>
      <c r="J913" s="3"/>
      <c r="K913" s="3"/>
      <c r="L913" s="2"/>
      <c r="M913" s="2"/>
      <c r="N913" s="2"/>
      <c r="U913" s="2"/>
      <c r="V913" s="2"/>
      <c r="W913" s="4"/>
    </row>
    <row r="914" ht="15.75" customHeight="1">
      <c r="B914" s="1"/>
      <c r="C914" s="1"/>
      <c r="D914" s="1"/>
      <c r="E914" s="1"/>
      <c r="F914" s="1"/>
      <c r="G914" s="1"/>
      <c r="H914" s="2"/>
      <c r="I914" s="3"/>
      <c r="J914" s="3"/>
      <c r="K914" s="3"/>
      <c r="L914" s="2"/>
      <c r="M914" s="2"/>
      <c r="N914" s="2"/>
      <c r="U914" s="2"/>
      <c r="V914" s="2"/>
      <c r="W914" s="4"/>
    </row>
    <row r="915" ht="15.75" customHeight="1">
      <c r="B915" s="1"/>
      <c r="C915" s="1"/>
      <c r="D915" s="1"/>
      <c r="E915" s="1"/>
      <c r="F915" s="1"/>
      <c r="G915" s="1"/>
      <c r="H915" s="2"/>
      <c r="I915" s="3"/>
      <c r="J915" s="3"/>
      <c r="K915" s="3"/>
      <c r="L915" s="2"/>
      <c r="M915" s="2"/>
      <c r="N915" s="2"/>
      <c r="U915" s="2"/>
      <c r="V915" s="2"/>
      <c r="W915" s="4"/>
    </row>
    <row r="916" ht="15.75" customHeight="1">
      <c r="B916" s="1"/>
      <c r="C916" s="1"/>
      <c r="D916" s="1"/>
      <c r="E916" s="1"/>
      <c r="F916" s="1"/>
      <c r="G916" s="1"/>
      <c r="H916" s="2"/>
      <c r="I916" s="3"/>
      <c r="J916" s="3"/>
      <c r="K916" s="3"/>
      <c r="L916" s="2"/>
      <c r="M916" s="2"/>
      <c r="N916" s="2"/>
      <c r="U916" s="2"/>
      <c r="V916" s="2"/>
      <c r="W916" s="4"/>
    </row>
    <row r="917" ht="15.75" customHeight="1">
      <c r="B917" s="1"/>
      <c r="C917" s="1"/>
      <c r="D917" s="1"/>
      <c r="E917" s="1"/>
      <c r="F917" s="1"/>
      <c r="G917" s="1"/>
      <c r="H917" s="2"/>
      <c r="I917" s="3"/>
      <c r="J917" s="3"/>
      <c r="K917" s="3"/>
      <c r="L917" s="2"/>
      <c r="M917" s="2"/>
      <c r="N917" s="2"/>
      <c r="U917" s="2"/>
      <c r="V917" s="2"/>
      <c r="W917" s="4"/>
    </row>
    <row r="918" ht="15.75" customHeight="1">
      <c r="B918" s="1"/>
      <c r="C918" s="1"/>
      <c r="D918" s="1"/>
      <c r="E918" s="1"/>
      <c r="F918" s="1"/>
      <c r="G918" s="1"/>
      <c r="H918" s="2"/>
      <c r="I918" s="3"/>
      <c r="J918" s="3"/>
      <c r="K918" s="3"/>
      <c r="L918" s="2"/>
      <c r="M918" s="2"/>
      <c r="N918" s="2"/>
      <c r="U918" s="2"/>
      <c r="V918" s="2"/>
      <c r="W918" s="4"/>
    </row>
    <row r="919" ht="15.75" customHeight="1">
      <c r="B919" s="1"/>
      <c r="C919" s="1"/>
      <c r="D919" s="1"/>
      <c r="E919" s="1"/>
      <c r="F919" s="1"/>
      <c r="G919" s="1"/>
      <c r="H919" s="2"/>
      <c r="I919" s="3"/>
      <c r="J919" s="3"/>
      <c r="K919" s="3"/>
      <c r="L919" s="2"/>
      <c r="M919" s="2"/>
      <c r="N919" s="2"/>
      <c r="U919" s="2"/>
      <c r="V919" s="2"/>
      <c r="W919" s="4"/>
    </row>
    <row r="920" ht="15.75" customHeight="1">
      <c r="B920" s="1"/>
      <c r="C920" s="1"/>
      <c r="D920" s="1"/>
      <c r="E920" s="1"/>
      <c r="F920" s="1"/>
      <c r="G920" s="1"/>
      <c r="H920" s="2"/>
      <c r="I920" s="3"/>
      <c r="J920" s="3"/>
      <c r="K920" s="3"/>
      <c r="L920" s="2"/>
      <c r="M920" s="2"/>
      <c r="N920" s="2"/>
      <c r="U920" s="2"/>
      <c r="V920" s="2"/>
      <c r="W920" s="4"/>
    </row>
    <row r="921" ht="15.75" customHeight="1">
      <c r="B921" s="1"/>
      <c r="C921" s="1"/>
      <c r="D921" s="1"/>
      <c r="E921" s="1"/>
      <c r="F921" s="1"/>
      <c r="G921" s="1"/>
      <c r="H921" s="2"/>
      <c r="I921" s="3"/>
      <c r="J921" s="3"/>
      <c r="K921" s="3"/>
      <c r="L921" s="2"/>
      <c r="M921" s="2"/>
      <c r="N921" s="2"/>
      <c r="U921" s="2"/>
      <c r="V921" s="2"/>
      <c r="W921" s="4"/>
    </row>
    <row r="922" ht="15.75" customHeight="1">
      <c r="B922" s="1"/>
      <c r="C922" s="1"/>
      <c r="D922" s="1"/>
      <c r="E922" s="1"/>
      <c r="F922" s="1"/>
      <c r="G922" s="1"/>
      <c r="H922" s="2"/>
      <c r="I922" s="3"/>
      <c r="J922" s="3"/>
      <c r="K922" s="3"/>
      <c r="L922" s="2"/>
      <c r="M922" s="2"/>
      <c r="N922" s="2"/>
      <c r="U922" s="2"/>
      <c r="V922" s="2"/>
      <c r="W922" s="4"/>
    </row>
    <row r="923" ht="15.75" customHeight="1">
      <c r="B923" s="1"/>
      <c r="C923" s="1"/>
      <c r="D923" s="1"/>
      <c r="E923" s="1"/>
      <c r="F923" s="1"/>
      <c r="G923" s="1"/>
      <c r="H923" s="2"/>
      <c r="I923" s="3"/>
      <c r="J923" s="3"/>
      <c r="K923" s="3"/>
      <c r="L923" s="2"/>
      <c r="M923" s="2"/>
      <c r="N923" s="2"/>
      <c r="U923" s="2"/>
      <c r="V923" s="2"/>
      <c r="W923" s="4"/>
    </row>
    <row r="924" ht="15.75" customHeight="1">
      <c r="B924" s="1"/>
      <c r="C924" s="1"/>
      <c r="D924" s="1"/>
      <c r="E924" s="1"/>
      <c r="F924" s="1"/>
      <c r="G924" s="1"/>
      <c r="H924" s="2"/>
      <c r="I924" s="3"/>
      <c r="J924" s="3"/>
      <c r="K924" s="3"/>
      <c r="L924" s="2"/>
      <c r="M924" s="2"/>
      <c r="N924" s="2"/>
      <c r="U924" s="2"/>
      <c r="V924" s="2"/>
      <c r="W924" s="4"/>
    </row>
    <row r="925" ht="15.75" customHeight="1">
      <c r="B925" s="1"/>
      <c r="C925" s="1"/>
      <c r="D925" s="1"/>
      <c r="E925" s="1"/>
      <c r="F925" s="1"/>
      <c r="G925" s="1"/>
      <c r="H925" s="2"/>
      <c r="I925" s="3"/>
      <c r="J925" s="3"/>
      <c r="K925" s="3"/>
      <c r="L925" s="2"/>
      <c r="M925" s="2"/>
      <c r="N925" s="2"/>
      <c r="U925" s="2"/>
      <c r="V925" s="2"/>
      <c r="W925" s="4"/>
    </row>
    <row r="926" ht="15.75" customHeight="1">
      <c r="B926" s="1"/>
      <c r="C926" s="1"/>
      <c r="D926" s="1"/>
      <c r="E926" s="1"/>
      <c r="F926" s="1"/>
      <c r="G926" s="1"/>
      <c r="H926" s="2"/>
      <c r="I926" s="3"/>
      <c r="J926" s="3"/>
      <c r="K926" s="3"/>
      <c r="L926" s="2"/>
      <c r="M926" s="2"/>
      <c r="N926" s="2"/>
      <c r="U926" s="2"/>
      <c r="V926" s="2"/>
      <c r="W926" s="4"/>
    </row>
    <row r="927" ht="15.75" customHeight="1">
      <c r="B927" s="1"/>
      <c r="C927" s="1"/>
      <c r="D927" s="1"/>
      <c r="E927" s="1"/>
      <c r="F927" s="1"/>
      <c r="G927" s="1"/>
      <c r="H927" s="2"/>
      <c r="I927" s="3"/>
      <c r="J927" s="3"/>
      <c r="K927" s="3"/>
      <c r="L927" s="2"/>
      <c r="M927" s="2"/>
      <c r="N927" s="2"/>
      <c r="U927" s="2"/>
      <c r="V927" s="2"/>
      <c r="W927" s="4"/>
    </row>
    <row r="928" ht="15.75" customHeight="1">
      <c r="B928" s="1"/>
      <c r="C928" s="1"/>
      <c r="D928" s="1"/>
      <c r="E928" s="1"/>
      <c r="F928" s="1"/>
      <c r="G928" s="1"/>
      <c r="H928" s="2"/>
      <c r="I928" s="3"/>
      <c r="J928" s="3"/>
      <c r="K928" s="3"/>
      <c r="L928" s="2"/>
      <c r="M928" s="2"/>
      <c r="N928" s="2"/>
      <c r="U928" s="2"/>
      <c r="V928" s="2"/>
      <c r="W928" s="4"/>
    </row>
    <row r="929" ht="15.75" customHeight="1">
      <c r="B929" s="1"/>
      <c r="C929" s="1"/>
      <c r="D929" s="1"/>
      <c r="E929" s="1"/>
      <c r="F929" s="1"/>
      <c r="G929" s="1"/>
      <c r="H929" s="2"/>
      <c r="I929" s="3"/>
      <c r="J929" s="3"/>
      <c r="K929" s="3"/>
      <c r="L929" s="2"/>
      <c r="M929" s="2"/>
      <c r="N929" s="2"/>
      <c r="U929" s="2"/>
      <c r="V929" s="2"/>
      <c r="W929" s="4"/>
    </row>
    <row r="930" ht="15.75" customHeight="1">
      <c r="B930" s="1"/>
      <c r="C930" s="1"/>
      <c r="D930" s="1"/>
      <c r="E930" s="1"/>
      <c r="F930" s="1"/>
      <c r="G930" s="1"/>
      <c r="H930" s="2"/>
      <c r="I930" s="3"/>
      <c r="J930" s="3"/>
      <c r="K930" s="3"/>
      <c r="L930" s="2"/>
      <c r="M930" s="2"/>
      <c r="N930" s="2"/>
      <c r="U930" s="2"/>
      <c r="V930" s="2"/>
      <c r="W930" s="4"/>
    </row>
    <row r="931" ht="15.75" customHeight="1">
      <c r="B931" s="1"/>
      <c r="C931" s="1"/>
      <c r="D931" s="1"/>
      <c r="E931" s="1"/>
      <c r="F931" s="1"/>
      <c r="G931" s="1"/>
      <c r="H931" s="2"/>
      <c r="I931" s="3"/>
      <c r="J931" s="3"/>
      <c r="K931" s="3"/>
      <c r="L931" s="2"/>
      <c r="M931" s="2"/>
      <c r="N931" s="2"/>
      <c r="U931" s="2"/>
      <c r="V931" s="2"/>
      <c r="W931" s="4"/>
    </row>
    <row r="932" ht="15.75" customHeight="1">
      <c r="B932" s="1"/>
      <c r="C932" s="1"/>
      <c r="D932" s="1"/>
      <c r="E932" s="1"/>
      <c r="F932" s="1"/>
      <c r="G932" s="1"/>
      <c r="H932" s="2"/>
      <c r="I932" s="3"/>
      <c r="J932" s="3"/>
      <c r="K932" s="3"/>
      <c r="L932" s="2"/>
      <c r="M932" s="2"/>
      <c r="N932" s="2"/>
      <c r="U932" s="2"/>
      <c r="V932" s="2"/>
      <c r="W932" s="4"/>
    </row>
    <row r="933" ht="15.75" customHeight="1">
      <c r="B933" s="1"/>
      <c r="C933" s="1"/>
      <c r="D933" s="1"/>
      <c r="E933" s="1"/>
      <c r="F933" s="1"/>
      <c r="G933" s="1"/>
      <c r="H933" s="2"/>
      <c r="I933" s="3"/>
      <c r="J933" s="3"/>
      <c r="K933" s="3"/>
      <c r="L933" s="2"/>
      <c r="M933" s="2"/>
      <c r="N933" s="2"/>
      <c r="U933" s="2"/>
      <c r="V933" s="2"/>
      <c r="W933" s="4"/>
    </row>
    <row r="934" ht="15.75" customHeight="1">
      <c r="B934" s="1"/>
      <c r="C934" s="1"/>
      <c r="D934" s="1"/>
      <c r="E934" s="1"/>
      <c r="F934" s="1"/>
      <c r="G934" s="1"/>
      <c r="H934" s="2"/>
      <c r="I934" s="3"/>
      <c r="J934" s="3"/>
      <c r="K934" s="3"/>
      <c r="L934" s="2"/>
      <c r="M934" s="2"/>
      <c r="N934" s="2"/>
      <c r="U934" s="2"/>
      <c r="V934" s="2"/>
      <c r="W934" s="4"/>
    </row>
    <row r="935" ht="15.75" customHeight="1">
      <c r="B935" s="1"/>
      <c r="C935" s="1"/>
      <c r="D935" s="1"/>
      <c r="E935" s="1"/>
      <c r="F935" s="1"/>
      <c r="G935" s="1"/>
      <c r="H935" s="2"/>
      <c r="I935" s="3"/>
      <c r="J935" s="3"/>
      <c r="K935" s="3"/>
      <c r="L935" s="2"/>
      <c r="M935" s="2"/>
      <c r="N935" s="2"/>
      <c r="U935" s="2"/>
      <c r="V935" s="2"/>
      <c r="W935" s="4"/>
    </row>
    <row r="936" ht="15.75" customHeight="1">
      <c r="B936" s="1"/>
      <c r="C936" s="1"/>
      <c r="D936" s="1"/>
      <c r="E936" s="1"/>
      <c r="F936" s="1"/>
      <c r="G936" s="1"/>
      <c r="H936" s="2"/>
      <c r="I936" s="3"/>
      <c r="J936" s="3"/>
      <c r="K936" s="3"/>
      <c r="L936" s="2"/>
      <c r="M936" s="2"/>
      <c r="N936" s="2"/>
      <c r="U936" s="2"/>
      <c r="V936" s="2"/>
      <c r="W936" s="4"/>
    </row>
    <row r="937" ht="15.75" customHeight="1">
      <c r="B937" s="1"/>
      <c r="C937" s="1"/>
      <c r="D937" s="1"/>
      <c r="E937" s="1"/>
      <c r="F937" s="1"/>
      <c r="G937" s="1"/>
      <c r="H937" s="2"/>
      <c r="I937" s="3"/>
      <c r="J937" s="3"/>
      <c r="K937" s="3"/>
      <c r="L937" s="2"/>
      <c r="M937" s="2"/>
      <c r="N937" s="2"/>
      <c r="U937" s="2"/>
      <c r="V937" s="2"/>
      <c r="W937" s="4"/>
    </row>
    <row r="938" ht="15.75" customHeight="1">
      <c r="B938" s="1"/>
      <c r="C938" s="1"/>
      <c r="D938" s="1"/>
      <c r="E938" s="1"/>
      <c r="F938" s="1"/>
      <c r="G938" s="1"/>
      <c r="H938" s="2"/>
      <c r="I938" s="3"/>
      <c r="J938" s="3"/>
      <c r="K938" s="3"/>
      <c r="L938" s="2"/>
      <c r="M938" s="2"/>
      <c r="N938" s="2"/>
      <c r="U938" s="2"/>
      <c r="V938" s="2"/>
      <c r="W938" s="4"/>
    </row>
    <row r="939" ht="15.75" customHeight="1">
      <c r="B939" s="1"/>
      <c r="C939" s="1"/>
      <c r="D939" s="1"/>
      <c r="E939" s="1"/>
      <c r="F939" s="1"/>
      <c r="G939" s="1"/>
      <c r="H939" s="2"/>
      <c r="I939" s="3"/>
      <c r="J939" s="3"/>
      <c r="K939" s="3"/>
      <c r="L939" s="2"/>
      <c r="M939" s="2"/>
      <c r="N939" s="2"/>
      <c r="U939" s="2"/>
      <c r="V939" s="2"/>
      <c r="W939" s="4"/>
    </row>
    <row r="940" ht="15.75" customHeight="1">
      <c r="B940" s="1"/>
      <c r="C940" s="1"/>
      <c r="D940" s="1"/>
      <c r="E940" s="1"/>
      <c r="F940" s="1"/>
      <c r="G940" s="1"/>
      <c r="H940" s="2"/>
      <c r="I940" s="3"/>
      <c r="J940" s="3"/>
      <c r="K940" s="3"/>
      <c r="L940" s="2"/>
      <c r="M940" s="2"/>
      <c r="N940" s="2"/>
      <c r="U940" s="2"/>
      <c r="V940" s="2"/>
      <c r="W940" s="4"/>
    </row>
    <row r="941" ht="15.75" customHeight="1">
      <c r="B941" s="1"/>
      <c r="C941" s="1"/>
      <c r="D941" s="1"/>
      <c r="E941" s="1"/>
      <c r="F941" s="1"/>
      <c r="G941" s="1"/>
      <c r="H941" s="2"/>
      <c r="I941" s="3"/>
      <c r="J941" s="3"/>
      <c r="K941" s="3"/>
      <c r="L941" s="2"/>
      <c r="M941" s="2"/>
      <c r="N941" s="2"/>
      <c r="U941" s="2"/>
      <c r="V941" s="2"/>
      <c r="W941" s="4"/>
    </row>
    <row r="942" ht="15.75" customHeight="1">
      <c r="B942" s="1"/>
      <c r="C942" s="1"/>
      <c r="D942" s="1"/>
      <c r="E942" s="1"/>
      <c r="F942" s="1"/>
      <c r="G942" s="1"/>
      <c r="H942" s="2"/>
      <c r="I942" s="3"/>
      <c r="J942" s="3"/>
      <c r="K942" s="3"/>
      <c r="L942" s="2"/>
      <c r="M942" s="2"/>
      <c r="N942" s="2"/>
      <c r="U942" s="2"/>
      <c r="V942" s="2"/>
      <c r="W942" s="4"/>
    </row>
    <row r="943" ht="15.75" customHeight="1">
      <c r="B943" s="1"/>
      <c r="C943" s="1"/>
      <c r="D943" s="1"/>
      <c r="E943" s="1"/>
      <c r="F943" s="1"/>
      <c r="G943" s="1"/>
      <c r="H943" s="2"/>
      <c r="I943" s="3"/>
      <c r="J943" s="3"/>
      <c r="K943" s="3"/>
      <c r="L943" s="2"/>
      <c r="M943" s="2"/>
      <c r="N943" s="2"/>
      <c r="U943" s="2"/>
      <c r="V943" s="2"/>
      <c r="W943" s="4"/>
    </row>
    <row r="944" ht="15.75" customHeight="1">
      <c r="B944" s="1"/>
      <c r="C944" s="1"/>
      <c r="D944" s="1"/>
      <c r="E944" s="1"/>
      <c r="F944" s="1"/>
      <c r="G944" s="1"/>
      <c r="H944" s="2"/>
      <c r="I944" s="3"/>
      <c r="J944" s="3"/>
      <c r="K944" s="3"/>
      <c r="L944" s="2"/>
      <c r="M944" s="2"/>
      <c r="N944" s="2"/>
      <c r="U944" s="2"/>
      <c r="V944" s="2"/>
      <c r="W944" s="4"/>
    </row>
    <row r="945" ht="15.75" customHeight="1">
      <c r="B945" s="1"/>
      <c r="C945" s="1"/>
      <c r="D945" s="1"/>
      <c r="E945" s="1"/>
      <c r="F945" s="1"/>
      <c r="G945" s="1"/>
      <c r="H945" s="2"/>
      <c r="I945" s="3"/>
      <c r="J945" s="3"/>
      <c r="K945" s="3"/>
      <c r="L945" s="2"/>
      <c r="M945" s="2"/>
      <c r="N945" s="2"/>
      <c r="U945" s="2"/>
      <c r="V945" s="2"/>
      <c r="W945" s="4"/>
    </row>
    <row r="946" ht="15.75" customHeight="1">
      <c r="B946" s="1"/>
      <c r="C946" s="1"/>
      <c r="D946" s="1"/>
      <c r="E946" s="1"/>
      <c r="F946" s="1"/>
      <c r="G946" s="1"/>
      <c r="H946" s="2"/>
      <c r="I946" s="3"/>
      <c r="J946" s="3"/>
      <c r="K946" s="3"/>
      <c r="L946" s="2"/>
      <c r="M946" s="2"/>
      <c r="N946" s="2"/>
      <c r="U946" s="2"/>
      <c r="V946" s="2"/>
      <c r="W946" s="4"/>
    </row>
    <row r="947" ht="15.75" customHeight="1">
      <c r="B947" s="1"/>
      <c r="C947" s="1"/>
      <c r="D947" s="1"/>
      <c r="E947" s="1"/>
      <c r="F947" s="1"/>
      <c r="G947" s="1"/>
      <c r="H947" s="2"/>
      <c r="I947" s="3"/>
      <c r="J947" s="3"/>
      <c r="K947" s="3"/>
      <c r="L947" s="2"/>
      <c r="M947" s="2"/>
      <c r="N947" s="2"/>
      <c r="U947" s="2"/>
      <c r="V947" s="2"/>
      <c r="W947" s="4"/>
    </row>
    <row r="948" ht="15.75" customHeight="1">
      <c r="B948" s="1"/>
      <c r="C948" s="1"/>
      <c r="D948" s="1"/>
      <c r="E948" s="1"/>
      <c r="F948" s="1"/>
      <c r="G948" s="1"/>
      <c r="H948" s="2"/>
      <c r="I948" s="3"/>
      <c r="J948" s="3"/>
      <c r="K948" s="3"/>
      <c r="L948" s="2"/>
      <c r="M948" s="2"/>
      <c r="N948" s="2"/>
      <c r="U948" s="2"/>
      <c r="V948" s="2"/>
      <c r="W948" s="4"/>
    </row>
    <row r="949" ht="15.75" customHeight="1">
      <c r="B949" s="1"/>
      <c r="C949" s="1"/>
      <c r="D949" s="1"/>
      <c r="E949" s="1"/>
      <c r="F949" s="1"/>
      <c r="G949" s="1"/>
      <c r="H949" s="2"/>
      <c r="I949" s="3"/>
      <c r="J949" s="3"/>
      <c r="K949" s="3"/>
      <c r="L949" s="2"/>
      <c r="M949" s="2"/>
      <c r="N949" s="2"/>
      <c r="U949" s="2"/>
      <c r="V949" s="2"/>
      <c r="W949" s="4"/>
    </row>
    <row r="950" ht="15.75" customHeight="1">
      <c r="B950" s="1"/>
      <c r="C950" s="1"/>
      <c r="D950" s="1"/>
      <c r="E950" s="1"/>
      <c r="F950" s="1"/>
      <c r="G950" s="1"/>
      <c r="H950" s="2"/>
      <c r="I950" s="3"/>
      <c r="J950" s="3"/>
      <c r="K950" s="3"/>
      <c r="L950" s="2"/>
      <c r="M950" s="2"/>
      <c r="N950" s="2"/>
      <c r="U950" s="2"/>
      <c r="V950" s="2"/>
      <c r="W950" s="4"/>
    </row>
    <row r="951" ht="15.75" customHeight="1">
      <c r="B951" s="1"/>
      <c r="C951" s="1"/>
      <c r="D951" s="1"/>
      <c r="E951" s="1"/>
      <c r="F951" s="1"/>
      <c r="G951" s="1"/>
      <c r="H951" s="2"/>
      <c r="I951" s="3"/>
      <c r="J951" s="3"/>
      <c r="K951" s="3"/>
      <c r="L951" s="2"/>
      <c r="M951" s="2"/>
      <c r="N951" s="2"/>
      <c r="U951" s="2"/>
      <c r="V951" s="2"/>
      <c r="W951" s="4"/>
    </row>
    <row r="952" ht="15.75" customHeight="1">
      <c r="B952" s="1"/>
      <c r="C952" s="1"/>
      <c r="D952" s="1"/>
      <c r="E952" s="1"/>
      <c r="F952" s="1"/>
      <c r="G952" s="1"/>
      <c r="H952" s="2"/>
      <c r="I952" s="3"/>
      <c r="J952" s="3"/>
      <c r="K952" s="3"/>
      <c r="L952" s="2"/>
      <c r="M952" s="2"/>
      <c r="N952" s="2"/>
      <c r="U952" s="2"/>
      <c r="V952" s="2"/>
      <c r="W952" s="4"/>
    </row>
    <row r="953" ht="15.75" customHeight="1">
      <c r="B953" s="1"/>
      <c r="C953" s="1"/>
      <c r="D953" s="1"/>
      <c r="E953" s="1"/>
      <c r="F953" s="1"/>
      <c r="G953" s="1"/>
      <c r="H953" s="2"/>
      <c r="I953" s="3"/>
      <c r="J953" s="3"/>
      <c r="K953" s="3"/>
      <c r="L953" s="2"/>
      <c r="M953" s="2"/>
      <c r="N953" s="2"/>
      <c r="U953" s="2"/>
      <c r="V953" s="2"/>
      <c r="W953" s="4"/>
    </row>
    <row r="954" ht="15.75" customHeight="1">
      <c r="B954" s="1"/>
      <c r="C954" s="1"/>
      <c r="D954" s="1"/>
      <c r="E954" s="1"/>
      <c r="F954" s="1"/>
      <c r="G954" s="1"/>
      <c r="H954" s="2"/>
      <c r="I954" s="3"/>
      <c r="J954" s="3"/>
      <c r="K954" s="3"/>
      <c r="L954" s="2"/>
      <c r="M954" s="2"/>
      <c r="N954" s="2"/>
      <c r="U954" s="2"/>
      <c r="V954" s="2"/>
      <c r="W954" s="4"/>
    </row>
    <row r="955" ht="15.75" customHeight="1">
      <c r="B955" s="1"/>
      <c r="C955" s="1"/>
      <c r="D955" s="1"/>
      <c r="E955" s="1"/>
      <c r="F955" s="1"/>
      <c r="G955" s="1"/>
      <c r="H955" s="2"/>
      <c r="I955" s="3"/>
      <c r="J955" s="3"/>
      <c r="K955" s="3"/>
      <c r="L955" s="2"/>
      <c r="M955" s="2"/>
      <c r="N955" s="2"/>
      <c r="U955" s="2"/>
      <c r="V955" s="2"/>
      <c r="W955" s="4"/>
    </row>
    <row r="956" ht="15.75" customHeight="1">
      <c r="B956" s="1"/>
      <c r="C956" s="1"/>
      <c r="D956" s="1"/>
      <c r="E956" s="1"/>
      <c r="F956" s="1"/>
      <c r="G956" s="1"/>
      <c r="H956" s="2"/>
      <c r="I956" s="3"/>
      <c r="J956" s="3"/>
      <c r="K956" s="3"/>
      <c r="L956" s="2"/>
      <c r="M956" s="2"/>
      <c r="N956" s="2"/>
      <c r="U956" s="2"/>
      <c r="V956" s="2"/>
      <c r="W956" s="4"/>
    </row>
    <row r="957" ht="15.75" customHeight="1">
      <c r="B957" s="1"/>
      <c r="C957" s="1"/>
      <c r="D957" s="1"/>
      <c r="E957" s="1"/>
      <c r="F957" s="1"/>
      <c r="G957" s="1"/>
      <c r="H957" s="2"/>
      <c r="I957" s="3"/>
      <c r="J957" s="3"/>
      <c r="K957" s="3"/>
      <c r="L957" s="2"/>
      <c r="M957" s="2"/>
      <c r="N957" s="2"/>
      <c r="U957" s="2"/>
      <c r="V957" s="2"/>
      <c r="W957" s="4"/>
    </row>
    <row r="958" ht="15.75" customHeight="1">
      <c r="B958" s="1"/>
      <c r="C958" s="1"/>
      <c r="D958" s="1"/>
      <c r="E958" s="1"/>
      <c r="F958" s="1"/>
      <c r="G958" s="1"/>
      <c r="H958" s="2"/>
      <c r="I958" s="3"/>
      <c r="J958" s="3"/>
      <c r="K958" s="3"/>
      <c r="L958" s="2"/>
      <c r="M958" s="2"/>
      <c r="N958" s="2"/>
      <c r="U958" s="2"/>
      <c r="V958" s="2"/>
      <c r="W958" s="4"/>
    </row>
    <row r="959" ht="15.75" customHeight="1">
      <c r="B959" s="1"/>
      <c r="C959" s="1"/>
      <c r="D959" s="1"/>
      <c r="E959" s="1"/>
      <c r="F959" s="1"/>
      <c r="G959" s="1"/>
      <c r="H959" s="2"/>
      <c r="I959" s="3"/>
      <c r="J959" s="3"/>
      <c r="K959" s="3"/>
      <c r="L959" s="2"/>
      <c r="M959" s="2"/>
      <c r="N959" s="2"/>
      <c r="U959" s="2"/>
      <c r="V959" s="2"/>
      <c r="W959" s="4"/>
    </row>
    <row r="960" ht="15.75" customHeight="1">
      <c r="B960" s="1"/>
      <c r="C960" s="1"/>
      <c r="D960" s="1"/>
      <c r="E960" s="1"/>
      <c r="F960" s="1"/>
      <c r="G960" s="1"/>
      <c r="H960" s="2"/>
      <c r="I960" s="3"/>
      <c r="J960" s="3"/>
      <c r="K960" s="3"/>
      <c r="L960" s="2"/>
      <c r="M960" s="2"/>
      <c r="N960" s="2"/>
      <c r="U960" s="2"/>
      <c r="V960" s="2"/>
      <c r="W960" s="4"/>
    </row>
    <row r="961" ht="15.75" customHeight="1">
      <c r="B961" s="1"/>
      <c r="C961" s="1"/>
      <c r="D961" s="1"/>
      <c r="E961" s="1"/>
      <c r="F961" s="1"/>
      <c r="G961" s="1"/>
      <c r="H961" s="2"/>
      <c r="I961" s="3"/>
      <c r="J961" s="3"/>
      <c r="K961" s="3"/>
      <c r="L961" s="2"/>
      <c r="M961" s="2"/>
      <c r="N961" s="2"/>
      <c r="U961" s="2"/>
      <c r="V961" s="2"/>
      <c r="W961" s="4"/>
    </row>
    <row r="962" ht="15.75" customHeight="1">
      <c r="B962" s="1"/>
      <c r="C962" s="1"/>
      <c r="D962" s="1"/>
      <c r="E962" s="1"/>
      <c r="F962" s="1"/>
      <c r="G962" s="1"/>
      <c r="H962" s="2"/>
      <c r="I962" s="3"/>
      <c r="J962" s="3"/>
      <c r="K962" s="3"/>
      <c r="L962" s="2"/>
      <c r="M962" s="2"/>
      <c r="N962" s="2"/>
      <c r="U962" s="2"/>
      <c r="V962" s="2"/>
      <c r="W962" s="4"/>
    </row>
    <row r="963" ht="15.75" customHeight="1">
      <c r="B963" s="1"/>
      <c r="C963" s="1"/>
      <c r="D963" s="1"/>
      <c r="E963" s="1"/>
      <c r="F963" s="1"/>
      <c r="G963" s="1"/>
      <c r="H963" s="2"/>
      <c r="I963" s="3"/>
      <c r="J963" s="3"/>
      <c r="K963" s="3"/>
      <c r="L963" s="2"/>
      <c r="M963" s="2"/>
      <c r="N963" s="2"/>
      <c r="U963" s="2"/>
      <c r="V963" s="2"/>
      <c r="W963" s="4"/>
    </row>
    <row r="964" ht="15.75" customHeight="1">
      <c r="B964" s="1"/>
      <c r="C964" s="1"/>
      <c r="D964" s="1"/>
      <c r="E964" s="1"/>
      <c r="F964" s="1"/>
      <c r="G964" s="1"/>
      <c r="H964" s="2"/>
      <c r="I964" s="3"/>
      <c r="J964" s="3"/>
      <c r="K964" s="3"/>
      <c r="L964" s="2"/>
      <c r="M964" s="2"/>
      <c r="N964" s="2"/>
      <c r="U964" s="2"/>
      <c r="V964" s="2"/>
      <c r="W964" s="4"/>
    </row>
    <row r="965" ht="15.75" customHeight="1">
      <c r="B965" s="1"/>
      <c r="C965" s="1"/>
      <c r="D965" s="1"/>
      <c r="E965" s="1"/>
      <c r="F965" s="1"/>
      <c r="G965" s="1"/>
      <c r="H965" s="2"/>
      <c r="I965" s="3"/>
      <c r="J965" s="3"/>
      <c r="K965" s="3"/>
      <c r="L965" s="2"/>
      <c r="M965" s="2"/>
      <c r="N965" s="2"/>
      <c r="U965" s="2"/>
      <c r="V965" s="2"/>
      <c r="W965" s="4"/>
    </row>
    <row r="966" ht="15.75" customHeight="1">
      <c r="B966" s="1"/>
      <c r="C966" s="1"/>
      <c r="D966" s="1"/>
      <c r="E966" s="1"/>
      <c r="F966" s="1"/>
      <c r="G966" s="1"/>
      <c r="H966" s="2"/>
      <c r="I966" s="3"/>
      <c r="J966" s="3"/>
      <c r="K966" s="3"/>
      <c r="L966" s="2"/>
      <c r="M966" s="2"/>
      <c r="N966" s="2"/>
      <c r="U966" s="2"/>
      <c r="V966" s="2"/>
      <c r="W966" s="4"/>
    </row>
    <row r="967" ht="15.75" customHeight="1">
      <c r="B967" s="1"/>
      <c r="C967" s="1"/>
      <c r="D967" s="1"/>
      <c r="E967" s="1"/>
      <c r="F967" s="1"/>
      <c r="G967" s="1"/>
      <c r="H967" s="2"/>
      <c r="I967" s="3"/>
      <c r="J967" s="3"/>
      <c r="K967" s="3"/>
      <c r="L967" s="2"/>
      <c r="M967" s="2"/>
      <c r="N967" s="2"/>
      <c r="U967" s="2"/>
      <c r="V967" s="2"/>
      <c r="W967" s="4"/>
    </row>
    <row r="968" ht="15.75" customHeight="1">
      <c r="B968" s="1"/>
      <c r="C968" s="1"/>
      <c r="D968" s="1"/>
      <c r="E968" s="1"/>
      <c r="F968" s="1"/>
      <c r="G968" s="1"/>
      <c r="H968" s="2"/>
      <c r="I968" s="3"/>
      <c r="J968" s="3"/>
      <c r="K968" s="3"/>
      <c r="L968" s="2"/>
      <c r="M968" s="2"/>
      <c r="N968" s="2"/>
      <c r="U968" s="2"/>
      <c r="V968" s="2"/>
      <c r="W968" s="4"/>
    </row>
    <row r="969" ht="15.75" customHeight="1">
      <c r="B969" s="1"/>
      <c r="C969" s="1"/>
      <c r="D969" s="1"/>
      <c r="E969" s="1"/>
      <c r="F969" s="1"/>
      <c r="G969" s="1"/>
      <c r="H969" s="2"/>
      <c r="I969" s="3"/>
      <c r="J969" s="3"/>
      <c r="K969" s="3"/>
      <c r="L969" s="2"/>
      <c r="M969" s="2"/>
      <c r="N969" s="2"/>
      <c r="U969" s="2"/>
      <c r="V969" s="2"/>
      <c r="W969" s="4"/>
    </row>
    <row r="970" ht="15.75" customHeight="1">
      <c r="B970" s="1"/>
      <c r="C970" s="1"/>
      <c r="D970" s="1"/>
      <c r="E970" s="1"/>
      <c r="F970" s="1"/>
      <c r="G970" s="1"/>
      <c r="H970" s="2"/>
      <c r="I970" s="3"/>
      <c r="J970" s="3"/>
      <c r="K970" s="3"/>
      <c r="L970" s="2"/>
      <c r="M970" s="2"/>
      <c r="N970" s="2"/>
      <c r="U970" s="2"/>
      <c r="V970" s="2"/>
      <c r="W970" s="4"/>
    </row>
    <row r="971" ht="15.75" customHeight="1">
      <c r="B971" s="1"/>
      <c r="C971" s="1"/>
      <c r="D971" s="1"/>
      <c r="E971" s="1"/>
      <c r="F971" s="1"/>
      <c r="G971" s="1"/>
      <c r="H971" s="2"/>
      <c r="I971" s="3"/>
      <c r="J971" s="3"/>
      <c r="K971" s="3"/>
      <c r="L971" s="2"/>
      <c r="M971" s="2"/>
      <c r="N971" s="2"/>
      <c r="U971" s="2"/>
      <c r="V971" s="2"/>
      <c r="W971" s="4"/>
    </row>
    <row r="972" ht="15.75" customHeight="1">
      <c r="B972" s="1"/>
      <c r="C972" s="1"/>
      <c r="D972" s="1"/>
      <c r="E972" s="1"/>
      <c r="F972" s="1"/>
      <c r="G972" s="1"/>
      <c r="H972" s="2"/>
      <c r="I972" s="3"/>
      <c r="J972" s="3"/>
      <c r="K972" s="3"/>
      <c r="L972" s="2"/>
      <c r="M972" s="2"/>
      <c r="N972" s="2"/>
      <c r="U972" s="2"/>
      <c r="V972" s="2"/>
      <c r="W972" s="4"/>
    </row>
    <row r="973" ht="15.75" customHeight="1">
      <c r="B973" s="1"/>
      <c r="C973" s="1"/>
      <c r="D973" s="1"/>
      <c r="E973" s="1"/>
      <c r="F973" s="1"/>
      <c r="G973" s="1"/>
      <c r="H973" s="2"/>
      <c r="I973" s="3"/>
      <c r="J973" s="3"/>
      <c r="K973" s="3"/>
      <c r="L973" s="2"/>
      <c r="M973" s="2"/>
      <c r="N973" s="2"/>
      <c r="U973" s="2"/>
      <c r="V973" s="2"/>
      <c r="W973" s="4"/>
    </row>
    <row r="974" ht="15.75" customHeight="1">
      <c r="B974" s="1"/>
      <c r="C974" s="1"/>
      <c r="D974" s="1"/>
      <c r="E974" s="1"/>
      <c r="F974" s="1"/>
      <c r="G974" s="1"/>
      <c r="H974" s="2"/>
      <c r="I974" s="3"/>
      <c r="J974" s="3"/>
      <c r="K974" s="3"/>
      <c r="L974" s="2"/>
      <c r="M974" s="2"/>
      <c r="N974" s="2"/>
      <c r="U974" s="2"/>
      <c r="V974" s="2"/>
      <c r="W974" s="4"/>
    </row>
    <row r="975" ht="15.75" customHeight="1">
      <c r="B975" s="1"/>
      <c r="C975" s="1"/>
      <c r="D975" s="1"/>
      <c r="E975" s="1"/>
      <c r="F975" s="1"/>
      <c r="G975" s="1"/>
      <c r="H975" s="2"/>
      <c r="I975" s="3"/>
      <c r="J975" s="3"/>
      <c r="K975" s="3"/>
      <c r="L975" s="2"/>
      <c r="M975" s="2"/>
      <c r="N975" s="2"/>
      <c r="U975" s="2"/>
      <c r="V975" s="2"/>
      <c r="W975" s="4"/>
    </row>
    <row r="976" ht="15.75" customHeight="1">
      <c r="B976" s="1"/>
      <c r="C976" s="1"/>
      <c r="D976" s="1"/>
      <c r="E976" s="1"/>
      <c r="F976" s="1"/>
      <c r="G976" s="1"/>
      <c r="H976" s="2"/>
      <c r="I976" s="3"/>
      <c r="J976" s="3"/>
      <c r="K976" s="3"/>
      <c r="L976" s="2"/>
      <c r="M976" s="2"/>
      <c r="N976" s="2"/>
      <c r="U976" s="2"/>
      <c r="V976" s="2"/>
      <c r="W976" s="4"/>
    </row>
    <row r="977" ht="15.75" customHeight="1">
      <c r="B977" s="1"/>
      <c r="C977" s="1"/>
      <c r="D977" s="1"/>
      <c r="E977" s="1"/>
      <c r="F977" s="1"/>
      <c r="G977" s="1"/>
      <c r="H977" s="2"/>
      <c r="I977" s="3"/>
      <c r="J977" s="3"/>
      <c r="K977" s="3"/>
      <c r="L977" s="2"/>
      <c r="M977" s="2"/>
      <c r="N977" s="2"/>
      <c r="U977" s="2"/>
      <c r="V977" s="2"/>
      <c r="W977" s="4"/>
    </row>
    <row r="978" ht="15.75" customHeight="1">
      <c r="B978" s="1"/>
      <c r="C978" s="1"/>
      <c r="D978" s="1"/>
      <c r="E978" s="1"/>
      <c r="F978" s="1"/>
      <c r="G978" s="1"/>
      <c r="H978" s="2"/>
      <c r="I978" s="3"/>
      <c r="J978" s="3"/>
      <c r="K978" s="3"/>
      <c r="L978" s="2"/>
      <c r="M978" s="2"/>
      <c r="N978" s="2"/>
      <c r="U978" s="2"/>
      <c r="V978" s="2"/>
      <c r="W978" s="4"/>
    </row>
    <row r="979" ht="15.75" customHeight="1">
      <c r="B979" s="1"/>
      <c r="C979" s="1"/>
      <c r="D979" s="1"/>
      <c r="E979" s="1"/>
      <c r="F979" s="1"/>
      <c r="G979" s="1"/>
      <c r="H979" s="2"/>
      <c r="I979" s="3"/>
      <c r="J979" s="3"/>
      <c r="K979" s="3"/>
      <c r="L979" s="2"/>
      <c r="M979" s="2"/>
      <c r="N979" s="2"/>
      <c r="U979" s="2"/>
      <c r="V979" s="2"/>
      <c r="W979" s="4"/>
    </row>
    <row r="980" ht="15.75" customHeight="1">
      <c r="B980" s="1"/>
      <c r="C980" s="1"/>
      <c r="D980" s="1"/>
      <c r="E980" s="1"/>
      <c r="F980" s="1"/>
      <c r="G980" s="1"/>
      <c r="H980" s="2"/>
      <c r="I980" s="3"/>
      <c r="J980" s="3"/>
      <c r="K980" s="3"/>
      <c r="L980" s="2"/>
      <c r="M980" s="2"/>
      <c r="N980" s="2"/>
      <c r="U980" s="2"/>
      <c r="V980" s="2"/>
      <c r="W980" s="4"/>
    </row>
    <row r="981" ht="15.75" customHeight="1">
      <c r="B981" s="1"/>
      <c r="C981" s="1"/>
      <c r="D981" s="1"/>
      <c r="E981" s="1"/>
      <c r="F981" s="1"/>
      <c r="G981" s="1"/>
      <c r="H981" s="2"/>
      <c r="I981" s="3"/>
      <c r="J981" s="3"/>
      <c r="K981" s="3"/>
      <c r="L981" s="2"/>
      <c r="M981" s="2"/>
      <c r="N981" s="2"/>
      <c r="U981" s="2"/>
      <c r="V981" s="2"/>
      <c r="W981" s="4"/>
    </row>
    <row r="982" ht="15.75" customHeight="1">
      <c r="B982" s="1"/>
      <c r="C982" s="1"/>
      <c r="D982" s="1"/>
      <c r="E982" s="1"/>
      <c r="F982" s="1"/>
      <c r="G982" s="1"/>
      <c r="H982" s="2"/>
      <c r="I982" s="3"/>
      <c r="J982" s="3"/>
      <c r="K982" s="3"/>
      <c r="L982" s="2"/>
      <c r="M982" s="2"/>
      <c r="N982" s="2"/>
      <c r="U982" s="2"/>
      <c r="V982" s="2"/>
      <c r="W982" s="4"/>
    </row>
    <row r="983" ht="15.75" customHeight="1">
      <c r="B983" s="1"/>
      <c r="C983" s="1"/>
      <c r="D983" s="1"/>
      <c r="E983" s="1"/>
      <c r="F983" s="1"/>
      <c r="G983" s="1"/>
      <c r="H983" s="2"/>
      <c r="I983" s="3"/>
      <c r="J983" s="3"/>
      <c r="K983" s="3"/>
      <c r="L983" s="2"/>
      <c r="M983" s="2"/>
      <c r="N983" s="2"/>
      <c r="U983" s="2"/>
      <c r="V983" s="2"/>
      <c r="W983" s="4"/>
    </row>
    <row r="984" ht="15.75" customHeight="1">
      <c r="B984" s="1"/>
      <c r="C984" s="1"/>
      <c r="D984" s="1"/>
      <c r="E984" s="1"/>
      <c r="F984" s="1"/>
      <c r="G984" s="1"/>
      <c r="H984" s="2"/>
      <c r="I984" s="3"/>
      <c r="J984" s="3"/>
      <c r="K984" s="3"/>
      <c r="L984" s="2"/>
      <c r="M984" s="2"/>
      <c r="N984" s="2"/>
      <c r="U984" s="2"/>
      <c r="V984" s="2"/>
      <c r="W984" s="4"/>
    </row>
    <row r="985" ht="15.75" customHeight="1">
      <c r="B985" s="1"/>
      <c r="C985" s="1"/>
      <c r="D985" s="1"/>
      <c r="E985" s="1"/>
      <c r="F985" s="1"/>
      <c r="G985" s="1"/>
      <c r="H985" s="2"/>
      <c r="I985" s="3"/>
      <c r="J985" s="3"/>
      <c r="K985" s="3"/>
      <c r="L985" s="2"/>
      <c r="M985" s="2"/>
      <c r="N985" s="2"/>
      <c r="U985" s="2"/>
      <c r="V985" s="2"/>
      <c r="W985" s="4"/>
    </row>
    <row r="986" ht="15.75" customHeight="1">
      <c r="B986" s="1"/>
      <c r="C986" s="1"/>
      <c r="D986" s="1"/>
      <c r="E986" s="1"/>
      <c r="F986" s="1"/>
      <c r="G986" s="1"/>
      <c r="H986" s="2"/>
      <c r="I986" s="3"/>
      <c r="J986" s="3"/>
      <c r="K986" s="3"/>
      <c r="L986" s="2"/>
      <c r="M986" s="2"/>
      <c r="N986" s="2"/>
      <c r="U986" s="2"/>
      <c r="V986" s="2"/>
      <c r="W986" s="4"/>
    </row>
    <row r="987" ht="15.75" customHeight="1">
      <c r="B987" s="1"/>
      <c r="C987" s="1"/>
      <c r="D987" s="1"/>
      <c r="E987" s="1"/>
      <c r="F987" s="1"/>
      <c r="G987" s="1"/>
      <c r="H987" s="2"/>
      <c r="I987" s="3"/>
      <c r="J987" s="3"/>
      <c r="K987" s="3"/>
      <c r="L987" s="2"/>
      <c r="M987" s="2"/>
      <c r="N987" s="2"/>
      <c r="U987" s="2"/>
      <c r="V987" s="2"/>
      <c r="W987" s="4"/>
    </row>
    <row r="988" ht="15.75" customHeight="1">
      <c r="B988" s="1"/>
      <c r="C988" s="1"/>
      <c r="D988" s="1"/>
      <c r="E988" s="1"/>
      <c r="F988" s="1"/>
      <c r="G988" s="1"/>
      <c r="H988" s="2"/>
      <c r="I988" s="3"/>
      <c r="J988" s="3"/>
      <c r="K988" s="3"/>
      <c r="L988" s="2"/>
      <c r="M988" s="2"/>
      <c r="N988" s="2"/>
      <c r="U988" s="2"/>
      <c r="V988" s="2"/>
      <c r="W988" s="4"/>
    </row>
    <row r="989" ht="15.75" customHeight="1">
      <c r="B989" s="1"/>
      <c r="C989" s="1"/>
      <c r="D989" s="1"/>
      <c r="E989" s="1"/>
      <c r="F989" s="1"/>
      <c r="G989" s="1"/>
      <c r="H989" s="2"/>
      <c r="I989" s="3"/>
      <c r="J989" s="3"/>
      <c r="K989" s="3"/>
      <c r="L989" s="2"/>
      <c r="M989" s="2"/>
      <c r="N989" s="2"/>
      <c r="U989" s="2"/>
      <c r="V989" s="2"/>
      <c r="W989" s="4"/>
    </row>
    <row r="990" ht="15.75" customHeight="1">
      <c r="B990" s="1"/>
      <c r="C990" s="1"/>
      <c r="D990" s="1"/>
      <c r="E990" s="1"/>
      <c r="F990" s="1"/>
      <c r="G990" s="1"/>
      <c r="H990" s="2"/>
      <c r="I990" s="3"/>
      <c r="J990" s="3"/>
      <c r="K990" s="3"/>
      <c r="L990" s="2"/>
      <c r="M990" s="2"/>
      <c r="N990" s="2"/>
      <c r="U990" s="2"/>
      <c r="V990" s="2"/>
      <c r="W990" s="4"/>
    </row>
    <row r="991" ht="15.75" customHeight="1">
      <c r="B991" s="1"/>
      <c r="C991" s="1"/>
      <c r="D991" s="1"/>
      <c r="E991" s="1"/>
      <c r="F991" s="1"/>
      <c r="G991" s="1"/>
      <c r="H991" s="2"/>
      <c r="I991" s="3"/>
      <c r="J991" s="3"/>
      <c r="K991" s="3"/>
      <c r="L991" s="2"/>
      <c r="M991" s="2"/>
      <c r="N991" s="2"/>
      <c r="U991" s="2"/>
      <c r="V991" s="2"/>
      <c r="W991" s="4"/>
    </row>
    <row r="992" ht="15.75" customHeight="1">
      <c r="B992" s="1"/>
      <c r="C992" s="1"/>
      <c r="D992" s="1"/>
      <c r="E992" s="1"/>
      <c r="F992" s="1"/>
      <c r="G992" s="1"/>
      <c r="H992" s="2"/>
      <c r="I992" s="3"/>
      <c r="J992" s="3"/>
      <c r="K992" s="3"/>
      <c r="L992" s="2"/>
      <c r="M992" s="2"/>
      <c r="N992" s="2"/>
      <c r="U992" s="2"/>
      <c r="V992" s="2"/>
      <c r="W992" s="4"/>
    </row>
    <row r="993" ht="15.75" customHeight="1">
      <c r="B993" s="1"/>
      <c r="C993" s="1"/>
      <c r="D993" s="1"/>
      <c r="E993" s="1"/>
      <c r="F993" s="1"/>
      <c r="G993" s="1"/>
      <c r="H993" s="2"/>
      <c r="I993" s="3"/>
      <c r="J993" s="3"/>
      <c r="K993" s="3"/>
      <c r="L993" s="2"/>
      <c r="M993" s="2"/>
      <c r="N993" s="2"/>
      <c r="U993" s="2"/>
      <c r="V993" s="2"/>
      <c r="W993" s="4"/>
    </row>
    <row r="994" ht="15.75" customHeight="1">
      <c r="B994" s="1"/>
      <c r="C994" s="1"/>
      <c r="D994" s="1"/>
      <c r="E994" s="1"/>
      <c r="F994" s="1"/>
      <c r="G994" s="1"/>
      <c r="H994" s="2"/>
      <c r="I994" s="3"/>
      <c r="J994" s="3"/>
      <c r="K994" s="3"/>
      <c r="L994" s="2"/>
      <c r="M994" s="2"/>
      <c r="N994" s="2"/>
      <c r="U994" s="2"/>
      <c r="V994" s="2"/>
      <c r="W994" s="4"/>
    </row>
    <row r="995" ht="15.75" customHeight="1">
      <c r="B995" s="1"/>
      <c r="C995" s="1"/>
      <c r="D995" s="1"/>
      <c r="E995" s="1"/>
      <c r="F995" s="1"/>
      <c r="G995" s="1"/>
      <c r="H995" s="2"/>
      <c r="I995" s="3"/>
      <c r="J995" s="3"/>
      <c r="K995" s="3"/>
      <c r="L995" s="2"/>
      <c r="M995" s="2"/>
      <c r="N995" s="2"/>
      <c r="U995" s="2"/>
      <c r="V995" s="2"/>
      <c r="W995" s="4"/>
    </row>
    <row r="996" ht="15.75" customHeight="1">
      <c r="B996" s="1"/>
      <c r="C996" s="1"/>
      <c r="D996" s="1"/>
      <c r="E996" s="1"/>
      <c r="F996" s="1"/>
      <c r="G996" s="1"/>
      <c r="H996" s="2"/>
      <c r="I996" s="3"/>
      <c r="J996" s="3"/>
      <c r="K996" s="3"/>
      <c r="L996" s="2"/>
      <c r="M996" s="2"/>
      <c r="N996" s="2"/>
      <c r="U996" s="2"/>
      <c r="V996" s="2"/>
      <c r="W996" s="4"/>
    </row>
    <row r="997" ht="15.75" customHeight="1">
      <c r="B997" s="1"/>
      <c r="C997" s="1"/>
      <c r="D997" s="1"/>
      <c r="E997" s="1"/>
      <c r="F997" s="1"/>
      <c r="G997" s="1"/>
      <c r="H997" s="2"/>
      <c r="I997" s="3"/>
      <c r="J997" s="3"/>
      <c r="K997" s="3"/>
      <c r="L997" s="2"/>
      <c r="M997" s="2"/>
      <c r="N997" s="2"/>
      <c r="U997" s="2"/>
      <c r="V997" s="2"/>
      <c r="W997" s="4"/>
    </row>
    <row r="998" ht="15.75" customHeight="1">
      <c r="B998" s="1"/>
      <c r="C998" s="1"/>
      <c r="D998" s="1"/>
      <c r="E998" s="1"/>
      <c r="F998" s="1"/>
      <c r="G998" s="1"/>
      <c r="H998" s="2"/>
      <c r="I998" s="3"/>
      <c r="J998" s="3"/>
      <c r="K998" s="3"/>
      <c r="L998" s="2"/>
      <c r="M998" s="2"/>
      <c r="N998" s="2"/>
      <c r="U998" s="2"/>
      <c r="V998" s="2"/>
      <c r="W998" s="4"/>
    </row>
    <row r="999" ht="15.75" customHeight="1">
      <c r="B999" s="1"/>
      <c r="C999" s="1"/>
      <c r="D999" s="1"/>
      <c r="E999" s="1"/>
      <c r="F999" s="1"/>
      <c r="G999" s="1"/>
      <c r="H999" s="2"/>
      <c r="I999" s="3"/>
      <c r="J999" s="3"/>
      <c r="K999" s="3"/>
      <c r="L999" s="2"/>
      <c r="M999" s="2"/>
      <c r="N999" s="2"/>
      <c r="U999" s="2"/>
      <c r="V999" s="2"/>
      <c r="W999" s="4"/>
    </row>
    <row r="1000" ht="15.75" customHeight="1">
      <c r="B1000" s="1"/>
      <c r="C1000" s="1"/>
      <c r="D1000" s="1"/>
      <c r="E1000" s="1"/>
      <c r="F1000" s="1"/>
      <c r="G1000" s="1"/>
      <c r="H1000" s="2"/>
      <c r="I1000" s="3"/>
      <c r="J1000" s="3"/>
      <c r="K1000" s="3"/>
      <c r="L1000" s="2"/>
      <c r="M1000" s="2"/>
      <c r="N1000" s="2"/>
      <c r="U1000" s="2"/>
      <c r="V1000" s="2"/>
      <c r="W1000" s="4"/>
    </row>
    <row r="1001" ht="15.75" customHeight="1">
      <c r="B1001" s="1"/>
      <c r="C1001" s="1"/>
      <c r="D1001" s="1"/>
      <c r="E1001" s="1"/>
      <c r="F1001" s="1"/>
      <c r="G1001" s="1"/>
      <c r="H1001" s="2"/>
      <c r="I1001" s="3"/>
      <c r="J1001" s="3"/>
      <c r="K1001" s="3"/>
      <c r="L1001" s="2"/>
      <c r="M1001" s="2"/>
      <c r="N1001" s="2"/>
      <c r="U1001" s="2"/>
      <c r="V1001" s="2"/>
      <c r="W1001" s="4"/>
    </row>
    <row r="1002" ht="15.75" customHeight="1">
      <c r="B1002" s="1"/>
      <c r="C1002" s="1"/>
      <c r="D1002" s="1"/>
      <c r="E1002" s="1"/>
      <c r="F1002" s="1"/>
      <c r="G1002" s="1"/>
      <c r="H1002" s="2"/>
      <c r="I1002" s="3"/>
      <c r="J1002" s="3"/>
      <c r="K1002" s="3"/>
      <c r="L1002" s="2"/>
      <c r="M1002" s="2"/>
      <c r="N1002" s="2"/>
      <c r="U1002" s="2"/>
      <c r="V1002" s="2"/>
      <c r="W1002" s="4"/>
    </row>
    <row r="1003" ht="15.75" customHeight="1">
      <c r="B1003" s="1"/>
      <c r="C1003" s="1"/>
      <c r="D1003" s="1"/>
      <c r="E1003" s="1"/>
      <c r="F1003" s="1"/>
      <c r="G1003" s="1"/>
      <c r="H1003" s="2"/>
      <c r="I1003" s="3"/>
      <c r="J1003" s="3"/>
      <c r="K1003" s="3"/>
      <c r="L1003" s="2"/>
      <c r="M1003" s="2"/>
      <c r="N1003" s="2"/>
      <c r="U1003" s="2"/>
      <c r="V1003" s="2"/>
      <c r="W1003" s="4"/>
    </row>
    <row r="1004" ht="15.75" customHeight="1">
      <c r="B1004" s="1"/>
      <c r="C1004" s="1"/>
      <c r="D1004" s="1"/>
      <c r="E1004" s="1"/>
      <c r="F1004" s="1"/>
      <c r="G1004" s="1"/>
      <c r="H1004" s="2"/>
      <c r="I1004" s="3"/>
      <c r="J1004" s="3"/>
      <c r="K1004" s="3"/>
      <c r="L1004" s="2"/>
      <c r="M1004" s="2"/>
      <c r="N1004" s="2"/>
      <c r="U1004" s="2"/>
      <c r="V1004" s="2"/>
      <c r="W1004" s="4"/>
    </row>
    <row r="1005" ht="15.75" customHeight="1">
      <c r="B1005" s="1"/>
      <c r="C1005" s="1"/>
      <c r="D1005" s="1"/>
      <c r="E1005" s="1"/>
      <c r="F1005" s="1"/>
      <c r="G1005" s="1"/>
      <c r="H1005" s="2"/>
      <c r="I1005" s="3"/>
      <c r="J1005" s="3"/>
      <c r="K1005" s="3"/>
      <c r="L1005" s="2"/>
      <c r="M1005" s="2"/>
      <c r="N1005" s="2"/>
      <c r="U1005" s="2"/>
      <c r="V1005" s="2"/>
      <c r="W1005" s="4"/>
    </row>
    <row r="1006" ht="15.75" customHeight="1">
      <c r="B1006" s="1"/>
      <c r="C1006" s="1"/>
      <c r="D1006" s="1"/>
      <c r="E1006" s="1"/>
      <c r="F1006" s="1"/>
      <c r="G1006" s="1"/>
      <c r="H1006" s="2"/>
      <c r="I1006" s="3"/>
      <c r="J1006" s="3"/>
      <c r="K1006" s="3"/>
      <c r="L1006" s="2"/>
      <c r="M1006" s="2"/>
      <c r="N1006" s="2"/>
      <c r="U1006" s="2"/>
      <c r="V1006" s="2"/>
      <c r="W1006" s="4"/>
    </row>
    <row r="1007" ht="15.75" customHeight="1">
      <c r="B1007" s="1"/>
      <c r="C1007" s="1"/>
      <c r="D1007" s="1"/>
      <c r="E1007" s="1"/>
      <c r="F1007" s="1"/>
      <c r="G1007" s="1"/>
      <c r="H1007" s="2"/>
      <c r="I1007" s="3"/>
      <c r="J1007" s="3"/>
      <c r="K1007" s="3"/>
      <c r="L1007" s="2"/>
      <c r="M1007" s="2"/>
      <c r="N1007" s="2"/>
      <c r="U1007" s="2"/>
      <c r="V1007" s="2"/>
      <c r="W1007" s="4"/>
    </row>
    <row r="1008" ht="15.75" customHeight="1">
      <c r="B1008" s="1"/>
      <c r="C1008" s="1"/>
      <c r="D1008" s="1"/>
      <c r="E1008" s="1"/>
      <c r="F1008" s="1"/>
      <c r="G1008" s="1"/>
      <c r="H1008" s="2"/>
      <c r="I1008" s="3"/>
      <c r="J1008" s="3"/>
      <c r="K1008" s="3"/>
      <c r="L1008" s="2"/>
      <c r="M1008" s="2"/>
      <c r="N1008" s="2"/>
      <c r="U1008" s="2"/>
      <c r="V1008" s="2"/>
      <c r="W1008" s="4"/>
    </row>
    <row r="1009" ht="15.75" customHeight="1">
      <c r="B1009" s="1"/>
      <c r="C1009" s="1"/>
      <c r="D1009" s="1"/>
      <c r="E1009" s="1"/>
      <c r="F1009" s="1"/>
      <c r="G1009" s="1"/>
      <c r="H1009" s="2"/>
      <c r="I1009" s="3"/>
      <c r="J1009" s="3"/>
      <c r="K1009" s="3"/>
      <c r="L1009" s="2"/>
      <c r="M1009" s="2"/>
      <c r="N1009" s="2"/>
      <c r="U1009" s="2"/>
      <c r="V1009" s="2"/>
      <c r="W1009" s="4"/>
    </row>
    <row r="1010" ht="15.75" customHeight="1">
      <c r="B1010" s="1"/>
      <c r="C1010" s="1"/>
      <c r="D1010" s="1"/>
      <c r="E1010" s="1"/>
      <c r="F1010" s="1"/>
      <c r="G1010" s="1"/>
      <c r="H1010" s="2"/>
      <c r="I1010" s="3"/>
      <c r="J1010" s="3"/>
      <c r="K1010" s="3"/>
      <c r="L1010" s="2"/>
      <c r="M1010" s="2"/>
      <c r="N1010" s="2"/>
      <c r="U1010" s="2"/>
      <c r="V1010" s="2"/>
      <c r="W1010" s="4"/>
    </row>
  </sheetData>
  <mergeCells count="3">
    <mergeCell ref="C2:G2"/>
    <mergeCell ref="I2:M2"/>
    <mergeCell ref="O2:S2"/>
  </mergeCells>
  <dataValidations>
    <dataValidation type="list" allowBlank="1" showErrorMessage="1" sqref="H2:H3">
      <formula1>'Real GDL 2024'!$G$3:$G$14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.25"/>
    <col customWidth="1" hidden="1" min="2" max="2" width="12.0"/>
    <col customWidth="1" min="3" max="3" width="30.0"/>
    <col customWidth="1" min="4" max="4" width="9.38"/>
    <col customWidth="1" min="5" max="5" width="11.5"/>
    <col customWidth="1" min="6" max="6" width="5.88"/>
    <col customWidth="1" min="7" max="7" width="11.88"/>
    <col customWidth="1" min="8" max="8" width="10.88"/>
    <col customWidth="1" min="9" max="9" width="2.63"/>
    <col customWidth="1" min="10" max="10" width="10.0"/>
    <col customWidth="1" hidden="1" min="11" max="11" width="10.0"/>
    <col customWidth="1" min="12" max="12" width="10.0"/>
    <col customWidth="1" hidden="1" min="13" max="13" width="10.0"/>
    <col customWidth="1" min="14" max="14" width="10.0"/>
    <col customWidth="1" hidden="1" min="15" max="15" width="10.0"/>
    <col customWidth="1" min="16" max="16" width="10.0"/>
    <col customWidth="1" hidden="1" min="17" max="17" width="10.0"/>
    <col customWidth="1" min="18" max="18" width="10.0"/>
    <col customWidth="1" hidden="1" min="19" max="19" width="10.0"/>
    <col customWidth="1" min="20" max="20" width="10.0"/>
    <col customWidth="1" hidden="1" min="21" max="21" width="10.0"/>
    <col customWidth="1" min="22" max="22" width="10.0"/>
    <col customWidth="1" hidden="1" min="23" max="23" width="10.0"/>
    <col customWidth="1" min="24" max="24" width="10.0"/>
    <col customWidth="1" hidden="1" min="25" max="25" width="10.0"/>
    <col customWidth="1" min="26" max="26" width="10.0"/>
    <col customWidth="1" hidden="1" min="27" max="27" width="0.13"/>
    <col customWidth="1" hidden="1" min="29" max="29" width="0.13"/>
    <col customWidth="1" hidden="1" min="31" max="31" width="0.13"/>
    <col customWidth="1" hidden="1" min="33" max="33" width="0.13"/>
  </cols>
  <sheetData>
    <row r="1" ht="12.75" customHeight="1">
      <c r="A1" s="46"/>
      <c r="B1" s="46"/>
      <c r="C1" s="47" t="s">
        <v>49</v>
      </c>
      <c r="D1" s="47"/>
      <c r="E1" s="48"/>
      <c r="F1" s="49"/>
      <c r="G1" s="50"/>
      <c r="H1" s="48"/>
      <c r="I1" s="2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ht="12.75" customHeight="1">
      <c r="A2" s="46"/>
      <c r="B2" s="46"/>
      <c r="C2" s="46"/>
      <c r="D2" s="46"/>
      <c r="E2" s="48"/>
      <c r="F2" s="49"/>
      <c r="G2" s="51"/>
      <c r="H2" s="48"/>
      <c r="I2" s="52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>
      <c r="A3" s="46"/>
      <c r="B3" s="46"/>
      <c r="C3" s="53" t="s">
        <v>50</v>
      </c>
      <c r="D3" s="54" t="s">
        <v>2</v>
      </c>
      <c r="E3" s="55" t="s">
        <v>51</v>
      </c>
      <c r="F3" s="56" t="s">
        <v>52</v>
      </c>
      <c r="G3" s="55" t="s">
        <v>53</v>
      </c>
      <c r="H3" s="55" t="s">
        <v>54</v>
      </c>
      <c r="I3" s="2"/>
      <c r="J3" s="57">
        <v>46023.0</v>
      </c>
      <c r="K3" s="58">
        <v>46023.0</v>
      </c>
      <c r="L3" s="57">
        <v>46054.0</v>
      </c>
      <c r="M3" s="58">
        <v>46054.0</v>
      </c>
      <c r="N3" s="57">
        <v>46082.0</v>
      </c>
      <c r="O3" s="58">
        <v>46082.0</v>
      </c>
      <c r="P3" s="57">
        <v>46113.0</v>
      </c>
      <c r="Q3" s="58">
        <v>46113.0</v>
      </c>
      <c r="R3" s="57">
        <v>46143.0</v>
      </c>
      <c r="S3" s="58">
        <v>46143.0</v>
      </c>
      <c r="T3" s="57">
        <v>46174.0</v>
      </c>
      <c r="U3" s="58">
        <v>46174.0</v>
      </c>
      <c r="V3" s="57">
        <v>46204.0</v>
      </c>
      <c r="W3" s="58">
        <v>46204.0</v>
      </c>
      <c r="X3" s="57">
        <v>46235.0</v>
      </c>
      <c r="Y3" s="58">
        <v>46235.0</v>
      </c>
      <c r="Z3" s="57">
        <v>46266.0</v>
      </c>
      <c r="AA3" s="58">
        <v>46266.0</v>
      </c>
      <c r="AB3" s="57">
        <v>46296.0</v>
      </c>
      <c r="AC3" s="58">
        <v>46296.0</v>
      </c>
      <c r="AD3" s="57">
        <v>46327.0</v>
      </c>
      <c r="AE3" s="58">
        <v>46327.0</v>
      </c>
      <c r="AF3" s="57">
        <v>46357.0</v>
      </c>
      <c r="AG3" s="59">
        <v>46357.0</v>
      </c>
    </row>
    <row r="4" ht="12.0" customHeight="1">
      <c r="A4" s="46"/>
      <c r="B4" s="46" t="s">
        <v>55</v>
      </c>
      <c r="C4" s="60" t="s">
        <v>56</v>
      </c>
      <c r="D4" s="61">
        <v>448491.96</v>
      </c>
      <c r="E4" s="62">
        <v>432000.0</v>
      </c>
      <c r="F4" s="63">
        <f t="shared" ref="F4:F26" si="1">IFERROR(((E4/D4)-1),1)</f>
        <v>-0.03677203043</v>
      </c>
      <c r="G4" s="64" t="s">
        <v>57</v>
      </c>
      <c r="H4" s="62">
        <f t="shared" ref="H4:H25" si="2">E4/12</f>
        <v>36000</v>
      </c>
      <c r="I4" s="2"/>
      <c r="J4" s="65">
        <f t="shared" ref="J4:J25" si="3">H4</f>
        <v>36000</v>
      </c>
      <c r="K4" s="46"/>
      <c r="L4" s="65">
        <f t="shared" ref="L4:L25" si="4">J4</f>
        <v>36000</v>
      </c>
      <c r="M4" s="46"/>
      <c r="N4" s="65">
        <f t="shared" ref="N4:N25" si="5">L4</f>
        <v>36000</v>
      </c>
      <c r="O4" s="46"/>
      <c r="P4" s="65">
        <f t="shared" ref="P4:P25" si="6">N4</f>
        <v>36000</v>
      </c>
      <c r="Q4" s="46"/>
      <c r="R4" s="65">
        <f t="shared" ref="R4:R25" si="7">P4</f>
        <v>36000</v>
      </c>
      <c r="S4" s="46"/>
      <c r="T4" s="65">
        <f t="shared" ref="T4:T25" si="8">R4</f>
        <v>36000</v>
      </c>
      <c r="U4" s="46"/>
      <c r="V4" s="65">
        <f t="shared" ref="V4:V25" si="9">T4</f>
        <v>36000</v>
      </c>
      <c r="W4" s="46"/>
      <c r="X4" s="65">
        <f t="shared" ref="X4:X25" si="10">V4</f>
        <v>36000</v>
      </c>
      <c r="Y4" s="46"/>
      <c r="Z4" s="65">
        <f t="shared" ref="Z4:Z25" si="11">X4</f>
        <v>36000</v>
      </c>
      <c r="AB4" s="65">
        <f t="shared" ref="AB4:AB25" si="12">Z4</f>
        <v>36000</v>
      </c>
      <c r="AD4" s="65">
        <f t="shared" ref="AD4:AD25" si="13">AB4</f>
        <v>36000</v>
      </c>
      <c r="AF4" s="65">
        <f t="shared" ref="AF4:AF25" si="14">AD4</f>
        <v>36000</v>
      </c>
    </row>
    <row r="5" ht="12.75" customHeight="1">
      <c r="A5" s="46"/>
      <c r="B5" s="46" t="s">
        <v>58</v>
      </c>
      <c r="C5" s="60" t="s">
        <v>59</v>
      </c>
      <c r="D5" s="61">
        <v>17797.36</v>
      </c>
      <c r="E5" s="62">
        <v>19288.342788000005</v>
      </c>
      <c r="F5" s="63">
        <f t="shared" si="1"/>
        <v>0.08377550311</v>
      </c>
      <c r="G5" s="64" t="s">
        <v>57</v>
      </c>
      <c r="H5" s="62">
        <f t="shared" si="2"/>
        <v>1607.361899</v>
      </c>
      <c r="I5" s="2"/>
      <c r="J5" s="65">
        <f t="shared" si="3"/>
        <v>1607.361899</v>
      </c>
      <c r="K5" s="46"/>
      <c r="L5" s="65">
        <f t="shared" si="4"/>
        <v>1607.361899</v>
      </c>
      <c r="M5" s="46"/>
      <c r="N5" s="65">
        <f t="shared" si="5"/>
        <v>1607.361899</v>
      </c>
      <c r="O5" s="46"/>
      <c r="P5" s="65">
        <f t="shared" si="6"/>
        <v>1607.361899</v>
      </c>
      <c r="Q5" s="46"/>
      <c r="R5" s="65">
        <f t="shared" si="7"/>
        <v>1607.361899</v>
      </c>
      <c r="S5" s="46"/>
      <c r="T5" s="65">
        <f t="shared" si="8"/>
        <v>1607.361899</v>
      </c>
      <c r="U5" s="46"/>
      <c r="V5" s="65">
        <f t="shared" si="9"/>
        <v>1607.361899</v>
      </c>
      <c r="W5" s="46"/>
      <c r="X5" s="65">
        <f t="shared" si="10"/>
        <v>1607.361899</v>
      </c>
      <c r="Y5" s="46"/>
      <c r="Z5" s="65">
        <f t="shared" si="11"/>
        <v>1607.361899</v>
      </c>
      <c r="AB5" s="65">
        <f t="shared" si="12"/>
        <v>1607.361899</v>
      </c>
      <c r="AD5" s="65">
        <f t="shared" si="13"/>
        <v>1607.361899</v>
      </c>
      <c r="AF5" s="65">
        <f t="shared" si="14"/>
        <v>1607.361899</v>
      </c>
    </row>
    <row r="6" ht="12.75" customHeight="1">
      <c r="A6" s="46"/>
      <c r="B6" s="46" t="s">
        <v>60</v>
      </c>
      <c r="C6" s="60" t="s">
        <v>61</v>
      </c>
      <c r="D6" s="61">
        <v>17484.0</v>
      </c>
      <c r="E6" s="62">
        <v>18083.343904</v>
      </c>
      <c r="F6" s="63">
        <f t="shared" si="1"/>
        <v>0.0342795644</v>
      </c>
      <c r="G6" s="64" t="s">
        <v>57</v>
      </c>
      <c r="H6" s="62">
        <f t="shared" si="2"/>
        <v>1506.945325</v>
      </c>
      <c r="I6" s="2"/>
      <c r="J6" s="65">
        <f t="shared" si="3"/>
        <v>1506.945325</v>
      </c>
      <c r="K6" s="46"/>
      <c r="L6" s="65">
        <f t="shared" si="4"/>
        <v>1506.945325</v>
      </c>
      <c r="M6" s="46"/>
      <c r="N6" s="65">
        <f t="shared" si="5"/>
        <v>1506.945325</v>
      </c>
      <c r="O6" s="46"/>
      <c r="P6" s="65">
        <f t="shared" si="6"/>
        <v>1506.945325</v>
      </c>
      <c r="Q6" s="46"/>
      <c r="R6" s="65">
        <f t="shared" si="7"/>
        <v>1506.945325</v>
      </c>
      <c r="S6" s="46"/>
      <c r="T6" s="65">
        <f t="shared" si="8"/>
        <v>1506.945325</v>
      </c>
      <c r="U6" s="46"/>
      <c r="V6" s="65">
        <f t="shared" si="9"/>
        <v>1506.945325</v>
      </c>
      <c r="W6" s="46"/>
      <c r="X6" s="65">
        <f t="shared" si="10"/>
        <v>1506.945325</v>
      </c>
      <c r="Y6" s="46"/>
      <c r="Z6" s="65">
        <f t="shared" si="11"/>
        <v>1506.945325</v>
      </c>
      <c r="AB6" s="65">
        <f t="shared" si="12"/>
        <v>1506.945325</v>
      </c>
      <c r="AD6" s="65">
        <f t="shared" si="13"/>
        <v>1506.945325</v>
      </c>
      <c r="AF6" s="65">
        <f t="shared" si="14"/>
        <v>1506.945325</v>
      </c>
    </row>
    <row r="7" ht="12.75" customHeight="1">
      <c r="A7" s="46"/>
      <c r="B7" s="46" t="s">
        <v>62</v>
      </c>
      <c r="C7" s="60" t="s">
        <v>63</v>
      </c>
      <c r="D7" s="62">
        <v>0.0</v>
      </c>
      <c r="E7" s="62">
        <v>8904.0</v>
      </c>
      <c r="F7" s="63">
        <f t="shared" si="1"/>
        <v>1</v>
      </c>
      <c r="G7" s="66">
        <v>0.12</v>
      </c>
      <c r="H7" s="62">
        <f t="shared" si="2"/>
        <v>742</v>
      </c>
      <c r="I7" s="2"/>
      <c r="J7" s="65">
        <f t="shared" si="3"/>
        <v>742</v>
      </c>
      <c r="K7" s="46"/>
      <c r="L7" s="65">
        <f t="shared" si="4"/>
        <v>742</v>
      </c>
      <c r="M7" s="46"/>
      <c r="N7" s="65">
        <f t="shared" si="5"/>
        <v>742</v>
      </c>
      <c r="O7" s="46"/>
      <c r="P7" s="65">
        <f t="shared" si="6"/>
        <v>742</v>
      </c>
      <c r="Q7" s="46"/>
      <c r="R7" s="65">
        <f t="shared" si="7"/>
        <v>742</v>
      </c>
      <c r="S7" s="46"/>
      <c r="T7" s="65">
        <f t="shared" si="8"/>
        <v>742</v>
      </c>
      <c r="U7" s="46"/>
      <c r="V7" s="65">
        <f t="shared" si="9"/>
        <v>742</v>
      </c>
      <c r="W7" s="46"/>
      <c r="X7" s="65">
        <f t="shared" si="10"/>
        <v>742</v>
      </c>
      <c r="Y7" s="46"/>
      <c r="Z7" s="65">
        <f t="shared" si="11"/>
        <v>742</v>
      </c>
      <c r="AB7" s="65">
        <f t="shared" si="12"/>
        <v>742</v>
      </c>
      <c r="AD7" s="65">
        <f t="shared" si="13"/>
        <v>742</v>
      </c>
      <c r="AF7" s="65">
        <f t="shared" si="14"/>
        <v>742</v>
      </c>
    </row>
    <row r="8" ht="12.75" customHeight="1">
      <c r="A8" s="46"/>
      <c r="B8" s="46" t="s">
        <v>64</v>
      </c>
      <c r="C8" s="60" t="s">
        <v>65</v>
      </c>
      <c r="D8" s="61">
        <v>9493.16</v>
      </c>
      <c r="E8" s="62">
        <v>11414.942840000003</v>
      </c>
      <c r="F8" s="63">
        <f t="shared" si="1"/>
        <v>0.2024386864</v>
      </c>
      <c r="G8" s="66" t="s">
        <v>57</v>
      </c>
      <c r="H8" s="62">
        <f t="shared" si="2"/>
        <v>951.2452367</v>
      </c>
      <c r="I8" s="2"/>
      <c r="J8" s="65">
        <f t="shared" si="3"/>
        <v>951.2452367</v>
      </c>
      <c r="K8" s="46"/>
      <c r="L8" s="65">
        <f t="shared" si="4"/>
        <v>951.2452367</v>
      </c>
      <c r="M8" s="46"/>
      <c r="N8" s="65">
        <f t="shared" si="5"/>
        <v>951.2452367</v>
      </c>
      <c r="O8" s="46"/>
      <c r="P8" s="65">
        <f t="shared" si="6"/>
        <v>951.2452367</v>
      </c>
      <c r="Q8" s="46"/>
      <c r="R8" s="65">
        <f t="shared" si="7"/>
        <v>951.2452367</v>
      </c>
      <c r="S8" s="46"/>
      <c r="T8" s="65">
        <f t="shared" si="8"/>
        <v>951.2452367</v>
      </c>
      <c r="U8" s="46"/>
      <c r="V8" s="65">
        <f t="shared" si="9"/>
        <v>951.2452367</v>
      </c>
      <c r="W8" s="46"/>
      <c r="X8" s="65">
        <f t="shared" si="10"/>
        <v>951.2452367</v>
      </c>
      <c r="Y8" s="46"/>
      <c r="Z8" s="65">
        <f t="shared" si="11"/>
        <v>951.2452367</v>
      </c>
      <c r="AB8" s="65">
        <f t="shared" si="12"/>
        <v>951.2452367</v>
      </c>
      <c r="AD8" s="65">
        <f t="shared" si="13"/>
        <v>951.2452367</v>
      </c>
      <c r="AF8" s="65">
        <f t="shared" si="14"/>
        <v>951.2452367</v>
      </c>
    </row>
    <row r="9" ht="12.75" customHeight="1">
      <c r="A9" s="46"/>
      <c r="B9" s="46" t="s">
        <v>66</v>
      </c>
      <c r="C9" s="60" t="s">
        <v>67</v>
      </c>
      <c r="D9" s="61">
        <v>250.44</v>
      </c>
      <c r="E9" s="62">
        <v>245.04825599999998</v>
      </c>
      <c r="F9" s="63">
        <f t="shared" si="1"/>
        <v>-0.02152908481</v>
      </c>
      <c r="G9" s="66">
        <v>0.12</v>
      </c>
      <c r="H9" s="62">
        <f t="shared" si="2"/>
        <v>20.420688</v>
      </c>
      <c r="I9" s="2"/>
      <c r="J9" s="65">
        <f t="shared" si="3"/>
        <v>20.420688</v>
      </c>
      <c r="K9" s="46"/>
      <c r="L9" s="65">
        <f t="shared" si="4"/>
        <v>20.420688</v>
      </c>
      <c r="M9" s="46"/>
      <c r="N9" s="65">
        <f t="shared" si="5"/>
        <v>20.420688</v>
      </c>
      <c r="O9" s="46"/>
      <c r="P9" s="65">
        <f t="shared" si="6"/>
        <v>20.420688</v>
      </c>
      <c r="Q9" s="46"/>
      <c r="R9" s="65">
        <f t="shared" si="7"/>
        <v>20.420688</v>
      </c>
      <c r="S9" s="46"/>
      <c r="T9" s="65">
        <f t="shared" si="8"/>
        <v>20.420688</v>
      </c>
      <c r="U9" s="46"/>
      <c r="V9" s="65">
        <f t="shared" si="9"/>
        <v>20.420688</v>
      </c>
      <c r="W9" s="46"/>
      <c r="X9" s="65">
        <f t="shared" si="10"/>
        <v>20.420688</v>
      </c>
      <c r="Y9" s="46"/>
      <c r="Z9" s="65">
        <f t="shared" si="11"/>
        <v>20.420688</v>
      </c>
      <c r="AB9" s="65">
        <f t="shared" si="12"/>
        <v>20.420688</v>
      </c>
      <c r="AD9" s="65">
        <f t="shared" si="13"/>
        <v>20.420688</v>
      </c>
      <c r="AF9" s="65">
        <f t="shared" si="14"/>
        <v>20.420688</v>
      </c>
    </row>
    <row r="10" ht="12.75" customHeight="1">
      <c r="A10" s="46"/>
      <c r="B10" s="46" t="s">
        <v>68</v>
      </c>
      <c r="C10" s="60" t="s">
        <v>69</v>
      </c>
      <c r="D10" s="62">
        <v>0.0</v>
      </c>
      <c r="E10" s="62">
        <v>57461.328</v>
      </c>
      <c r="F10" s="63">
        <f t="shared" si="1"/>
        <v>1</v>
      </c>
      <c r="G10" s="66">
        <v>0.12</v>
      </c>
      <c r="H10" s="62">
        <f t="shared" si="2"/>
        <v>4788.444</v>
      </c>
      <c r="I10" s="2"/>
      <c r="J10" s="65">
        <f t="shared" si="3"/>
        <v>4788.444</v>
      </c>
      <c r="K10" s="46"/>
      <c r="L10" s="65">
        <f t="shared" si="4"/>
        <v>4788.444</v>
      </c>
      <c r="M10" s="46"/>
      <c r="N10" s="65">
        <f t="shared" si="5"/>
        <v>4788.444</v>
      </c>
      <c r="O10" s="46"/>
      <c r="P10" s="65">
        <f t="shared" si="6"/>
        <v>4788.444</v>
      </c>
      <c r="Q10" s="46"/>
      <c r="R10" s="65">
        <f t="shared" si="7"/>
        <v>4788.444</v>
      </c>
      <c r="S10" s="46"/>
      <c r="T10" s="65">
        <f t="shared" si="8"/>
        <v>4788.444</v>
      </c>
      <c r="U10" s="46"/>
      <c r="V10" s="65">
        <f t="shared" si="9"/>
        <v>4788.444</v>
      </c>
      <c r="W10" s="46"/>
      <c r="X10" s="65">
        <f t="shared" si="10"/>
        <v>4788.444</v>
      </c>
      <c r="Y10" s="46"/>
      <c r="Z10" s="65">
        <f t="shared" si="11"/>
        <v>4788.444</v>
      </c>
      <c r="AB10" s="65">
        <f t="shared" si="12"/>
        <v>4788.444</v>
      </c>
      <c r="AD10" s="65">
        <f t="shared" si="13"/>
        <v>4788.444</v>
      </c>
      <c r="AF10" s="65">
        <f t="shared" si="14"/>
        <v>4788.444</v>
      </c>
    </row>
    <row r="11" ht="12.75" customHeight="1">
      <c r="A11" s="46"/>
      <c r="B11" s="46" t="s">
        <v>70</v>
      </c>
      <c r="C11" s="60" t="s">
        <v>71</v>
      </c>
      <c r="D11" s="61">
        <v>95628.0</v>
      </c>
      <c r="E11" s="62">
        <v>93568.31999999999</v>
      </c>
      <c r="F11" s="63">
        <f t="shared" si="1"/>
        <v>-0.02153846154</v>
      </c>
      <c r="G11" s="66">
        <v>0.12</v>
      </c>
      <c r="H11" s="62">
        <f t="shared" si="2"/>
        <v>7797.36</v>
      </c>
      <c r="I11" s="2"/>
      <c r="J11" s="65">
        <f t="shared" si="3"/>
        <v>7797.36</v>
      </c>
      <c r="K11" s="46"/>
      <c r="L11" s="65">
        <f t="shared" si="4"/>
        <v>7797.36</v>
      </c>
      <c r="M11" s="46"/>
      <c r="N11" s="65">
        <f t="shared" si="5"/>
        <v>7797.36</v>
      </c>
      <c r="O11" s="46"/>
      <c r="P11" s="65">
        <f t="shared" si="6"/>
        <v>7797.36</v>
      </c>
      <c r="Q11" s="46"/>
      <c r="R11" s="65">
        <f t="shared" si="7"/>
        <v>7797.36</v>
      </c>
      <c r="S11" s="46"/>
      <c r="T11" s="65">
        <f t="shared" si="8"/>
        <v>7797.36</v>
      </c>
      <c r="U11" s="46"/>
      <c r="V11" s="65">
        <f t="shared" si="9"/>
        <v>7797.36</v>
      </c>
      <c r="W11" s="46"/>
      <c r="X11" s="65">
        <f t="shared" si="10"/>
        <v>7797.36</v>
      </c>
      <c r="Y11" s="46"/>
      <c r="Z11" s="65">
        <f t="shared" si="11"/>
        <v>7797.36</v>
      </c>
      <c r="AB11" s="65">
        <f t="shared" si="12"/>
        <v>7797.36</v>
      </c>
      <c r="AD11" s="65">
        <f t="shared" si="13"/>
        <v>7797.36</v>
      </c>
      <c r="AF11" s="65">
        <f t="shared" si="14"/>
        <v>7797.36</v>
      </c>
    </row>
    <row r="12" ht="12.75" customHeight="1">
      <c r="A12" s="46"/>
      <c r="B12" s="46" t="s">
        <v>72</v>
      </c>
      <c r="C12" s="60" t="s">
        <v>73</v>
      </c>
      <c r="D12" s="61">
        <v>57882.27</v>
      </c>
      <c r="E12" s="62">
        <v>87034.850664</v>
      </c>
      <c r="F12" s="63">
        <f t="shared" si="1"/>
        <v>0.5036530299</v>
      </c>
      <c r="G12" s="66">
        <v>0.12</v>
      </c>
      <c r="H12" s="62">
        <f t="shared" si="2"/>
        <v>7252.904222</v>
      </c>
      <c r="I12" s="2"/>
      <c r="J12" s="65">
        <f t="shared" si="3"/>
        <v>7252.904222</v>
      </c>
      <c r="K12" s="46"/>
      <c r="L12" s="65">
        <f t="shared" si="4"/>
        <v>7252.904222</v>
      </c>
      <c r="M12" s="46"/>
      <c r="N12" s="65">
        <f t="shared" si="5"/>
        <v>7252.904222</v>
      </c>
      <c r="O12" s="46"/>
      <c r="P12" s="65">
        <f t="shared" si="6"/>
        <v>7252.904222</v>
      </c>
      <c r="Q12" s="46"/>
      <c r="R12" s="65">
        <f t="shared" si="7"/>
        <v>7252.904222</v>
      </c>
      <c r="S12" s="46"/>
      <c r="T12" s="65">
        <f t="shared" si="8"/>
        <v>7252.904222</v>
      </c>
      <c r="U12" s="46"/>
      <c r="V12" s="65">
        <f t="shared" si="9"/>
        <v>7252.904222</v>
      </c>
      <c r="W12" s="46"/>
      <c r="X12" s="65">
        <f t="shared" si="10"/>
        <v>7252.904222</v>
      </c>
      <c r="Y12" s="46"/>
      <c r="Z12" s="65">
        <f t="shared" si="11"/>
        <v>7252.904222</v>
      </c>
      <c r="AB12" s="65">
        <f t="shared" si="12"/>
        <v>7252.904222</v>
      </c>
      <c r="AD12" s="65">
        <f t="shared" si="13"/>
        <v>7252.904222</v>
      </c>
      <c r="AF12" s="65">
        <f t="shared" si="14"/>
        <v>7252.904222</v>
      </c>
    </row>
    <row r="13" ht="12.75" customHeight="1">
      <c r="A13" s="46"/>
      <c r="B13" s="46" t="s">
        <v>74</v>
      </c>
      <c r="C13" s="60" t="s">
        <v>75</v>
      </c>
      <c r="D13" s="61">
        <v>49328.96</v>
      </c>
      <c r="E13" s="62">
        <v>50817.672000000006</v>
      </c>
      <c r="F13" s="63">
        <f t="shared" si="1"/>
        <v>0.03017926995</v>
      </c>
      <c r="G13" s="66">
        <v>0.12</v>
      </c>
      <c r="H13" s="62">
        <f t="shared" si="2"/>
        <v>4234.806</v>
      </c>
      <c r="I13" s="2"/>
      <c r="J13" s="65">
        <f t="shared" si="3"/>
        <v>4234.806</v>
      </c>
      <c r="K13" s="46"/>
      <c r="L13" s="65">
        <f t="shared" si="4"/>
        <v>4234.806</v>
      </c>
      <c r="M13" s="46"/>
      <c r="N13" s="65">
        <f t="shared" si="5"/>
        <v>4234.806</v>
      </c>
      <c r="O13" s="46"/>
      <c r="P13" s="65">
        <f t="shared" si="6"/>
        <v>4234.806</v>
      </c>
      <c r="Q13" s="46"/>
      <c r="R13" s="65">
        <f t="shared" si="7"/>
        <v>4234.806</v>
      </c>
      <c r="S13" s="46"/>
      <c r="T13" s="65">
        <f t="shared" si="8"/>
        <v>4234.806</v>
      </c>
      <c r="U13" s="46"/>
      <c r="V13" s="65">
        <f t="shared" si="9"/>
        <v>4234.806</v>
      </c>
      <c r="W13" s="46"/>
      <c r="X13" s="65">
        <f t="shared" si="10"/>
        <v>4234.806</v>
      </c>
      <c r="Y13" s="46"/>
      <c r="Z13" s="65">
        <f t="shared" si="11"/>
        <v>4234.806</v>
      </c>
      <c r="AB13" s="65">
        <f t="shared" si="12"/>
        <v>4234.806</v>
      </c>
      <c r="AD13" s="65">
        <f t="shared" si="13"/>
        <v>4234.806</v>
      </c>
      <c r="AF13" s="65">
        <f t="shared" si="14"/>
        <v>4234.806</v>
      </c>
    </row>
    <row r="14" ht="12.75" customHeight="1">
      <c r="A14" s="46"/>
      <c r="B14" s="46" t="s">
        <v>76</v>
      </c>
      <c r="C14" s="60" t="s">
        <v>77</v>
      </c>
      <c r="D14" s="61">
        <v>3230.76</v>
      </c>
      <c r="E14" s="62">
        <v>3161.1744000000003</v>
      </c>
      <c r="F14" s="63">
        <f t="shared" si="1"/>
        <v>-0.02153846154</v>
      </c>
      <c r="G14" s="66">
        <v>0.12</v>
      </c>
      <c r="H14" s="62">
        <f t="shared" si="2"/>
        <v>263.4312</v>
      </c>
      <c r="I14" s="2"/>
      <c r="J14" s="65">
        <f t="shared" si="3"/>
        <v>263.4312</v>
      </c>
      <c r="K14" s="46"/>
      <c r="L14" s="65">
        <f t="shared" si="4"/>
        <v>263.4312</v>
      </c>
      <c r="M14" s="46"/>
      <c r="N14" s="65">
        <f t="shared" si="5"/>
        <v>263.4312</v>
      </c>
      <c r="O14" s="46"/>
      <c r="P14" s="65">
        <f t="shared" si="6"/>
        <v>263.4312</v>
      </c>
      <c r="Q14" s="46"/>
      <c r="R14" s="65">
        <f t="shared" si="7"/>
        <v>263.4312</v>
      </c>
      <c r="S14" s="46"/>
      <c r="T14" s="65">
        <f t="shared" si="8"/>
        <v>263.4312</v>
      </c>
      <c r="U14" s="46"/>
      <c r="V14" s="65">
        <f t="shared" si="9"/>
        <v>263.4312</v>
      </c>
      <c r="W14" s="46"/>
      <c r="X14" s="65">
        <f t="shared" si="10"/>
        <v>263.4312</v>
      </c>
      <c r="Y14" s="46"/>
      <c r="Z14" s="65">
        <f t="shared" si="11"/>
        <v>263.4312</v>
      </c>
      <c r="AB14" s="65">
        <f t="shared" si="12"/>
        <v>263.4312</v>
      </c>
      <c r="AD14" s="65">
        <f t="shared" si="13"/>
        <v>263.4312</v>
      </c>
      <c r="AF14" s="65">
        <f t="shared" si="14"/>
        <v>263.4312</v>
      </c>
    </row>
    <row r="15" ht="12.75" customHeight="1">
      <c r="A15" s="46"/>
      <c r="B15" s="46" t="s">
        <v>78</v>
      </c>
      <c r="C15" s="60" t="s">
        <v>79</v>
      </c>
      <c r="D15" s="61">
        <v>1608.0</v>
      </c>
      <c r="E15" s="62">
        <v>1573.7184000000002</v>
      </c>
      <c r="F15" s="63">
        <f t="shared" si="1"/>
        <v>-0.02131940299</v>
      </c>
      <c r="G15" s="66">
        <v>0.12</v>
      </c>
      <c r="H15" s="62">
        <f t="shared" si="2"/>
        <v>131.1432</v>
      </c>
      <c r="I15" s="2"/>
      <c r="J15" s="65">
        <f t="shared" si="3"/>
        <v>131.1432</v>
      </c>
      <c r="K15" s="46"/>
      <c r="L15" s="65">
        <f t="shared" si="4"/>
        <v>131.1432</v>
      </c>
      <c r="M15" s="46"/>
      <c r="N15" s="65">
        <f t="shared" si="5"/>
        <v>131.1432</v>
      </c>
      <c r="O15" s="46"/>
      <c r="P15" s="65">
        <f t="shared" si="6"/>
        <v>131.1432</v>
      </c>
      <c r="Q15" s="46"/>
      <c r="R15" s="65">
        <f t="shared" si="7"/>
        <v>131.1432</v>
      </c>
      <c r="S15" s="46"/>
      <c r="T15" s="65">
        <f t="shared" si="8"/>
        <v>131.1432</v>
      </c>
      <c r="U15" s="46"/>
      <c r="V15" s="65">
        <f t="shared" si="9"/>
        <v>131.1432</v>
      </c>
      <c r="W15" s="46"/>
      <c r="X15" s="65">
        <f t="shared" si="10"/>
        <v>131.1432</v>
      </c>
      <c r="Y15" s="46"/>
      <c r="Z15" s="65">
        <f t="shared" si="11"/>
        <v>131.1432</v>
      </c>
      <c r="AB15" s="65">
        <f t="shared" si="12"/>
        <v>131.1432</v>
      </c>
      <c r="AD15" s="65">
        <f t="shared" si="13"/>
        <v>131.1432</v>
      </c>
      <c r="AF15" s="65">
        <f t="shared" si="14"/>
        <v>131.1432</v>
      </c>
    </row>
    <row r="16" ht="12.75" customHeight="1">
      <c r="A16" s="46"/>
      <c r="B16" s="46" t="s">
        <v>80</v>
      </c>
      <c r="C16" s="60" t="s">
        <v>81</v>
      </c>
      <c r="D16" s="61">
        <v>65005.2</v>
      </c>
      <c r="E16" s="62">
        <v>63605.088</v>
      </c>
      <c r="F16" s="63">
        <f t="shared" si="1"/>
        <v>-0.02153846154</v>
      </c>
      <c r="G16" s="66">
        <v>0.12</v>
      </c>
      <c r="H16" s="62">
        <f t="shared" si="2"/>
        <v>5300.424</v>
      </c>
      <c r="I16" s="2"/>
      <c r="J16" s="65">
        <f t="shared" si="3"/>
        <v>5300.424</v>
      </c>
      <c r="K16" s="46"/>
      <c r="L16" s="65">
        <f t="shared" si="4"/>
        <v>5300.424</v>
      </c>
      <c r="M16" s="46"/>
      <c r="N16" s="65">
        <f t="shared" si="5"/>
        <v>5300.424</v>
      </c>
      <c r="O16" s="46"/>
      <c r="P16" s="65">
        <f t="shared" si="6"/>
        <v>5300.424</v>
      </c>
      <c r="Q16" s="46"/>
      <c r="R16" s="65">
        <f t="shared" si="7"/>
        <v>5300.424</v>
      </c>
      <c r="S16" s="46"/>
      <c r="T16" s="65">
        <f t="shared" si="8"/>
        <v>5300.424</v>
      </c>
      <c r="U16" s="46"/>
      <c r="V16" s="65">
        <f t="shared" si="9"/>
        <v>5300.424</v>
      </c>
      <c r="W16" s="46"/>
      <c r="X16" s="65">
        <f t="shared" si="10"/>
        <v>5300.424</v>
      </c>
      <c r="Y16" s="46"/>
      <c r="Z16" s="65">
        <f t="shared" si="11"/>
        <v>5300.424</v>
      </c>
      <c r="AB16" s="65">
        <f t="shared" si="12"/>
        <v>5300.424</v>
      </c>
      <c r="AD16" s="65">
        <f t="shared" si="13"/>
        <v>5300.424</v>
      </c>
      <c r="AF16" s="65">
        <f t="shared" si="14"/>
        <v>5300.424</v>
      </c>
    </row>
    <row r="17" ht="12.75" customHeight="1">
      <c r="A17" s="46"/>
      <c r="B17" s="46" t="s">
        <v>82</v>
      </c>
      <c r="C17" s="60" t="s">
        <v>83</v>
      </c>
      <c r="D17" s="61">
        <v>6348.0</v>
      </c>
      <c r="E17" s="62">
        <v>6206.3424</v>
      </c>
      <c r="F17" s="63">
        <f t="shared" si="1"/>
        <v>-0.02231531191</v>
      </c>
      <c r="G17" s="66">
        <v>0.12</v>
      </c>
      <c r="H17" s="62">
        <f t="shared" si="2"/>
        <v>517.1952</v>
      </c>
      <c r="I17" s="2"/>
      <c r="J17" s="65">
        <f t="shared" si="3"/>
        <v>517.1952</v>
      </c>
      <c r="K17" s="46"/>
      <c r="L17" s="65">
        <f t="shared" si="4"/>
        <v>517.1952</v>
      </c>
      <c r="M17" s="46"/>
      <c r="N17" s="65">
        <f t="shared" si="5"/>
        <v>517.1952</v>
      </c>
      <c r="O17" s="46"/>
      <c r="P17" s="65">
        <f t="shared" si="6"/>
        <v>517.1952</v>
      </c>
      <c r="Q17" s="46"/>
      <c r="R17" s="65">
        <f t="shared" si="7"/>
        <v>517.1952</v>
      </c>
      <c r="S17" s="46"/>
      <c r="T17" s="65">
        <f t="shared" si="8"/>
        <v>517.1952</v>
      </c>
      <c r="U17" s="46"/>
      <c r="V17" s="65">
        <f t="shared" si="9"/>
        <v>517.1952</v>
      </c>
      <c r="W17" s="46"/>
      <c r="X17" s="65">
        <f t="shared" si="10"/>
        <v>517.1952</v>
      </c>
      <c r="Y17" s="46"/>
      <c r="Z17" s="65">
        <f t="shared" si="11"/>
        <v>517.1952</v>
      </c>
      <c r="AB17" s="65">
        <f t="shared" si="12"/>
        <v>517.1952</v>
      </c>
      <c r="AD17" s="65">
        <f t="shared" si="13"/>
        <v>517.1952</v>
      </c>
      <c r="AF17" s="65">
        <f t="shared" si="14"/>
        <v>517.1952</v>
      </c>
    </row>
    <row r="18" ht="12.75" customHeight="1">
      <c r="A18" s="46"/>
      <c r="B18" s="46" t="s">
        <v>84</v>
      </c>
      <c r="C18" s="60" t="s">
        <v>85</v>
      </c>
      <c r="D18" s="61">
        <v>50576.11</v>
      </c>
      <c r="E18" s="62">
        <v>48967.499664</v>
      </c>
      <c r="F18" s="63">
        <f t="shared" si="1"/>
        <v>-0.03180573468</v>
      </c>
      <c r="G18" s="66">
        <v>0.12</v>
      </c>
      <c r="H18" s="62">
        <f t="shared" si="2"/>
        <v>4080.624972</v>
      </c>
      <c r="I18" s="2"/>
      <c r="J18" s="65">
        <f t="shared" si="3"/>
        <v>4080.624972</v>
      </c>
      <c r="K18" s="46"/>
      <c r="L18" s="65">
        <f t="shared" si="4"/>
        <v>4080.624972</v>
      </c>
      <c r="M18" s="46"/>
      <c r="N18" s="65">
        <f t="shared" si="5"/>
        <v>4080.624972</v>
      </c>
      <c r="O18" s="46"/>
      <c r="P18" s="65">
        <f t="shared" si="6"/>
        <v>4080.624972</v>
      </c>
      <c r="Q18" s="46"/>
      <c r="R18" s="65">
        <f t="shared" si="7"/>
        <v>4080.624972</v>
      </c>
      <c r="S18" s="46"/>
      <c r="T18" s="65">
        <f t="shared" si="8"/>
        <v>4080.624972</v>
      </c>
      <c r="U18" s="46"/>
      <c r="V18" s="65">
        <f t="shared" si="9"/>
        <v>4080.624972</v>
      </c>
      <c r="W18" s="46"/>
      <c r="X18" s="65">
        <f t="shared" si="10"/>
        <v>4080.624972</v>
      </c>
      <c r="Y18" s="46"/>
      <c r="Z18" s="65">
        <f t="shared" si="11"/>
        <v>4080.624972</v>
      </c>
      <c r="AB18" s="65">
        <f t="shared" si="12"/>
        <v>4080.624972</v>
      </c>
      <c r="AD18" s="65">
        <f t="shared" si="13"/>
        <v>4080.624972</v>
      </c>
      <c r="AF18" s="65">
        <f t="shared" si="14"/>
        <v>4080.624972</v>
      </c>
    </row>
    <row r="19" ht="12.75" customHeight="1">
      <c r="A19" s="46"/>
      <c r="B19" s="46"/>
      <c r="C19" s="60" t="s">
        <v>86</v>
      </c>
      <c r="D19" s="61">
        <v>6782.23</v>
      </c>
      <c r="E19" s="62">
        <v>0.0</v>
      </c>
      <c r="F19" s="63">
        <f t="shared" si="1"/>
        <v>-1</v>
      </c>
      <c r="G19" s="66">
        <v>0.0</v>
      </c>
      <c r="H19" s="62">
        <f t="shared" si="2"/>
        <v>0</v>
      </c>
      <c r="I19" s="2"/>
      <c r="J19" s="65">
        <f t="shared" si="3"/>
        <v>0</v>
      </c>
      <c r="K19" s="46"/>
      <c r="L19" s="65">
        <f t="shared" si="4"/>
        <v>0</v>
      </c>
      <c r="M19" s="46"/>
      <c r="N19" s="65">
        <f t="shared" si="5"/>
        <v>0</v>
      </c>
      <c r="O19" s="46"/>
      <c r="P19" s="65">
        <f t="shared" si="6"/>
        <v>0</v>
      </c>
      <c r="Q19" s="46"/>
      <c r="R19" s="65">
        <f t="shared" si="7"/>
        <v>0</v>
      </c>
      <c r="S19" s="46"/>
      <c r="T19" s="65">
        <f t="shared" si="8"/>
        <v>0</v>
      </c>
      <c r="U19" s="46"/>
      <c r="V19" s="65">
        <f t="shared" si="9"/>
        <v>0</v>
      </c>
      <c r="W19" s="46"/>
      <c r="X19" s="65">
        <f t="shared" si="10"/>
        <v>0</v>
      </c>
      <c r="Y19" s="46"/>
      <c r="Z19" s="65">
        <f t="shared" si="11"/>
        <v>0</v>
      </c>
      <c r="AB19" s="65">
        <f t="shared" si="12"/>
        <v>0</v>
      </c>
      <c r="AD19" s="65">
        <f t="shared" si="13"/>
        <v>0</v>
      </c>
      <c r="AF19" s="65">
        <f t="shared" si="14"/>
        <v>0</v>
      </c>
    </row>
    <row r="20" ht="12.75" customHeight="1">
      <c r="A20" s="46"/>
      <c r="B20" s="46" t="s">
        <v>87</v>
      </c>
      <c r="C20" s="60" t="s">
        <v>88</v>
      </c>
      <c r="D20" s="61">
        <v>106629.56</v>
      </c>
      <c r="E20" s="62">
        <v>119174.12452799999</v>
      </c>
      <c r="F20" s="63">
        <f t="shared" si="1"/>
        <v>0.1176462186</v>
      </c>
      <c r="G20" s="66">
        <v>0.12</v>
      </c>
      <c r="H20" s="62">
        <f t="shared" si="2"/>
        <v>9931.177044</v>
      </c>
      <c r="I20" s="2"/>
      <c r="J20" s="65">
        <f t="shared" si="3"/>
        <v>9931.177044</v>
      </c>
      <c r="K20" s="46"/>
      <c r="L20" s="65">
        <f t="shared" si="4"/>
        <v>9931.177044</v>
      </c>
      <c r="M20" s="46"/>
      <c r="N20" s="65">
        <f t="shared" si="5"/>
        <v>9931.177044</v>
      </c>
      <c r="O20" s="46"/>
      <c r="P20" s="65">
        <f t="shared" si="6"/>
        <v>9931.177044</v>
      </c>
      <c r="Q20" s="46"/>
      <c r="R20" s="65">
        <f t="shared" si="7"/>
        <v>9931.177044</v>
      </c>
      <c r="S20" s="46"/>
      <c r="T20" s="65">
        <f t="shared" si="8"/>
        <v>9931.177044</v>
      </c>
      <c r="U20" s="46"/>
      <c r="V20" s="65">
        <f t="shared" si="9"/>
        <v>9931.177044</v>
      </c>
      <c r="W20" s="46"/>
      <c r="X20" s="65">
        <f t="shared" si="10"/>
        <v>9931.177044</v>
      </c>
      <c r="Y20" s="46"/>
      <c r="Z20" s="65">
        <f t="shared" si="11"/>
        <v>9931.177044</v>
      </c>
      <c r="AB20" s="65">
        <f t="shared" si="12"/>
        <v>9931.177044</v>
      </c>
      <c r="AD20" s="65">
        <f t="shared" si="13"/>
        <v>9931.177044</v>
      </c>
      <c r="AF20" s="65">
        <f t="shared" si="14"/>
        <v>9931.177044</v>
      </c>
    </row>
    <row r="21" ht="12.75" customHeight="1">
      <c r="A21" s="46"/>
      <c r="B21" s="46" t="s">
        <v>89</v>
      </c>
      <c r="C21" s="60" t="s">
        <v>90</v>
      </c>
      <c r="D21" s="61">
        <v>57714.01</v>
      </c>
      <c r="E21" s="62">
        <v>60362.541958</v>
      </c>
      <c r="F21" s="63">
        <f t="shared" si="1"/>
        <v>0.04589062444</v>
      </c>
      <c r="G21" s="66" t="s">
        <v>57</v>
      </c>
      <c r="H21" s="62">
        <f t="shared" si="2"/>
        <v>5030.21183</v>
      </c>
      <c r="I21" s="2"/>
      <c r="J21" s="65">
        <f t="shared" si="3"/>
        <v>5030.21183</v>
      </c>
      <c r="K21" s="46"/>
      <c r="L21" s="65">
        <f t="shared" si="4"/>
        <v>5030.21183</v>
      </c>
      <c r="M21" s="46"/>
      <c r="N21" s="65">
        <f t="shared" si="5"/>
        <v>5030.21183</v>
      </c>
      <c r="O21" s="46"/>
      <c r="P21" s="65">
        <f t="shared" si="6"/>
        <v>5030.21183</v>
      </c>
      <c r="Q21" s="46"/>
      <c r="R21" s="65">
        <f t="shared" si="7"/>
        <v>5030.21183</v>
      </c>
      <c r="S21" s="46"/>
      <c r="T21" s="65">
        <f t="shared" si="8"/>
        <v>5030.21183</v>
      </c>
      <c r="U21" s="46"/>
      <c r="V21" s="65">
        <f t="shared" si="9"/>
        <v>5030.21183</v>
      </c>
      <c r="W21" s="46"/>
      <c r="X21" s="65">
        <f t="shared" si="10"/>
        <v>5030.21183</v>
      </c>
      <c r="Y21" s="46"/>
      <c r="Z21" s="65">
        <f t="shared" si="11"/>
        <v>5030.21183</v>
      </c>
      <c r="AB21" s="65">
        <f t="shared" si="12"/>
        <v>5030.21183</v>
      </c>
      <c r="AD21" s="65">
        <f t="shared" si="13"/>
        <v>5030.21183</v>
      </c>
      <c r="AF21" s="65">
        <f t="shared" si="14"/>
        <v>5030.21183</v>
      </c>
    </row>
    <row r="22" ht="12.75" customHeight="1">
      <c r="A22" s="46"/>
      <c r="B22" s="46" t="s">
        <v>91</v>
      </c>
      <c r="C22" s="60" t="s">
        <v>92</v>
      </c>
      <c r="D22" s="61">
        <v>8591.83</v>
      </c>
      <c r="E22" s="62">
        <v>8406.804456</v>
      </c>
      <c r="F22" s="63">
        <f t="shared" si="1"/>
        <v>-0.02153505644</v>
      </c>
      <c r="G22" s="66">
        <v>0.12</v>
      </c>
      <c r="H22" s="62">
        <f t="shared" si="2"/>
        <v>700.567038</v>
      </c>
      <c r="I22" s="2"/>
      <c r="J22" s="65">
        <f t="shared" si="3"/>
        <v>700.567038</v>
      </c>
      <c r="K22" s="46"/>
      <c r="L22" s="65">
        <f t="shared" si="4"/>
        <v>700.567038</v>
      </c>
      <c r="M22" s="46"/>
      <c r="N22" s="65">
        <f t="shared" si="5"/>
        <v>700.567038</v>
      </c>
      <c r="O22" s="46"/>
      <c r="P22" s="65">
        <f t="shared" si="6"/>
        <v>700.567038</v>
      </c>
      <c r="Q22" s="46"/>
      <c r="R22" s="65">
        <f t="shared" si="7"/>
        <v>700.567038</v>
      </c>
      <c r="S22" s="46"/>
      <c r="T22" s="65">
        <f t="shared" si="8"/>
        <v>700.567038</v>
      </c>
      <c r="U22" s="46"/>
      <c r="V22" s="65">
        <f t="shared" si="9"/>
        <v>700.567038</v>
      </c>
      <c r="W22" s="46"/>
      <c r="X22" s="65">
        <f t="shared" si="10"/>
        <v>700.567038</v>
      </c>
      <c r="Y22" s="46"/>
      <c r="Z22" s="65">
        <f t="shared" si="11"/>
        <v>700.567038</v>
      </c>
      <c r="AB22" s="65">
        <f t="shared" si="12"/>
        <v>700.567038</v>
      </c>
      <c r="AD22" s="65">
        <f t="shared" si="13"/>
        <v>700.567038</v>
      </c>
      <c r="AF22" s="65">
        <f t="shared" si="14"/>
        <v>700.567038</v>
      </c>
    </row>
    <row r="23" ht="12.75" customHeight="1">
      <c r="A23" s="46"/>
      <c r="B23" s="46" t="s">
        <v>93</v>
      </c>
      <c r="C23" s="60" t="s">
        <v>94</v>
      </c>
      <c r="D23" s="62">
        <v>0.0</v>
      </c>
      <c r="E23" s="62">
        <v>91932.93504</v>
      </c>
      <c r="F23" s="63">
        <f t="shared" si="1"/>
        <v>1</v>
      </c>
      <c r="G23" s="66">
        <v>0.12</v>
      </c>
      <c r="H23" s="62">
        <f t="shared" si="2"/>
        <v>7661.07792</v>
      </c>
      <c r="I23" s="2"/>
      <c r="J23" s="65">
        <f t="shared" si="3"/>
        <v>7661.07792</v>
      </c>
      <c r="K23" s="46"/>
      <c r="L23" s="65">
        <f t="shared" si="4"/>
        <v>7661.07792</v>
      </c>
      <c r="M23" s="46"/>
      <c r="N23" s="65">
        <f t="shared" si="5"/>
        <v>7661.07792</v>
      </c>
      <c r="O23" s="46"/>
      <c r="P23" s="65">
        <f t="shared" si="6"/>
        <v>7661.07792</v>
      </c>
      <c r="Q23" s="46"/>
      <c r="R23" s="65">
        <f t="shared" si="7"/>
        <v>7661.07792</v>
      </c>
      <c r="S23" s="46"/>
      <c r="T23" s="65">
        <f t="shared" si="8"/>
        <v>7661.07792</v>
      </c>
      <c r="U23" s="46"/>
      <c r="V23" s="65">
        <f t="shared" si="9"/>
        <v>7661.07792</v>
      </c>
      <c r="W23" s="46"/>
      <c r="X23" s="65">
        <f t="shared" si="10"/>
        <v>7661.07792</v>
      </c>
      <c r="Y23" s="46"/>
      <c r="Z23" s="65">
        <f t="shared" si="11"/>
        <v>7661.07792</v>
      </c>
      <c r="AB23" s="65">
        <f t="shared" si="12"/>
        <v>7661.07792</v>
      </c>
      <c r="AD23" s="65">
        <f t="shared" si="13"/>
        <v>7661.07792</v>
      </c>
      <c r="AF23" s="65">
        <f t="shared" si="14"/>
        <v>7661.07792</v>
      </c>
    </row>
    <row r="24" ht="12.75" customHeight="1">
      <c r="A24" s="46"/>
      <c r="B24" s="46" t="s">
        <v>95</v>
      </c>
      <c r="C24" s="60" t="s">
        <v>96</v>
      </c>
      <c r="D24" s="62">
        <v>0.0</v>
      </c>
      <c r="E24" s="62">
        <v>108374.4</v>
      </c>
      <c r="F24" s="63">
        <f t="shared" si="1"/>
        <v>1</v>
      </c>
      <c r="G24" s="66">
        <v>0.12</v>
      </c>
      <c r="H24" s="62">
        <f t="shared" si="2"/>
        <v>9031.2</v>
      </c>
      <c r="I24" s="2"/>
      <c r="J24" s="65">
        <f t="shared" si="3"/>
        <v>9031.2</v>
      </c>
      <c r="K24" s="46"/>
      <c r="L24" s="65">
        <f t="shared" si="4"/>
        <v>9031.2</v>
      </c>
      <c r="M24" s="46"/>
      <c r="N24" s="65">
        <f t="shared" si="5"/>
        <v>9031.2</v>
      </c>
      <c r="O24" s="46"/>
      <c r="P24" s="65">
        <f t="shared" si="6"/>
        <v>9031.2</v>
      </c>
      <c r="Q24" s="46"/>
      <c r="R24" s="65">
        <f t="shared" si="7"/>
        <v>9031.2</v>
      </c>
      <c r="S24" s="46"/>
      <c r="T24" s="65">
        <f t="shared" si="8"/>
        <v>9031.2</v>
      </c>
      <c r="U24" s="46"/>
      <c r="V24" s="65">
        <f t="shared" si="9"/>
        <v>9031.2</v>
      </c>
      <c r="W24" s="46"/>
      <c r="X24" s="65">
        <f t="shared" si="10"/>
        <v>9031.2</v>
      </c>
      <c r="Y24" s="46"/>
      <c r="Z24" s="65">
        <f t="shared" si="11"/>
        <v>9031.2</v>
      </c>
      <c r="AB24" s="65">
        <f t="shared" si="12"/>
        <v>9031.2</v>
      </c>
      <c r="AD24" s="65">
        <f t="shared" si="13"/>
        <v>9031.2</v>
      </c>
      <c r="AF24" s="65">
        <f t="shared" si="14"/>
        <v>9031.2</v>
      </c>
    </row>
    <row r="25" ht="12.75" customHeight="1">
      <c r="A25" s="46"/>
      <c r="B25" s="46" t="s">
        <v>97</v>
      </c>
      <c r="C25" s="60" t="s">
        <v>98</v>
      </c>
      <c r="D25" s="61">
        <v>3024687.89</v>
      </c>
      <c r="E25" s="61">
        <v>3038397.51</v>
      </c>
      <c r="F25" s="63">
        <f t="shared" si="1"/>
        <v>0.004532573442</v>
      </c>
      <c r="G25" s="66">
        <v>0.12</v>
      </c>
      <c r="H25" s="62">
        <f t="shared" si="2"/>
        <v>253199.7925</v>
      </c>
      <c r="I25" s="2"/>
      <c r="J25" s="65">
        <f t="shared" si="3"/>
        <v>253199.7925</v>
      </c>
      <c r="K25" s="46"/>
      <c r="L25" s="65">
        <f t="shared" si="4"/>
        <v>253199.7925</v>
      </c>
      <c r="M25" s="46"/>
      <c r="N25" s="65">
        <f t="shared" si="5"/>
        <v>253199.7925</v>
      </c>
      <c r="O25" s="46"/>
      <c r="P25" s="65">
        <f t="shared" si="6"/>
        <v>253199.7925</v>
      </c>
      <c r="Q25" s="46"/>
      <c r="R25" s="65">
        <f t="shared" si="7"/>
        <v>253199.7925</v>
      </c>
      <c r="S25" s="46"/>
      <c r="T25" s="65">
        <f t="shared" si="8"/>
        <v>253199.7925</v>
      </c>
      <c r="U25" s="46"/>
      <c r="V25" s="65">
        <f t="shared" si="9"/>
        <v>253199.7925</v>
      </c>
      <c r="W25" s="46"/>
      <c r="X25" s="65">
        <f t="shared" si="10"/>
        <v>253199.7925</v>
      </c>
      <c r="Y25" s="46"/>
      <c r="Z25" s="65">
        <f t="shared" si="11"/>
        <v>253199.7925</v>
      </c>
      <c r="AB25" s="65">
        <f t="shared" si="12"/>
        <v>253199.7925</v>
      </c>
      <c r="AD25" s="65">
        <f t="shared" si="13"/>
        <v>253199.7925</v>
      </c>
      <c r="AF25" s="65">
        <f t="shared" si="14"/>
        <v>253199.7925</v>
      </c>
    </row>
    <row r="26" ht="12.75" customHeight="1">
      <c r="A26" s="46"/>
      <c r="B26" s="46"/>
      <c r="C26" s="67" t="s">
        <v>99</v>
      </c>
      <c r="D26" s="68">
        <f t="shared" ref="D26:E26" si="15">SUM(D4:D25)</f>
        <v>4027529.74</v>
      </c>
      <c r="E26" s="68">
        <f t="shared" si="15"/>
        <v>4328979.987</v>
      </c>
      <c r="F26" s="69">
        <f t="shared" si="1"/>
        <v>0.07484742926</v>
      </c>
      <c r="G26" s="70"/>
      <c r="H26" s="68">
        <f>SUM(H4:H25)</f>
        <v>360748.3323</v>
      </c>
      <c r="I26" s="2"/>
      <c r="J26" s="68">
        <f t="shared" ref="J26:AG26" si="16">SUM(J4:J25)</f>
        <v>360748.3323</v>
      </c>
      <c r="K26" s="68">
        <f t="shared" si="16"/>
        <v>0</v>
      </c>
      <c r="L26" s="68">
        <f t="shared" si="16"/>
        <v>360748.3323</v>
      </c>
      <c r="M26" s="68">
        <f t="shared" si="16"/>
        <v>0</v>
      </c>
      <c r="N26" s="68">
        <f t="shared" si="16"/>
        <v>360748.3323</v>
      </c>
      <c r="O26" s="68">
        <f t="shared" si="16"/>
        <v>0</v>
      </c>
      <c r="P26" s="68">
        <f t="shared" si="16"/>
        <v>360748.3323</v>
      </c>
      <c r="Q26" s="68">
        <f t="shared" si="16"/>
        <v>0</v>
      </c>
      <c r="R26" s="68">
        <f t="shared" si="16"/>
        <v>360748.3323</v>
      </c>
      <c r="S26" s="68">
        <f t="shared" si="16"/>
        <v>0</v>
      </c>
      <c r="T26" s="68">
        <f t="shared" si="16"/>
        <v>360748.3323</v>
      </c>
      <c r="U26" s="68">
        <f t="shared" si="16"/>
        <v>0</v>
      </c>
      <c r="V26" s="68">
        <f t="shared" si="16"/>
        <v>360748.3323</v>
      </c>
      <c r="W26" s="68">
        <f t="shared" si="16"/>
        <v>0</v>
      </c>
      <c r="X26" s="68">
        <f t="shared" si="16"/>
        <v>360748.3323</v>
      </c>
      <c r="Y26" s="68">
        <f t="shared" si="16"/>
        <v>0</v>
      </c>
      <c r="Z26" s="68">
        <f t="shared" si="16"/>
        <v>360748.3323</v>
      </c>
      <c r="AA26" s="68">
        <f t="shared" si="16"/>
        <v>0</v>
      </c>
      <c r="AB26" s="68">
        <f t="shared" si="16"/>
        <v>360748.3323</v>
      </c>
      <c r="AC26" s="68">
        <f t="shared" si="16"/>
        <v>0</v>
      </c>
      <c r="AD26" s="68">
        <f t="shared" si="16"/>
        <v>360748.3323</v>
      </c>
      <c r="AE26" s="68">
        <f t="shared" si="16"/>
        <v>0</v>
      </c>
      <c r="AF26" s="68">
        <f t="shared" si="16"/>
        <v>360748.3323</v>
      </c>
      <c r="AG26" s="68">
        <f t="shared" si="16"/>
        <v>0</v>
      </c>
    </row>
    <row r="27" ht="12.75" customHeight="1">
      <c r="A27" s="46"/>
      <c r="B27" s="46"/>
      <c r="C27" s="46"/>
      <c r="D27" s="46"/>
      <c r="E27" s="48"/>
      <c r="F27" s="49"/>
      <c r="G27" s="71"/>
      <c r="H27" s="48"/>
      <c r="I27" s="2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t="12.75" customHeight="1">
      <c r="A28" s="72"/>
      <c r="B28" s="46"/>
      <c r="C28" s="72"/>
      <c r="D28" s="72"/>
      <c r="E28" s="48"/>
      <c r="F28" s="49"/>
      <c r="G28" s="73"/>
      <c r="H28" s="48"/>
      <c r="I28" s="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12.75" customHeight="1">
      <c r="A29" s="46"/>
      <c r="B29" s="46"/>
      <c r="C29" s="46"/>
      <c r="D29" s="65"/>
      <c r="E29" s="48"/>
      <c r="F29" s="49"/>
      <c r="G29" s="51"/>
      <c r="H29" s="46"/>
      <c r="I29" s="2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t="12.75" customHeight="1">
      <c r="A30" s="46"/>
      <c r="B30" s="46"/>
      <c r="C30" s="46"/>
      <c r="D30" s="46"/>
      <c r="E30" s="48"/>
      <c r="F30" s="49"/>
      <c r="G30" s="51"/>
      <c r="H30" s="48"/>
      <c r="I30" s="2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t="12.75" customHeight="1">
      <c r="A31" s="46"/>
      <c r="B31" s="46"/>
      <c r="C31" s="46"/>
      <c r="D31" s="46"/>
      <c r="E31" s="48"/>
      <c r="F31" s="49"/>
      <c r="G31" s="51"/>
      <c r="H31" s="48"/>
      <c r="I31" s="2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2.75" customHeight="1">
      <c r="A32" s="46"/>
      <c r="B32" s="46"/>
      <c r="C32" s="46"/>
      <c r="D32" s="46"/>
      <c r="E32" s="48"/>
      <c r="F32" s="49"/>
      <c r="G32" s="51"/>
      <c r="H32" s="48"/>
      <c r="I32" s="2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2.75" customHeight="1">
      <c r="A33" s="46"/>
      <c r="B33" s="46"/>
      <c r="C33" s="46"/>
      <c r="D33" s="46"/>
      <c r="E33" s="48"/>
      <c r="F33" s="49"/>
      <c r="G33" s="51"/>
      <c r="H33" s="48"/>
      <c r="I33" s="2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2.75" customHeight="1">
      <c r="A34" s="46"/>
      <c r="B34" s="46"/>
      <c r="C34" s="46"/>
      <c r="D34" s="46"/>
      <c r="E34" s="48"/>
      <c r="F34" s="49"/>
      <c r="G34" s="51"/>
      <c r="H34" s="48"/>
      <c r="I34" s="2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2.75" customHeight="1">
      <c r="A35" s="46"/>
      <c r="B35" s="46"/>
      <c r="C35" s="46"/>
      <c r="D35" s="46"/>
      <c r="E35" s="48"/>
      <c r="F35" s="49"/>
      <c r="G35" s="51"/>
      <c r="H35" s="48"/>
      <c r="I35" s="2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2.75" customHeight="1">
      <c r="A36" s="46"/>
      <c r="B36" s="46"/>
      <c r="C36" s="46"/>
      <c r="D36" s="46"/>
      <c r="E36" s="48"/>
      <c r="F36" s="49"/>
      <c r="G36" s="51"/>
      <c r="H36" s="48"/>
      <c r="I36" s="2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2.75" customHeight="1">
      <c r="A37" s="46"/>
      <c r="B37" s="46"/>
      <c r="C37" s="46"/>
      <c r="D37" s="46"/>
      <c r="E37" s="48"/>
      <c r="F37" s="49"/>
      <c r="G37" s="51"/>
      <c r="H37" s="48"/>
      <c r="I37" s="2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2.75" customHeight="1">
      <c r="A38" s="46"/>
      <c r="B38" s="46"/>
      <c r="C38" s="46"/>
      <c r="D38" s="46"/>
      <c r="E38" s="48"/>
      <c r="F38" s="49"/>
      <c r="G38" s="51"/>
      <c r="H38" s="48"/>
      <c r="I38" s="2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12.75" customHeight="1">
      <c r="A39" s="46"/>
      <c r="B39" s="46"/>
      <c r="C39" s="46"/>
      <c r="D39" s="46"/>
      <c r="E39" s="48"/>
      <c r="F39" s="49"/>
      <c r="G39" s="51"/>
      <c r="H39" s="48"/>
      <c r="I39" s="2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12.75" customHeight="1">
      <c r="A40" s="46"/>
      <c r="B40" s="46"/>
      <c r="C40" s="46"/>
      <c r="D40" s="46"/>
      <c r="E40" s="48"/>
      <c r="F40" s="49"/>
      <c r="G40" s="51"/>
      <c r="H40" s="48"/>
      <c r="I40" s="2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ht="12.75" customHeight="1">
      <c r="A41" s="46"/>
      <c r="B41" s="46"/>
      <c r="C41" s="46"/>
      <c r="D41" s="46"/>
      <c r="E41" s="48"/>
      <c r="F41" s="49"/>
      <c r="G41" s="51"/>
      <c r="H41" s="48"/>
      <c r="I41" s="2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ht="12.75" customHeight="1">
      <c r="A42" s="46"/>
      <c r="B42" s="46"/>
      <c r="C42" s="46"/>
      <c r="D42" s="46"/>
      <c r="E42" s="48"/>
      <c r="F42" s="49"/>
      <c r="G42" s="51"/>
      <c r="H42" s="48"/>
      <c r="I42" s="2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ht="12.75" customHeight="1">
      <c r="A43" s="46"/>
      <c r="B43" s="46"/>
      <c r="C43" s="46"/>
      <c r="D43" s="46"/>
      <c r="E43" s="48"/>
      <c r="F43" s="49"/>
      <c r="G43" s="51"/>
      <c r="H43" s="48"/>
      <c r="I43" s="2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ht="12.75" customHeight="1">
      <c r="A44" s="46"/>
      <c r="B44" s="46"/>
      <c r="C44" s="46"/>
      <c r="D44" s="46"/>
      <c r="E44" s="48"/>
      <c r="F44" s="49"/>
      <c r="G44" s="51"/>
      <c r="H44" s="48"/>
      <c r="I44" s="2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ht="12.75" customHeight="1">
      <c r="A45" s="46"/>
      <c r="B45" s="46"/>
      <c r="C45" s="46"/>
      <c r="D45" s="46"/>
      <c r="E45" s="48"/>
      <c r="F45" s="49"/>
      <c r="G45" s="51"/>
      <c r="H45" s="48"/>
      <c r="I45" s="2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ht="12.75" customHeight="1">
      <c r="A46" s="46"/>
      <c r="B46" s="46"/>
      <c r="C46" s="46"/>
      <c r="D46" s="46"/>
      <c r="E46" s="48"/>
      <c r="F46" s="49"/>
      <c r="G46" s="51"/>
      <c r="H46" s="48"/>
      <c r="I46" s="2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ht="12.75" customHeight="1">
      <c r="A47" s="46"/>
      <c r="B47" s="46"/>
      <c r="C47" s="46"/>
      <c r="D47" s="46"/>
      <c r="E47" s="48"/>
      <c r="F47" s="49"/>
      <c r="G47" s="51"/>
      <c r="H47" s="48"/>
      <c r="I47" s="2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ht="12.75" customHeight="1">
      <c r="A48" s="46"/>
      <c r="B48" s="46"/>
      <c r="C48" s="46"/>
      <c r="D48" s="46"/>
      <c r="E48" s="48"/>
      <c r="F48" s="49"/>
      <c r="G48" s="51"/>
      <c r="H48" s="48"/>
      <c r="I48" s="2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ht="12.75" customHeight="1">
      <c r="A49" s="46"/>
      <c r="B49" s="46"/>
      <c r="C49" s="46"/>
      <c r="D49" s="46"/>
      <c r="E49" s="48"/>
      <c r="F49" s="49"/>
      <c r="G49" s="51"/>
      <c r="H49" s="48"/>
      <c r="I49" s="2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ht="12.75" customHeight="1">
      <c r="A50" s="46"/>
      <c r="B50" s="46"/>
      <c r="C50" s="46"/>
      <c r="D50" s="46"/>
      <c r="E50" s="48"/>
      <c r="F50" s="49"/>
      <c r="G50" s="51"/>
      <c r="H50" s="48"/>
      <c r="I50" s="2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ht="12.75" customHeight="1">
      <c r="A51" s="46"/>
      <c r="B51" s="46"/>
      <c r="C51" s="46"/>
      <c r="D51" s="46"/>
      <c r="E51" s="48"/>
      <c r="F51" s="49"/>
      <c r="G51" s="51"/>
      <c r="H51" s="48"/>
      <c r="I51" s="2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t="12.75" customHeight="1">
      <c r="A52" s="46"/>
      <c r="B52" s="46"/>
      <c r="C52" s="46"/>
      <c r="D52" s="46"/>
      <c r="E52" s="48"/>
      <c r="F52" s="49"/>
      <c r="G52" s="51"/>
      <c r="H52" s="48"/>
      <c r="I52" s="2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12.75" customHeight="1">
      <c r="A53" s="46"/>
      <c r="B53" s="46"/>
      <c r="C53" s="46"/>
      <c r="D53" s="46"/>
      <c r="E53" s="48"/>
      <c r="F53" s="49"/>
      <c r="G53" s="51"/>
      <c r="H53" s="48"/>
      <c r="I53" s="2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12.75" customHeight="1">
      <c r="A54" s="46"/>
      <c r="B54" s="46"/>
      <c r="C54" s="46"/>
      <c r="D54" s="46"/>
      <c r="E54" s="48"/>
      <c r="F54" s="49"/>
      <c r="G54" s="51"/>
      <c r="H54" s="48"/>
      <c r="I54" s="2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2.75" customHeight="1">
      <c r="A55" s="46"/>
      <c r="B55" s="46"/>
      <c r="C55" s="46"/>
      <c r="D55" s="46"/>
      <c r="E55" s="48"/>
      <c r="F55" s="49"/>
      <c r="G55" s="51"/>
      <c r="H55" s="48"/>
      <c r="I55" s="2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2.75" customHeight="1">
      <c r="A56" s="46"/>
      <c r="B56" s="46"/>
      <c r="C56" s="46"/>
      <c r="D56" s="46"/>
      <c r="E56" s="48"/>
      <c r="F56" s="49"/>
      <c r="G56" s="51"/>
      <c r="H56" s="48"/>
      <c r="I56" s="2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12.75" customHeight="1">
      <c r="A57" s="46"/>
      <c r="B57" s="46"/>
      <c r="C57" s="46"/>
      <c r="D57" s="46"/>
      <c r="E57" s="48"/>
      <c r="F57" s="49"/>
      <c r="G57" s="51"/>
      <c r="H57" s="48"/>
      <c r="I57" s="2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2.75" customHeight="1">
      <c r="A58" s="46"/>
      <c r="B58" s="46"/>
      <c r="C58" s="46"/>
      <c r="D58" s="46"/>
      <c r="E58" s="48"/>
      <c r="F58" s="49"/>
      <c r="G58" s="51"/>
      <c r="H58" s="48"/>
      <c r="I58" s="2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2.75" customHeight="1">
      <c r="A59" s="46"/>
      <c r="B59" s="46"/>
      <c r="C59" s="46"/>
      <c r="D59" s="46"/>
      <c r="E59" s="48"/>
      <c r="F59" s="49"/>
      <c r="G59" s="51"/>
      <c r="H59" s="48"/>
      <c r="I59" s="2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2.75" customHeight="1">
      <c r="A60" s="46"/>
      <c r="B60" s="46"/>
      <c r="C60" s="46"/>
      <c r="D60" s="46"/>
      <c r="E60" s="48"/>
      <c r="F60" s="49"/>
      <c r="G60" s="51"/>
      <c r="H60" s="48"/>
      <c r="I60" s="2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2.75" customHeight="1">
      <c r="A61" s="46"/>
      <c r="B61" s="46"/>
      <c r="C61" s="46"/>
      <c r="D61" s="46"/>
      <c r="E61" s="48"/>
      <c r="F61" s="49"/>
      <c r="G61" s="51"/>
      <c r="H61" s="48"/>
      <c r="I61" s="2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2.75" customHeight="1">
      <c r="A62" s="46"/>
      <c r="B62" s="46"/>
      <c r="C62" s="46"/>
      <c r="D62" s="46"/>
      <c r="E62" s="48"/>
      <c r="F62" s="49"/>
      <c r="G62" s="51"/>
      <c r="H62" s="48"/>
      <c r="I62" s="2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2.75" customHeight="1">
      <c r="A63" s="46"/>
      <c r="B63" s="46"/>
      <c r="C63" s="46"/>
      <c r="D63" s="46"/>
      <c r="E63" s="48"/>
      <c r="F63" s="49"/>
      <c r="G63" s="51"/>
      <c r="H63" s="48"/>
      <c r="I63" s="2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12.75" customHeight="1">
      <c r="A64" s="46"/>
      <c r="B64" s="46"/>
      <c r="C64" s="46"/>
      <c r="D64" s="46"/>
      <c r="E64" s="48"/>
      <c r="F64" s="49"/>
      <c r="G64" s="51"/>
      <c r="H64" s="48"/>
      <c r="I64" s="2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12.75" customHeight="1">
      <c r="A65" s="46"/>
      <c r="B65" s="46"/>
      <c r="C65" s="46"/>
      <c r="D65" s="46"/>
      <c r="E65" s="48"/>
      <c r="F65" s="49"/>
      <c r="G65" s="51"/>
      <c r="H65" s="48"/>
      <c r="I65" s="2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2.75" customHeight="1">
      <c r="A66" s="46"/>
      <c r="B66" s="46"/>
      <c r="C66" s="46"/>
      <c r="D66" s="46"/>
      <c r="E66" s="48"/>
      <c r="F66" s="49"/>
      <c r="G66" s="51"/>
      <c r="H66" s="48"/>
      <c r="I66" s="2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2.75" customHeight="1">
      <c r="A67" s="46"/>
      <c r="B67" s="46"/>
      <c r="C67" s="46"/>
      <c r="D67" s="46"/>
      <c r="E67" s="48"/>
      <c r="F67" s="49"/>
      <c r="G67" s="51"/>
      <c r="H67" s="48"/>
      <c r="I67" s="2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2.75" customHeight="1">
      <c r="A68" s="46"/>
      <c r="B68" s="46"/>
      <c r="C68" s="46"/>
      <c r="D68" s="46"/>
      <c r="E68" s="48"/>
      <c r="F68" s="49"/>
      <c r="G68" s="51"/>
      <c r="H68" s="48"/>
      <c r="I68" s="2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2.75" customHeight="1">
      <c r="A69" s="46"/>
      <c r="B69" s="46"/>
      <c r="C69" s="46"/>
      <c r="D69" s="46"/>
      <c r="E69" s="48"/>
      <c r="F69" s="49"/>
      <c r="G69" s="51"/>
      <c r="H69" s="48"/>
      <c r="I69" s="2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t="12.75" customHeight="1">
      <c r="A70" s="46"/>
      <c r="B70" s="46"/>
      <c r="C70" s="46"/>
      <c r="D70" s="46"/>
      <c r="E70" s="48"/>
      <c r="F70" s="49"/>
      <c r="G70" s="51"/>
      <c r="H70" s="48"/>
      <c r="I70" s="2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12.75" customHeight="1">
      <c r="A71" s="46"/>
      <c r="B71" s="46"/>
      <c r="C71" s="46"/>
      <c r="D71" s="46"/>
      <c r="E71" s="48"/>
      <c r="F71" s="49"/>
      <c r="G71" s="51"/>
      <c r="H71" s="48"/>
      <c r="I71" s="2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t="12.75" customHeight="1">
      <c r="A72" s="46"/>
      <c r="B72" s="46"/>
      <c r="C72" s="46"/>
      <c r="D72" s="46"/>
      <c r="E72" s="48"/>
      <c r="F72" s="49"/>
      <c r="G72" s="51"/>
      <c r="H72" s="48"/>
      <c r="I72" s="2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12.75" customHeight="1">
      <c r="A73" s="46"/>
      <c r="B73" s="46"/>
      <c r="C73" s="46"/>
      <c r="D73" s="46"/>
      <c r="E73" s="48"/>
      <c r="F73" s="49"/>
      <c r="G73" s="51"/>
      <c r="H73" s="48"/>
      <c r="I73" s="2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12.75" customHeight="1">
      <c r="A74" s="46"/>
      <c r="B74" s="46"/>
      <c r="C74" s="46"/>
      <c r="D74" s="46"/>
      <c r="E74" s="48"/>
      <c r="F74" s="49"/>
      <c r="G74" s="51"/>
      <c r="H74" s="48"/>
      <c r="I74" s="2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2.75" customHeight="1">
      <c r="A75" s="46"/>
      <c r="B75" s="46"/>
      <c r="C75" s="46"/>
      <c r="D75" s="46"/>
      <c r="E75" s="48"/>
      <c r="F75" s="49"/>
      <c r="G75" s="51"/>
      <c r="H75" s="48"/>
      <c r="I75" s="2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2.75" customHeight="1">
      <c r="A76" s="46"/>
      <c r="B76" s="46"/>
      <c r="C76" s="46"/>
      <c r="D76" s="46"/>
      <c r="E76" s="48"/>
      <c r="F76" s="49"/>
      <c r="G76" s="51"/>
      <c r="H76" s="48"/>
      <c r="I76" s="2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12.75" customHeight="1">
      <c r="A77" s="46"/>
      <c r="B77" s="46"/>
      <c r="C77" s="46"/>
      <c r="D77" s="46"/>
      <c r="E77" s="48"/>
      <c r="F77" s="49"/>
      <c r="G77" s="51"/>
      <c r="H77" s="48"/>
      <c r="I77" s="2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2.75" customHeight="1">
      <c r="A78" s="46"/>
      <c r="B78" s="46"/>
      <c r="C78" s="46"/>
      <c r="D78" s="46"/>
      <c r="E78" s="48"/>
      <c r="F78" s="49"/>
      <c r="G78" s="51"/>
      <c r="H78" s="48"/>
      <c r="I78" s="2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2.75" customHeight="1">
      <c r="A79" s="46"/>
      <c r="B79" s="46"/>
      <c r="C79" s="46"/>
      <c r="D79" s="46"/>
      <c r="E79" s="48"/>
      <c r="F79" s="49"/>
      <c r="G79" s="51"/>
      <c r="H79" s="48"/>
      <c r="I79" s="2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2.75" customHeight="1">
      <c r="A80" s="46"/>
      <c r="B80" s="46"/>
      <c r="C80" s="46"/>
      <c r="D80" s="46"/>
      <c r="E80" s="48"/>
      <c r="F80" s="49"/>
      <c r="G80" s="51"/>
      <c r="H80" s="48"/>
      <c r="I80" s="2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2.75" customHeight="1">
      <c r="A81" s="46"/>
      <c r="B81" s="46"/>
      <c r="C81" s="46"/>
      <c r="D81" s="46"/>
      <c r="E81" s="48"/>
      <c r="F81" s="49"/>
      <c r="G81" s="51"/>
      <c r="H81" s="48"/>
      <c r="I81" s="2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2.75" customHeight="1">
      <c r="A82" s="46"/>
      <c r="B82" s="46"/>
      <c r="C82" s="46"/>
      <c r="D82" s="46"/>
      <c r="E82" s="48"/>
      <c r="F82" s="49"/>
      <c r="G82" s="51"/>
      <c r="H82" s="48"/>
      <c r="I82" s="2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2.75" customHeight="1">
      <c r="A83" s="46"/>
      <c r="B83" s="46"/>
      <c r="C83" s="46"/>
      <c r="D83" s="46"/>
      <c r="E83" s="48"/>
      <c r="F83" s="49"/>
      <c r="G83" s="51"/>
      <c r="H83" s="48"/>
      <c r="I83" s="2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2.75" customHeight="1">
      <c r="A84" s="46"/>
      <c r="B84" s="46"/>
      <c r="C84" s="46"/>
      <c r="D84" s="46"/>
      <c r="E84" s="48"/>
      <c r="F84" s="49"/>
      <c r="G84" s="51"/>
      <c r="H84" s="48"/>
      <c r="I84" s="2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2.75" customHeight="1">
      <c r="A85" s="46"/>
      <c r="B85" s="46"/>
      <c r="C85" s="46"/>
      <c r="D85" s="46"/>
      <c r="E85" s="48"/>
      <c r="F85" s="49"/>
      <c r="G85" s="51"/>
      <c r="H85" s="48"/>
      <c r="I85" s="2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2.75" customHeight="1">
      <c r="A86" s="46"/>
      <c r="B86" s="46"/>
      <c r="C86" s="46"/>
      <c r="D86" s="46"/>
      <c r="E86" s="48"/>
      <c r="F86" s="49"/>
      <c r="G86" s="51"/>
      <c r="H86" s="48"/>
      <c r="I86" s="2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2.75" customHeight="1">
      <c r="A87" s="46"/>
      <c r="B87" s="46"/>
      <c r="C87" s="46"/>
      <c r="D87" s="46"/>
      <c r="E87" s="48"/>
      <c r="F87" s="49"/>
      <c r="G87" s="51"/>
      <c r="H87" s="48"/>
      <c r="I87" s="2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2.75" customHeight="1">
      <c r="A88" s="46"/>
      <c r="B88" s="46"/>
      <c r="C88" s="46"/>
      <c r="D88" s="46"/>
      <c r="E88" s="48"/>
      <c r="F88" s="49"/>
      <c r="G88" s="51"/>
      <c r="H88" s="48"/>
      <c r="I88" s="2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2.75" customHeight="1">
      <c r="A89" s="46"/>
      <c r="B89" s="46"/>
      <c r="C89" s="46"/>
      <c r="D89" s="46"/>
      <c r="E89" s="48"/>
      <c r="F89" s="49"/>
      <c r="G89" s="51"/>
      <c r="H89" s="48"/>
      <c r="I89" s="2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2.75" customHeight="1">
      <c r="A90" s="46"/>
      <c r="B90" s="46"/>
      <c r="C90" s="46"/>
      <c r="D90" s="46"/>
      <c r="E90" s="48"/>
      <c r="F90" s="49"/>
      <c r="G90" s="51"/>
      <c r="H90" s="48"/>
      <c r="I90" s="2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2.75" customHeight="1">
      <c r="A91" s="46"/>
      <c r="B91" s="46"/>
      <c r="C91" s="46"/>
      <c r="D91" s="46"/>
      <c r="E91" s="48"/>
      <c r="F91" s="49"/>
      <c r="G91" s="51"/>
      <c r="H91" s="48"/>
      <c r="I91" s="2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2.75" customHeight="1">
      <c r="A92" s="46"/>
      <c r="B92" s="46"/>
      <c r="C92" s="46"/>
      <c r="D92" s="46"/>
      <c r="E92" s="48"/>
      <c r="F92" s="49"/>
      <c r="G92" s="51"/>
      <c r="H92" s="48"/>
      <c r="I92" s="2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2.75" customHeight="1">
      <c r="A93" s="46"/>
      <c r="B93" s="46"/>
      <c r="C93" s="46"/>
      <c r="D93" s="46"/>
      <c r="E93" s="48"/>
      <c r="F93" s="49"/>
      <c r="G93" s="51"/>
      <c r="H93" s="48"/>
      <c r="I93" s="2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2.75" customHeight="1">
      <c r="A94" s="46"/>
      <c r="B94" s="46"/>
      <c r="C94" s="46"/>
      <c r="D94" s="46"/>
      <c r="E94" s="48"/>
      <c r="F94" s="49"/>
      <c r="G94" s="51"/>
      <c r="H94" s="48"/>
      <c r="I94" s="2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2.75" customHeight="1">
      <c r="A95" s="46"/>
      <c r="B95" s="46"/>
      <c r="C95" s="46"/>
      <c r="D95" s="46"/>
      <c r="E95" s="48"/>
      <c r="F95" s="49"/>
      <c r="G95" s="51"/>
      <c r="H95" s="48"/>
      <c r="I95" s="2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2.75" customHeight="1">
      <c r="A96" s="46"/>
      <c r="B96" s="46"/>
      <c r="C96" s="46"/>
      <c r="D96" s="46"/>
      <c r="E96" s="48"/>
      <c r="F96" s="49"/>
      <c r="G96" s="51"/>
      <c r="H96" s="48"/>
      <c r="I96" s="2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2.75" customHeight="1">
      <c r="A97" s="46"/>
      <c r="B97" s="46"/>
      <c r="C97" s="46"/>
      <c r="D97" s="46"/>
      <c r="E97" s="48"/>
      <c r="F97" s="49"/>
      <c r="G97" s="51"/>
      <c r="H97" s="48"/>
      <c r="I97" s="2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2.75" customHeight="1">
      <c r="A98" s="46"/>
      <c r="B98" s="46"/>
      <c r="C98" s="46"/>
      <c r="D98" s="46"/>
      <c r="E98" s="48"/>
      <c r="F98" s="49"/>
      <c r="G98" s="51"/>
      <c r="H98" s="48"/>
      <c r="I98" s="2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2.75" customHeight="1">
      <c r="A99" s="46"/>
      <c r="B99" s="46"/>
      <c r="C99" s="46"/>
      <c r="D99" s="46"/>
      <c r="E99" s="48"/>
      <c r="F99" s="49"/>
      <c r="G99" s="51"/>
      <c r="H99" s="48"/>
      <c r="I99" s="2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2.75" customHeight="1">
      <c r="A100" s="46"/>
      <c r="B100" s="46"/>
      <c r="C100" s="46"/>
      <c r="D100" s="46"/>
      <c r="E100" s="48"/>
      <c r="F100" s="49"/>
      <c r="G100" s="51"/>
      <c r="H100" s="48"/>
      <c r="I100" s="2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2.75" customHeight="1">
      <c r="A101" s="46"/>
      <c r="B101" s="46"/>
      <c r="C101" s="46"/>
      <c r="D101" s="46"/>
      <c r="E101" s="48"/>
      <c r="F101" s="49"/>
      <c r="G101" s="51"/>
      <c r="H101" s="48"/>
      <c r="I101" s="2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2.75" customHeight="1">
      <c r="A102" s="46"/>
      <c r="B102" s="46"/>
      <c r="C102" s="46"/>
      <c r="D102" s="46"/>
      <c r="E102" s="48"/>
      <c r="F102" s="49"/>
      <c r="G102" s="51"/>
      <c r="H102" s="48"/>
      <c r="I102" s="2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2.75" customHeight="1">
      <c r="A103" s="46"/>
      <c r="B103" s="46"/>
      <c r="C103" s="46"/>
      <c r="D103" s="46"/>
      <c r="E103" s="48"/>
      <c r="F103" s="49"/>
      <c r="G103" s="51"/>
      <c r="H103" s="48"/>
      <c r="I103" s="2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2.75" customHeight="1">
      <c r="A104" s="46"/>
      <c r="B104" s="46"/>
      <c r="C104" s="46"/>
      <c r="D104" s="46"/>
      <c r="E104" s="48"/>
      <c r="F104" s="49"/>
      <c r="G104" s="51"/>
      <c r="H104" s="48"/>
      <c r="I104" s="2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2.75" customHeight="1">
      <c r="A105" s="46"/>
      <c r="B105" s="46"/>
      <c r="C105" s="46"/>
      <c r="D105" s="46"/>
      <c r="E105" s="48"/>
      <c r="F105" s="49"/>
      <c r="G105" s="51"/>
      <c r="H105" s="48"/>
      <c r="I105" s="2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2.75" customHeight="1">
      <c r="A106" s="46"/>
      <c r="B106" s="46"/>
      <c r="C106" s="46"/>
      <c r="D106" s="46"/>
      <c r="E106" s="48"/>
      <c r="F106" s="49"/>
      <c r="G106" s="51"/>
      <c r="H106" s="48"/>
      <c r="I106" s="2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2.75" customHeight="1">
      <c r="A107" s="46"/>
      <c r="B107" s="46"/>
      <c r="C107" s="46"/>
      <c r="D107" s="46"/>
      <c r="E107" s="48"/>
      <c r="F107" s="49"/>
      <c r="G107" s="51"/>
      <c r="H107" s="48"/>
      <c r="I107" s="2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2.75" customHeight="1">
      <c r="A108" s="46"/>
      <c r="B108" s="46"/>
      <c r="C108" s="46"/>
      <c r="D108" s="46"/>
      <c r="E108" s="48"/>
      <c r="F108" s="49"/>
      <c r="G108" s="51"/>
      <c r="H108" s="48"/>
      <c r="I108" s="2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2.75" customHeight="1">
      <c r="A109" s="46"/>
      <c r="B109" s="46"/>
      <c r="C109" s="46"/>
      <c r="D109" s="46"/>
      <c r="E109" s="48"/>
      <c r="F109" s="49"/>
      <c r="G109" s="51"/>
      <c r="H109" s="48"/>
      <c r="I109" s="2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2.75" customHeight="1">
      <c r="A110" s="46"/>
      <c r="B110" s="46"/>
      <c r="C110" s="46"/>
      <c r="D110" s="46"/>
      <c r="E110" s="48"/>
      <c r="F110" s="49"/>
      <c r="G110" s="51"/>
      <c r="H110" s="48"/>
      <c r="I110" s="2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2.75" customHeight="1">
      <c r="A111" s="46"/>
      <c r="B111" s="46"/>
      <c r="C111" s="46"/>
      <c r="D111" s="46"/>
      <c r="E111" s="48"/>
      <c r="F111" s="49"/>
      <c r="G111" s="51"/>
      <c r="H111" s="48"/>
      <c r="I111" s="2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2.75" customHeight="1">
      <c r="A112" s="46"/>
      <c r="B112" s="46"/>
      <c r="C112" s="46"/>
      <c r="D112" s="46"/>
      <c r="E112" s="48"/>
      <c r="F112" s="49"/>
      <c r="G112" s="51"/>
      <c r="H112" s="48"/>
      <c r="I112" s="2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2.75" customHeight="1">
      <c r="A113" s="46"/>
      <c r="B113" s="46"/>
      <c r="C113" s="46"/>
      <c r="D113" s="46"/>
      <c r="E113" s="48"/>
      <c r="F113" s="49"/>
      <c r="G113" s="51"/>
      <c r="H113" s="48"/>
      <c r="I113" s="2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2.75" customHeight="1">
      <c r="A114" s="46"/>
      <c r="B114" s="46"/>
      <c r="C114" s="46"/>
      <c r="D114" s="46"/>
      <c r="E114" s="48"/>
      <c r="F114" s="49"/>
      <c r="G114" s="51"/>
      <c r="H114" s="48"/>
      <c r="I114" s="2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2.75" customHeight="1">
      <c r="A115" s="46"/>
      <c r="B115" s="46"/>
      <c r="C115" s="46"/>
      <c r="D115" s="46"/>
      <c r="E115" s="48"/>
      <c r="F115" s="49"/>
      <c r="G115" s="51"/>
      <c r="H115" s="48"/>
      <c r="I115" s="2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2.75" customHeight="1">
      <c r="A116" s="46"/>
      <c r="B116" s="46"/>
      <c r="C116" s="46"/>
      <c r="D116" s="46"/>
      <c r="E116" s="48"/>
      <c r="F116" s="49"/>
      <c r="G116" s="51"/>
      <c r="H116" s="48"/>
      <c r="I116" s="2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2.75" customHeight="1">
      <c r="A117" s="46"/>
      <c r="B117" s="46"/>
      <c r="C117" s="46"/>
      <c r="D117" s="46"/>
      <c r="E117" s="48"/>
      <c r="F117" s="49"/>
      <c r="G117" s="51"/>
      <c r="H117" s="48"/>
      <c r="I117" s="2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2.75" customHeight="1">
      <c r="A118" s="46"/>
      <c r="B118" s="46"/>
      <c r="C118" s="46"/>
      <c r="D118" s="46"/>
      <c r="E118" s="48"/>
      <c r="F118" s="49"/>
      <c r="G118" s="51"/>
      <c r="H118" s="48"/>
      <c r="I118" s="2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2.75" customHeight="1">
      <c r="A119" s="46"/>
      <c r="B119" s="46"/>
      <c r="C119" s="46"/>
      <c r="D119" s="46"/>
      <c r="E119" s="48"/>
      <c r="F119" s="49"/>
      <c r="G119" s="51"/>
      <c r="H119" s="48"/>
      <c r="I119" s="2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2.75" customHeight="1">
      <c r="A120" s="46"/>
      <c r="B120" s="46"/>
      <c r="C120" s="46"/>
      <c r="D120" s="46"/>
      <c r="E120" s="48"/>
      <c r="F120" s="49"/>
      <c r="G120" s="51"/>
      <c r="H120" s="48"/>
      <c r="I120" s="2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2.75" customHeight="1">
      <c r="A121" s="46"/>
      <c r="B121" s="46"/>
      <c r="C121" s="46"/>
      <c r="D121" s="46"/>
      <c r="E121" s="48"/>
      <c r="F121" s="49"/>
      <c r="G121" s="51"/>
      <c r="H121" s="48"/>
      <c r="I121" s="2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2.75" customHeight="1">
      <c r="A122" s="46"/>
      <c r="B122" s="46"/>
      <c r="C122" s="46"/>
      <c r="D122" s="46"/>
      <c r="E122" s="48"/>
      <c r="F122" s="49"/>
      <c r="G122" s="51"/>
      <c r="H122" s="48"/>
      <c r="I122" s="2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2.75" customHeight="1">
      <c r="A123" s="46"/>
      <c r="B123" s="46"/>
      <c r="C123" s="46"/>
      <c r="D123" s="46"/>
      <c r="E123" s="48"/>
      <c r="F123" s="49"/>
      <c r="G123" s="51"/>
      <c r="H123" s="48"/>
      <c r="I123" s="2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2.75" customHeight="1">
      <c r="A124" s="46"/>
      <c r="B124" s="46"/>
      <c r="C124" s="46"/>
      <c r="D124" s="46"/>
      <c r="E124" s="48"/>
      <c r="F124" s="49"/>
      <c r="G124" s="51"/>
      <c r="H124" s="48"/>
      <c r="I124" s="2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2.75" customHeight="1">
      <c r="A125" s="46"/>
      <c r="B125" s="46"/>
      <c r="C125" s="46"/>
      <c r="D125" s="46"/>
      <c r="E125" s="48"/>
      <c r="F125" s="49"/>
      <c r="G125" s="51"/>
      <c r="H125" s="48"/>
      <c r="I125" s="2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2.75" customHeight="1">
      <c r="A126" s="46"/>
      <c r="B126" s="46"/>
      <c r="C126" s="46"/>
      <c r="D126" s="46"/>
      <c r="E126" s="48"/>
      <c r="F126" s="49"/>
      <c r="G126" s="51"/>
      <c r="H126" s="48"/>
      <c r="I126" s="2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2.75" customHeight="1">
      <c r="A127" s="46"/>
      <c r="B127" s="46"/>
      <c r="C127" s="46"/>
      <c r="D127" s="46"/>
      <c r="E127" s="48"/>
      <c r="F127" s="49"/>
      <c r="G127" s="51"/>
      <c r="H127" s="48"/>
      <c r="I127" s="2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2.75" customHeight="1">
      <c r="A128" s="46"/>
      <c r="B128" s="46"/>
      <c r="C128" s="46"/>
      <c r="D128" s="46"/>
      <c r="E128" s="48"/>
      <c r="F128" s="49"/>
      <c r="G128" s="51"/>
      <c r="H128" s="48"/>
      <c r="I128" s="2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2.75" customHeight="1">
      <c r="A129" s="46"/>
      <c r="B129" s="46"/>
      <c r="C129" s="46"/>
      <c r="D129" s="46"/>
      <c r="E129" s="48"/>
      <c r="F129" s="49"/>
      <c r="G129" s="51"/>
      <c r="H129" s="48"/>
      <c r="I129" s="2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2.75" customHeight="1">
      <c r="A130" s="46"/>
      <c r="B130" s="46"/>
      <c r="C130" s="46"/>
      <c r="D130" s="46"/>
      <c r="E130" s="48"/>
      <c r="F130" s="49"/>
      <c r="G130" s="51"/>
      <c r="H130" s="48"/>
      <c r="I130" s="2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2.75" customHeight="1">
      <c r="A131" s="46"/>
      <c r="B131" s="46"/>
      <c r="C131" s="46"/>
      <c r="D131" s="46"/>
      <c r="E131" s="48"/>
      <c r="F131" s="49"/>
      <c r="G131" s="51"/>
      <c r="H131" s="48"/>
      <c r="I131" s="2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2.75" customHeight="1">
      <c r="A132" s="46"/>
      <c r="B132" s="46"/>
      <c r="C132" s="46"/>
      <c r="D132" s="46"/>
      <c r="E132" s="48"/>
      <c r="F132" s="49"/>
      <c r="G132" s="51"/>
      <c r="H132" s="48"/>
      <c r="I132" s="2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2.75" customHeight="1">
      <c r="A133" s="46"/>
      <c r="B133" s="46"/>
      <c r="C133" s="46"/>
      <c r="D133" s="46"/>
      <c r="E133" s="48"/>
      <c r="F133" s="49"/>
      <c r="G133" s="51"/>
      <c r="H133" s="48"/>
      <c r="I133" s="2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2.75" customHeight="1">
      <c r="A134" s="46"/>
      <c r="B134" s="46"/>
      <c r="C134" s="46"/>
      <c r="D134" s="46"/>
      <c r="E134" s="48"/>
      <c r="F134" s="49"/>
      <c r="G134" s="51"/>
      <c r="H134" s="48"/>
      <c r="I134" s="2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2.75" customHeight="1">
      <c r="A135" s="46"/>
      <c r="B135" s="46"/>
      <c r="C135" s="46"/>
      <c r="D135" s="46"/>
      <c r="E135" s="48"/>
      <c r="F135" s="49"/>
      <c r="G135" s="51"/>
      <c r="H135" s="48"/>
      <c r="I135" s="2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2.75" customHeight="1">
      <c r="A136" s="46"/>
      <c r="B136" s="46"/>
      <c r="C136" s="46"/>
      <c r="D136" s="46"/>
      <c r="E136" s="48"/>
      <c r="F136" s="49"/>
      <c r="G136" s="51"/>
      <c r="H136" s="48"/>
      <c r="I136" s="2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2.75" customHeight="1">
      <c r="A137" s="46"/>
      <c r="B137" s="46"/>
      <c r="C137" s="46"/>
      <c r="D137" s="46"/>
      <c r="E137" s="48"/>
      <c r="F137" s="49"/>
      <c r="G137" s="51"/>
      <c r="H137" s="48"/>
      <c r="I137" s="2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2.75" customHeight="1">
      <c r="A138" s="46"/>
      <c r="B138" s="46"/>
      <c r="C138" s="46"/>
      <c r="D138" s="46"/>
      <c r="E138" s="48"/>
      <c r="F138" s="49"/>
      <c r="G138" s="51"/>
      <c r="H138" s="48"/>
      <c r="I138" s="2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2.75" customHeight="1">
      <c r="A139" s="46"/>
      <c r="B139" s="46"/>
      <c r="C139" s="46"/>
      <c r="D139" s="46"/>
      <c r="E139" s="48"/>
      <c r="F139" s="49"/>
      <c r="G139" s="51"/>
      <c r="H139" s="48"/>
      <c r="I139" s="2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2.75" customHeight="1">
      <c r="A140" s="46"/>
      <c r="B140" s="46"/>
      <c r="C140" s="46"/>
      <c r="D140" s="46"/>
      <c r="E140" s="48"/>
      <c r="F140" s="49"/>
      <c r="G140" s="51"/>
      <c r="H140" s="48"/>
      <c r="I140" s="2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2.75" customHeight="1">
      <c r="A141" s="46"/>
      <c r="B141" s="46"/>
      <c r="C141" s="46"/>
      <c r="D141" s="46"/>
      <c r="E141" s="48"/>
      <c r="F141" s="49"/>
      <c r="G141" s="51"/>
      <c r="H141" s="48"/>
      <c r="I141" s="2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2.75" customHeight="1">
      <c r="A142" s="46"/>
      <c r="B142" s="46"/>
      <c r="C142" s="46"/>
      <c r="D142" s="46"/>
      <c r="E142" s="48"/>
      <c r="F142" s="49"/>
      <c r="G142" s="51"/>
      <c r="H142" s="48"/>
      <c r="I142" s="2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2.75" customHeight="1">
      <c r="A143" s="46"/>
      <c r="B143" s="46"/>
      <c r="C143" s="46"/>
      <c r="D143" s="46"/>
      <c r="E143" s="48"/>
      <c r="F143" s="49"/>
      <c r="G143" s="51"/>
      <c r="H143" s="48"/>
      <c r="I143" s="2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2.75" customHeight="1">
      <c r="A144" s="46"/>
      <c r="B144" s="46"/>
      <c r="C144" s="46"/>
      <c r="D144" s="46"/>
      <c r="E144" s="48"/>
      <c r="F144" s="49"/>
      <c r="G144" s="51"/>
      <c r="H144" s="48"/>
      <c r="I144" s="2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2.75" customHeight="1">
      <c r="A145" s="46"/>
      <c r="B145" s="46"/>
      <c r="C145" s="46"/>
      <c r="D145" s="46"/>
      <c r="E145" s="48"/>
      <c r="F145" s="49"/>
      <c r="G145" s="51"/>
      <c r="H145" s="48"/>
      <c r="I145" s="2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2.75" customHeight="1">
      <c r="A146" s="46"/>
      <c r="B146" s="46"/>
      <c r="C146" s="46"/>
      <c r="D146" s="46"/>
      <c r="E146" s="48"/>
      <c r="F146" s="49"/>
      <c r="G146" s="51"/>
      <c r="H146" s="48"/>
      <c r="I146" s="2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2.75" customHeight="1">
      <c r="A147" s="46"/>
      <c r="B147" s="46"/>
      <c r="C147" s="46"/>
      <c r="D147" s="46"/>
      <c r="E147" s="48"/>
      <c r="F147" s="49"/>
      <c r="G147" s="51"/>
      <c r="H147" s="48"/>
      <c r="I147" s="2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2.75" customHeight="1">
      <c r="A148" s="46"/>
      <c r="B148" s="46"/>
      <c r="C148" s="46"/>
      <c r="D148" s="46"/>
      <c r="E148" s="48"/>
      <c r="F148" s="49"/>
      <c r="G148" s="51"/>
      <c r="H148" s="48"/>
      <c r="I148" s="2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2.75" customHeight="1">
      <c r="A149" s="46"/>
      <c r="B149" s="46"/>
      <c r="C149" s="46"/>
      <c r="D149" s="46"/>
      <c r="E149" s="48"/>
      <c r="F149" s="49"/>
      <c r="G149" s="51"/>
      <c r="H149" s="48"/>
      <c r="I149" s="2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2.75" customHeight="1">
      <c r="A150" s="46"/>
      <c r="B150" s="46"/>
      <c r="C150" s="46"/>
      <c r="D150" s="46"/>
      <c r="E150" s="48"/>
      <c r="F150" s="49"/>
      <c r="G150" s="51"/>
      <c r="H150" s="48"/>
      <c r="I150" s="2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2.75" customHeight="1">
      <c r="A151" s="46"/>
      <c r="B151" s="46"/>
      <c r="C151" s="46"/>
      <c r="D151" s="46"/>
      <c r="E151" s="48"/>
      <c r="F151" s="49"/>
      <c r="G151" s="51"/>
      <c r="H151" s="48"/>
      <c r="I151" s="2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2.75" customHeight="1">
      <c r="A152" s="46"/>
      <c r="B152" s="46"/>
      <c r="C152" s="46"/>
      <c r="D152" s="46"/>
      <c r="E152" s="48"/>
      <c r="F152" s="49"/>
      <c r="G152" s="51"/>
      <c r="H152" s="48"/>
      <c r="I152" s="2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2.75" customHeight="1">
      <c r="A153" s="46"/>
      <c r="B153" s="46"/>
      <c r="C153" s="46"/>
      <c r="D153" s="46"/>
      <c r="E153" s="48"/>
      <c r="F153" s="49"/>
      <c r="G153" s="51"/>
      <c r="H153" s="48"/>
      <c r="I153" s="2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2.75" customHeight="1">
      <c r="A154" s="46"/>
      <c r="B154" s="46"/>
      <c r="C154" s="46"/>
      <c r="D154" s="46"/>
      <c r="E154" s="48"/>
      <c r="F154" s="49"/>
      <c r="G154" s="51"/>
      <c r="H154" s="48"/>
      <c r="I154" s="2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2.75" customHeight="1">
      <c r="A155" s="46"/>
      <c r="B155" s="46"/>
      <c r="C155" s="46"/>
      <c r="D155" s="46"/>
      <c r="E155" s="48"/>
      <c r="F155" s="49"/>
      <c r="G155" s="51"/>
      <c r="H155" s="48"/>
      <c r="I155" s="2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2.75" customHeight="1">
      <c r="A156" s="46"/>
      <c r="B156" s="46"/>
      <c r="C156" s="46"/>
      <c r="D156" s="46"/>
      <c r="E156" s="48"/>
      <c r="F156" s="49"/>
      <c r="G156" s="51"/>
      <c r="H156" s="48"/>
      <c r="I156" s="2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2.75" customHeight="1">
      <c r="A157" s="46"/>
      <c r="B157" s="46"/>
      <c r="C157" s="46"/>
      <c r="D157" s="46"/>
      <c r="E157" s="48"/>
      <c r="F157" s="49"/>
      <c r="G157" s="51"/>
      <c r="H157" s="48"/>
      <c r="I157" s="2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2.75" customHeight="1">
      <c r="A158" s="46"/>
      <c r="B158" s="46"/>
      <c r="C158" s="46"/>
      <c r="D158" s="46"/>
      <c r="E158" s="48"/>
      <c r="F158" s="49"/>
      <c r="G158" s="51"/>
      <c r="H158" s="48"/>
      <c r="I158" s="2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2.75" customHeight="1">
      <c r="A159" s="46"/>
      <c r="B159" s="46"/>
      <c r="C159" s="46"/>
      <c r="D159" s="46"/>
      <c r="E159" s="48"/>
      <c r="F159" s="49"/>
      <c r="G159" s="51"/>
      <c r="H159" s="48"/>
      <c r="I159" s="2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2.75" customHeight="1">
      <c r="A160" s="46"/>
      <c r="B160" s="46"/>
      <c r="C160" s="46"/>
      <c r="D160" s="46"/>
      <c r="E160" s="48"/>
      <c r="F160" s="49"/>
      <c r="G160" s="51"/>
      <c r="H160" s="48"/>
      <c r="I160" s="2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2.75" customHeight="1">
      <c r="A161" s="46"/>
      <c r="B161" s="46"/>
      <c r="C161" s="46"/>
      <c r="D161" s="46"/>
      <c r="E161" s="48"/>
      <c r="F161" s="49"/>
      <c r="G161" s="51"/>
      <c r="H161" s="48"/>
      <c r="I161" s="2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2.75" customHeight="1">
      <c r="A162" s="46"/>
      <c r="B162" s="46"/>
      <c r="C162" s="46"/>
      <c r="D162" s="46"/>
      <c r="E162" s="48"/>
      <c r="F162" s="49"/>
      <c r="G162" s="51"/>
      <c r="H162" s="48"/>
      <c r="I162" s="2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2.75" customHeight="1">
      <c r="A163" s="46"/>
      <c r="B163" s="46"/>
      <c r="C163" s="46"/>
      <c r="D163" s="46"/>
      <c r="E163" s="48"/>
      <c r="F163" s="49"/>
      <c r="G163" s="51"/>
      <c r="H163" s="48"/>
      <c r="I163" s="2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2.75" customHeight="1">
      <c r="A164" s="46"/>
      <c r="B164" s="46"/>
      <c r="C164" s="46"/>
      <c r="D164" s="46"/>
      <c r="E164" s="48"/>
      <c r="F164" s="49"/>
      <c r="G164" s="51"/>
      <c r="H164" s="48"/>
      <c r="I164" s="2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2.75" customHeight="1">
      <c r="A165" s="46"/>
      <c r="B165" s="46"/>
      <c r="C165" s="46"/>
      <c r="D165" s="46"/>
      <c r="E165" s="48"/>
      <c r="F165" s="49"/>
      <c r="G165" s="51"/>
      <c r="H165" s="48"/>
      <c r="I165" s="2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2.75" customHeight="1">
      <c r="A166" s="46"/>
      <c r="B166" s="46"/>
      <c r="C166" s="46"/>
      <c r="D166" s="46"/>
      <c r="E166" s="48"/>
      <c r="F166" s="49"/>
      <c r="G166" s="51"/>
      <c r="H166" s="48"/>
      <c r="I166" s="2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2.75" customHeight="1">
      <c r="A167" s="46"/>
      <c r="B167" s="46"/>
      <c r="C167" s="46"/>
      <c r="D167" s="46"/>
      <c r="E167" s="48"/>
      <c r="F167" s="49"/>
      <c r="G167" s="51"/>
      <c r="H167" s="48"/>
      <c r="I167" s="2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2.75" customHeight="1">
      <c r="A168" s="46"/>
      <c r="B168" s="46"/>
      <c r="C168" s="46"/>
      <c r="D168" s="46"/>
      <c r="E168" s="48"/>
      <c r="F168" s="49"/>
      <c r="G168" s="51"/>
      <c r="H168" s="48"/>
      <c r="I168" s="2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2.75" customHeight="1">
      <c r="A169" s="46"/>
      <c r="B169" s="46"/>
      <c r="C169" s="46"/>
      <c r="D169" s="46"/>
      <c r="E169" s="48"/>
      <c r="F169" s="49"/>
      <c r="G169" s="51"/>
      <c r="H169" s="48"/>
      <c r="I169" s="2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2.75" customHeight="1">
      <c r="A170" s="46"/>
      <c r="B170" s="46"/>
      <c r="C170" s="46"/>
      <c r="D170" s="46"/>
      <c r="E170" s="48"/>
      <c r="F170" s="49"/>
      <c r="G170" s="51"/>
      <c r="H170" s="48"/>
      <c r="I170" s="2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2.75" customHeight="1">
      <c r="A171" s="46"/>
      <c r="B171" s="46"/>
      <c r="C171" s="46"/>
      <c r="D171" s="46"/>
      <c r="E171" s="48"/>
      <c r="F171" s="49"/>
      <c r="G171" s="51"/>
      <c r="H171" s="48"/>
      <c r="I171" s="2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2.75" customHeight="1">
      <c r="A172" s="46"/>
      <c r="B172" s="46"/>
      <c r="C172" s="46"/>
      <c r="D172" s="46"/>
      <c r="E172" s="48"/>
      <c r="F172" s="49"/>
      <c r="G172" s="51"/>
      <c r="H172" s="48"/>
      <c r="I172" s="2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2.75" customHeight="1">
      <c r="A173" s="46"/>
      <c r="B173" s="46"/>
      <c r="C173" s="46"/>
      <c r="D173" s="46"/>
      <c r="E173" s="48"/>
      <c r="F173" s="49"/>
      <c r="G173" s="51"/>
      <c r="H173" s="48"/>
      <c r="I173" s="2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2.75" customHeight="1">
      <c r="A174" s="46"/>
      <c r="B174" s="46"/>
      <c r="C174" s="46"/>
      <c r="D174" s="46"/>
      <c r="E174" s="48"/>
      <c r="F174" s="49"/>
      <c r="G174" s="51"/>
      <c r="H174" s="48"/>
      <c r="I174" s="2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2.75" customHeight="1">
      <c r="A175" s="46"/>
      <c r="B175" s="46"/>
      <c r="C175" s="46"/>
      <c r="D175" s="46"/>
      <c r="E175" s="48"/>
      <c r="F175" s="49"/>
      <c r="G175" s="51"/>
      <c r="H175" s="48"/>
      <c r="I175" s="2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2.75" customHeight="1">
      <c r="A176" s="46"/>
      <c r="B176" s="46"/>
      <c r="C176" s="46"/>
      <c r="D176" s="46"/>
      <c r="E176" s="48"/>
      <c r="F176" s="49"/>
      <c r="G176" s="51"/>
      <c r="H176" s="48"/>
      <c r="I176" s="2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2.75" customHeight="1">
      <c r="A177" s="46"/>
      <c r="B177" s="46"/>
      <c r="C177" s="46"/>
      <c r="D177" s="46"/>
      <c r="E177" s="48"/>
      <c r="F177" s="49"/>
      <c r="G177" s="51"/>
      <c r="H177" s="48"/>
      <c r="I177" s="2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2.75" customHeight="1">
      <c r="A178" s="46"/>
      <c r="B178" s="46"/>
      <c r="C178" s="46"/>
      <c r="D178" s="46"/>
      <c r="E178" s="48"/>
      <c r="F178" s="49"/>
      <c r="G178" s="51"/>
      <c r="H178" s="48"/>
      <c r="I178" s="2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2.75" customHeight="1">
      <c r="A179" s="46"/>
      <c r="B179" s="46"/>
      <c r="C179" s="46"/>
      <c r="D179" s="46"/>
      <c r="E179" s="48"/>
      <c r="F179" s="49"/>
      <c r="G179" s="51"/>
      <c r="H179" s="48"/>
      <c r="I179" s="2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2.75" customHeight="1">
      <c r="A180" s="46"/>
      <c r="B180" s="46"/>
      <c r="C180" s="46"/>
      <c r="D180" s="46"/>
      <c r="E180" s="48"/>
      <c r="F180" s="49"/>
      <c r="G180" s="51"/>
      <c r="H180" s="48"/>
      <c r="I180" s="2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2.75" customHeight="1">
      <c r="A181" s="46"/>
      <c r="B181" s="46"/>
      <c r="C181" s="46"/>
      <c r="D181" s="46"/>
      <c r="E181" s="48"/>
      <c r="F181" s="49"/>
      <c r="G181" s="51"/>
      <c r="H181" s="48"/>
      <c r="I181" s="2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2.75" customHeight="1">
      <c r="A182" s="46"/>
      <c r="B182" s="46"/>
      <c r="C182" s="46"/>
      <c r="D182" s="46"/>
      <c r="E182" s="48"/>
      <c r="F182" s="49"/>
      <c r="G182" s="51"/>
      <c r="H182" s="48"/>
      <c r="I182" s="2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2.75" customHeight="1">
      <c r="A183" s="46"/>
      <c r="B183" s="46"/>
      <c r="C183" s="46"/>
      <c r="D183" s="46"/>
      <c r="E183" s="48"/>
      <c r="F183" s="49"/>
      <c r="G183" s="51"/>
      <c r="H183" s="48"/>
      <c r="I183" s="2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2.75" customHeight="1">
      <c r="A184" s="46"/>
      <c r="B184" s="46"/>
      <c r="C184" s="46"/>
      <c r="D184" s="46"/>
      <c r="E184" s="48"/>
      <c r="F184" s="49"/>
      <c r="G184" s="51"/>
      <c r="H184" s="48"/>
      <c r="I184" s="2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2.75" customHeight="1">
      <c r="A185" s="46"/>
      <c r="B185" s="46"/>
      <c r="C185" s="46"/>
      <c r="D185" s="46"/>
      <c r="E185" s="48"/>
      <c r="F185" s="49"/>
      <c r="G185" s="51"/>
      <c r="H185" s="48"/>
      <c r="I185" s="2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2.75" customHeight="1">
      <c r="A186" s="46"/>
      <c r="B186" s="46"/>
      <c r="C186" s="46"/>
      <c r="D186" s="46"/>
      <c r="E186" s="48"/>
      <c r="F186" s="49"/>
      <c r="G186" s="51"/>
      <c r="H186" s="48"/>
      <c r="I186" s="2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2.75" customHeight="1">
      <c r="A187" s="46"/>
      <c r="B187" s="46"/>
      <c r="C187" s="46"/>
      <c r="D187" s="46"/>
      <c r="E187" s="48"/>
      <c r="F187" s="49"/>
      <c r="G187" s="51"/>
      <c r="H187" s="48"/>
      <c r="I187" s="2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2.75" customHeight="1">
      <c r="A188" s="46"/>
      <c r="B188" s="46"/>
      <c r="C188" s="46"/>
      <c r="D188" s="46"/>
      <c r="E188" s="48"/>
      <c r="F188" s="49"/>
      <c r="G188" s="51"/>
      <c r="H188" s="48"/>
      <c r="I188" s="2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2.75" customHeight="1">
      <c r="A189" s="46"/>
      <c r="B189" s="46"/>
      <c r="C189" s="46"/>
      <c r="D189" s="46"/>
      <c r="E189" s="48"/>
      <c r="F189" s="49"/>
      <c r="G189" s="51"/>
      <c r="H189" s="48"/>
      <c r="I189" s="2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2.75" customHeight="1">
      <c r="A190" s="46"/>
      <c r="B190" s="46"/>
      <c r="C190" s="46"/>
      <c r="D190" s="46"/>
      <c r="E190" s="48"/>
      <c r="F190" s="49"/>
      <c r="G190" s="51"/>
      <c r="H190" s="48"/>
      <c r="I190" s="2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2.75" customHeight="1">
      <c r="A191" s="46"/>
      <c r="B191" s="46"/>
      <c r="C191" s="46"/>
      <c r="D191" s="46"/>
      <c r="E191" s="48"/>
      <c r="F191" s="49"/>
      <c r="G191" s="51"/>
      <c r="H191" s="48"/>
      <c r="I191" s="2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2.75" customHeight="1">
      <c r="A192" s="46"/>
      <c r="B192" s="46"/>
      <c r="C192" s="46"/>
      <c r="D192" s="46"/>
      <c r="E192" s="48"/>
      <c r="F192" s="49"/>
      <c r="G192" s="51"/>
      <c r="H192" s="48"/>
      <c r="I192" s="2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2.75" customHeight="1">
      <c r="A193" s="46"/>
      <c r="B193" s="46"/>
      <c r="C193" s="46"/>
      <c r="D193" s="46"/>
      <c r="E193" s="48"/>
      <c r="F193" s="49"/>
      <c r="G193" s="51"/>
      <c r="H193" s="48"/>
      <c r="I193" s="2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2.75" customHeight="1">
      <c r="A194" s="46"/>
      <c r="B194" s="46"/>
      <c r="C194" s="46"/>
      <c r="D194" s="46"/>
      <c r="E194" s="48"/>
      <c r="F194" s="49"/>
      <c r="G194" s="51"/>
      <c r="H194" s="48"/>
      <c r="I194" s="2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2.75" customHeight="1">
      <c r="A195" s="46"/>
      <c r="B195" s="46"/>
      <c r="C195" s="46"/>
      <c r="D195" s="46"/>
      <c r="E195" s="48"/>
      <c r="F195" s="49"/>
      <c r="G195" s="51"/>
      <c r="H195" s="48"/>
      <c r="I195" s="2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2.75" customHeight="1">
      <c r="A196" s="46"/>
      <c r="B196" s="46"/>
      <c r="C196" s="46"/>
      <c r="D196" s="46"/>
      <c r="E196" s="48"/>
      <c r="F196" s="49"/>
      <c r="G196" s="51"/>
      <c r="H196" s="48"/>
      <c r="I196" s="2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2.75" customHeight="1">
      <c r="A197" s="46"/>
      <c r="B197" s="46"/>
      <c r="C197" s="46"/>
      <c r="D197" s="46"/>
      <c r="E197" s="48"/>
      <c r="F197" s="49"/>
      <c r="G197" s="51"/>
      <c r="H197" s="48"/>
      <c r="I197" s="2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2.75" customHeight="1">
      <c r="A198" s="46"/>
      <c r="B198" s="46"/>
      <c r="C198" s="46"/>
      <c r="D198" s="46"/>
      <c r="E198" s="48"/>
      <c r="F198" s="49"/>
      <c r="G198" s="51"/>
      <c r="H198" s="48"/>
      <c r="I198" s="2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2.75" customHeight="1">
      <c r="A199" s="46"/>
      <c r="B199" s="46"/>
      <c r="C199" s="46"/>
      <c r="D199" s="46"/>
      <c r="E199" s="48"/>
      <c r="F199" s="49"/>
      <c r="G199" s="51"/>
      <c r="H199" s="48"/>
      <c r="I199" s="2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2.75" customHeight="1">
      <c r="A200" s="46"/>
      <c r="B200" s="46"/>
      <c r="C200" s="46"/>
      <c r="D200" s="46"/>
      <c r="E200" s="48"/>
      <c r="F200" s="49"/>
      <c r="G200" s="51"/>
      <c r="H200" s="48"/>
      <c r="I200" s="2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2.75" customHeight="1">
      <c r="A201" s="46"/>
      <c r="B201" s="46"/>
      <c r="C201" s="46"/>
      <c r="D201" s="46"/>
      <c r="E201" s="48"/>
      <c r="F201" s="49"/>
      <c r="G201" s="51"/>
      <c r="H201" s="48"/>
      <c r="I201" s="2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2.75" customHeight="1">
      <c r="A202" s="46"/>
      <c r="B202" s="46"/>
      <c r="C202" s="46"/>
      <c r="D202" s="46"/>
      <c r="E202" s="48"/>
      <c r="F202" s="49"/>
      <c r="G202" s="51"/>
      <c r="H202" s="48"/>
      <c r="I202" s="2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2.75" customHeight="1">
      <c r="A203" s="46"/>
      <c r="B203" s="46"/>
      <c r="C203" s="46"/>
      <c r="D203" s="46"/>
      <c r="E203" s="48"/>
      <c r="F203" s="49"/>
      <c r="G203" s="51"/>
      <c r="H203" s="48"/>
      <c r="I203" s="2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2.75" customHeight="1">
      <c r="A204" s="46"/>
      <c r="B204" s="46"/>
      <c r="C204" s="46"/>
      <c r="D204" s="46"/>
      <c r="E204" s="48"/>
      <c r="F204" s="49"/>
      <c r="G204" s="51"/>
      <c r="H204" s="48"/>
      <c r="I204" s="2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2.75" customHeight="1">
      <c r="A205" s="46"/>
      <c r="B205" s="46"/>
      <c r="C205" s="46"/>
      <c r="D205" s="46"/>
      <c r="E205" s="48"/>
      <c r="F205" s="49"/>
      <c r="G205" s="51"/>
      <c r="H205" s="48"/>
      <c r="I205" s="2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2.75" customHeight="1">
      <c r="A206" s="46"/>
      <c r="B206" s="46"/>
      <c r="C206" s="46"/>
      <c r="D206" s="46"/>
      <c r="E206" s="48"/>
      <c r="F206" s="49"/>
      <c r="G206" s="51"/>
      <c r="H206" s="48"/>
      <c r="I206" s="2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2.75" customHeight="1">
      <c r="A207" s="46"/>
      <c r="B207" s="46"/>
      <c r="C207" s="46"/>
      <c r="D207" s="46"/>
      <c r="E207" s="48"/>
      <c r="F207" s="49"/>
      <c r="G207" s="51"/>
      <c r="H207" s="48"/>
      <c r="I207" s="2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2.75" customHeight="1">
      <c r="A208" s="46"/>
      <c r="B208" s="46"/>
      <c r="C208" s="46"/>
      <c r="D208" s="46"/>
      <c r="E208" s="48"/>
      <c r="F208" s="49"/>
      <c r="G208" s="51"/>
      <c r="H208" s="48"/>
      <c r="I208" s="2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2.75" customHeight="1">
      <c r="A209" s="46"/>
      <c r="B209" s="46"/>
      <c r="C209" s="46"/>
      <c r="D209" s="46"/>
      <c r="E209" s="48"/>
      <c r="F209" s="49"/>
      <c r="G209" s="51"/>
      <c r="H209" s="48"/>
      <c r="I209" s="2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2.75" customHeight="1">
      <c r="A210" s="46"/>
      <c r="B210" s="46"/>
      <c r="C210" s="46"/>
      <c r="D210" s="46"/>
      <c r="E210" s="48"/>
      <c r="F210" s="49"/>
      <c r="G210" s="51"/>
      <c r="H210" s="48"/>
      <c r="I210" s="2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2.75" customHeight="1">
      <c r="A211" s="46"/>
      <c r="B211" s="46"/>
      <c r="C211" s="46"/>
      <c r="D211" s="46"/>
      <c r="E211" s="48"/>
      <c r="F211" s="49"/>
      <c r="G211" s="51"/>
      <c r="H211" s="48"/>
      <c r="I211" s="2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2.75" customHeight="1">
      <c r="A212" s="46"/>
      <c r="B212" s="46"/>
      <c r="C212" s="46"/>
      <c r="D212" s="46"/>
      <c r="E212" s="48"/>
      <c r="F212" s="49"/>
      <c r="G212" s="51"/>
      <c r="H212" s="48"/>
      <c r="I212" s="2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2.75" customHeight="1">
      <c r="A213" s="46"/>
      <c r="B213" s="46"/>
      <c r="C213" s="46"/>
      <c r="D213" s="46"/>
      <c r="E213" s="48"/>
      <c r="F213" s="49"/>
      <c r="G213" s="51"/>
      <c r="H213" s="48"/>
      <c r="I213" s="2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2.75" customHeight="1">
      <c r="A214" s="46"/>
      <c r="B214" s="46"/>
      <c r="C214" s="46"/>
      <c r="D214" s="46"/>
      <c r="E214" s="48"/>
      <c r="F214" s="49"/>
      <c r="G214" s="51"/>
      <c r="H214" s="48"/>
      <c r="I214" s="2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2.75" customHeight="1">
      <c r="A215" s="46"/>
      <c r="B215" s="46"/>
      <c r="C215" s="46"/>
      <c r="D215" s="46"/>
      <c r="E215" s="48"/>
      <c r="F215" s="49"/>
      <c r="G215" s="51"/>
      <c r="H215" s="48"/>
      <c r="I215" s="2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2.75" customHeight="1">
      <c r="A216" s="46"/>
      <c r="B216" s="46"/>
      <c r="C216" s="46"/>
      <c r="D216" s="46"/>
      <c r="E216" s="48"/>
      <c r="F216" s="49"/>
      <c r="G216" s="51"/>
      <c r="H216" s="48"/>
      <c r="I216" s="2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2.75" customHeight="1">
      <c r="A217" s="46"/>
      <c r="B217" s="46"/>
      <c r="C217" s="46"/>
      <c r="D217" s="46"/>
      <c r="E217" s="48"/>
      <c r="F217" s="49"/>
      <c r="G217" s="51"/>
      <c r="H217" s="48"/>
      <c r="I217" s="2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2.75" customHeight="1">
      <c r="A218" s="46"/>
      <c r="B218" s="46"/>
      <c r="C218" s="46"/>
      <c r="D218" s="46"/>
      <c r="E218" s="48"/>
      <c r="F218" s="49"/>
      <c r="G218" s="51"/>
      <c r="H218" s="48"/>
      <c r="I218" s="2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2.75" customHeight="1">
      <c r="A219" s="46"/>
      <c r="B219" s="46"/>
      <c r="C219" s="46"/>
      <c r="D219" s="46"/>
      <c r="E219" s="48"/>
      <c r="F219" s="49"/>
      <c r="G219" s="51"/>
      <c r="H219" s="48"/>
      <c r="I219" s="2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2.75" customHeight="1">
      <c r="A220" s="46"/>
      <c r="B220" s="46"/>
      <c r="C220" s="46"/>
      <c r="D220" s="46"/>
      <c r="E220" s="48"/>
      <c r="F220" s="49"/>
      <c r="G220" s="51"/>
      <c r="H220" s="48"/>
      <c r="I220" s="2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2.75" customHeight="1">
      <c r="A221" s="46"/>
      <c r="B221" s="46"/>
      <c r="C221" s="46"/>
      <c r="D221" s="46"/>
      <c r="E221" s="48"/>
      <c r="F221" s="49"/>
      <c r="G221" s="51"/>
      <c r="H221" s="48"/>
      <c r="I221" s="2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2.75" customHeight="1">
      <c r="A222" s="46"/>
      <c r="B222" s="46"/>
      <c r="C222" s="46"/>
      <c r="D222" s="46"/>
      <c r="E222" s="48"/>
      <c r="F222" s="49"/>
      <c r="G222" s="51"/>
      <c r="H222" s="48"/>
      <c r="I222" s="2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2.75" customHeight="1">
      <c r="A223" s="46"/>
      <c r="B223" s="46"/>
      <c r="C223" s="46"/>
      <c r="D223" s="46"/>
      <c r="E223" s="48"/>
      <c r="F223" s="49"/>
      <c r="G223" s="51"/>
      <c r="H223" s="48"/>
      <c r="I223" s="2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2.75" customHeight="1">
      <c r="A224" s="46"/>
      <c r="B224" s="46"/>
      <c r="C224" s="46"/>
      <c r="D224" s="46"/>
      <c r="E224" s="48"/>
      <c r="F224" s="49"/>
      <c r="G224" s="51"/>
      <c r="H224" s="48"/>
      <c r="I224" s="2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2.75" customHeight="1">
      <c r="A225" s="46"/>
      <c r="B225" s="46"/>
      <c r="C225" s="46"/>
      <c r="D225" s="46"/>
      <c r="E225" s="48"/>
      <c r="F225" s="49"/>
      <c r="G225" s="51"/>
      <c r="H225" s="48"/>
      <c r="I225" s="2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2.75" customHeight="1">
      <c r="A226" s="46"/>
      <c r="B226" s="46"/>
      <c r="C226" s="46"/>
      <c r="D226" s="46"/>
      <c r="E226" s="48"/>
      <c r="F226" s="49"/>
      <c r="G226" s="51"/>
      <c r="H226" s="48"/>
      <c r="I226" s="2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2.75" customHeight="1">
      <c r="A227" s="46"/>
      <c r="B227" s="46"/>
      <c r="C227" s="46"/>
      <c r="D227" s="46"/>
      <c r="E227" s="48"/>
      <c r="F227" s="49"/>
      <c r="G227" s="51"/>
      <c r="H227" s="48"/>
      <c r="I227" s="2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2.75" customHeight="1">
      <c r="A228" s="46"/>
      <c r="B228" s="46"/>
      <c r="C228" s="46"/>
      <c r="D228" s="46"/>
      <c r="E228" s="48"/>
      <c r="F228" s="49"/>
      <c r="G228" s="51"/>
      <c r="H228" s="48"/>
      <c r="I228" s="2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2.75" customHeight="1">
      <c r="A229" s="46"/>
      <c r="B229" s="46"/>
      <c r="C229" s="46"/>
      <c r="D229" s="46"/>
      <c r="E229" s="48"/>
      <c r="F229" s="49"/>
      <c r="G229" s="51"/>
      <c r="H229" s="48"/>
      <c r="I229" s="2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2.75" customHeight="1">
      <c r="A230" s="46"/>
      <c r="B230" s="46"/>
      <c r="C230" s="46"/>
      <c r="D230" s="46"/>
      <c r="E230" s="48"/>
      <c r="F230" s="49"/>
      <c r="G230" s="51"/>
      <c r="H230" s="48"/>
      <c r="I230" s="2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2.75" customHeight="1">
      <c r="A231" s="46"/>
      <c r="B231" s="46"/>
      <c r="C231" s="46"/>
      <c r="D231" s="46"/>
      <c r="E231" s="48"/>
      <c r="F231" s="49"/>
      <c r="G231" s="51"/>
      <c r="H231" s="48"/>
      <c r="I231" s="2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2.75" customHeight="1">
      <c r="A232" s="46"/>
      <c r="B232" s="46"/>
      <c r="C232" s="46"/>
      <c r="D232" s="46"/>
      <c r="E232" s="48"/>
      <c r="F232" s="49"/>
      <c r="G232" s="51"/>
      <c r="H232" s="48"/>
      <c r="I232" s="2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2.75" customHeight="1">
      <c r="A233" s="46"/>
      <c r="B233" s="46"/>
      <c r="C233" s="46"/>
      <c r="D233" s="46"/>
      <c r="E233" s="48"/>
      <c r="F233" s="49"/>
      <c r="G233" s="51"/>
      <c r="H233" s="48"/>
      <c r="I233" s="2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2.75" customHeight="1">
      <c r="A234" s="46"/>
      <c r="B234" s="46"/>
      <c r="C234" s="46"/>
      <c r="D234" s="46"/>
      <c r="E234" s="48"/>
      <c r="F234" s="49"/>
      <c r="G234" s="51"/>
      <c r="H234" s="48"/>
      <c r="I234" s="2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2.75" customHeight="1">
      <c r="A235" s="46"/>
      <c r="B235" s="46"/>
      <c r="C235" s="46"/>
      <c r="D235" s="46"/>
      <c r="E235" s="48"/>
      <c r="F235" s="49"/>
      <c r="G235" s="51"/>
      <c r="H235" s="48"/>
      <c r="I235" s="2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2.75" customHeight="1">
      <c r="A236" s="46"/>
      <c r="B236" s="46"/>
      <c r="C236" s="46"/>
      <c r="D236" s="46"/>
      <c r="E236" s="48"/>
      <c r="F236" s="49"/>
      <c r="G236" s="51"/>
      <c r="H236" s="48"/>
      <c r="I236" s="2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2.75" customHeight="1">
      <c r="A237" s="46"/>
      <c r="B237" s="46"/>
      <c r="C237" s="46"/>
      <c r="D237" s="46"/>
      <c r="E237" s="48"/>
      <c r="F237" s="49"/>
      <c r="G237" s="51"/>
      <c r="H237" s="48"/>
      <c r="I237" s="2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2.75" customHeight="1">
      <c r="A238" s="46"/>
      <c r="B238" s="46"/>
      <c r="C238" s="46"/>
      <c r="D238" s="46"/>
      <c r="E238" s="48"/>
      <c r="F238" s="49"/>
      <c r="G238" s="51"/>
      <c r="H238" s="48"/>
      <c r="I238" s="2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2.75" customHeight="1">
      <c r="A239" s="46"/>
      <c r="B239" s="46"/>
      <c r="C239" s="46"/>
      <c r="D239" s="46"/>
      <c r="E239" s="48"/>
      <c r="F239" s="49"/>
      <c r="G239" s="51"/>
      <c r="H239" s="48"/>
      <c r="I239" s="2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2.75" customHeight="1">
      <c r="A240" s="46"/>
      <c r="B240" s="46"/>
      <c r="C240" s="46"/>
      <c r="D240" s="46"/>
      <c r="E240" s="48"/>
      <c r="F240" s="49"/>
      <c r="G240" s="51"/>
      <c r="H240" s="48"/>
      <c r="I240" s="2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2.75" customHeight="1">
      <c r="A241" s="46"/>
      <c r="B241" s="46"/>
      <c r="C241" s="46"/>
      <c r="D241" s="46"/>
      <c r="E241" s="48"/>
      <c r="F241" s="49"/>
      <c r="G241" s="51"/>
      <c r="H241" s="48"/>
      <c r="I241" s="2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2.75" customHeight="1">
      <c r="A242" s="46"/>
      <c r="B242" s="46"/>
      <c r="C242" s="46"/>
      <c r="D242" s="46"/>
      <c r="E242" s="48"/>
      <c r="F242" s="49"/>
      <c r="G242" s="51"/>
      <c r="H242" s="48"/>
      <c r="I242" s="2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2.75" customHeight="1">
      <c r="A243" s="46"/>
      <c r="B243" s="46"/>
      <c r="C243" s="46"/>
      <c r="D243" s="46"/>
      <c r="E243" s="48"/>
      <c r="F243" s="49"/>
      <c r="G243" s="51"/>
      <c r="H243" s="48"/>
      <c r="I243" s="2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2.75" customHeight="1">
      <c r="A244" s="46"/>
      <c r="B244" s="46"/>
      <c r="C244" s="46"/>
      <c r="D244" s="46"/>
      <c r="E244" s="48"/>
      <c r="F244" s="49"/>
      <c r="G244" s="51"/>
      <c r="H244" s="48"/>
      <c r="I244" s="2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2.75" customHeight="1">
      <c r="A245" s="46"/>
      <c r="B245" s="46"/>
      <c r="C245" s="46"/>
      <c r="D245" s="46"/>
      <c r="E245" s="48"/>
      <c r="F245" s="49"/>
      <c r="G245" s="51"/>
      <c r="H245" s="48"/>
      <c r="I245" s="2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2.75" customHeight="1">
      <c r="A246" s="46"/>
      <c r="B246" s="46"/>
      <c r="C246" s="46"/>
      <c r="D246" s="46"/>
      <c r="E246" s="48"/>
      <c r="F246" s="49"/>
      <c r="G246" s="51"/>
      <c r="H246" s="48"/>
      <c r="I246" s="2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2.75" customHeight="1">
      <c r="A247" s="46"/>
      <c r="B247" s="46"/>
      <c r="C247" s="46"/>
      <c r="D247" s="46"/>
      <c r="E247" s="48"/>
      <c r="F247" s="49"/>
      <c r="G247" s="51"/>
      <c r="H247" s="48"/>
      <c r="I247" s="2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2.75" customHeight="1">
      <c r="A248" s="46"/>
      <c r="B248" s="46"/>
      <c r="C248" s="46"/>
      <c r="D248" s="46"/>
      <c r="E248" s="48"/>
      <c r="F248" s="49"/>
      <c r="G248" s="51"/>
      <c r="H248" s="48"/>
      <c r="I248" s="2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2.75" customHeight="1">
      <c r="A249" s="46"/>
      <c r="B249" s="46"/>
      <c r="C249" s="46"/>
      <c r="D249" s="46"/>
      <c r="E249" s="48"/>
      <c r="F249" s="49"/>
      <c r="G249" s="51"/>
      <c r="H249" s="48"/>
      <c r="I249" s="2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2.75" customHeight="1">
      <c r="A250" s="46"/>
      <c r="B250" s="46"/>
      <c r="C250" s="46"/>
      <c r="D250" s="46"/>
      <c r="E250" s="48"/>
      <c r="F250" s="49"/>
      <c r="G250" s="51"/>
      <c r="H250" s="48"/>
      <c r="I250" s="2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2.75" customHeight="1">
      <c r="A251" s="46"/>
      <c r="B251" s="46"/>
      <c r="C251" s="46"/>
      <c r="D251" s="46"/>
      <c r="E251" s="48"/>
      <c r="F251" s="49"/>
      <c r="G251" s="51"/>
      <c r="H251" s="48"/>
      <c r="I251" s="2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2.75" customHeight="1">
      <c r="A252" s="46"/>
      <c r="B252" s="46"/>
      <c r="C252" s="46"/>
      <c r="D252" s="46"/>
      <c r="E252" s="48"/>
      <c r="F252" s="49"/>
      <c r="G252" s="51"/>
      <c r="H252" s="48"/>
      <c r="I252" s="2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2.75" customHeight="1">
      <c r="A253" s="46"/>
      <c r="B253" s="46"/>
      <c r="C253" s="46"/>
      <c r="D253" s="46"/>
      <c r="E253" s="48"/>
      <c r="F253" s="49"/>
      <c r="G253" s="51"/>
      <c r="H253" s="48"/>
      <c r="I253" s="2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2.75" customHeight="1">
      <c r="A254" s="46"/>
      <c r="B254" s="46"/>
      <c r="C254" s="46"/>
      <c r="D254" s="46"/>
      <c r="E254" s="48"/>
      <c r="F254" s="49"/>
      <c r="G254" s="51"/>
      <c r="H254" s="48"/>
      <c r="I254" s="2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2.75" customHeight="1">
      <c r="A255" s="46"/>
      <c r="B255" s="46"/>
      <c r="C255" s="46"/>
      <c r="D255" s="46"/>
      <c r="E255" s="48"/>
      <c r="F255" s="49"/>
      <c r="G255" s="51"/>
      <c r="H255" s="48"/>
      <c r="I255" s="2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2.75" customHeight="1">
      <c r="A256" s="46"/>
      <c r="B256" s="46"/>
      <c r="C256" s="46"/>
      <c r="D256" s="46"/>
      <c r="E256" s="48"/>
      <c r="F256" s="49"/>
      <c r="G256" s="51"/>
      <c r="H256" s="48"/>
      <c r="I256" s="2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2.75" customHeight="1">
      <c r="A257" s="46"/>
      <c r="B257" s="46"/>
      <c r="C257" s="46"/>
      <c r="D257" s="46"/>
      <c r="E257" s="48"/>
      <c r="F257" s="49"/>
      <c r="G257" s="51"/>
      <c r="H257" s="48"/>
      <c r="I257" s="2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2.75" customHeight="1">
      <c r="A258" s="46"/>
      <c r="B258" s="46"/>
      <c r="C258" s="46"/>
      <c r="D258" s="46"/>
      <c r="E258" s="48"/>
      <c r="F258" s="49"/>
      <c r="G258" s="51"/>
      <c r="H258" s="48"/>
      <c r="I258" s="2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2.75" customHeight="1">
      <c r="A259" s="46"/>
      <c r="B259" s="46"/>
      <c r="C259" s="46"/>
      <c r="D259" s="46"/>
      <c r="E259" s="48"/>
      <c r="F259" s="49"/>
      <c r="G259" s="51"/>
      <c r="H259" s="48"/>
      <c r="I259" s="2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2.75" customHeight="1">
      <c r="A260" s="46"/>
      <c r="B260" s="46"/>
      <c r="C260" s="46"/>
      <c r="D260" s="46"/>
      <c r="E260" s="48"/>
      <c r="F260" s="49"/>
      <c r="G260" s="51"/>
      <c r="H260" s="48"/>
      <c r="I260" s="2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2.75" customHeight="1">
      <c r="A261" s="46"/>
      <c r="B261" s="46"/>
      <c r="C261" s="46"/>
      <c r="D261" s="46"/>
      <c r="E261" s="48"/>
      <c r="F261" s="49"/>
      <c r="G261" s="51"/>
      <c r="H261" s="48"/>
      <c r="I261" s="2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2.75" customHeight="1">
      <c r="A262" s="46"/>
      <c r="B262" s="46"/>
      <c r="C262" s="46"/>
      <c r="D262" s="46"/>
      <c r="E262" s="48"/>
      <c r="F262" s="49"/>
      <c r="G262" s="51"/>
      <c r="H262" s="48"/>
      <c r="I262" s="2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2.75" customHeight="1">
      <c r="A263" s="46"/>
      <c r="B263" s="46"/>
      <c r="C263" s="46"/>
      <c r="D263" s="46"/>
      <c r="E263" s="48"/>
      <c r="F263" s="49"/>
      <c r="G263" s="51"/>
      <c r="H263" s="48"/>
      <c r="I263" s="2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2.75" customHeight="1">
      <c r="A264" s="46"/>
      <c r="B264" s="46"/>
      <c r="C264" s="46"/>
      <c r="D264" s="46"/>
      <c r="E264" s="48"/>
      <c r="F264" s="49"/>
      <c r="G264" s="51"/>
      <c r="H264" s="48"/>
      <c r="I264" s="2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2.75" customHeight="1">
      <c r="A265" s="46"/>
      <c r="B265" s="46"/>
      <c r="C265" s="46"/>
      <c r="D265" s="46"/>
      <c r="E265" s="48"/>
      <c r="F265" s="49"/>
      <c r="G265" s="51"/>
      <c r="H265" s="48"/>
      <c r="I265" s="2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2.75" customHeight="1">
      <c r="A266" s="46"/>
      <c r="B266" s="46"/>
      <c r="C266" s="46"/>
      <c r="D266" s="46"/>
      <c r="E266" s="48"/>
      <c r="F266" s="49"/>
      <c r="G266" s="51"/>
      <c r="H266" s="48"/>
      <c r="I266" s="2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2.75" customHeight="1">
      <c r="A267" s="46"/>
      <c r="B267" s="46"/>
      <c r="C267" s="46"/>
      <c r="D267" s="46"/>
      <c r="E267" s="48"/>
      <c r="F267" s="49"/>
      <c r="G267" s="51"/>
      <c r="H267" s="48"/>
      <c r="I267" s="2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2.75" customHeight="1">
      <c r="A268" s="46"/>
      <c r="B268" s="46"/>
      <c r="C268" s="46"/>
      <c r="D268" s="46"/>
      <c r="E268" s="48"/>
      <c r="F268" s="49"/>
      <c r="G268" s="51"/>
      <c r="H268" s="48"/>
      <c r="I268" s="2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2.75" customHeight="1">
      <c r="A269" s="46"/>
      <c r="B269" s="46"/>
      <c r="C269" s="46"/>
      <c r="D269" s="46"/>
      <c r="E269" s="48"/>
      <c r="F269" s="49"/>
      <c r="G269" s="51"/>
      <c r="H269" s="48"/>
      <c r="I269" s="2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2.75" customHeight="1">
      <c r="A270" s="46"/>
      <c r="B270" s="46"/>
      <c r="C270" s="46"/>
      <c r="D270" s="46"/>
      <c r="E270" s="48"/>
      <c r="F270" s="49"/>
      <c r="G270" s="51"/>
      <c r="H270" s="48"/>
      <c r="I270" s="2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2.75" customHeight="1">
      <c r="A271" s="46"/>
      <c r="B271" s="46"/>
      <c r="C271" s="46"/>
      <c r="D271" s="46"/>
      <c r="E271" s="48"/>
      <c r="F271" s="49"/>
      <c r="G271" s="51"/>
      <c r="H271" s="48"/>
      <c r="I271" s="2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2.75" customHeight="1">
      <c r="A272" s="46"/>
      <c r="B272" s="46"/>
      <c r="C272" s="46"/>
      <c r="D272" s="46"/>
      <c r="E272" s="48"/>
      <c r="F272" s="49"/>
      <c r="G272" s="51"/>
      <c r="H272" s="48"/>
      <c r="I272" s="2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2.75" customHeight="1">
      <c r="A273" s="46"/>
      <c r="B273" s="46"/>
      <c r="C273" s="46"/>
      <c r="D273" s="46"/>
      <c r="E273" s="48"/>
      <c r="F273" s="49"/>
      <c r="G273" s="51"/>
      <c r="H273" s="48"/>
      <c r="I273" s="2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2.75" customHeight="1">
      <c r="A274" s="46"/>
      <c r="B274" s="46"/>
      <c r="C274" s="46"/>
      <c r="D274" s="46"/>
      <c r="E274" s="48"/>
      <c r="F274" s="49"/>
      <c r="G274" s="51"/>
      <c r="H274" s="48"/>
      <c r="I274" s="2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2.75" customHeight="1">
      <c r="A275" s="46"/>
      <c r="B275" s="46"/>
      <c r="C275" s="46"/>
      <c r="D275" s="46"/>
      <c r="E275" s="48"/>
      <c r="F275" s="49"/>
      <c r="G275" s="51"/>
      <c r="H275" s="48"/>
      <c r="I275" s="2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2.75" customHeight="1">
      <c r="A276" s="46"/>
      <c r="B276" s="46"/>
      <c r="C276" s="46"/>
      <c r="D276" s="46"/>
      <c r="E276" s="48"/>
      <c r="F276" s="49"/>
      <c r="G276" s="51"/>
      <c r="H276" s="48"/>
      <c r="I276" s="2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2.75" customHeight="1">
      <c r="A277" s="46"/>
      <c r="B277" s="46"/>
      <c r="C277" s="46"/>
      <c r="D277" s="46"/>
      <c r="E277" s="48"/>
      <c r="F277" s="49"/>
      <c r="G277" s="51"/>
      <c r="H277" s="48"/>
      <c r="I277" s="2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2.75" customHeight="1">
      <c r="A278" s="46"/>
      <c r="B278" s="46"/>
      <c r="C278" s="46"/>
      <c r="D278" s="46"/>
      <c r="E278" s="48"/>
      <c r="F278" s="49"/>
      <c r="G278" s="51"/>
      <c r="H278" s="48"/>
      <c r="I278" s="2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2.75" customHeight="1">
      <c r="A279" s="46"/>
      <c r="B279" s="46"/>
      <c r="C279" s="46"/>
      <c r="D279" s="46"/>
      <c r="E279" s="48"/>
      <c r="F279" s="49"/>
      <c r="G279" s="51"/>
      <c r="H279" s="48"/>
      <c r="I279" s="2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2.75" customHeight="1">
      <c r="A280" s="46"/>
      <c r="B280" s="46"/>
      <c r="C280" s="46"/>
      <c r="D280" s="46"/>
      <c r="E280" s="48"/>
      <c r="F280" s="49"/>
      <c r="G280" s="51"/>
      <c r="H280" s="48"/>
      <c r="I280" s="2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2.75" customHeight="1">
      <c r="A281" s="46"/>
      <c r="B281" s="46"/>
      <c r="C281" s="46"/>
      <c r="D281" s="46"/>
      <c r="E281" s="48"/>
      <c r="F281" s="49"/>
      <c r="G281" s="51"/>
      <c r="H281" s="48"/>
      <c r="I281" s="2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2.75" customHeight="1">
      <c r="A282" s="46"/>
      <c r="B282" s="46"/>
      <c r="C282" s="46"/>
      <c r="D282" s="46"/>
      <c r="E282" s="48"/>
      <c r="F282" s="49"/>
      <c r="G282" s="51"/>
      <c r="H282" s="48"/>
      <c r="I282" s="2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2.75" customHeight="1">
      <c r="A283" s="46"/>
      <c r="B283" s="46"/>
      <c r="C283" s="46"/>
      <c r="D283" s="46"/>
      <c r="E283" s="48"/>
      <c r="F283" s="49"/>
      <c r="G283" s="51"/>
      <c r="H283" s="48"/>
      <c r="I283" s="2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2.75" customHeight="1">
      <c r="A284" s="46"/>
      <c r="B284" s="46"/>
      <c r="C284" s="46"/>
      <c r="D284" s="46"/>
      <c r="E284" s="48"/>
      <c r="F284" s="49"/>
      <c r="G284" s="51"/>
      <c r="H284" s="48"/>
      <c r="I284" s="2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2.75" customHeight="1">
      <c r="A285" s="46"/>
      <c r="B285" s="46"/>
      <c r="C285" s="46"/>
      <c r="D285" s="46"/>
      <c r="E285" s="48"/>
      <c r="F285" s="49"/>
      <c r="G285" s="51"/>
      <c r="H285" s="48"/>
      <c r="I285" s="2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2.75" customHeight="1">
      <c r="A286" s="46"/>
      <c r="B286" s="46"/>
      <c r="C286" s="46"/>
      <c r="D286" s="46"/>
      <c r="E286" s="48"/>
      <c r="F286" s="49"/>
      <c r="G286" s="51"/>
      <c r="H286" s="48"/>
      <c r="I286" s="2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2.75" customHeight="1">
      <c r="A287" s="46"/>
      <c r="B287" s="46"/>
      <c r="C287" s="46"/>
      <c r="D287" s="46"/>
      <c r="E287" s="48"/>
      <c r="F287" s="49"/>
      <c r="G287" s="51"/>
      <c r="H287" s="48"/>
      <c r="I287" s="2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2.75" customHeight="1">
      <c r="A288" s="46"/>
      <c r="B288" s="46"/>
      <c r="C288" s="46"/>
      <c r="D288" s="46"/>
      <c r="E288" s="48"/>
      <c r="F288" s="49"/>
      <c r="G288" s="51"/>
      <c r="H288" s="48"/>
      <c r="I288" s="2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2.75" customHeight="1">
      <c r="A289" s="46"/>
      <c r="B289" s="46"/>
      <c r="C289" s="46"/>
      <c r="D289" s="46"/>
      <c r="E289" s="48"/>
      <c r="F289" s="49"/>
      <c r="G289" s="51"/>
      <c r="H289" s="48"/>
      <c r="I289" s="2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2.75" customHeight="1">
      <c r="A290" s="46"/>
      <c r="B290" s="46"/>
      <c r="C290" s="46"/>
      <c r="D290" s="46"/>
      <c r="E290" s="48"/>
      <c r="F290" s="49"/>
      <c r="G290" s="51"/>
      <c r="H290" s="48"/>
      <c r="I290" s="2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2.75" customHeight="1">
      <c r="A291" s="46"/>
      <c r="B291" s="46"/>
      <c r="C291" s="46"/>
      <c r="D291" s="46"/>
      <c r="E291" s="48"/>
      <c r="F291" s="49"/>
      <c r="G291" s="51"/>
      <c r="H291" s="48"/>
      <c r="I291" s="2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2.75" customHeight="1">
      <c r="A292" s="46"/>
      <c r="B292" s="46"/>
      <c r="C292" s="46"/>
      <c r="D292" s="46"/>
      <c r="E292" s="48"/>
      <c r="F292" s="49"/>
      <c r="G292" s="51"/>
      <c r="H292" s="48"/>
      <c r="I292" s="2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2.75" customHeight="1">
      <c r="A293" s="46"/>
      <c r="B293" s="46"/>
      <c r="C293" s="46"/>
      <c r="D293" s="46"/>
      <c r="E293" s="48"/>
      <c r="F293" s="49"/>
      <c r="G293" s="51"/>
      <c r="H293" s="48"/>
      <c r="I293" s="2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2.75" customHeight="1">
      <c r="A294" s="46"/>
      <c r="B294" s="46"/>
      <c r="C294" s="46"/>
      <c r="D294" s="46"/>
      <c r="E294" s="48"/>
      <c r="F294" s="49"/>
      <c r="G294" s="51"/>
      <c r="H294" s="48"/>
      <c r="I294" s="2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2.75" customHeight="1">
      <c r="A295" s="46"/>
      <c r="B295" s="46"/>
      <c r="C295" s="46"/>
      <c r="D295" s="46"/>
      <c r="E295" s="48"/>
      <c r="F295" s="49"/>
      <c r="G295" s="51"/>
      <c r="H295" s="48"/>
      <c r="I295" s="2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2.75" customHeight="1">
      <c r="A296" s="46"/>
      <c r="B296" s="46"/>
      <c r="C296" s="46"/>
      <c r="D296" s="46"/>
      <c r="E296" s="48"/>
      <c r="F296" s="49"/>
      <c r="G296" s="51"/>
      <c r="H296" s="48"/>
      <c r="I296" s="2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2.75" customHeight="1">
      <c r="A297" s="46"/>
      <c r="B297" s="46"/>
      <c r="C297" s="46"/>
      <c r="D297" s="46"/>
      <c r="E297" s="48"/>
      <c r="F297" s="49"/>
      <c r="G297" s="51"/>
      <c r="H297" s="48"/>
      <c r="I297" s="2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2.75" customHeight="1">
      <c r="A298" s="46"/>
      <c r="B298" s="46"/>
      <c r="C298" s="46"/>
      <c r="D298" s="46"/>
      <c r="E298" s="48"/>
      <c r="F298" s="49"/>
      <c r="G298" s="51"/>
      <c r="H298" s="48"/>
      <c r="I298" s="2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2.75" customHeight="1">
      <c r="A299" s="46"/>
      <c r="B299" s="46"/>
      <c r="C299" s="46"/>
      <c r="D299" s="46"/>
      <c r="E299" s="48"/>
      <c r="F299" s="49"/>
      <c r="G299" s="51"/>
      <c r="H299" s="48"/>
      <c r="I299" s="2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2.75" customHeight="1">
      <c r="A300" s="46"/>
      <c r="B300" s="46"/>
      <c r="C300" s="46"/>
      <c r="D300" s="46"/>
      <c r="E300" s="48"/>
      <c r="F300" s="49"/>
      <c r="G300" s="51"/>
      <c r="H300" s="48"/>
      <c r="I300" s="2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2.75" customHeight="1">
      <c r="A301" s="46"/>
      <c r="B301" s="46"/>
      <c r="C301" s="46"/>
      <c r="D301" s="46"/>
      <c r="E301" s="48"/>
      <c r="F301" s="49"/>
      <c r="G301" s="51"/>
      <c r="H301" s="48"/>
      <c r="I301" s="2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2.75" customHeight="1">
      <c r="A302" s="46"/>
      <c r="B302" s="46"/>
      <c r="C302" s="46"/>
      <c r="D302" s="46"/>
      <c r="E302" s="48"/>
      <c r="F302" s="49"/>
      <c r="G302" s="51"/>
      <c r="H302" s="48"/>
      <c r="I302" s="2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2.75" customHeight="1">
      <c r="A303" s="46"/>
      <c r="B303" s="46"/>
      <c r="C303" s="46"/>
      <c r="D303" s="46"/>
      <c r="E303" s="48"/>
      <c r="F303" s="49"/>
      <c r="G303" s="51"/>
      <c r="H303" s="48"/>
      <c r="I303" s="2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2.75" customHeight="1">
      <c r="A304" s="46"/>
      <c r="B304" s="46"/>
      <c r="C304" s="46"/>
      <c r="D304" s="46"/>
      <c r="E304" s="48"/>
      <c r="F304" s="49"/>
      <c r="G304" s="51"/>
      <c r="H304" s="48"/>
      <c r="I304" s="2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2.75" customHeight="1">
      <c r="A305" s="46"/>
      <c r="B305" s="46"/>
      <c r="C305" s="46"/>
      <c r="D305" s="46"/>
      <c r="E305" s="48"/>
      <c r="F305" s="49"/>
      <c r="G305" s="51"/>
      <c r="H305" s="48"/>
      <c r="I305" s="2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2.75" customHeight="1">
      <c r="A306" s="46"/>
      <c r="B306" s="46"/>
      <c r="C306" s="46"/>
      <c r="D306" s="46"/>
      <c r="E306" s="48"/>
      <c r="F306" s="49"/>
      <c r="G306" s="51"/>
      <c r="H306" s="48"/>
      <c r="I306" s="2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2.75" customHeight="1">
      <c r="A307" s="46"/>
      <c r="B307" s="46"/>
      <c r="C307" s="46"/>
      <c r="D307" s="46"/>
      <c r="E307" s="48"/>
      <c r="F307" s="49"/>
      <c r="G307" s="51"/>
      <c r="H307" s="48"/>
      <c r="I307" s="2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2.75" customHeight="1">
      <c r="A308" s="46"/>
      <c r="B308" s="46"/>
      <c r="C308" s="46"/>
      <c r="D308" s="46"/>
      <c r="E308" s="48"/>
      <c r="F308" s="49"/>
      <c r="G308" s="51"/>
      <c r="H308" s="48"/>
      <c r="I308" s="2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2.75" customHeight="1">
      <c r="A309" s="46"/>
      <c r="B309" s="46"/>
      <c r="C309" s="46"/>
      <c r="D309" s="46"/>
      <c r="E309" s="48"/>
      <c r="F309" s="49"/>
      <c r="G309" s="51"/>
      <c r="H309" s="48"/>
      <c r="I309" s="2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2.75" customHeight="1">
      <c r="A310" s="46"/>
      <c r="B310" s="46"/>
      <c r="C310" s="46"/>
      <c r="D310" s="46"/>
      <c r="E310" s="48"/>
      <c r="F310" s="49"/>
      <c r="G310" s="51"/>
      <c r="H310" s="48"/>
      <c r="I310" s="2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2.75" customHeight="1">
      <c r="A311" s="46"/>
      <c r="B311" s="46"/>
      <c r="C311" s="46"/>
      <c r="D311" s="46"/>
      <c r="E311" s="48"/>
      <c r="F311" s="49"/>
      <c r="G311" s="51"/>
      <c r="H311" s="48"/>
      <c r="I311" s="2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2.75" customHeight="1">
      <c r="A312" s="46"/>
      <c r="B312" s="46"/>
      <c r="C312" s="46"/>
      <c r="D312" s="46"/>
      <c r="E312" s="48"/>
      <c r="F312" s="49"/>
      <c r="G312" s="51"/>
      <c r="H312" s="48"/>
      <c r="I312" s="2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2.75" customHeight="1">
      <c r="A313" s="46"/>
      <c r="B313" s="46"/>
      <c r="C313" s="46"/>
      <c r="D313" s="46"/>
      <c r="E313" s="48"/>
      <c r="F313" s="49"/>
      <c r="G313" s="51"/>
      <c r="H313" s="48"/>
      <c r="I313" s="2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2.75" customHeight="1">
      <c r="A314" s="46"/>
      <c r="B314" s="46"/>
      <c r="C314" s="46"/>
      <c r="D314" s="46"/>
      <c r="E314" s="48"/>
      <c r="F314" s="49"/>
      <c r="G314" s="51"/>
      <c r="H314" s="48"/>
      <c r="I314" s="2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2.75" customHeight="1">
      <c r="A315" s="46"/>
      <c r="B315" s="46"/>
      <c r="C315" s="46"/>
      <c r="D315" s="46"/>
      <c r="E315" s="48"/>
      <c r="F315" s="49"/>
      <c r="G315" s="51"/>
      <c r="H315" s="48"/>
      <c r="I315" s="2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2.75" customHeight="1">
      <c r="A316" s="46"/>
      <c r="B316" s="46"/>
      <c r="C316" s="46"/>
      <c r="D316" s="46"/>
      <c r="E316" s="48"/>
      <c r="F316" s="49"/>
      <c r="G316" s="51"/>
      <c r="H316" s="48"/>
      <c r="I316" s="2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2.75" customHeight="1">
      <c r="A317" s="46"/>
      <c r="B317" s="46"/>
      <c r="C317" s="46"/>
      <c r="D317" s="46"/>
      <c r="E317" s="48"/>
      <c r="F317" s="49"/>
      <c r="G317" s="51"/>
      <c r="H317" s="48"/>
      <c r="I317" s="2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2.75" customHeight="1">
      <c r="A318" s="46"/>
      <c r="B318" s="46"/>
      <c r="C318" s="46"/>
      <c r="D318" s="46"/>
      <c r="E318" s="48"/>
      <c r="F318" s="49"/>
      <c r="G318" s="51"/>
      <c r="H318" s="48"/>
      <c r="I318" s="2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2.75" customHeight="1">
      <c r="A319" s="46"/>
      <c r="B319" s="46"/>
      <c r="C319" s="46"/>
      <c r="D319" s="46"/>
      <c r="E319" s="48"/>
      <c r="F319" s="49"/>
      <c r="G319" s="51"/>
      <c r="H319" s="48"/>
      <c r="I319" s="2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2.75" customHeight="1">
      <c r="A320" s="46"/>
      <c r="B320" s="46"/>
      <c r="C320" s="46"/>
      <c r="D320" s="46"/>
      <c r="E320" s="48"/>
      <c r="F320" s="49"/>
      <c r="G320" s="51"/>
      <c r="H320" s="48"/>
      <c r="I320" s="2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2.75" customHeight="1">
      <c r="A321" s="46"/>
      <c r="B321" s="46"/>
      <c r="C321" s="46"/>
      <c r="D321" s="46"/>
      <c r="E321" s="48"/>
      <c r="F321" s="49"/>
      <c r="G321" s="51"/>
      <c r="H321" s="48"/>
      <c r="I321" s="2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2.75" customHeight="1">
      <c r="A322" s="46"/>
      <c r="B322" s="46"/>
      <c r="C322" s="46"/>
      <c r="D322" s="46"/>
      <c r="E322" s="48"/>
      <c r="F322" s="49"/>
      <c r="G322" s="51"/>
      <c r="H322" s="48"/>
      <c r="I322" s="2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2.75" customHeight="1">
      <c r="A323" s="46"/>
      <c r="B323" s="46"/>
      <c r="C323" s="46"/>
      <c r="D323" s="46"/>
      <c r="E323" s="48"/>
      <c r="F323" s="49"/>
      <c r="G323" s="51"/>
      <c r="H323" s="48"/>
      <c r="I323" s="2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2.75" customHeight="1">
      <c r="A324" s="46"/>
      <c r="B324" s="46"/>
      <c r="C324" s="46"/>
      <c r="D324" s="46"/>
      <c r="E324" s="48"/>
      <c r="F324" s="49"/>
      <c r="G324" s="51"/>
      <c r="H324" s="48"/>
      <c r="I324" s="2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2.75" customHeight="1">
      <c r="A325" s="46"/>
      <c r="B325" s="46"/>
      <c r="C325" s="46"/>
      <c r="D325" s="46"/>
      <c r="E325" s="48"/>
      <c r="F325" s="49"/>
      <c r="G325" s="51"/>
      <c r="H325" s="48"/>
      <c r="I325" s="2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2.75" customHeight="1">
      <c r="A326" s="46"/>
      <c r="B326" s="46"/>
      <c r="C326" s="46"/>
      <c r="D326" s="46"/>
      <c r="E326" s="48"/>
      <c r="F326" s="49"/>
      <c r="G326" s="51"/>
      <c r="H326" s="48"/>
      <c r="I326" s="2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2.75" customHeight="1">
      <c r="A327" s="46"/>
      <c r="B327" s="46"/>
      <c r="C327" s="46"/>
      <c r="D327" s="46"/>
      <c r="E327" s="48"/>
      <c r="F327" s="49"/>
      <c r="G327" s="51"/>
      <c r="H327" s="48"/>
      <c r="I327" s="2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2.75" customHeight="1">
      <c r="A328" s="46"/>
      <c r="B328" s="46"/>
      <c r="C328" s="46"/>
      <c r="D328" s="46"/>
      <c r="E328" s="48"/>
      <c r="F328" s="49"/>
      <c r="G328" s="51"/>
      <c r="H328" s="48"/>
      <c r="I328" s="2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2.75" customHeight="1">
      <c r="A329" s="46"/>
      <c r="B329" s="46"/>
      <c r="C329" s="46"/>
      <c r="D329" s="46"/>
      <c r="E329" s="48"/>
      <c r="F329" s="49"/>
      <c r="G329" s="51"/>
      <c r="H329" s="48"/>
      <c r="I329" s="2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2.75" customHeight="1">
      <c r="A330" s="46"/>
      <c r="B330" s="46"/>
      <c r="C330" s="46"/>
      <c r="D330" s="46"/>
      <c r="E330" s="48"/>
      <c r="F330" s="49"/>
      <c r="G330" s="51"/>
      <c r="H330" s="48"/>
      <c r="I330" s="2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2.75" customHeight="1">
      <c r="A331" s="46"/>
      <c r="B331" s="46"/>
      <c r="C331" s="46"/>
      <c r="D331" s="46"/>
      <c r="E331" s="48"/>
      <c r="F331" s="49"/>
      <c r="G331" s="51"/>
      <c r="H331" s="48"/>
      <c r="I331" s="2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2.75" customHeight="1">
      <c r="A332" s="46"/>
      <c r="B332" s="46"/>
      <c r="C332" s="46"/>
      <c r="D332" s="46"/>
      <c r="E332" s="48"/>
      <c r="F332" s="49"/>
      <c r="G332" s="51"/>
      <c r="H332" s="48"/>
      <c r="I332" s="2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2.75" customHeight="1">
      <c r="A333" s="46"/>
      <c r="B333" s="46"/>
      <c r="C333" s="46"/>
      <c r="D333" s="46"/>
      <c r="E333" s="48"/>
      <c r="F333" s="49"/>
      <c r="G333" s="51"/>
      <c r="H333" s="48"/>
      <c r="I333" s="2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2.75" customHeight="1">
      <c r="A334" s="46"/>
      <c r="B334" s="46"/>
      <c r="C334" s="46"/>
      <c r="D334" s="46"/>
      <c r="E334" s="48"/>
      <c r="F334" s="49"/>
      <c r="G334" s="51"/>
      <c r="H334" s="48"/>
      <c r="I334" s="2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2.75" customHeight="1">
      <c r="A335" s="46"/>
      <c r="B335" s="46"/>
      <c r="C335" s="46"/>
      <c r="D335" s="46"/>
      <c r="E335" s="48"/>
      <c r="F335" s="49"/>
      <c r="G335" s="51"/>
      <c r="H335" s="48"/>
      <c r="I335" s="2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2.75" customHeight="1">
      <c r="A336" s="46"/>
      <c r="B336" s="46"/>
      <c r="C336" s="46"/>
      <c r="D336" s="46"/>
      <c r="E336" s="48"/>
      <c r="F336" s="49"/>
      <c r="G336" s="51"/>
      <c r="H336" s="48"/>
      <c r="I336" s="2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2.75" customHeight="1">
      <c r="A337" s="46"/>
      <c r="B337" s="46"/>
      <c r="C337" s="46"/>
      <c r="D337" s="46"/>
      <c r="E337" s="48"/>
      <c r="F337" s="49"/>
      <c r="G337" s="51"/>
      <c r="H337" s="48"/>
      <c r="I337" s="2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2.75" customHeight="1">
      <c r="A338" s="46"/>
      <c r="B338" s="46"/>
      <c r="C338" s="46"/>
      <c r="D338" s="46"/>
      <c r="E338" s="48"/>
      <c r="F338" s="49"/>
      <c r="G338" s="51"/>
      <c r="H338" s="48"/>
      <c r="I338" s="2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2.75" customHeight="1">
      <c r="A339" s="46"/>
      <c r="B339" s="46"/>
      <c r="C339" s="46"/>
      <c r="D339" s="46"/>
      <c r="E339" s="48"/>
      <c r="F339" s="49"/>
      <c r="G339" s="51"/>
      <c r="H339" s="48"/>
      <c r="I339" s="2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2.75" customHeight="1">
      <c r="A340" s="46"/>
      <c r="B340" s="46"/>
      <c r="C340" s="46"/>
      <c r="D340" s="46"/>
      <c r="E340" s="48"/>
      <c r="F340" s="49"/>
      <c r="G340" s="51"/>
      <c r="H340" s="48"/>
      <c r="I340" s="2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2.75" customHeight="1">
      <c r="A341" s="46"/>
      <c r="B341" s="46"/>
      <c r="C341" s="46"/>
      <c r="D341" s="46"/>
      <c r="E341" s="48"/>
      <c r="F341" s="49"/>
      <c r="G341" s="51"/>
      <c r="H341" s="48"/>
      <c r="I341" s="2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2.75" customHeight="1">
      <c r="A342" s="46"/>
      <c r="B342" s="46"/>
      <c r="C342" s="46"/>
      <c r="D342" s="46"/>
      <c r="E342" s="48"/>
      <c r="F342" s="49"/>
      <c r="G342" s="51"/>
      <c r="H342" s="48"/>
      <c r="I342" s="2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2.75" customHeight="1">
      <c r="A343" s="46"/>
      <c r="B343" s="46"/>
      <c r="C343" s="46"/>
      <c r="D343" s="46"/>
      <c r="E343" s="48"/>
      <c r="F343" s="49"/>
      <c r="G343" s="51"/>
      <c r="H343" s="48"/>
      <c r="I343" s="2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2.75" customHeight="1">
      <c r="A344" s="46"/>
      <c r="B344" s="46"/>
      <c r="C344" s="46"/>
      <c r="D344" s="46"/>
      <c r="E344" s="48"/>
      <c r="F344" s="49"/>
      <c r="G344" s="51"/>
      <c r="H344" s="48"/>
      <c r="I344" s="2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2.75" customHeight="1">
      <c r="A345" s="46"/>
      <c r="B345" s="46"/>
      <c r="C345" s="46"/>
      <c r="D345" s="46"/>
      <c r="E345" s="48"/>
      <c r="F345" s="49"/>
      <c r="G345" s="51"/>
      <c r="H345" s="48"/>
      <c r="I345" s="2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2.75" customHeight="1">
      <c r="A346" s="46"/>
      <c r="B346" s="46"/>
      <c r="C346" s="46"/>
      <c r="D346" s="46"/>
      <c r="E346" s="48"/>
      <c r="F346" s="49"/>
      <c r="G346" s="51"/>
      <c r="H346" s="48"/>
      <c r="I346" s="2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2.75" customHeight="1">
      <c r="A347" s="46"/>
      <c r="B347" s="46"/>
      <c r="C347" s="46"/>
      <c r="D347" s="46"/>
      <c r="E347" s="48"/>
      <c r="F347" s="49"/>
      <c r="G347" s="51"/>
      <c r="H347" s="48"/>
      <c r="I347" s="2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2.75" customHeight="1">
      <c r="A348" s="46"/>
      <c r="B348" s="46"/>
      <c r="C348" s="46"/>
      <c r="D348" s="46"/>
      <c r="E348" s="48"/>
      <c r="F348" s="49"/>
      <c r="G348" s="51"/>
      <c r="H348" s="48"/>
      <c r="I348" s="2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2.75" customHeight="1">
      <c r="A349" s="46"/>
      <c r="B349" s="46"/>
      <c r="C349" s="46"/>
      <c r="D349" s="46"/>
      <c r="E349" s="48"/>
      <c r="F349" s="49"/>
      <c r="G349" s="51"/>
      <c r="H349" s="48"/>
      <c r="I349" s="2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2.75" customHeight="1">
      <c r="A350" s="46"/>
      <c r="B350" s="46"/>
      <c r="C350" s="46"/>
      <c r="D350" s="46"/>
      <c r="E350" s="48"/>
      <c r="F350" s="49"/>
      <c r="G350" s="51"/>
      <c r="H350" s="48"/>
      <c r="I350" s="2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2.75" customHeight="1">
      <c r="A351" s="46"/>
      <c r="B351" s="46"/>
      <c r="C351" s="46"/>
      <c r="D351" s="46"/>
      <c r="E351" s="48"/>
      <c r="F351" s="49"/>
      <c r="G351" s="51"/>
      <c r="H351" s="48"/>
      <c r="I351" s="2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2.75" customHeight="1">
      <c r="A352" s="46"/>
      <c r="B352" s="46"/>
      <c r="C352" s="46"/>
      <c r="D352" s="46"/>
      <c r="E352" s="48"/>
      <c r="F352" s="49"/>
      <c r="G352" s="51"/>
      <c r="H352" s="48"/>
      <c r="I352" s="2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2.75" customHeight="1">
      <c r="A353" s="46"/>
      <c r="B353" s="46"/>
      <c r="C353" s="46"/>
      <c r="D353" s="46"/>
      <c r="E353" s="48"/>
      <c r="F353" s="49"/>
      <c r="G353" s="51"/>
      <c r="H353" s="48"/>
      <c r="I353" s="2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2.75" customHeight="1">
      <c r="A354" s="46"/>
      <c r="B354" s="46"/>
      <c r="C354" s="46"/>
      <c r="D354" s="46"/>
      <c r="E354" s="48"/>
      <c r="F354" s="49"/>
      <c r="G354" s="51"/>
      <c r="H354" s="48"/>
      <c r="I354" s="2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2.75" customHeight="1">
      <c r="A355" s="46"/>
      <c r="B355" s="46"/>
      <c r="C355" s="46"/>
      <c r="D355" s="46"/>
      <c r="E355" s="48"/>
      <c r="F355" s="49"/>
      <c r="G355" s="51"/>
      <c r="H355" s="48"/>
      <c r="I355" s="2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2.75" customHeight="1">
      <c r="A356" s="46"/>
      <c r="B356" s="46"/>
      <c r="C356" s="46"/>
      <c r="D356" s="46"/>
      <c r="E356" s="48"/>
      <c r="F356" s="49"/>
      <c r="G356" s="51"/>
      <c r="H356" s="48"/>
      <c r="I356" s="2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2.75" customHeight="1">
      <c r="A357" s="46"/>
      <c r="B357" s="46"/>
      <c r="C357" s="46"/>
      <c r="D357" s="46"/>
      <c r="E357" s="48"/>
      <c r="F357" s="49"/>
      <c r="G357" s="51"/>
      <c r="H357" s="48"/>
      <c r="I357" s="2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2.75" customHeight="1">
      <c r="A358" s="46"/>
      <c r="B358" s="46"/>
      <c r="C358" s="46"/>
      <c r="D358" s="46"/>
      <c r="E358" s="48"/>
      <c r="F358" s="49"/>
      <c r="G358" s="51"/>
      <c r="H358" s="48"/>
      <c r="I358" s="2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2.75" customHeight="1">
      <c r="A359" s="46"/>
      <c r="B359" s="46"/>
      <c r="C359" s="46"/>
      <c r="D359" s="46"/>
      <c r="E359" s="48"/>
      <c r="F359" s="49"/>
      <c r="G359" s="51"/>
      <c r="H359" s="48"/>
      <c r="I359" s="2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2.75" customHeight="1">
      <c r="A360" s="46"/>
      <c r="B360" s="46"/>
      <c r="C360" s="46"/>
      <c r="D360" s="46"/>
      <c r="E360" s="48"/>
      <c r="F360" s="49"/>
      <c r="G360" s="51"/>
      <c r="H360" s="48"/>
      <c r="I360" s="2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2.75" customHeight="1">
      <c r="A361" s="46"/>
      <c r="B361" s="46"/>
      <c r="C361" s="46"/>
      <c r="D361" s="46"/>
      <c r="E361" s="48"/>
      <c r="F361" s="49"/>
      <c r="G361" s="51"/>
      <c r="H361" s="48"/>
      <c r="I361" s="2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2.75" customHeight="1">
      <c r="A362" s="46"/>
      <c r="B362" s="46"/>
      <c r="C362" s="46"/>
      <c r="D362" s="46"/>
      <c r="E362" s="48"/>
      <c r="F362" s="49"/>
      <c r="G362" s="51"/>
      <c r="H362" s="48"/>
      <c r="I362" s="2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2.75" customHeight="1">
      <c r="A363" s="46"/>
      <c r="B363" s="46"/>
      <c r="C363" s="46"/>
      <c r="D363" s="46"/>
      <c r="E363" s="48"/>
      <c r="F363" s="49"/>
      <c r="G363" s="51"/>
      <c r="H363" s="48"/>
      <c r="I363" s="2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2.75" customHeight="1">
      <c r="A364" s="46"/>
      <c r="B364" s="46"/>
      <c r="C364" s="46"/>
      <c r="D364" s="46"/>
      <c r="E364" s="48"/>
      <c r="F364" s="49"/>
      <c r="G364" s="51"/>
      <c r="H364" s="48"/>
      <c r="I364" s="2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2.75" customHeight="1">
      <c r="A365" s="46"/>
      <c r="B365" s="46"/>
      <c r="C365" s="46"/>
      <c r="D365" s="46"/>
      <c r="E365" s="48"/>
      <c r="F365" s="49"/>
      <c r="G365" s="51"/>
      <c r="H365" s="48"/>
      <c r="I365" s="2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2.75" customHeight="1">
      <c r="A366" s="46"/>
      <c r="B366" s="46"/>
      <c r="C366" s="46"/>
      <c r="D366" s="46"/>
      <c r="E366" s="48"/>
      <c r="F366" s="49"/>
      <c r="G366" s="51"/>
      <c r="H366" s="48"/>
      <c r="I366" s="2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2.75" customHeight="1">
      <c r="A367" s="46"/>
      <c r="B367" s="46"/>
      <c r="C367" s="46"/>
      <c r="D367" s="46"/>
      <c r="E367" s="48"/>
      <c r="F367" s="49"/>
      <c r="G367" s="51"/>
      <c r="H367" s="48"/>
      <c r="I367" s="2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2.75" customHeight="1">
      <c r="A368" s="46"/>
      <c r="B368" s="46"/>
      <c r="C368" s="46"/>
      <c r="D368" s="46"/>
      <c r="E368" s="48"/>
      <c r="F368" s="49"/>
      <c r="G368" s="51"/>
      <c r="H368" s="48"/>
      <c r="I368" s="2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2.75" customHeight="1">
      <c r="A369" s="46"/>
      <c r="B369" s="46"/>
      <c r="C369" s="46"/>
      <c r="D369" s="46"/>
      <c r="E369" s="48"/>
      <c r="F369" s="49"/>
      <c r="G369" s="51"/>
      <c r="H369" s="48"/>
      <c r="I369" s="2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2.75" customHeight="1">
      <c r="A370" s="46"/>
      <c r="B370" s="46"/>
      <c r="C370" s="46"/>
      <c r="D370" s="46"/>
      <c r="E370" s="48"/>
      <c r="F370" s="49"/>
      <c r="G370" s="51"/>
      <c r="H370" s="48"/>
      <c r="I370" s="2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2.75" customHeight="1">
      <c r="A371" s="46"/>
      <c r="B371" s="46"/>
      <c r="C371" s="46"/>
      <c r="D371" s="46"/>
      <c r="E371" s="48"/>
      <c r="F371" s="49"/>
      <c r="G371" s="51"/>
      <c r="H371" s="48"/>
      <c r="I371" s="2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2.75" customHeight="1">
      <c r="A372" s="46"/>
      <c r="B372" s="46"/>
      <c r="C372" s="46"/>
      <c r="D372" s="46"/>
      <c r="E372" s="48"/>
      <c r="F372" s="49"/>
      <c r="G372" s="51"/>
      <c r="H372" s="48"/>
      <c r="I372" s="2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2.75" customHeight="1">
      <c r="A373" s="46"/>
      <c r="B373" s="46"/>
      <c r="C373" s="46"/>
      <c r="D373" s="46"/>
      <c r="E373" s="48"/>
      <c r="F373" s="49"/>
      <c r="G373" s="51"/>
      <c r="H373" s="48"/>
      <c r="I373" s="2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2.75" customHeight="1">
      <c r="A374" s="46"/>
      <c r="B374" s="46"/>
      <c r="C374" s="46"/>
      <c r="D374" s="46"/>
      <c r="E374" s="48"/>
      <c r="F374" s="49"/>
      <c r="G374" s="51"/>
      <c r="H374" s="48"/>
      <c r="I374" s="2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2.75" customHeight="1">
      <c r="A375" s="46"/>
      <c r="B375" s="46"/>
      <c r="C375" s="46"/>
      <c r="D375" s="46"/>
      <c r="E375" s="48"/>
      <c r="F375" s="49"/>
      <c r="G375" s="51"/>
      <c r="H375" s="48"/>
      <c r="I375" s="2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2.75" customHeight="1">
      <c r="A376" s="46"/>
      <c r="B376" s="46"/>
      <c r="C376" s="46"/>
      <c r="D376" s="46"/>
      <c r="E376" s="48"/>
      <c r="F376" s="49"/>
      <c r="G376" s="51"/>
      <c r="H376" s="48"/>
      <c r="I376" s="2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2.75" customHeight="1">
      <c r="A377" s="46"/>
      <c r="B377" s="46"/>
      <c r="C377" s="46"/>
      <c r="D377" s="46"/>
      <c r="E377" s="48"/>
      <c r="F377" s="49"/>
      <c r="G377" s="51"/>
      <c r="H377" s="48"/>
      <c r="I377" s="2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2.75" customHeight="1">
      <c r="A378" s="46"/>
      <c r="B378" s="46"/>
      <c r="C378" s="46"/>
      <c r="D378" s="46"/>
      <c r="E378" s="48"/>
      <c r="F378" s="49"/>
      <c r="G378" s="51"/>
      <c r="H378" s="48"/>
      <c r="I378" s="2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2.75" customHeight="1">
      <c r="A379" s="46"/>
      <c r="B379" s="46"/>
      <c r="C379" s="46"/>
      <c r="D379" s="46"/>
      <c r="E379" s="48"/>
      <c r="F379" s="49"/>
      <c r="G379" s="51"/>
      <c r="H379" s="48"/>
      <c r="I379" s="2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2.75" customHeight="1">
      <c r="A380" s="46"/>
      <c r="B380" s="46"/>
      <c r="C380" s="46"/>
      <c r="D380" s="46"/>
      <c r="E380" s="48"/>
      <c r="F380" s="49"/>
      <c r="G380" s="51"/>
      <c r="H380" s="48"/>
      <c r="I380" s="2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2.75" customHeight="1">
      <c r="A381" s="46"/>
      <c r="B381" s="46"/>
      <c r="C381" s="46"/>
      <c r="D381" s="46"/>
      <c r="E381" s="48"/>
      <c r="F381" s="49"/>
      <c r="G381" s="51"/>
      <c r="H381" s="48"/>
      <c r="I381" s="2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2.75" customHeight="1">
      <c r="A382" s="46"/>
      <c r="B382" s="46"/>
      <c r="C382" s="46"/>
      <c r="D382" s="46"/>
      <c r="E382" s="48"/>
      <c r="F382" s="49"/>
      <c r="G382" s="51"/>
      <c r="H382" s="48"/>
      <c r="I382" s="2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2.75" customHeight="1">
      <c r="A383" s="46"/>
      <c r="B383" s="46"/>
      <c r="C383" s="46"/>
      <c r="D383" s="46"/>
      <c r="E383" s="48"/>
      <c r="F383" s="49"/>
      <c r="G383" s="51"/>
      <c r="H383" s="48"/>
      <c r="I383" s="2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2.75" customHeight="1">
      <c r="A384" s="46"/>
      <c r="B384" s="46"/>
      <c r="C384" s="46"/>
      <c r="D384" s="46"/>
      <c r="E384" s="48"/>
      <c r="F384" s="49"/>
      <c r="G384" s="51"/>
      <c r="H384" s="48"/>
      <c r="I384" s="2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2.75" customHeight="1">
      <c r="A385" s="46"/>
      <c r="B385" s="46"/>
      <c r="C385" s="46"/>
      <c r="D385" s="46"/>
      <c r="E385" s="48"/>
      <c r="F385" s="49"/>
      <c r="G385" s="51"/>
      <c r="H385" s="48"/>
      <c r="I385" s="2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2.75" customHeight="1">
      <c r="A386" s="46"/>
      <c r="B386" s="46"/>
      <c r="C386" s="46"/>
      <c r="D386" s="46"/>
      <c r="E386" s="48"/>
      <c r="F386" s="49"/>
      <c r="G386" s="51"/>
      <c r="H386" s="48"/>
      <c r="I386" s="2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2.75" customHeight="1">
      <c r="A387" s="46"/>
      <c r="B387" s="46"/>
      <c r="C387" s="46"/>
      <c r="D387" s="46"/>
      <c r="E387" s="48"/>
      <c r="F387" s="49"/>
      <c r="G387" s="51"/>
      <c r="H387" s="48"/>
      <c r="I387" s="2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2.75" customHeight="1">
      <c r="A388" s="46"/>
      <c r="B388" s="46"/>
      <c r="C388" s="46"/>
      <c r="D388" s="46"/>
      <c r="E388" s="48"/>
      <c r="F388" s="49"/>
      <c r="G388" s="51"/>
      <c r="H388" s="48"/>
      <c r="I388" s="2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2.75" customHeight="1">
      <c r="A389" s="46"/>
      <c r="B389" s="46"/>
      <c r="C389" s="46"/>
      <c r="D389" s="46"/>
      <c r="E389" s="48"/>
      <c r="F389" s="49"/>
      <c r="G389" s="51"/>
      <c r="H389" s="48"/>
      <c r="I389" s="2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2.75" customHeight="1">
      <c r="A390" s="46"/>
      <c r="B390" s="46"/>
      <c r="C390" s="46"/>
      <c r="D390" s="46"/>
      <c r="E390" s="48"/>
      <c r="F390" s="49"/>
      <c r="G390" s="51"/>
      <c r="H390" s="48"/>
      <c r="I390" s="2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2.75" customHeight="1">
      <c r="A391" s="46"/>
      <c r="B391" s="46"/>
      <c r="C391" s="46"/>
      <c r="D391" s="46"/>
      <c r="E391" s="48"/>
      <c r="F391" s="49"/>
      <c r="G391" s="51"/>
      <c r="H391" s="48"/>
      <c r="I391" s="2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2.75" customHeight="1">
      <c r="A392" s="46"/>
      <c r="B392" s="46"/>
      <c r="C392" s="46"/>
      <c r="D392" s="46"/>
      <c r="E392" s="48"/>
      <c r="F392" s="49"/>
      <c r="G392" s="51"/>
      <c r="H392" s="48"/>
      <c r="I392" s="2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2.75" customHeight="1">
      <c r="A393" s="46"/>
      <c r="B393" s="46"/>
      <c r="C393" s="46"/>
      <c r="D393" s="46"/>
      <c r="E393" s="48"/>
      <c r="F393" s="49"/>
      <c r="G393" s="51"/>
      <c r="H393" s="48"/>
      <c r="I393" s="2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2.75" customHeight="1">
      <c r="A394" s="46"/>
      <c r="B394" s="46"/>
      <c r="C394" s="46"/>
      <c r="D394" s="46"/>
      <c r="E394" s="48"/>
      <c r="F394" s="49"/>
      <c r="G394" s="51"/>
      <c r="H394" s="48"/>
      <c r="I394" s="2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2.75" customHeight="1">
      <c r="A395" s="46"/>
      <c r="B395" s="46"/>
      <c r="C395" s="46"/>
      <c r="D395" s="46"/>
      <c r="E395" s="48"/>
      <c r="F395" s="49"/>
      <c r="G395" s="51"/>
      <c r="H395" s="48"/>
      <c r="I395" s="2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2.75" customHeight="1">
      <c r="A396" s="46"/>
      <c r="B396" s="46"/>
      <c r="C396" s="46"/>
      <c r="D396" s="46"/>
      <c r="E396" s="48"/>
      <c r="F396" s="49"/>
      <c r="G396" s="51"/>
      <c r="H396" s="48"/>
      <c r="I396" s="2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2.75" customHeight="1">
      <c r="A397" s="46"/>
      <c r="B397" s="46"/>
      <c r="C397" s="46"/>
      <c r="D397" s="46"/>
      <c r="E397" s="48"/>
      <c r="F397" s="49"/>
      <c r="G397" s="51"/>
      <c r="H397" s="48"/>
      <c r="I397" s="2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2.75" customHeight="1">
      <c r="A398" s="46"/>
      <c r="B398" s="46"/>
      <c r="C398" s="46"/>
      <c r="D398" s="46"/>
      <c r="E398" s="48"/>
      <c r="F398" s="49"/>
      <c r="G398" s="51"/>
      <c r="H398" s="48"/>
      <c r="I398" s="2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2.75" customHeight="1">
      <c r="A399" s="46"/>
      <c r="B399" s="46"/>
      <c r="C399" s="46"/>
      <c r="D399" s="46"/>
      <c r="E399" s="48"/>
      <c r="F399" s="49"/>
      <c r="G399" s="51"/>
      <c r="H399" s="48"/>
      <c r="I399" s="2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2.75" customHeight="1">
      <c r="A400" s="46"/>
      <c r="B400" s="46"/>
      <c r="C400" s="46"/>
      <c r="D400" s="46"/>
      <c r="E400" s="48"/>
      <c r="F400" s="49"/>
      <c r="G400" s="51"/>
      <c r="H400" s="48"/>
      <c r="I400" s="2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2.75" customHeight="1">
      <c r="A401" s="46"/>
      <c r="B401" s="46"/>
      <c r="C401" s="46"/>
      <c r="D401" s="46"/>
      <c r="E401" s="48"/>
      <c r="F401" s="49"/>
      <c r="G401" s="51"/>
      <c r="H401" s="48"/>
      <c r="I401" s="2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2.75" customHeight="1">
      <c r="A402" s="46"/>
      <c r="B402" s="46"/>
      <c r="C402" s="46"/>
      <c r="D402" s="46"/>
      <c r="E402" s="48"/>
      <c r="F402" s="49"/>
      <c r="G402" s="51"/>
      <c r="H402" s="48"/>
      <c r="I402" s="2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2.75" customHeight="1">
      <c r="A403" s="46"/>
      <c r="B403" s="46"/>
      <c r="C403" s="46"/>
      <c r="D403" s="46"/>
      <c r="E403" s="48"/>
      <c r="F403" s="49"/>
      <c r="G403" s="51"/>
      <c r="H403" s="48"/>
      <c r="I403" s="2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2.75" customHeight="1">
      <c r="A404" s="46"/>
      <c r="B404" s="46"/>
      <c r="C404" s="46"/>
      <c r="D404" s="46"/>
      <c r="E404" s="48"/>
      <c r="F404" s="49"/>
      <c r="G404" s="51"/>
      <c r="H404" s="48"/>
      <c r="I404" s="2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2.75" customHeight="1">
      <c r="A405" s="46"/>
      <c r="B405" s="46"/>
      <c r="C405" s="46"/>
      <c r="D405" s="46"/>
      <c r="E405" s="48"/>
      <c r="F405" s="49"/>
      <c r="G405" s="51"/>
      <c r="H405" s="48"/>
      <c r="I405" s="2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2.75" customHeight="1">
      <c r="A406" s="46"/>
      <c r="B406" s="46"/>
      <c r="C406" s="46"/>
      <c r="D406" s="46"/>
      <c r="E406" s="48"/>
      <c r="F406" s="49"/>
      <c r="G406" s="51"/>
      <c r="H406" s="48"/>
      <c r="I406" s="2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2.75" customHeight="1">
      <c r="A407" s="46"/>
      <c r="B407" s="46"/>
      <c r="C407" s="46"/>
      <c r="D407" s="46"/>
      <c r="E407" s="48"/>
      <c r="F407" s="49"/>
      <c r="G407" s="51"/>
      <c r="H407" s="48"/>
      <c r="I407" s="2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2.75" customHeight="1">
      <c r="A408" s="46"/>
      <c r="B408" s="46"/>
      <c r="C408" s="46"/>
      <c r="D408" s="46"/>
      <c r="E408" s="48"/>
      <c r="F408" s="49"/>
      <c r="G408" s="51"/>
      <c r="H408" s="48"/>
      <c r="I408" s="2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2.75" customHeight="1">
      <c r="A409" s="46"/>
      <c r="B409" s="46"/>
      <c r="C409" s="46"/>
      <c r="D409" s="46"/>
      <c r="E409" s="48"/>
      <c r="F409" s="49"/>
      <c r="G409" s="51"/>
      <c r="H409" s="48"/>
      <c r="I409" s="2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2.75" customHeight="1">
      <c r="A410" s="46"/>
      <c r="B410" s="46"/>
      <c r="C410" s="46"/>
      <c r="D410" s="46"/>
      <c r="E410" s="48"/>
      <c r="F410" s="49"/>
      <c r="G410" s="51"/>
      <c r="H410" s="48"/>
      <c r="I410" s="2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2.75" customHeight="1">
      <c r="A411" s="46"/>
      <c r="B411" s="46"/>
      <c r="C411" s="46"/>
      <c r="D411" s="46"/>
      <c r="E411" s="48"/>
      <c r="F411" s="49"/>
      <c r="G411" s="51"/>
      <c r="H411" s="48"/>
      <c r="I411" s="2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2.75" customHeight="1">
      <c r="A412" s="46"/>
      <c r="B412" s="46"/>
      <c r="C412" s="46"/>
      <c r="D412" s="46"/>
      <c r="E412" s="48"/>
      <c r="F412" s="49"/>
      <c r="G412" s="51"/>
      <c r="H412" s="48"/>
      <c r="I412" s="2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2.75" customHeight="1">
      <c r="A413" s="46"/>
      <c r="B413" s="46"/>
      <c r="C413" s="46"/>
      <c r="D413" s="46"/>
      <c r="E413" s="48"/>
      <c r="F413" s="49"/>
      <c r="G413" s="51"/>
      <c r="H413" s="48"/>
      <c r="I413" s="2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2.75" customHeight="1">
      <c r="A414" s="46"/>
      <c r="B414" s="46"/>
      <c r="C414" s="46"/>
      <c r="D414" s="46"/>
      <c r="E414" s="48"/>
      <c r="F414" s="49"/>
      <c r="G414" s="51"/>
      <c r="H414" s="48"/>
      <c r="I414" s="2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2.75" customHeight="1">
      <c r="A415" s="46"/>
      <c r="B415" s="46"/>
      <c r="C415" s="46"/>
      <c r="D415" s="46"/>
      <c r="E415" s="48"/>
      <c r="F415" s="49"/>
      <c r="G415" s="51"/>
      <c r="H415" s="48"/>
      <c r="I415" s="2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2.75" customHeight="1">
      <c r="A416" s="46"/>
      <c r="B416" s="46"/>
      <c r="C416" s="46"/>
      <c r="D416" s="46"/>
      <c r="E416" s="48"/>
      <c r="F416" s="49"/>
      <c r="G416" s="51"/>
      <c r="H416" s="48"/>
      <c r="I416" s="2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2.75" customHeight="1">
      <c r="A417" s="46"/>
      <c r="B417" s="46"/>
      <c r="C417" s="46"/>
      <c r="D417" s="46"/>
      <c r="E417" s="48"/>
      <c r="F417" s="49"/>
      <c r="G417" s="51"/>
      <c r="H417" s="48"/>
      <c r="I417" s="2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2.75" customHeight="1">
      <c r="A418" s="46"/>
      <c r="B418" s="46"/>
      <c r="C418" s="46"/>
      <c r="D418" s="46"/>
      <c r="E418" s="48"/>
      <c r="F418" s="49"/>
      <c r="G418" s="51"/>
      <c r="H418" s="48"/>
      <c r="I418" s="2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2.75" customHeight="1">
      <c r="A419" s="46"/>
      <c r="B419" s="46"/>
      <c r="C419" s="46"/>
      <c r="D419" s="46"/>
      <c r="E419" s="48"/>
      <c r="F419" s="49"/>
      <c r="G419" s="51"/>
      <c r="H419" s="48"/>
      <c r="I419" s="2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2.75" customHeight="1">
      <c r="A420" s="46"/>
      <c r="B420" s="46"/>
      <c r="C420" s="46"/>
      <c r="D420" s="46"/>
      <c r="E420" s="48"/>
      <c r="F420" s="49"/>
      <c r="G420" s="51"/>
      <c r="H420" s="48"/>
      <c r="I420" s="2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2.75" customHeight="1">
      <c r="A421" s="46"/>
      <c r="B421" s="46"/>
      <c r="C421" s="46"/>
      <c r="D421" s="46"/>
      <c r="E421" s="48"/>
      <c r="F421" s="49"/>
      <c r="G421" s="51"/>
      <c r="H421" s="48"/>
      <c r="I421" s="2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2.75" customHeight="1">
      <c r="A422" s="46"/>
      <c r="B422" s="46"/>
      <c r="C422" s="46"/>
      <c r="D422" s="46"/>
      <c r="E422" s="48"/>
      <c r="F422" s="49"/>
      <c r="G422" s="51"/>
      <c r="H422" s="48"/>
      <c r="I422" s="2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2.75" customHeight="1">
      <c r="A423" s="46"/>
      <c r="B423" s="46"/>
      <c r="C423" s="46"/>
      <c r="D423" s="46"/>
      <c r="E423" s="48"/>
      <c r="F423" s="49"/>
      <c r="G423" s="51"/>
      <c r="H423" s="48"/>
      <c r="I423" s="2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2.75" customHeight="1">
      <c r="A424" s="46"/>
      <c r="B424" s="46"/>
      <c r="C424" s="46"/>
      <c r="D424" s="46"/>
      <c r="E424" s="48"/>
      <c r="F424" s="49"/>
      <c r="G424" s="51"/>
      <c r="H424" s="48"/>
      <c r="I424" s="2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2.75" customHeight="1">
      <c r="A425" s="46"/>
      <c r="B425" s="46"/>
      <c r="C425" s="46"/>
      <c r="D425" s="46"/>
      <c r="E425" s="48"/>
      <c r="F425" s="49"/>
      <c r="G425" s="51"/>
      <c r="H425" s="48"/>
      <c r="I425" s="2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2.75" customHeight="1">
      <c r="A426" s="46"/>
      <c r="B426" s="46"/>
      <c r="C426" s="46"/>
      <c r="D426" s="46"/>
      <c r="E426" s="48"/>
      <c r="F426" s="49"/>
      <c r="G426" s="51"/>
      <c r="H426" s="48"/>
      <c r="I426" s="2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2.75" customHeight="1">
      <c r="A427" s="46"/>
      <c r="B427" s="46"/>
      <c r="C427" s="46"/>
      <c r="D427" s="46"/>
      <c r="E427" s="48"/>
      <c r="F427" s="49"/>
      <c r="G427" s="51"/>
      <c r="H427" s="48"/>
      <c r="I427" s="2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2.75" customHeight="1">
      <c r="A428" s="46"/>
      <c r="B428" s="46"/>
      <c r="C428" s="46"/>
      <c r="D428" s="46"/>
      <c r="E428" s="48"/>
      <c r="F428" s="49"/>
      <c r="G428" s="51"/>
      <c r="H428" s="48"/>
      <c r="I428" s="2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2.75" customHeight="1">
      <c r="A429" s="46"/>
      <c r="B429" s="46"/>
      <c r="C429" s="46"/>
      <c r="D429" s="46"/>
      <c r="E429" s="48"/>
      <c r="F429" s="49"/>
      <c r="G429" s="51"/>
      <c r="H429" s="48"/>
      <c r="I429" s="2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2.75" customHeight="1">
      <c r="A430" s="46"/>
      <c r="B430" s="46"/>
      <c r="C430" s="46"/>
      <c r="D430" s="46"/>
      <c r="E430" s="48"/>
      <c r="F430" s="49"/>
      <c r="G430" s="51"/>
      <c r="H430" s="48"/>
      <c r="I430" s="2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2.75" customHeight="1">
      <c r="A431" s="46"/>
      <c r="B431" s="46"/>
      <c r="C431" s="46"/>
      <c r="D431" s="46"/>
      <c r="E431" s="48"/>
      <c r="F431" s="49"/>
      <c r="G431" s="51"/>
      <c r="H431" s="48"/>
      <c r="I431" s="2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2.75" customHeight="1">
      <c r="A432" s="46"/>
      <c r="B432" s="46"/>
      <c r="C432" s="46"/>
      <c r="D432" s="46"/>
      <c r="E432" s="48"/>
      <c r="F432" s="49"/>
      <c r="G432" s="51"/>
      <c r="H432" s="48"/>
      <c r="I432" s="2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2.75" customHeight="1">
      <c r="A433" s="46"/>
      <c r="B433" s="46"/>
      <c r="C433" s="46"/>
      <c r="D433" s="46"/>
      <c r="E433" s="48"/>
      <c r="F433" s="49"/>
      <c r="G433" s="51"/>
      <c r="H433" s="48"/>
      <c r="I433" s="2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2.75" customHeight="1">
      <c r="A434" s="46"/>
      <c r="B434" s="46"/>
      <c r="C434" s="46"/>
      <c r="D434" s="46"/>
      <c r="E434" s="48"/>
      <c r="F434" s="49"/>
      <c r="G434" s="51"/>
      <c r="H434" s="48"/>
      <c r="I434" s="2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2.75" customHeight="1">
      <c r="A435" s="46"/>
      <c r="B435" s="46"/>
      <c r="C435" s="46"/>
      <c r="D435" s="46"/>
      <c r="E435" s="48"/>
      <c r="F435" s="49"/>
      <c r="G435" s="51"/>
      <c r="H435" s="48"/>
      <c r="I435" s="2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2.75" customHeight="1">
      <c r="A436" s="46"/>
      <c r="B436" s="46"/>
      <c r="C436" s="46"/>
      <c r="D436" s="46"/>
      <c r="E436" s="48"/>
      <c r="F436" s="49"/>
      <c r="G436" s="51"/>
      <c r="H436" s="48"/>
      <c r="I436" s="2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2.75" customHeight="1">
      <c r="A437" s="46"/>
      <c r="B437" s="46"/>
      <c r="C437" s="46"/>
      <c r="D437" s="46"/>
      <c r="E437" s="48"/>
      <c r="F437" s="49"/>
      <c r="G437" s="51"/>
      <c r="H437" s="48"/>
      <c r="I437" s="2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2.75" customHeight="1">
      <c r="A438" s="46"/>
      <c r="B438" s="46"/>
      <c r="C438" s="46"/>
      <c r="D438" s="46"/>
      <c r="E438" s="48"/>
      <c r="F438" s="49"/>
      <c r="G438" s="51"/>
      <c r="H438" s="48"/>
      <c r="I438" s="2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2.75" customHeight="1">
      <c r="A439" s="46"/>
      <c r="B439" s="46"/>
      <c r="C439" s="46"/>
      <c r="D439" s="46"/>
      <c r="E439" s="48"/>
      <c r="F439" s="49"/>
      <c r="G439" s="51"/>
      <c r="H439" s="48"/>
      <c r="I439" s="2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2.75" customHeight="1">
      <c r="A440" s="46"/>
      <c r="B440" s="46"/>
      <c r="C440" s="46"/>
      <c r="D440" s="46"/>
      <c r="E440" s="48"/>
      <c r="F440" s="49"/>
      <c r="G440" s="51"/>
      <c r="H440" s="48"/>
      <c r="I440" s="2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2.75" customHeight="1">
      <c r="A441" s="46"/>
      <c r="B441" s="46"/>
      <c r="C441" s="46"/>
      <c r="D441" s="46"/>
      <c r="E441" s="48"/>
      <c r="F441" s="49"/>
      <c r="G441" s="51"/>
      <c r="H441" s="48"/>
      <c r="I441" s="2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2.75" customHeight="1">
      <c r="A442" s="46"/>
      <c r="B442" s="46"/>
      <c r="C442" s="46"/>
      <c r="D442" s="46"/>
      <c r="E442" s="48"/>
      <c r="F442" s="49"/>
      <c r="G442" s="51"/>
      <c r="H442" s="48"/>
      <c r="I442" s="2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2.75" customHeight="1">
      <c r="A443" s="46"/>
      <c r="B443" s="46"/>
      <c r="C443" s="46"/>
      <c r="D443" s="46"/>
      <c r="E443" s="48"/>
      <c r="F443" s="49"/>
      <c r="G443" s="51"/>
      <c r="H443" s="48"/>
      <c r="I443" s="2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2.75" customHeight="1">
      <c r="A444" s="46"/>
      <c r="B444" s="46"/>
      <c r="C444" s="46"/>
      <c r="D444" s="46"/>
      <c r="E444" s="48"/>
      <c r="F444" s="49"/>
      <c r="G444" s="51"/>
      <c r="H444" s="48"/>
      <c r="I444" s="2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2.75" customHeight="1">
      <c r="A445" s="46"/>
      <c r="B445" s="46"/>
      <c r="C445" s="46"/>
      <c r="D445" s="46"/>
      <c r="E445" s="48"/>
      <c r="F445" s="49"/>
      <c r="G445" s="51"/>
      <c r="H445" s="48"/>
      <c r="I445" s="2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2.75" customHeight="1">
      <c r="A446" s="46"/>
      <c r="B446" s="46"/>
      <c r="C446" s="46"/>
      <c r="D446" s="46"/>
      <c r="E446" s="48"/>
      <c r="F446" s="49"/>
      <c r="G446" s="51"/>
      <c r="H446" s="48"/>
      <c r="I446" s="2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2.75" customHeight="1">
      <c r="A447" s="46"/>
      <c r="B447" s="46"/>
      <c r="C447" s="46"/>
      <c r="D447" s="46"/>
      <c r="E447" s="48"/>
      <c r="F447" s="49"/>
      <c r="G447" s="51"/>
      <c r="H447" s="48"/>
      <c r="I447" s="2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2.75" customHeight="1">
      <c r="A448" s="46"/>
      <c r="B448" s="46"/>
      <c r="C448" s="46"/>
      <c r="D448" s="46"/>
      <c r="E448" s="48"/>
      <c r="F448" s="49"/>
      <c r="G448" s="51"/>
      <c r="H448" s="48"/>
      <c r="I448" s="2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2.75" customHeight="1">
      <c r="A449" s="46"/>
      <c r="B449" s="46"/>
      <c r="C449" s="46"/>
      <c r="D449" s="46"/>
      <c r="E449" s="48"/>
      <c r="F449" s="49"/>
      <c r="G449" s="51"/>
      <c r="H449" s="48"/>
      <c r="I449" s="2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2.75" customHeight="1">
      <c r="A450" s="46"/>
      <c r="B450" s="46"/>
      <c r="C450" s="46"/>
      <c r="D450" s="46"/>
      <c r="E450" s="48"/>
      <c r="F450" s="49"/>
      <c r="G450" s="51"/>
      <c r="H450" s="48"/>
      <c r="I450" s="2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2.75" customHeight="1">
      <c r="A451" s="46"/>
      <c r="B451" s="46"/>
      <c r="C451" s="46"/>
      <c r="D451" s="46"/>
      <c r="E451" s="48"/>
      <c r="F451" s="49"/>
      <c r="G451" s="51"/>
      <c r="H451" s="48"/>
      <c r="I451" s="2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2.75" customHeight="1">
      <c r="A452" s="46"/>
      <c r="B452" s="46"/>
      <c r="C452" s="46"/>
      <c r="D452" s="46"/>
      <c r="E452" s="48"/>
      <c r="F452" s="49"/>
      <c r="G452" s="51"/>
      <c r="H452" s="48"/>
      <c r="I452" s="2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2.75" customHeight="1">
      <c r="A453" s="46"/>
      <c r="B453" s="46"/>
      <c r="C453" s="46"/>
      <c r="D453" s="46"/>
      <c r="E453" s="48"/>
      <c r="F453" s="49"/>
      <c r="G453" s="51"/>
      <c r="H453" s="48"/>
      <c r="I453" s="2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2.75" customHeight="1">
      <c r="A454" s="46"/>
      <c r="B454" s="46"/>
      <c r="C454" s="46"/>
      <c r="D454" s="46"/>
      <c r="E454" s="48"/>
      <c r="F454" s="49"/>
      <c r="G454" s="51"/>
      <c r="H454" s="48"/>
      <c r="I454" s="2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2.75" customHeight="1">
      <c r="A455" s="46"/>
      <c r="B455" s="46"/>
      <c r="C455" s="46"/>
      <c r="D455" s="46"/>
      <c r="E455" s="48"/>
      <c r="F455" s="49"/>
      <c r="G455" s="51"/>
      <c r="H455" s="48"/>
      <c r="I455" s="2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2.75" customHeight="1">
      <c r="A456" s="46"/>
      <c r="B456" s="46"/>
      <c r="C456" s="46"/>
      <c r="D456" s="46"/>
      <c r="E456" s="48"/>
      <c r="F456" s="49"/>
      <c r="G456" s="51"/>
      <c r="H456" s="48"/>
      <c r="I456" s="2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2.75" customHeight="1">
      <c r="A457" s="46"/>
      <c r="B457" s="46"/>
      <c r="C457" s="46"/>
      <c r="D457" s="46"/>
      <c r="E457" s="48"/>
      <c r="F457" s="49"/>
      <c r="G457" s="51"/>
      <c r="H457" s="48"/>
      <c r="I457" s="2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2.75" customHeight="1">
      <c r="A458" s="46"/>
      <c r="B458" s="46"/>
      <c r="C458" s="46"/>
      <c r="D458" s="46"/>
      <c r="E458" s="48"/>
      <c r="F458" s="49"/>
      <c r="G458" s="51"/>
      <c r="H458" s="48"/>
      <c r="I458" s="2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2.75" customHeight="1">
      <c r="A459" s="46"/>
      <c r="B459" s="46"/>
      <c r="C459" s="46"/>
      <c r="D459" s="46"/>
      <c r="E459" s="48"/>
      <c r="F459" s="49"/>
      <c r="G459" s="51"/>
      <c r="H459" s="48"/>
      <c r="I459" s="2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2.75" customHeight="1">
      <c r="A460" s="46"/>
      <c r="B460" s="46"/>
      <c r="C460" s="46"/>
      <c r="D460" s="46"/>
      <c r="E460" s="48"/>
      <c r="F460" s="49"/>
      <c r="G460" s="51"/>
      <c r="H460" s="48"/>
      <c r="I460" s="2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2.75" customHeight="1">
      <c r="A461" s="46"/>
      <c r="B461" s="46"/>
      <c r="C461" s="46"/>
      <c r="D461" s="46"/>
      <c r="E461" s="48"/>
      <c r="F461" s="49"/>
      <c r="G461" s="51"/>
      <c r="H461" s="48"/>
      <c r="I461" s="2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2.75" customHeight="1">
      <c r="A462" s="46"/>
      <c r="B462" s="46"/>
      <c r="C462" s="46"/>
      <c r="D462" s="46"/>
      <c r="E462" s="48"/>
      <c r="F462" s="49"/>
      <c r="G462" s="51"/>
      <c r="H462" s="48"/>
      <c r="I462" s="2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2.75" customHeight="1">
      <c r="A463" s="46"/>
      <c r="B463" s="46"/>
      <c r="C463" s="46"/>
      <c r="D463" s="46"/>
      <c r="E463" s="48"/>
      <c r="F463" s="49"/>
      <c r="G463" s="51"/>
      <c r="H463" s="48"/>
      <c r="I463" s="2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2.75" customHeight="1">
      <c r="A464" s="46"/>
      <c r="B464" s="46"/>
      <c r="C464" s="46"/>
      <c r="D464" s="46"/>
      <c r="E464" s="48"/>
      <c r="F464" s="49"/>
      <c r="G464" s="51"/>
      <c r="H464" s="48"/>
      <c r="I464" s="2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2.75" customHeight="1">
      <c r="A465" s="46"/>
      <c r="B465" s="46"/>
      <c r="C465" s="46"/>
      <c r="D465" s="46"/>
      <c r="E465" s="48"/>
      <c r="F465" s="49"/>
      <c r="G465" s="51"/>
      <c r="H465" s="48"/>
      <c r="I465" s="2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2.75" customHeight="1">
      <c r="A466" s="46"/>
      <c r="B466" s="46"/>
      <c r="C466" s="46"/>
      <c r="D466" s="46"/>
      <c r="E466" s="48"/>
      <c r="F466" s="49"/>
      <c r="G466" s="51"/>
      <c r="H466" s="48"/>
      <c r="I466" s="2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2.75" customHeight="1">
      <c r="A467" s="46"/>
      <c r="B467" s="46"/>
      <c r="C467" s="46"/>
      <c r="D467" s="46"/>
      <c r="E467" s="48"/>
      <c r="F467" s="49"/>
      <c r="G467" s="51"/>
      <c r="H467" s="48"/>
      <c r="I467" s="2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2.75" customHeight="1">
      <c r="A468" s="46"/>
      <c r="B468" s="46"/>
      <c r="C468" s="46"/>
      <c r="D468" s="46"/>
      <c r="E468" s="48"/>
      <c r="F468" s="49"/>
      <c r="G468" s="51"/>
      <c r="H468" s="48"/>
      <c r="I468" s="2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2.75" customHeight="1">
      <c r="A469" s="46"/>
      <c r="B469" s="46"/>
      <c r="C469" s="46"/>
      <c r="D469" s="46"/>
      <c r="E469" s="48"/>
      <c r="F469" s="49"/>
      <c r="G469" s="51"/>
      <c r="H469" s="48"/>
      <c r="I469" s="2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2.75" customHeight="1">
      <c r="A470" s="46"/>
      <c r="B470" s="46"/>
      <c r="C470" s="46"/>
      <c r="D470" s="46"/>
      <c r="E470" s="48"/>
      <c r="F470" s="49"/>
      <c r="G470" s="51"/>
      <c r="H470" s="48"/>
      <c r="I470" s="2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2.75" customHeight="1">
      <c r="A471" s="46"/>
      <c r="B471" s="46"/>
      <c r="C471" s="46"/>
      <c r="D471" s="46"/>
      <c r="E471" s="48"/>
      <c r="F471" s="49"/>
      <c r="G471" s="51"/>
      <c r="H471" s="48"/>
      <c r="I471" s="2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2.75" customHeight="1">
      <c r="A472" s="46"/>
      <c r="B472" s="46"/>
      <c r="C472" s="46"/>
      <c r="D472" s="46"/>
      <c r="E472" s="48"/>
      <c r="F472" s="49"/>
      <c r="G472" s="51"/>
      <c r="H472" s="48"/>
      <c r="I472" s="2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2.75" customHeight="1">
      <c r="A473" s="46"/>
      <c r="B473" s="46"/>
      <c r="C473" s="46"/>
      <c r="D473" s="46"/>
      <c r="E473" s="48"/>
      <c r="F473" s="49"/>
      <c r="G473" s="51"/>
      <c r="H473" s="48"/>
      <c r="I473" s="2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2.75" customHeight="1">
      <c r="A474" s="46"/>
      <c r="B474" s="46"/>
      <c r="C474" s="46"/>
      <c r="D474" s="46"/>
      <c r="E474" s="48"/>
      <c r="F474" s="49"/>
      <c r="G474" s="51"/>
      <c r="H474" s="48"/>
      <c r="I474" s="2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2.75" customHeight="1">
      <c r="A475" s="46"/>
      <c r="B475" s="46"/>
      <c r="C475" s="46"/>
      <c r="D475" s="46"/>
      <c r="E475" s="48"/>
      <c r="F475" s="49"/>
      <c r="G475" s="51"/>
      <c r="H475" s="48"/>
      <c r="I475" s="2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2.75" customHeight="1">
      <c r="A476" s="46"/>
      <c r="B476" s="46"/>
      <c r="C476" s="46"/>
      <c r="D476" s="46"/>
      <c r="E476" s="48"/>
      <c r="F476" s="49"/>
      <c r="G476" s="51"/>
      <c r="H476" s="48"/>
      <c r="I476" s="2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2.75" customHeight="1">
      <c r="A477" s="46"/>
      <c r="B477" s="46"/>
      <c r="C477" s="46"/>
      <c r="D477" s="46"/>
      <c r="E477" s="48"/>
      <c r="F477" s="49"/>
      <c r="G477" s="51"/>
      <c r="H477" s="48"/>
      <c r="I477" s="2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2.75" customHeight="1">
      <c r="A478" s="46"/>
      <c r="B478" s="46"/>
      <c r="C478" s="46"/>
      <c r="D478" s="46"/>
      <c r="E478" s="48"/>
      <c r="F478" s="49"/>
      <c r="G478" s="51"/>
      <c r="H478" s="48"/>
      <c r="I478" s="2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2.75" customHeight="1">
      <c r="A479" s="46"/>
      <c r="B479" s="46"/>
      <c r="C479" s="46"/>
      <c r="D479" s="46"/>
      <c r="E479" s="48"/>
      <c r="F479" s="49"/>
      <c r="G479" s="51"/>
      <c r="H479" s="48"/>
      <c r="I479" s="2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2.75" customHeight="1">
      <c r="A480" s="46"/>
      <c r="B480" s="46"/>
      <c r="C480" s="46"/>
      <c r="D480" s="46"/>
      <c r="E480" s="48"/>
      <c r="F480" s="49"/>
      <c r="G480" s="51"/>
      <c r="H480" s="48"/>
      <c r="I480" s="2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2.75" customHeight="1">
      <c r="A481" s="46"/>
      <c r="B481" s="46"/>
      <c r="C481" s="46"/>
      <c r="D481" s="46"/>
      <c r="E481" s="48"/>
      <c r="F481" s="49"/>
      <c r="G481" s="51"/>
      <c r="H481" s="48"/>
      <c r="I481" s="2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2.75" customHeight="1">
      <c r="A482" s="46"/>
      <c r="B482" s="46"/>
      <c r="C482" s="46"/>
      <c r="D482" s="46"/>
      <c r="E482" s="48"/>
      <c r="F482" s="49"/>
      <c r="G482" s="51"/>
      <c r="H482" s="48"/>
      <c r="I482" s="2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2.75" customHeight="1">
      <c r="A483" s="46"/>
      <c r="B483" s="46"/>
      <c r="C483" s="46"/>
      <c r="D483" s="46"/>
      <c r="E483" s="48"/>
      <c r="F483" s="49"/>
      <c r="G483" s="51"/>
      <c r="H483" s="48"/>
      <c r="I483" s="2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2.75" customHeight="1">
      <c r="A484" s="46"/>
      <c r="B484" s="46"/>
      <c r="C484" s="46"/>
      <c r="D484" s="46"/>
      <c r="E484" s="48"/>
      <c r="F484" s="49"/>
      <c r="G484" s="51"/>
      <c r="H484" s="48"/>
      <c r="I484" s="2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2.75" customHeight="1">
      <c r="A485" s="46"/>
      <c r="B485" s="46"/>
      <c r="C485" s="46"/>
      <c r="D485" s="46"/>
      <c r="E485" s="48"/>
      <c r="F485" s="49"/>
      <c r="G485" s="51"/>
      <c r="H485" s="48"/>
      <c r="I485" s="2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2.75" customHeight="1">
      <c r="A486" s="46"/>
      <c r="B486" s="46"/>
      <c r="C486" s="46"/>
      <c r="D486" s="46"/>
      <c r="E486" s="48"/>
      <c r="F486" s="49"/>
      <c r="G486" s="51"/>
      <c r="H486" s="48"/>
      <c r="I486" s="2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2.75" customHeight="1">
      <c r="A487" s="46"/>
      <c r="B487" s="46"/>
      <c r="C487" s="46"/>
      <c r="D487" s="46"/>
      <c r="E487" s="48"/>
      <c r="F487" s="49"/>
      <c r="G487" s="51"/>
      <c r="H487" s="48"/>
      <c r="I487" s="2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2.75" customHeight="1">
      <c r="A488" s="46"/>
      <c r="B488" s="46"/>
      <c r="C488" s="46"/>
      <c r="D488" s="46"/>
      <c r="E488" s="48"/>
      <c r="F488" s="49"/>
      <c r="G488" s="51"/>
      <c r="H488" s="48"/>
      <c r="I488" s="2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2.75" customHeight="1">
      <c r="A489" s="46"/>
      <c r="B489" s="46"/>
      <c r="C489" s="46"/>
      <c r="D489" s="46"/>
      <c r="E489" s="48"/>
      <c r="F489" s="49"/>
      <c r="G489" s="51"/>
      <c r="H489" s="48"/>
      <c r="I489" s="2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2.75" customHeight="1">
      <c r="A490" s="46"/>
      <c r="B490" s="46"/>
      <c r="C490" s="46"/>
      <c r="D490" s="46"/>
      <c r="E490" s="48"/>
      <c r="F490" s="49"/>
      <c r="G490" s="51"/>
      <c r="H490" s="48"/>
      <c r="I490" s="2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2.75" customHeight="1">
      <c r="A491" s="46"/>
      <c r="B491" s="46"/>
      <c r="C491" s="46"/>
      <c r="D491" s="46"/>
      <c r="E491" s="48"/>
      <c r="F491" s="49"/>
      <c r="G491" s="51"/>
      <c r="H491" s="48"/>
      <c r="I491" s="2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2.75" customHeight="1">
      <c r="A492" s="46"/>
      <c r="B492" s="46"/>
      <c r="C492" s="46"/>
      <c r="D492" s="46"/>
      <c r="E492" s="48"/>
      <c r="F492" s="49"/>
      <c r="G492" s="51"/>
      <c r="H492" s="48"/>
      <c r="I492" s="2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2.75" customHeight="1">
      <c r="A493" s="46"/>
      <c r="B493" s="46"/>
      <c r="C493" s="46"/>
      <c r="D493" s="46"/>
      <c r="E493" s="48"/>
      <c r="F493" s="49"/>
      <c r="G493" s="51"/>
      <c r="H493" s="48"/>
      <c r="I493" s="2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2.75" customHeight="1">
      <c r="A494" s="46"/>
      <c r="B494" s="46"/>
      <c r="C494" s="46"/>
      <c r="D494" s="46"/>
      <c r="E494" s="48"/>
      <c r="F494" s="49"/>
      <c r="G494" s="51"/>
      <c r="H494" s="48"/>
      <c r="I494" s="2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2.75" customHeight="1">
      <c r="A495" s="46"/>
      <c r="B495" s="46"/>
      <c r="C495" s="46"/>
      <c r="D495" s="46"/>
      <c r="E495" s="48"/>
      <c r="F495" s="49"/>
      <c r="G495" s="51"/>
      <c r="H495" s="48"/>
      <c r="I495" s="2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2.75" customHeight="1">
      <c r="A496" s="46"/>
      <c r="B496" s="46"/>
      <c r="C496" s="46"/>
      <c r="D496" s="46"/>
      <c r="E496" s="48"/>
      <c r="F496" s="49"/>
      <c r="G496" s="51"/>
      <c r="H496" s="48"/>
      <c r="I496" s="2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2.75" customHeight="1">
      <c r="A497" s="46"/>
      <c r="B497" s="46"/>
      <c r="C497" s="46"/>
      <c r="D497" s="46"/>
      <c r="E497" s="48"/>
      <c r="F497" s="49"/>
      <c r="G497" s="51"/>
      <c r="H497" s="48"/>
      <c r="I497" s="2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2.75" customHeight="1">
      <c r="A498" s="46"/>
      <c r="B498" s="46"/>
      <c r="C498" s="46"/>
      <c r="D498" s="46"/>
      <c r="E498" s="48"/>
      <c r="F498" s="49"/>
      <c r="G498" s="51"/>
      <c r="H498" s="48"/>
      <c r="I498" s="2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2.75" customHeight="1">
      <c r="A499" s="46"/>
      <c r="B499" s="46"/>
      <c r="C499" s="46"/>
      <c r="D499" s="46"/>
      <c r="E499" s="48"/>
      <c r="F499" s="49"/>
      <c r="G499" s="51"/>
      <c r="H499" s="48"/>
      <c r="I499" s="2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2.75" customHeight="1">
      <c r="A500" s="46"/>
      <c r="B500" s="46"/>
      <c r="C500" s="46"/>
      <c r="D500" s="46"/>
      <c r="E500" s="48"/>
      <c r="F500" s="49"/>
      <c r="G500" s="51"/>
      <c r="H500" s="48"/>
      <c r="I500" s="2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2.75" customHeight="1">
      <c r="A501" s="46"/>
      <c r="B501" s="46"/>
      <c r="C501" s="46"/>
      <c r="D501" s="46"/>
      <c r="E501" s="48"/>
      <c r="F501" s="49"/>
      <c r="G501" s="51"/>
      <c r="H501" s="48"/>
      <c r="I501" s="2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2.75" customHeight="1">
      <c r="A502" s="46"/>
      <c r="B502" s="46"/>
      <c r="C502" s="46"/>
      <c r="D502" s="46"/>
      <c r="E502" s="48"/>
      <c r="F502" s="49"/>
      <c r="G502" s="51"/>
      <c r="H502" s="48"/>
      <c r="I502" s="2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2.75" customHeight="1">
      <c r="A503" s="46"/>
      <c r="B503" s="46"/>
      <c r="C503" s="46"/>
      <c r="D503" s="46"/>
      <c r="E503" s="48"/>
      <c r="F503" s="49"/>
      <c r="G503" s="51"/>
      <c r="H503" s="48"/>
      <c r="I503" s="2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2.75" customHeight="1">
      <c r="A504" s="46"/>
      <c r="B504" s="46"/>
      <c r="C504" s="46"/>
      <c r="D504" s="46"/>
      <c r="E504" s="48"/>
      <c r="F504" s="49"/>
      <c r="G504" s="51"/>
      <c r="H504" s="48"/>
      <c r="I504" s="2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2.75" customHeight="1">
      <c r="A505" s="46"/>
      <c r="B505" s="46"/>
      <c r="C505" s="46"/>
      <c r="D505" s="46"/>
      <c r="E505" s="48"/>
      <c r="F505" s="49"/>
      <c r="G505" s="51"/>
      <c r="H505" s="48"/>
      <c r="I505" s="2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2.75" customHeight="1">
      <c r="A506" s="46"/>
      <c r="B506" s="46"/>
      <c r="C506" s="46"/>
      <c r="D506" s="46"/>
      <c r="E506" s="48"/>
      <c r="F506" s="49"/>
      <c r="G506" s="51"/>
      <c r="H506" s="48"/>
      <c r="I506" s="2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2.75" customHeight="1">
      <c r="A507" s="46"/>
      <c r="B507" s="46"/>
      <c r="C507" s="46"/>
      <c r="D507" s="46"/>
      <c r="E507" s="48"/>
      <c r="F507" s="49"/>
      <c r="G507" s="51"/>
      <c r="H507" s="48"/>
      <c r="I507" s="2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2.75" customHeight="1">
      <c r="A508" s="46"/>
      <c r="B508" s="46"/>
      <c r="C508" s="46"/>
      <c r="D508" s="46"/>
      <c r="E508" s="48"/>
      <c r="F508" s="49"/>
      <c r="G508" s="51"/>
      <c r="H508" s="48"/>
      <c r="I508" s="2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2.75" customHeight="1">
      <c r="A509" s="46"/>
      <c r="B509" s="46"/>
      <c r="C509" s="46"/>
      <c r="D509" s="46"/>
      <c r="E509" s="48"/>
      <c r="F509" s="49"/>
      <c r="G509" s="51"/>
      <c r="H509" s="48"/>
      <c r="I509" s="2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2.75" customHeight="1">
      <c r="A510" s="46"/>
      <c r="B510" s="46"/>
      <c r="C510" s="46"/>
      <c r="D510" s="46"/>
      <c r="E510" s="48"/>
      <c r="F510" s="49"/>
      <c r="G510" s="51"/>
      <c r="H510" s="48"/>
      <c r="I510" s="2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2.75" customHeight="1">
      <c r="A511" s="46"/>
      <c r="B511" s="46"/>
      <c r="C511" s="46"/>
      <c r="D511" s="46"/>
      <c r="E511" s="48"/>
      <c r="F511" s="49"/>
      <c r="G511" s="51"/>
      <c r="H511" s="48"/>
      <c r="I511" s="2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2.75" customHeight="1">
      <c r="A512" s="46"/>
      <c r="B512" s="46"/>
      <c r="C512" s="46"/>
      <c r="D512" s="46"/>
      <c r="E512" s="48"/>
      <c r="F512" s="49"/>
      <c r="G512" s="51"/>
      <c r="H512" s="48"/>
      <c r="I512" s="2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2.75" customHeight="1">
      <c r="A513" s="46"/>
      <c r="B513" s="46"/>
      <c r="C513" s="46"/>
      <c r="D513" s="46"/>
      <c r="E513" s="48"/>
      <c r="F513" s="49"/>
      <c r="G513" s="51"/>
      <c r="H513" s="48"/>
      <c r="I513" s="2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2.75" customHeight="1">
      <c r="A514" s="46"/>
      <c r="B514" s="46"/>
      <c r="C514" s="46"/>
      <c r="D514" s="46"/>
      <c r="E514" s="48"/>
      <c r="F514" s="49"/>
      <c r="G514" s="51"/>
      <c r="H514" s="48"/>
      <c r="I514" s="2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2.75" customHeight="1">
      <c r="A515" s="46"/>
      <c r="B515" s="46"/>
      <c r="C515" s="46"/>
      <c r="D515" s="46"/>
      <c r="E515" s="48"/>
      <c r="F515" s="49"/>
      <c r="G515" s="51"/>
      <c r="H515" s="48"/>
      <c r="I515" s="2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2.75" customHeight="1">
      <c r="A516" s="46"/>
      <c r="B516" s="46"/>
      <c r="C516" s="46"/>
      <c r="D516" s="46"/>
      <c r="E516" s="48"/>
      <c r="F516" s="49"/>
      <c r="G516" s="51"/>
      <c r="H516" s="48"/>
      <c r="I516" s="2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2.75" customHeight="1">
      <c r="A517" s="46"/>
      <c r="B517" s="46"/>
      <c r="C517" s="46"/>
      <c r="D517" s="46"/>
      <c r="E517" s="48"/>
      <c r="F517" s="49"/>
      <c r="G517" s="51"/>
      <c r="H517" s="48"/>
      <c r="I517" s="2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2.75" customHeight="1">
      <c r="A518" s="46"/>
      <c r="B518" s="46"/>
      <c r="C518" s="46"/>
      <c r="D518" s="46"/>
      <c r="E518" s="48"/>
      <c r="F518" s="49"/>
      <c r="G518" s="51"/>
      <c r="H518" s="48"/>
      <c r="I518" s="2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2.75" customHeight="1">
      <c r="A519" s="46"/>
      <c r="B519" s="46"/>
      <c r="C519" s="46"/>
      <c r="D519" s="46"/>
      <c r="E519" s="48"/>
      <c r="F519" s="49"/>
      <c r="G519" s="51"/>
      <c r="H519" s="48"/>
      <c r="I519" s="2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2.75" customHeight="1">
      <c r="A520" s="46"/>
      <c r="B520" s="46"/>
      <c r="C520" s="46"/>
      <c r="D520" s="46"/>
      <c r="E520" s="48"/>
      <c r="F520" s="49"/>
      <c r="G520" s="51"/>
      <c r="H520" s="48"/>
      <c r="I520" s="2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2.75" customHeight="1">
      <c r="A521" s="46"/>
      <c r="B521" s="46"/>
      <c r="C521" s="46"/>
      <c r="D521" s="46"/>
      <c r="E521" s="48"/>
      <c r="F521" s="49"/>
      <c r="G521" s="51"/>
      <c r="H521" s="48"/>
      <c r="I521" s="2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2.75" customHeight="1">
      <c r="A522" s="46"/>
      <c r="B522" s="46"/>
      <c r="C522" s="46"/>
      <c r="D522" s="46"/>
      <c r="E522" s="48"/>
      <c r="F522" s="49"/>
      <c r="G522" s="51"/>
      <c r="H522" s="48"/>
      <c r="I522" s="2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2.75" customHeight="1">
      <c r="A523" s="46"/>
      <c r="B523" s="46"/>
      <c r="C523" s="46"/>
      <c r="D523" s="46"/>
      <c r="E523" s="48"/>
      <c r="F523" s="49"/>
      <c r="G523" s="51"/>
      <c r="H523" s="48"/>
      <c r="I523" s="2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2.75" customHeight="1">
      <c r="A524" s="46"/>
      <c r="B524" s="46"/>
      <c r="C524" s="46"/>
      <c r="D524" s="46"/>
      <c r="E524" s="48"/>
      <c r="F524" s="49"/>
      <c r="G524" s="51"/>
      <c r="H524" s="48"/>
      <c r="I524" s="2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2.75" customHeight="1">
      <c r="A525" s="46"/>
      <c r="B525" s="46"/>
      <c r="C525" s="46"/>
      <c r="D525" s="46"/>
      <c r="E525" s="48"/>
      <c r="F525" s="49"/>
      <c r="G525" s="51"/>
      <c r="H525" s="48"/>
      <c r="I525" s="2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2.75" customHeight="1">
      <c r="A526" s="46"/>
      <c r="B526" s="46"/>
      <c r="C526" s="46"/>
      <c r="D526" s="46"/>
      <c r="E526" s="48"/>
      <c r="F526" s="49"/>
      <c r="G526" s="51"/>
      <c r="H526" s="48"/>
      <c r="I526" s="2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2.75" customHeight="1">
      <c r="A527" s="46"/>
      <c r="B527" s="46"/>
      <c r="C527" s="46"/>
      <c r="D527" s="46"/>
      <c r="E527" s="48"/>
      <c r="F527" s="49"/>
      <c r="G527" s="51"/>
      <c r="H527" s="48"/>
      <c r="I527" s="2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2.75" customHeight="1">
      <c r="A528" s="46"/>
      <c r="B528" s="46"/>
      <c r="C528" s="46"/>
      <c r="D528" s="46"/>
      <c r="E528" s="48"/>
      <c r="F528" s="49"/>
      <c r="G528" s="51"/>
      <c r="H528" s="48"/>
      <c r="I528" s="2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2.75" customHeight="1">
      <c r="A529" s="46"/>
      <c r="B529" s="46"/>
      <c r="C529" s="46"/>
      <c r="D529" s="46"/>
      <c r="E529" s="48"/>
      <c r="F529" s="49"/>
      <c r="G529" s="51"/>
      <c r="H529" s="48"/>
      <c r="I529" s="2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2.75" customHeight="1">
      <c r="A530" s="46"/>
      <c r="B530" s="46"/>
      <c r="C530" s="46"/>
      <c r="D530" s="46"/>
      <c r="E530" s="48"/>
      <c r="F530" s="49"/>
      <c r="G530" s="51"/>
      <c r="H530" s="48"/>
      <c r="I530" s="2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2.75" customHeight="1">
      <c r="A531" s="46"/>
      <c r="B531" s="46"/>
      <c r="C531" s="46"/>
      <c r="D531" s="46"/>
      <c r="E531" s="48"/>
      <c r="F531" s="49"/>
      <c r="G531" s="51"/>
      <c r="H531" s="48"/>
      <c r="I531" s="2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2.75" customHeight="1">
      <c r="A532" s="46"/>
      <c r="B532" s="46"/>
      <c r="C532" s="46"/>
      <c r="D532" s="46"/>
      <c r="E532" s="48"/>
      <c r="F532" s="49"/>
      <c r="G532" s="51"/>
      <c r="H532" s="48"/>
      <c r="I532" s="2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2.75" customHeight="1">
      <c r="A533" s="46"/>
      <c r="B533" s="46"/>
      <c r="C533" s="46"/>
      <c r="D533" s="46"/>
      <c r="E533" s="48"/>
      <c r="F533" s="49"/>
      <c r="G533" s="51"/>
      <c r="H533" s="48"/>
      <c r="I533" s="2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2.75" customHeight="1">
      <c r="A534" s="46"/>
      <c r="B534" s="46"/>
      <c r="C534" s="46"/>
      <c r="D534" s="46"/>
      <c r="E534" s="48"/>
      <c r="F534" s="49"/>
      <c r="G534" s="51"/>
      <c r="H534" s="48"/>
      <c r="I534" s="2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2.75" customHeight="1">
      <c r="A535" s="46"/>
      <c r="B535" s="46"/>
      <c r="C535" s="46"/>
      <c r="D535" s="46"/>
      <c r="E535" s="48"/>
      <c r="F535" s="49"/>
      <c r="G535" s="51"/>
      <c r="H535" s="48"/>
      <c r="I535" s="2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2.75" customHeight="1">
      <c r="A536" s="46"/>
      <c r="B536" s="46"/>
      <c r="C536" s="46"/>
      <c r="D536" s="46"/>
      <c r="E536" s="48"/>
      <c r="F536" s="49"/>
      <c r="G536" s="51"/>
      <c r="H536" s="48"/>
      <c r="I536" s="2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2.75" customHeight="1">
      <c r="A537" s="46"/>
      <c r="B537" s="46"/>
      <c r="C537" s="46"/>
      <c r="D537" s="46"/>
      <c r="E537" s="48"/>
      <c r="F537" s="49"/>
      <c r="G537" s="51"/>
      <c r="H537" s="48"/>
      <c r="I537" s="2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2.75" customHeight="1">
      <c r="A538" s="46"/>
      <c r="B538" s="46"/>
      <c r="C538" s="46"/>
      <c r="D538" s="46"/>
      <c r="E538" s="48"/>
      <c r="F538" s="49"/>
      <c r="G538" s="51"/>
      <c r="H538" s="48"/>
      <c r="I538" s="2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2.75" customHeight="1">
      <c r="A539" s="46"/>
      <c r="B539" s="46"/>
      <c r="C539" s="46"/>
      <c r="D539" s="46"/>
      <c r="E539" s="48"/>
      <c r="F539" s="49"/>
      <c r="G539" s="51"/>
      <c r="H539" s="48"/>
      <c r="I539" s="2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2.75" customHeight="1">
      <c r="A540" s="46"/>
      <c r="B540" s="46"/>
      <c r="C540" s="46"/>
      <c r="D540" s="46"/>
      <c r="E540" s="48"/>
      <c r="F540" s="49"/>
      <c r="G540" s="51"/>
      <c r="H540" s="48"/>
      <c r="I540" s="2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2.75" customHeight="1">
      <c r="A541" s="46"/>
      <c r="B541" s="46"/>
      <c r="C541" s="46"/>
      <c r="D541" s="46"/>
      <c r="E541" s="48"/>
      <c r="F541" s="49"/>
      <c r="G541" s="51"/>
      <c r="H541" s="48"/>
      <c r="I541" s="2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2.75" customHeight="1">
      <c r="A542" s="46"/>
      <c r="B542" s="46"/>
      <c r="C542" s="46"/>
      <c r="D542" s="46"/>
      <c r="E542" s="48"/>
      <c r="F542" s="49"/>
      <c r="G542" s="51"/>
      <c r="H542" s="48"/>
      <c r="I542" s="2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2.75" customHeight="1">
      <c r="A543" s="46"/>
      <c r="B543" s="46"/>
      <c r="C543" s="46"/>
      <c r="D543" s="46"/>
      <c r="E543" s="48"/>
      <c r="F543" s="49"/>
      <c r="G543" s="51"/>
      <c r="H543" s="48"/>
      <c r="I543" s="2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2.75" customHeight="1">
      <c r="A544" s="46"/>
      <c r="B544" s="46"/>
      <c r="C544" s="46"/>
      <c r="D544" s="46"/>
      <c r="E544" s="48"/>
      <c r="F544" s="49"/>
      <c r="G544" s="51"/>
      <c r="H544" s="48"/>
      <c r="I544" s="2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2.75" customHeight="1">
      <c r="A545" s="46"/>
      <c r="B545" s="46"/>
      <c r="C545" s="46"/>
      <c r="D545" s="46"/>
      <c r="E545" s="48"/>
      <c r="F545" s="49"/>
      <c r="G545" s="51"/>
      <c r="H545" s="48"/>
      <c r="I545" s="2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2.75" customHeight="1">
      <c r="A546" s="46"/>
      <c r="B546" s="46"/>
      <c r="C546" s="46"/>
      <c r="D546" s="46"/>
      <c r="E546" s="48"/>
      <c r="F546" s="49"/>
      <c r="G546" s="51"/>
      <c r="H546" s="48"/>
      <c r="I546" s="2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2.75" customHeight="1">
      <c r="A547" s="46"/>
      <c r="B547" s="46"/>
      <c r="C547" s="46"/>
      <c r="D547" s="46"/>
      <c r="E547" s="48"/>
      <c r="F547" s="49"/>
      <c r="G547" s="51"/>
      <c r="H547" s="48"/>
      <c r="I547" s="2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2.75" customHeight="1">
      <c r="A548" s="46"/>
      <c r="B548" s="46"/>
      <c r="C548" s="46"/>
      <c r="D548" s="46"/>
      <c r="E548" s="48"/>
      <c r="F548" s="49"/>
      <c r="G548" s="51"/>
      <c r="H548" s="48"/>
      <c r="I548" s="2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2.75" customHeight="1">
      <c r="A549" s="46"/>
      <c r="B549" s="46"/>
      <c r="C549" s="46"/>
      <c r="D549" s="46"/>
      <c r="E549" s="48"/>
      <c r="F549" s="49"/>
      <c r="G549" s="51"/>
      <c r="H549" s="48"/>
      <c r="I549" s="2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2.75" customHeight="1">
      <c r="A550" s="46"/>
      <c r="B550" s="46"/>
      <c r="C550" s="46"/>
      <c r="D550" s="46"/>
      <c r="E550" s="48"/>
      <c r="F550" s="49"/>
      <c r="G550" s="51"/>
      <c r="H550" s="48"/>
      <c r="I550" s="2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2.75" customHeight="1">
      <c r="A551" s="46"/>
      <c r="B551" s="46"/>
      <c r="C551" s="46"/>
      <c r="D551" s="46"/>
      <c r="E551" s="48"/>
      <c r="F551" s="49"/>
      <c r="G551" s="51"/>
      <c r="H551" s="48"/>
      <c r="I551" s="2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2.75" customHeight="1">
      <c r="A552" s="46"/>
      <c r="B552" s="46"/>
      <c r="C552" s="46"/>
      <c r="D552" s="46"/>
      <c r="E552" s="48"/>
      <c r="F552" s="49"/>
      <c r="G552" s="51"/>
      <c r="H552" s="48"/>
      <c r="I552" s="2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2.75" customHeight="1">
      <c r="A553" s="46"/>
      <c r="B553" s="46"/>
      <c r="C553" s="46"/>
      <c r="D553" s="46"/>
      <c r="E553" s="48"/>
      <c r="F553" s="49"/>
      <c r="G553" s="51"/>
      <c r="H553" s="48"/>
      <c r="I553" s="2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2.75" customHeight="1">
      <c r="A554" s="46"/>
      <c r="B554" s="46"/>
      <c r="C554" s="46"/>
      <c r="D554" s="46"/>
      <c r="E554" s="48"/>
      <c r="F554" s="49"/>
      <c r="G554" s="51"/>
      <c r="H554" s="48"/>
      <c r="I554" s="2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2.75" customHeight="1">
      <c r="A555" s="46"/>
      <c r="B555" s="46"/>
      <c r="C555" s="46"/>
      <c r="D555" s="46"/>
      <c r="E555" s="48"/>
      <c r="F555" s="49"/>
      <c r="G555" s="51"/>
      <c r="H555" s="48"/>
      <c r="I555" s="2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2.75" customHeight="1">
      <c r="A556" s="46"/>
      <c r="B556" s="46"/>
      <c r="C556" s="46"/>
      <c r="D556" s="46"/>
      <c r="E556" s="48"/>
      <c r="F556" s="49"/>
      <c r="G556" s="51"/>
      <c r="H556" s="48"/>
      <c r="I556" s="2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2.75" customHeight="1">
      <c r="A557" s="46"/>
      <c r="B557" s="46"/>
      <c r="C557" s="46"/>
      <c r="D557" s="46"/>
      <c r="E557" s="48"/>
      <c r="F557" s="49"/>
      <c r="G557" s="51"/>
      <c r="H557" s="48"/>
      <c r="I557" s="2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2.75" customHeight="1">
      <c r="A558" s="46"/>
      <c r="B558" s="46"/>
      <c r="C558" s="46"/>
      <c r="D558" s="46"/>
      <c r="E558" s="48"/>
      <c r="F558" s="49"/>
      <c r="G558" s="51"/>
      <c r="H558" s="48"/>
      <c r="I558" s="2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2.75" customHeight="1">
      <c r="A559" s="46"/>
      <c r="B559" s="46"/>
      <c r="C559" s="46"/>
      <c r="D559" s="46"/>
      <c r="E559" s="48"/>
      <c r="F559" s="49"/>
      <c r="G559" s="51"/>
      <c r="H559" s="48"/>
      <c r="I559" s="2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2.75" customHeight="1">
      <c r="A560" s="46"/>
      <c r="B560" s="46"/>
      <c r="C560" s="46"/>
      <c r="D560" s="46"/>
      <c r="E560" s="48"/>
      <c r="F560" s="49"/>
      <c r="G560" s="51"/>
      <c r="H560" s="48"/>
      <c r="I560" s="2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2.75" customHeight="1">
      <c r="A561" s="46"/>
      <c r="B561" s="46"/>
      <c r="C561" s="46"/>
      <c r="D561" s="46"/>
      <c r="E561" s="48"/>
      <c r="F561" s="49"/>
      <c r="G561" s="51"/>
      <c r="H561" s="48"/>
      <c r="I561" s="2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2.75" customHeight="1">
      <c r="A562" s="46"/>
      <c r="B562" s="46"/>
      <c r="C562" s="46"/>
      <c r="D562" s="46"/>
      <c r="E562" s="48"/>
      <c r="F562" s="49"/>
      <c r="G562" s="51"/>
      <c r="H562" s="48"/>
      <c r="I562" s="2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2.75" customHeight="1">
      <c r="A563" s="46"/>
      <c r="B563" s="46"/>
      <c r="C563" s="46"/>
      <c r="D563" s="46"/>
      <c r="E563" s="48"/>
      <c r="F563" s="49"/>
      <c r="G563" s="51"/>
      <c r="H563" s="48"/>
      <c r="I563" s="2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2.75" customHeight="1">
      <c r="A564" s="46"/>
      <c r="B564" s="46"/>
      <c r="C564" s="46"/>
      <c r="D564" s="46"/>
      <c r="E564" s="48"/>
      <c r="F564" s="49"/>
      <c r="G564" s="51"/>
      <c r="H564" s="48"/>
      <c r="I564" s="2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2.75" customHeight="1">
      <c r="A565" s="46"/>
      <c r="B565" s="46"/>
      <c r="C565" s="46"/>
      <c r="D565" s="46"/>
      <c r="E565" s="48"/>
      <c r="F565" s="49"/>
      <c r="G565" s="51"/>
      <c r="H565" s="48"/>
      <c r="I565" s="2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2.75" customHeight="1">
      <c r="A566" s="46"/>
      <c r="B566" s="46"/>
      <c r="C566" s="46"/>
      <c r="D566" s="46"/>
      <c r="E566" s="48"/>
      <c r="F566" s="49"/>
      <c r="G566" s="51"/>
      <c r="H566" s="48"/>
      <c r="I566" s="2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2.75" customHeight="1">
      <c r="A567" s="46"/>
      <c r="B567" s="46"/>
      <c r="C567" s="46"/>
      <c r="D567" s="46"/>
      <c r="E567" s="48"/>
      <c r="F567" s="49"/>
      <c r="G567" s="51"/>
      <c r="H567" s="48"/>
      <c r="I567" s="2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2.75" customHeight="1">
      <c r="A568" s="46"/>
      <c r="B568" s="46"/>
      <c r="C568" s="46"/>
      <c r="D568" s="46"/>
      <c r="E568" s="48"/>
      <c r="F568" s="49"/>
      <c r="G568" s="51"/>
      <c r="H568" s="48"/>
      <c r="I568" s="2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2.75" customHeight="1">
      <c r="A569" s="46"/>
      <c r="B569" s="46"/>
      <c r="C569" s="46"/>
      <c r="D569" s="46"/>
      <c r="E569" s="48"/>
      <c r="F569" s="49"/>
      <c r="G569" s="51"/>
      <c r="H569" s="48"/>
      <c r="I569" s="2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2.75" customHeight="1">
      <c r="A570" s="46"/>
      <c r="B570" s="46"/>
      <c r="C570" s="46"/>
      <c r="D570" s="46"/>
      <c r="E570" s="48"/>
      <c r="F570" s="49"/>
      <c r="G570" s="51"/>
      <c r="H570" s="48"/>
      <c r="I570" s="2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2.75" customHeight="1">
      <c r="A571" s="46"/>
      <c r="B571" s="46"/>
      <c r="C571" s="46"/>
      <c r="D571" s="46"/>
      <c r="E571" s="48"/>
      <c r="F571" s="49"/>
      <c r="G571" s="51"/>
      <c r="H571" s="48"/>
      <c r="I571" s="2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2.75" customHeight="1">
      <c r="A572" s="46"/>
      <c r="B572" s="46"/>
      <c r="C572" s="46"/>
      <c r="D572" s="46"/>
      <c r="E572" s="48"/>
      <c r="F572" s="49"/>
      <c r="G572" s="51"/>
      <c r="H572" s="48"/>
      <c r="I572" s="2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2.75" customHeight="1">
      <c r="A573" s="46"/>
      <c r="B573" s="46"/>
      <c r="C573" s="46"/>
      <c r="D573" s="46"/>
      <c r="E573" s="48"/>
      <c r="F573" s="49"/>
      <c r="G573" s="51"/>
      <c r="H573" s="48"/>
      <c r="I573" s="2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2.75" customHeight="1">
      <c r="A574" s="46"/>
      <c r="B574" s="46"/>
      <c r="C574" s="46"/>
      <c r="D574" s="46"/>
      <c r="E574" s="48"/>
      <c r="F574" s="49"/>
      <c r="G574" s="51"/>
      <c r="H574" s="48"/>
      <c r="I574" s="2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2.75" customHeight="1">
      <c r="A575" s="46"/>
      <c r="B575" s="46"/>
      <c r="C575" s="46"/>
      <c r="D575" s="46"/>
      <c r="E575" s="48"/>
      <c r="F575" s="49"/>
      <c r="G575" s="51"/>
      <c r="H575" s="48"/>
      <c r="I575" s="2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2.75" customHeight="1">
      <c r="A576" s="46"/>
      <c r="B576" s="46"/>
      <c r="C576" s="46"/>
      <c r="D576" s="46"/>
      <c r="E576" s="48"/>
      <c r="F576" s="49"/>
      <c r="G576" s="51"/>
      <c r="H576" s="48"/>
      <c r="I576" s="2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2.75" customHeight="1">
      <c r="A577" s="46"/>
      <c r="B577" s="46"/>
      <c r="C577" s="46"/>
      <c r="D577" s="46"/>
      <c r="E577" s="48"/>
      <c r="F577" s="49"/>
      <c r="G577" s="51"/>
      <c r="H577" s="48"/>
      <c r="I577" s="2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2.75" customHeight="1">
      <c r="A578" s="46"/>
      <c r="B578" s="46"/>
      <c r="C578" s="46"/>
      <c r="D578" s="46"/>
      <c r="E578" s="48"/>
      <c r="F578" s="49"/>
      <c r="G578" s="51"/>
      <c r="H578" s="48"/>
      <c r="I578" s="2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2.75" customHeight="1">
      <c r="A579" s="46"/>
      <c r="B579" s="46"/>
      <c r="C579" s="46"/>
      <c r="D579" s="46"/>
      <c r="E579" s="48"/>
      <c r="F579" s="49"/>
      <c r="G579" s="51"/>
      <c r="H579" s="48"/>
      <c r="I579" s="2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2.75" customHeight="1">
      <c r="A580" s="46"/>
      <c r="B580" s="46"/>
      <c r="C580" s="46"/>
      <c r="D580" s="46"/>
      <c r="E580" s="48"/>
      <c r="F580" s="49"/>
      <c r="G580" s="51"/>
      <c r="H580" s="48"/>
      <c r="I580" s="2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2.75" customHeight="1">
      <c r="A581" s="46"/>
      <c r="B581" s="46"/>
      <c r="C581" s="46"/>
      <c r="D581" s="46"/>
      <c r="E581" s="48"/>
      <c r="F581" s="49"/>
      <c r="G581" s="51"/>
      <c r="H581" s="48"/>
      <c r="I581" s="2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2.75" customHeight="1">
      <c r="A582" s="46"/>
      <c r="B582" s="46"/>
      <c r="C582" s="46"/>
      <c r="D582" s="46"/>
      <c r="E582" s="48"/>
      <c r="F582" s="49"/>
      <c r="G582" s="51"/>
      <c r="H582" s="48"/>
      <c r="I582" s="2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2.75" customHeight="1">
      <c r="A583" s="46"/>
      <c r="B583" s="46"/>
      <c r="C583" s="46"/>
      <c r="D583" s="46"/>
      <c r="E583" s="48"/>
      <c r="F583" s="49"/>
      <c r="G583" s="51"/>
      <c r="H583" s="48"/>
      <c r="I583" s="2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2.75" customHeight="1">
      <c r="A584" s="46"/>
      <c r="B584" s="46"/>
      <c r="C584" s="46"/>
      <c r="D584" s="46"/>
      <c r="E584" s="48"/>
      <c r="F584" s="49"/>
      <c r="G584" s="51"/>
      <c r="H584" s="48"/>
      <c r="I584" s="2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2.75" customHeight="1">
      <c r="A585" s="46"/>
      <c r="B585" s="46"/>
      <c r="C585" s="46"/>
      <c r="D585" s="46"/>
      <c r="E585" s="48"/>
      <c r="F585" s="49"/>
      <c r="G585" s="51"/>
      <c r="H585" s="48"/>
      <c r="I585" s="2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2.75" customHeight="1">
      <c r="A586" s="46"/>
      <c r="B586" s="46"/>
      <c r="C586" s="46"/>
      <c r="D586" s="46"/>
      <c r="E586" s="48"/>
      <c r="F586" s="49"/>
      <c r="G586" s="51"/>
      <c r="H586" s="48"/>
      <c r="I586" s="2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2.75" customHeight="1">
      <c r="A587" s="46"/>
      <c r="B587" s="46"/>
      <c r="C587" s="46"/>
      <c r="D587" s="46"/>
      <c r="E587" s="48"/>
      <c r="F587" s="49"/>
      <c r="G587" s="51"/>
      <c r="H587" s="48"/>
      <c r="I587" s="2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2.75" customHeight="1">
      <c r="A588" s="46"/>
      <c r="B588" s="46"/>
      <c r="C588" s="46"/>
      <c r="D588" s="46"/>
      <c r="E588" s="48"/>
      <c r="F588" s="49"/>
      <c r="G588" s="51"/>
      <c r="H588" s="48"/>
      <c r="I588" s="2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2.75" customHeight="1">
      <c r="A589" s="46"/>
      <c r="B589" s="46"/>
      <c r="C589" s="46"/>
      <c r="D589" s="46"/>
      <c r="E589" s="48"/>
      <c r="F589" s="49"/>
      <c r="G589" s="51"/>
      <c r="H589" s="48"/>
      <c r="I589" s="2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2.75" customHeight="1">
      <c r="A590" s="46"/>
      <c r="B590" s="46"/>
      <c r="C590" s="46"/>
      <c r="D590" s="46"/>
      <c r="E590" s="48"/>
      <c r="F590" s="49"/>
      <c r="G590" s="51"/>
      <c r="H590" s="48"/>
      <c r="I590" s="2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2.75" customHeight="1">
      <c r="A591" s="46"/>
      <c r="B591" s="46"/>
      <c r="C591" s="46"/>
      <c r="D591" s="46"/>
      <c r="E591" s="48"/>
      <c r="F591" s="49"/>
      <c r="G591" s="51"/>
      <c r="H591" s="48"/>
      <c r="I591" s="2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2.75" customHeight="1">
      <c r="A592" s="46"/>
      <c r="B592" s="46"/>
      <c r="C592" s="46"/>
      <c r="D592" s="46"/>
      <c r="E592" s="48"/>
      <c r="F592" s="49"/>
      <c r="G592" s="51"/>
      <c r="H592" s="48"/>
      <c r="I592" s="2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2.75" customHeight="1">
      <c r="A593" s="46"/>
      <c r="B593" s="46"/>
      <c r="C593" s="46"/>
      <c r="D593" s="46"/>
      <c r="E593" s="48"/>
      <c r="F593" s="49"/>
      <c r="G593" s="51"/>
      <c r="H593" s="48"/>
      <c r="I593" s="2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2.75" customHeight="1">
      <c r="A594" s="46"/>
      <c r="B594" s="46"/>
      <c r="C594" s="46"/>
      <c r="D594" s="46"/>
      <c r="E594" s="48"/>
      <c r="F594" s="49"/>
      <c r="G594" s="51"/>
      <c r="H594" s="48"/>
      <c r="I594" s="2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2.75" customHeight="1">
      <c r="A595" s="46"/>
      <c r="B595" s="46"/>
      <c r="C595" s="46"/>
      <c r="D595" s="46"/>
      <c r="E595" s="48"/>
      <c r="F595" s="49"/>
      <c r="G595" s="51"/>
      <c r="H595" s="48"/>
      <c r="I595" s="2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2.75" customHeight="1">
      <c r="A596" s="46"/>
      <c r="B596" s="46"/>
      <c r="C596" s="46"/>
      <c r="D596" s="46"/>
      <c r="E596" s="48"/>
      <c r="F596" s="49"/>
      <c r="G596" s="51"/>
      <c r="H596" s="48"/>
      <c r="I596" s="2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2.75" customHeight="1">
      <c r="A597" s="46"/>
      <c r="B597" s="46"/>
      <c r="C597" s="46"/>
      <c r="D597" s="46"/>
      <c r="E597" s="48"/>
      <c r="F597" s="49"/>
      <c r="G597" s="51"/>
      <c r="H597" s="48"/>
      <c r="I597" s="2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2.75" customHeight="1">
      <c r="A598" s="46"/>
      <c r="B598" s="46"/>
      <c r="C598" s="46"/>
      <c r="D598" s="46"/>
      <c r="E598" s="48"/>
      <c r="F598" s="49"/>
      <c r="G598" s="51"/>
      <c r="H598" s="48"/>
      <c r="I598" s="2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2.75" customHeight="1">
      <c r="A599" s="46"/>
      <c r="B599" s="46"/>
      <c r="C599" s="46"/>
      <c r="D599" s="46"/>
      <c r="E599" s="48"/>
      <c r="F599" s="49"/>
      <c r="G599" s="51"/>
      <c r="H599" s="48"/>
      <c r="I599" s="2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2.75" customHeight="1">
      <c r="A600" s="46"/>
      <c r="B600" s="46"/>
      <c r="C600" s="46"/>
      <c r="D600" s="46"/>
      <c r="E600" s="48"/>
      <c r="F600" s="49"/>
      <c r="G600" s="51"/>
      <c r="H600" s="48"/>
      <c r="I600" s="2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2.75" customHeight="1">
      <c r="A601" s="46"/>
      <c r="B601" s="46"/>
      <c r="C601" s="46"/>
      <c r="D601" s="46"/>
      <c r="E601" s="48"/>
      <c r="F601" s="49"/>
      <c r="G601" s="51"/>
      <c r="H601" s="48"/>
      <c r="I601" s="2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2.75" customHeight="1">
      <c r="A602" s="46"/>
      <c r="B602" s="46"/>
      <c r="C602" s="46"/>
      <c r="D602" s="46"/>
      <c r="E602" s="48"/>
      <c r="F602" s="49"/>
      <c r="G602" s="51"/>
      <c r="H602" s="48"/>
      <c r="I602" s="2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2.75" customHeight="1">
      <c r="A603" s="46"/>
      <c r="B603" s="46"/>
      <c r="C603" s="46"/>
      <c r="D603" s="46"/>
      <c r="E603" s="48"/>
      <c r="F603" s="49"/>
      <c r="G603" s="51"/>
      <c r="H603" s="48"/>
      <c r="I603" s="2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2.75" customHeight="1">
      <c r="A604" s="46"/>
      <c r="B604" s="46"/>
      <c r="C604" s="46"/>
      <c r="D604" s="46"/>
      <c r="E604" s="48"/>
      <c r="F604" s="49"/>
      <c r="G604" s="51"/>
      <c r="H604" s="48"/>
      <c r="I604" s="2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2.75" customHeight="1">
      <c r="A605" s="46"/>
      <c r="B605" s="46"/>
      <c r="C605" s="46"/>
      <c r="D605" s="46"/>
      <c r="E605" s="48"/>
      <c r="F605" s="49"/>
      <c r="G605" s="51"/>
      <c r="H605" s="48"/>
      <c r="I605" s="2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2.75" customHeight="1">
      <c r="A606" s="46"/>
      <c r="B606" s="46"/>
      <c r="C606" s="46"/>
      <c r="D606" s="46"/>
      <c r="E606" s="48"/>
      <c r="F606" s="49"/>
      <c r="G606" s="51"/>
      <c r="H606" s="48"/>
      <c r="I606" s="2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2.75" customHeight="1">
      <c r="A607" s="46"/>
      <c r="B607" s="46"/>
      <c r="C607" s="46"/>
      <c r="D607" s="46"/>
      <c r="E607" s="48"/>
      <c r="F607" s="49"/>
      <c r="G607" s="51"/>
      <c r="H607" s="48"/>
      <c r="I607" s="2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2.75" customHeight="1">
      <c r="A608" s="46"/>
      <c r="B608" s="46"/>
      <c r="C608" s="46"/>
      <c r="D608" s="46"/>
      <c r="E608" s="48"/>
      <c r="F608" s="49"/>
      <c r="G608" s="51"/>
      <c r="H608" s="48"/>
      <c r="I608" s="2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2.75" customHeight="1">
      <c r="A609" s="46"/>
      <c r="B609" s="46"/>
      <c r="C609" s="46"/>
      <c r="D609" s="46"/>
      <c r="E609" s="48"/>
      <c r="F609" s="49"/>
      <c r="G609" s="51"/>
      <c r="H609" s="48"/>
      <c r="I609" s="2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2.75" customHeight="1">
      <c r="A610" s="46"/>
      <c r="B610" s="46"/>
      <c r="C610" s="46"/>
      <c r="D610" s="46"/>
      <c r="E610" s="48"/>
      <c r="F610" s="49"/>
      <c r="G610" s="51"/>
      <c r="H610" s="48"/>
      <c r="I610" s="2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2.75" customHeight="1">
      <c r="A611" s="46"/>
      <c r="B611" s="46"/>
      <c r="C611" s="46"/>
      <c r="D611" s="46"/>
      <c r="E611" s="48"/>
      <c r="F611" s="49"/>
      <c r="G611" s="51"/>
      <c r="H611" s="48"/>
      <c r="I611" s="2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2.75" customHeight="1">
      <c r="A612" s="46"/>
      <c r="B612" s="46"/>
      <c r="C612" s="46"/>
      <c r="D612" s="46"/>
      <c r="E612" s="48"/>
      <c r="F612" s="49"/>
      <c r="G612" s="51"/>
      <c r="H612" s="48"/>
      <c r="I612" s="2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2.75" customHeight="1">
      <c r="A613" s="46"/>
      <c r="B613" s="46"/>
      <c r="C613" s="46"/>
      <c r="D613" s="46"/>
      <c r="E613" s="48"/>
      <c r="F613" s="49"/>
      <c r="G613" s="51"/>
      <c r="H613" s="48"/>
      <c r="I613" s="2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2.75" customHeight="1">
      <c r="A614" s="46"/>
      <c r="B614" s="46"/>
      <c r="C614" s="46"/>
      <c r="D614" s="46"/>
      <c r="E614" s="48"/>
      <c r="F614" s="49"/>
      <c r="G614" s="51"/>
      <c r="H614" s="48"/>
      <c r="I614" s="2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2.75" customHeight="1">
      <c r="A615" s="46"/>
      <c r="B615" s="46"/>
      <c r="C615" s="46"/>
      <c r="D615" s="46"/>
      <c r="E615" s="48"/>
      <c r="F615" s="49"/>
      <c r="G615" s="51"/>
      <c r="H615" s="48"/>
      <c r="I615" s="2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2.75" customHeight="1">
      <c r="A616" s="46"/>
      <c r="B616" s="46"/>
      <c r="C616" s="46"/>
      <c r="D616" s="46"/>
      <c r="E616" s="48"/>
      <c r="F616" s="49"/>
      <c r="G616" s="51"/>
      <c r="H616" s="48"/>
      <c r="I616" s="2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2.75" customHeight="1">
      <c r="A617" s="46"/>
      <c r="B617" s="46"/>
      <c r="C617" s="46"/>
      <c r="D617" s="46"/>
      <c r="E617" s="48"/>
      <c r="F617" s="49"/>
      <c r="G617" s="51"/>
      <c r="H617" s="48"/>
      <c r="I617" s="2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2.75" customHeight="1">
      <c r="A618" s="46"/>
      <c r="B618" s="46"/>
      <c r="C618" s="46"/>
      <c r="D618" s="46"/>
      <c r="E618" s="48"/>
      <c r="F618" s="49"/>
      <c r="G618" s="51"/>
      <c r="H618" s="48"/>
      <c r="I618" s="2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2.75" customHeight="1">
      <c r="A619" s="46"/>
      <c r="B619" s="46"/>
      <c r="C619" s="46"/>
      <c r="D619" s="46"/>
      <c r="E619" s="48"/>
      <c r="F619" s="49"/>
      <c r="G619" s="51"/>
      <c r="H619" s="48"/>
      <c r="I619" s="2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2.75" customHeight="1">
      <c r="A620" s="46"/>
      <c r="B620" s="46"/>
      <c r="C620" s="46"/>
      <c r="D620" s="46"/>
      <c r="E620" s="48"/>
      <c r="F620" s="49"/>
      <c r="G620" s="51"/>
      <c r="H620" s="48"/>
      <c r="I620" s="2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2.75" customHeight="1">
      <c r="A621" s="46"/>
      <c r="B621" s="46"/>
      <c r="C621" s="46"/>
      <c r="D621" s="46"/>
      <c r="E621" s="48"/>
      <c r="F621" s="49"/>
      <c r="G621" s="51"/>
      <c r="H621" s="48"/>
      <c r="I621" s="2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2.75" customHeight="1">
      <c r="A622" s="46"/>
      <c r="B622" s="46"/>
      <c r="C622" s="46"/>
      <c r="D622" s="46"/>
      <c r="E622" s="48"/>
      <c r="F622" s="49"/>
      <c r="G622" s="51"/>
      <c r="H622" s="48"/>
      <c r="I622" s="2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2.75" customHeight="1">
      <c r="A623" s="46"/>
      <c r="B623" s="46"/>
      <c r="C623" s="46"/>
      <c r="D623" s="46"/>
      <c r="E623" s="48"/>
      <c r="F623" s="49"/>
      <c r="G623" s="51"/>
      <c r="H623" s="48"/>
      <c r="I623" s="2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2.75" customHeight="1">
      <c r="A624" s="46"/>
      <c r="B624" s="46"/>
      <c r="C624" s="46"/>
      <c r="D624" s="46"/>
      <c r="E624" s="48"/>
      <c r="F624" s="49"/>
      <c r="G624" s="51"/>
      <c r="H624" s="48"/>
      <c r="I624" s="2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2.75" customHeight="1">
      <c r="A625" s="46"/>
      <c r="B625" s="46"/>
      <c r="C625" s="46"/>
      <c r="D625" s="46"/>
      <c r="E625" s="48"/>
      <c r="F625" s="49"/>
      <c r="G625" s="51"/>
      <c r="H625" s="48"/>
      <c r="I625" s="2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2.75" customHeight="1">
      <c r="A626" s="46"/>
      <c r="B626" s="46"/>
      <c r="C626" s="46"/>
      <c r="D626" s="46"/>
      <c r="E626" s="48"/>
      <c r="F626" s="49"/>
      <c r="G626" s="51"/>
      <c r="H626" s="48"/>
      <c r="I626" s="2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2.75" customHeight="1">
      <c r="A627" s="46"/>
      <c r="B627" s="46"/>
      <c r="C627" s="46"/>
      <c r="D627" s="46"/>
      <c r="E627" s="48"/>
      <c r="F627" s="49"/>
      <c r="G627" s="51"/>
      <c r="H627" s="48"/>
      <c r="I627" s="2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2.75" customHeight="1">
      <c r="A628" s="46"/>
      <c r="B628" s="46"/>
      <c r="C628" s="46"/>
      <c r="D628" s="46"/>
      <c r="E628" s="48"/>
      <c r="F628" s="49"/>
      <c r="G628" s="51"/>
      <c r="H628" s="48"/>
      <c r="I628" s="2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2.75" customHeight="1">
      <c r="A629" s="46"/>
      <c r="B629" s="46"/>
      <c r="C629" s="46"/>
      <c r="D629" s="46"/>
      <c r="E629" s="48"/>
      <c r="F629" s="49"/>
      <c r="G629" s="51"/>
      <c r="H629" s="48"/>
      <c r="I629" s="2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2.75" customHeight="1">
      <c r="A630" s="46"/>
      <c r="B630" s="46"/>
      <c r="C630" s="46"/>
      <c r="D630" s="46"/>
      <c r="E630" s="48"/>
      <c r="F630" s="49"/>
      <c r="G630" s="51"/>
      <c r="H630" s="48"/>
      <c r="I630" s="2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2.75" customHeight="1">
      <c r="A631" s="46"/>
      <c r="B631" s="46"/>
      <c r="C631" s="46"/>
      <c r="D631" s="46"/>
      <c r="E631" s="48"/>
      <c r="F631" s="49"/>
      <c r="G631" s="51"/>
      <c r="H631" s="48"/>
      <c r="I631" s="2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2.75" customHeight="1">
      <c r="A632" s="46"/>
      <c r="B632" s="46"/>
      <c r="C632" s="46"/>
      <c r="D632" s="46"/>
      <c r="E632" s="48"/>
      <c r="F632" s="49"/>
      <c r="G632" s="51"/>
      <c r="H632" s="48"/>
      <c r="I632" s="2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2.75" customHeight="1">
      <c r="A633" s="46"/>
      <c r="B633" s="46"/>
      <c r="C633" s="46"/>
      <c r="D633" s="46"/>
      <c r="E633" s="48"/>
      <c r="F633" s="49"/>
      <c r="G633" s="51"/>
      <c r="H633" s="48"/>
      <c r="I633" s="2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2.75" customHeight="1">
      <c r="A634" s="46"/>
      <c r="B634" s="46"/>
      <c r="C634" s="46"/>
      <c r="D634" s="46"/>
      <c r="E634" s="48"/>
      <c r="F634" s="49"/>
      <c r="G634" s="51"/>
      <c r="H634" s="48"/>
      <c r="I634" s="2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2.75" customHeight="1">
      <c r="A635" s="46"/>
      <c r="B635" s="46"/>
      <c r="C635" s="46"/>
      <c r="D635" s="46"/>
      <c r="E635" s="48"/>
      <c r="F635" s="49"/>
      <c r="G635" s="51"/>
      <c r="H635" s="48"/>
      <c r="I635" s="2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2.75" customHeight="1">
      <c r="A636" s="46"/>
      <c r="B636" s="46"/>
      <c r="C636" s="46"/>
      <c r="D636" s="46"/>
      <c r="E636" s="48"/>
      <c r="F636" s="49"/>
      <c r="G636" s="51"/>
      <c r="H636" s="48"/>
      <c r="I636" s="2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2.75" customHeight="1">
      <c r="A637" s="46"/>
      <c r="B637" s="46"/>
      <c r="C637" s="46"/>
      <c r="D637" s="46"/>
      <c r="E637" s="48"/>
      <c r="F637" s="49"/>
      <c r="G637" s="51"/>
      <c r="H637" s="48"/>
      <c r="I637" s="2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2.75" customHeight="1">
      <c r="A638" s="46"/>
      <c r="B638" s="46"/>
      <c r="C638" s="46"/>
      <c r="D638" s="46"/>
      <c r="E638" s="48"/>
      <c r="F638" s="49"/>
      <c r="G638" s="51"/>
      <c r="H638" s="48"/>
      <c r="I638" s="2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2.75" customHeight="1">
      <c r="A639" s="46"/>
      <c r="B639" s="46"/>
      <c r="C639" s="46"/>
      <c r="D639" s="46"/>
      <c r="E639" s="48"/>
      <c r="F639" s="49"/>
      <c r="G639" s="51"/>
      <c r="H639" s="48"/>
      <c r="I639" s="2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2.75" customHeight="1">
      <c r="A640" s="46"/>
      <c r="B640" s="46"/>
      <c r="C640" s="46"/>
      <c r="D640" s="46"/>
      <c r="E640" s="48"/>
      <c r="F640" s="49"/>
      <c r="G640" s="51"/>
      <c r="H640" s="48"/>
      <c r="I640" s="2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2.75" customHeight="1">
      <c r="A641" s="46"/>
      <c r="B641" s="46"/>
      <c r="C641" s="46"/>
      <c r="D641" s="46"/>
      <c r="E641" s="48"/>
      <c r="F641" s="49"/>
      <c r="G641" s="51"/>
      <c r="H641" s="48"/>
      <c r="I641" s="2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2.75" customHeight="1">
      <c r="A642" s="46"/>
      <c r="B642" s="46"/>
      <c r="C642" s="46"/>
      <c r="D642" s="46"/>
      <c r="E642" s="48"/>
      <c r="F642" s="49"/>
      <c r="G642" s="51"/>
      <c r="H642" s="48"/>
      <c r="I642" s="2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2.75" customHeight="1">
      <c r="A643" s="46"/>
      <c r="B643" s="46"/>
      <c r="C643" s="46"/>
      <c r="D643" s="46"/>
      <c r="E643" s="48"/>
      <c r="F643" s="49"/>
      <c r="G643" s="51"/>
      <c r="H643" s="48"/>
      <c r="I643" s="2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2.75" customHeight="1">
      <c r="A644" s="46"/>
      <c r="B644" s="46"/>
      <c r="C644" s="46"/>
      <c r="D644" s="46"/>
      <c r="E644" s="48"/>
      <c r="F644" s="49"/>
      <c r="G644" s="51"/>
      <c r="H644" s="48"/>
      <c r="I644" s="2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2.75" customHeight="1">
      <c r="A645" s="46"/>
      <c r="B645" s="46"/>
      <c r="C645" s="46"/>
      <c r="D645" s="46"/>
      <c r="E645" s="48"/>
      <c r="F645" s="49"/>
      <c r="G645" s="51"/>
      <c r="H645" s="48"/>
      <c r="I645" s="2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2.75" customHeight="1">
      <c r="A646" s="46"/>
      <c r="B646" s="46"/>
      <c r="C646" s="46"/>
      <c r="D646" s="46"/>
      <c r="E646" s="48"/>
      <c r="F646" s="49"/>
      <c r="G646" s="51"/>
      <c r="H646" s="48"/>
      <c r="I646" s="2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2.75" customHeight="1">
      <c r="A647" s="46"/>
      <c r="B647" s="46"/>
      <c r="C647" s="46"/>
      <c r="D647" s="46"/>
      <c r="E647" s="48"/>
      <c r="F647" s="49"/>
      <c r="G647" s="51"/>
      <c r="H647" s="48"/>
      <c r="I647" s="2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2.75" customHeight="1">
      <c r="A648" s="46"/>
      <c r="B648" s="46"/>
      <c r="C648" s="46"/>
      <c r="D648" s="46"/>
      <c r="E648" s="48"/>
      <c r="F648" s="49"/>
      <c r="G648" s="51"/>
      <c r="H648" s="48"/>
      <c r="I648" s="2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2.75" customHeight="1">
      <c r="A649" s="46"/>
      <c r="B649" s="46"/>
      <c r="C649" s="46"/>
      <c r="D649" s="46"/>
      <c r="E649" s="48"/>
      <c r="F649" s="49"/>
      <c r="G649" s="51"/>
      <c r="H649" s="48"/>
      <c r="I649" s="2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2.75" customHeight="1">
      <c r="A650" s="46"/>
      <c r="B650" s="46"/>
      <c r="C650" s="46"/>
      <c r="D650" s="46"/>
      <c r="E650" s="48"/>
      <c r="F650" s="49"/>
      <c r="G650" s="51"/>
      <c r="H650" s="48"/>
      <c r="I650" s="2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2.75" customHeight="1">
      <c r="A651" s="46"/>
      <c r="B651" s="46"/>
      <c r="C651" s="46"/>
      <c r="D651" s="46"/>
      <c r="E651" s="48"/>
      <c r="F651" s="49"/>
      <c r="G651" s="51"/>
      <c r="H651" s="48"/>
      <c r="I651" s="2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2.75" customHeight="1">
      <c r="A652" s="46"/>
      <c r="B652" s="46"/>
      <c r="C652" s="46"/>
      <c r="D652" s="46"/>
      <c r="E652" s="48"/>
      <c r="F652" s="49"/>
      <c r="G652" s="51"/>
      <c r="H652" s="48"/>
      <c r="I652" s="2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2.75" customHeight="1">
      <c r="A653" s="46"/>
      <c r="B653" s="46"/>
      <c r="C653" s="46"/>
      <c r="D653" s="46"/>
      <c r="E653" s="48"/>
      <c r="F653" s="49"/>
      <c r="G653" s="51"/>
      <c r="H653" s="48"/>
      <c r="I653" s="2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2.75" customHeight="1">
      <c r="A654" s="46"/>
      <c r="B654" s="46"/>
      <c r="C654" s="46"/>
      <c r="D654" s="46"/>
      <c r="E654" s="48"/>
      <c r="F654" s="49"/>
      <c r="G654" s="51"/>
      <c r="H654" s="48"/>
      <c r="I654" s="2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2.75" customHeight="1">
      <c r="A655" s="46"/>
      <c r="B655" s="46"/>
      <c r="C655" s="46"/>
      <c r="D655" s="46"/>
      <c r="E655" s="48"/>
      <c r="F655" s="49"/>
      <c r="G655" s="51"/>
      <c r="H655" s="48"/>
      <c r="I655" s="2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2.75" customHeight="1">
      <c r="A656" s="46"/>
      <c r="B656" s="46"/>
      <c r="C656" s="46"/>
      <c r="D656" s="46"/>
      <c r="E656" s="48"/>
      <c r="F656" s="49"/>
      <c r="G656" s="51"/>
      <c r="H656" s="48"/>
      <c r="I656" s="2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2.75" customHeight="1">
      <c r="A657" s="46"/>
      <c r="B657" s="46"/>
      <c r="C657" s="46"/>
      <c r="D657" s="46"/>
      <c r="E657" s="48"/>
      <c r="F657" s="49"/>
      <c r="G657" s="51"/>
      <c r="H657" s="48"/>
      <c r="I657" s="2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2.75" customHeight="1">
      <c r="A658" s="46"/>
      <c r="B658" s="46"/>
      <c r="C658" s="46"/>
      <c r="D658" s="46"/>
      <c r="E658" s="48"/>
      <c r="F658" s="49"/>
      <c r="G658" s="51"/>
      <c r="H658" s="48"/>
      <c r="I658" s="2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2.75" customHeight="1">
      <c r="A659" s="46"/>
      <c r="B659" s="46"/>
      <c r="C659" s="46"/>
      <c r="D659" s="46"/>
      <c r="E659" s="48"/>
      <c r="F659" s="49"/>
      <c r="G659" s="51"/>
      <c r="H659" s="48"/>
      <c r="I659" s="2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2.75" customHeight="1">
      <c r="A660" s="46"/>
      <c r="B660" s="46"/>
      <c r="C660" s="46"/>
      <c r="D660" s="46"/>
      <c r="E660" s="48"/>
      <c r="F660" s="49"/>
      <c r="G660" s="51"/>
      <c r="H660" s="48"/>
      <c r="I660" s="2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2.75" customHeight="1">
      <c r="A661" s="46"/>
      <c r="B661" s="46"/>
      <c r="C661" s="46"/>
      <c r="D661" s="46"/>
      <c r="E661" s="48"/>
      <c r="F661" s="49"/>
      <c r="G661" s="51"/>
      <c r="H661" s="48"/>
      <c r="I661" s="2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2.75" customHeight="1">
      <c r="A662" s="46"/>
      <c r="B662" s="46"/>
      <c r="C662" s="46"/>
      <c r="D662" s="46"/>
      <c r="E662" s="48"/>
      <c r="F662" s="49"/>
      <c r="G662" s="51"/>
      <c r="H662" s="48"/>
      <c r="I662" s="2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2.75" customHeight="1">
      <c r="A663" s="46"/>
      <c r="B663" s="46"/>
      <c r="C663" s="46"/>
      <c r="D663" s="46"/>
      <c r="E663" s="48"/>
      <c r="F663" s="49"/>
      <c r="G663" s="51"/>
      <c r="H663" s="48"/>
      <c r="I663" s="2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2.75" customHeight="1">
      <c r="A664" s="46"/>
      <c r="B664" s="46"/>
      <c r="C664" s="46"/>
      <c r="D664" s="46"/>
      <c r="E664" s="48"/>
      <c r="F664" s="49"/>
      <c r="G664" s="51"/>
      <c r="H664" s="48"/>
      <c r="I664" s="2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2.75" customHeight="1">
      <c r="A665" s="46"/>
      <c r="B665" s="46"/>
      <c r="C665" s="46"/>
      <c r="D665" s="46"/>
      <c r="E665" s="48"/>
      <c r="F665" s="49"/>
      <c r="G665" s="51"/>
      <c r="H665" s="48"/>
      <c r="I665" s="2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2.75" customHeight="1">
      <c r="A666" s="46"/>
      <c r="B666" s="46"/>
      <c r="C666" s="46"/>
      <c r="D666" s="46"/>
      <c r="E666" s="48"/>
      <c r="F666" s="49"/>
      <c r="G666" s="51"/>
      <c r="H666" s="48"/>
      <c r="I666" s="2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2.75" customHeight="1">
      <c r="A667" s="46"/>
      <c r="B667" s="46"/>
      <c r="C667" s="46"/>
      <c r="D667" s="46"/>
      <c r="E667" s="48"/>
      <c r="F667" s="49"/>
      <c r="G667" s="51"/>
      <c r="H667" s="48"/>
      <c r="I667" s="2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2.75" customHeight="1">
      <c r="A668" s="46"/>
      <c r="B668" s="46"/>
      <c r="C668" s="46"/>
      <c r="D668" s="46"/>
      <c r="E668" s="48"/>
      <c r="F668" s="49"/>
      <c r="G668" s="51"/>
      <c r="H668" s="48"/>
      <c r="I668" s="2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2.75" customHeight="1">
      <c r="A669" s="46"/>
      <c r="B669" s="46"/>
      <c r="C669" s="46"/>
      <c r="D669" s="46"/>
      <c r="E669" s="48"/>
      <c r="F669" s="49"/>
      <c r="G669" s="51"/>
      <c r="H669" s="48"/>
      <c r="I669" s="2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2.75" customHeight="1">
      <c r="A670" s="46"/>
      <c r="B670" s="46"/>
      <c r="C670" s="46"/>
      <c r="D670" s="46"/>
      <c r="E670" s="48"/>
      <c r="F670" s="49"/>
      <c r="G670" s="51"/>
      <c r="H670" s="48"/>
      <c r="I670" s="2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2.75" customHeight="1">
      <c r="A671" s="46"/>
      <c r="B671" s="46"/>
      <c r="C671" s="46"/>
      <c r="D671" s="46"/>
      <c r="E671" s="48"/>
      <c r="F671" s="49"/>
      <c r="G671" s="51"/>
      <c r="H671" s="48"/>
      <c r="I671" s="2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2.75" customHeight="1">
      <c r="A672" s="46"/>
      <c r="B672" s="46"/>
      <c r="C672" s="46"/>
      <c r="D672" s="46"/>
      <c r="E672" s="48"/>
      <c r="F672" s="49"/>
      <c r="G672" s="51"/>
      <c r="H672" s="48"/>
      <c r="I672" s="2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2.75" customHeight="1">
      <c r="A673" s="46"/>
      <c r="B673" s="46"/>
      <c r="C673" s="46"/>
      <c r="D673" s="46"/>
      <c r="E673" s="48"/>
      <c r="F673" s="49"/>
      <c r="G673" s="51"/>
      <c r="H673" s="48"/>
      <c r="I673" s="2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2.75" customHeight="1">
      <c r="A674" s="46"/>
      <c r="B674" s="46"/>
      <c r="C674" s="46"/>
      <c r="D674" s="46"/>
      <c r="E674" s="48"/>
      <c r="F674" s="49"/>
      <c r="G674" s="51"/>
      <c r="H674" s="48"/>
      <c r="I674" s="2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2.75" customHeight="1">
      <c r="A675" s="46"/>
      <c r="B675" s="46"/>
      <c r="C675" s="46"/>
      <c r="D675" s="46"/>
      <c r="E675" s="48"/>
      <c r="F675" s="49"/>
      <c r="G675" s="51"/>
      <c r="H675" s="48"/>
      <c r="I675" s="2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2.75" customHeight="1">
      <c r="A676" s="46"/>
      <c r="B676" s="46"/>
      <c r="C676" s="46"/>
      <c r="D676" s="46"/>
      <c r="E676" s="48"/>
      <c r="F676" s="49"/>
      <c r="G676" s="51"/>
      <c r="H676" s="48"/>
      <c r="I676" s="2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2.75" customHeight="1">
      <c r="A677" s="46"/>
      <c r="B677" s="46"/>
      <c r="C677" s="46"/>
      <c r="D677" s="46"/>
      <c r="E677" s="48"/>
      <c r="F677" s="49"/>
      <c r="G677" s="51"/>
      <c r="H677" s="48"/>
      <c r="I677" s="2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2.75" customHeight="1">
      <c r="A678" s="46"/>
      <c r="B678" s="46"/>
      <c r="C678" s="46"/>
      <c r="D678" s="46"/>
      <c r="E678" s="48"/>
      <c r="F678" s="49"/>
      <c r="G678" s="51"/>
      <c r="H678" s="48"/>
      <c r="I678" s="2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2.75" customHeight="1">
      <c r="A679" s="46"/>
      <c r="B679" s="46"/>
      <c r="C679" s="46"/>
      <c r="D679" s="46"/>
      <c r="E679" s="48"/>
      <c r="F679" s="49"/>
      <c r="G679" s="51"/>
      <c r="H679" s="48"/>
      <c r="I679" s="2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2.75" customHeight="1">
      <c r="A680" s="46"/>
      <c r="B680" s="46"/>
      <c r="C680" s="46"/>
      <c r="D680" s="46"/>
      <c r="E680" s="48"/>
      <c r="F680" s="49"/>
      <c r="G680" s="51"/>
      <c r="H680" s="48"/>
      <c r="I680" s="2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2.75" customHeight="1">
      <c r="A681" s="46"/>
      <c r="B681" s="46"/>
      <c r="C681" s="46"/>
      <c r="D681" s="46"/>
      <c r="E681" s="48"/>
      <c r="F681" s="49"/>
      <c r="G681" s="51"/>
      <c r="H681" s="48"/>
      <c r="I681" s="2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2.75" customHeight="1">
      <c r="A682" s="46"/>
      <c r="B682" s="46"/>
      <c r="C682" s="46"/>
      <c r="D682" s="46"/>
      <c r="E682" s="48"/>
      <c r="F682" s="49"/>
      <c r="G682" s="51"/>
      <c r="H682" s="48"/>
      <c r="I682" s="2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2.75" customHeight="1">
      <c r="A683" s="46"/>
      <c r="B683" s="46"/>
      <c r="C683" s="46"/>
      <c r="D683" s="46"/>
      <c r="E683" s="48"/>
      <c r="F683" s="49"/>
      <c r="G683" s="51"/>
      <c r="H683" s="48"/>
      <c r="I683" s="2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2.75" customHeight="1">
      <c r="A684" s="46"/>
      <c r="B684" s="46"/>
      <c r="C684" s="46"/>
      <c r="D684" s="46"/>
      <c r="E684" s="48"/>
      <c r="F684" s="49"/>
      <c r="G684" s="51"/>
      <c r="H684" s="48"/>
      <c r="I684" s="2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2.75" customHeight="1">
      <c r="A685" s="46"/>
      <c r="B685" s="46"/>
      <c r="C685" s="46"/>
      <c r="D685" s="46"/>
      <c r="E685" s="48"/>
      <c r="F685" s="49"/>
      <c r="G685" s="51"/>
      <c r="H685" s="48"/>
      <c r="I685" s="2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2.75" customHeight="1">
      <c r="A686" s="46"/>
      <c r="B686" s="46"/>
      <c r="C686" s="46"/>
      <c r="D686" s="46"/>
      <c r="E686" s="48"/>
      <c r="F686" s="49"/>
      <c r="G686" s="51"/>
      <c r="H686" s="48"/>
      <c r="I686" s="2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2.75" customHeight="1">
      <c r="A687" s="46"/>
      <c r="B687" s="46"/>
      <c r="C687" s="46"/>
      <c r="D687" s="46"/>
      <c r="E687" s="48"/>
      <c r="F687" s="49"/>
      <c r="G687" s="51"/>
      <c r="H687" s="48"/>
      <c r="I687" s="2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2.75" customHeight="1">
      <c r="A688" s="46"/>
      <c r="B688" s="46"/>
      <c r="C688" s="46"/>
      <c r="D688" s="46"/>
      <c r="E688" s="48"/>
      <c r="F688" s="49"/>
      <c r="G688" s="51"/>
      <c r="H688" s="48"/>
      <c r="I688" s="2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2.75" customHeight="1">
      <c r="A689" s="46"/>
      <c r="B689" s="46"/>
      <c r="C689" s="46"/>
      <c r="D689" s="46"/>
      <c r="E689" s="48"/>
      <c r="F689" s="49"/>
      <c r="G689" s="51"/>
      <c r="H689" s="48"/>
      <c r="I689" s="2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2.75" customHeight="1">
      <c r="A690" s="46"/>
      <c r="B690" s="46"/>
      <c r="C690" s="46"/>
      <c r="D690" s="46"/>
      <c r="E690" s="48"/>
      <c r="F690" s="49"/>
      <c r="G690" s="51"/>
      <c r="H690" s="48"/>
      <c r="I690" s="2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2.75" customHeight="1">
      <c r="A691" s="46"/>
      <c r="B691" s="46"/>
      <c r="C691" s="46"/>
      <c r="D691" s="46"/>
      <c r="E691" s="48"/>
      <c r="F691" s="49"/>
      <c r="G691" s="51"/>
      <c r="H691" s="48"/>
      <c r="I691" s="2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2.75" customHeight="1">
      <c r="A692" s="46"/>
      <c r="B692" s="46"/>
      <c r="C692" s="46"/>
      <c r="D692" s="46"/>
      <c r="E692" s="48"/>
      <c r="F692" s="49"/>
      <c r="G692" s="51"/>
      <c r="H692" s="48"/>
      <c r="I692" s="2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2.75" customHeight="1">
      <c r="A693" s="46"/>
      <c r="B693" s="46"/>
      <c r="C693" s="46"/>
      <c r="D693" s="46"/>
      <c r="E693" s="48"/>
      <c r="F693" s="49"/>
      <c r="G693" s="51"/>
      <c r="H693" s="48"/>
      <c r="I693" s="2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2.75" customHeight="1">
      <c r="A694" s="46"/>
      <c r="B694" s="46"/>
      <c r="C694" s="46"/>
      <c r="D694" s="46"/>
      <c r="E694" s="48"/>
      <c r="F694" s="49"/>
      <c r="G694" s="51"/>
      <c r="H694" s="48"/>
      <c r="I694" s="2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2.75" customHeight="1">
      <c r="A695" s="46"/>
      <c r="B695" s="46"/>
      <c r="C695" s="46"/>
      <c r="D695" s="46"/>
      <c r="E695" s="48"/>
      <c r="F695" s="49"/>
      <c r="G695" s="51"/>
      <c r="H695" s="48"/>
      <c r="I695" s="2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2.75" customHeight="1">
      <c r="A696" s="46"/>
      <c r="B696" s="46"/>
      <c r="C696" s="46"/>
      <c r="D696" s="46"/>
      <c r="E696" s="48"/>
      <c r="F696" s="49"/>
      <c r="G696" s="51"/>
      <c r="H696" s="48"/>
      <c r="I696" s="2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2.75" customHeight="1">
      <c r="A697" s="46"/>
      <c r="B697" s="46"/>
      <c r="C697" s="46"/>
      <c r="D697" s="46"/>
      <c r="E697" s="48"/>
      <c r="F697" s="49"/>
      <c r="G697" s="51"/>
      <c r="H697" s="48"/>
      <c r="I697" s="2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2.75" customHeight="1">
      <c r="A698" s="46"/>
      <c r="B698" s="46"/>
      <c r="C698" s="46"/>
      <c r="D698" s="46"/>
      <c r="E698" s="48"/>
      <c r="F698" s="49"/>
      <c r="G698" s="51"/>
      <c r="H698" s="48"/>
      <c r="I698" s="2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2.75" customHeight="1">
      <c r="A699" s="46"/>
      <c r="B699" s="46"/>
      <c r="C699" s="46"/>
      <c r="D699" s="46"/>
      <c r="E699" s="48"/>
      <c r="F699" s="49"/>
      <c r="G699" s="51"/>
      <c r="H699" s="48"/>
      <c r="I699" s="2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2.75" customHeight="1">
      <c r="A700" s="46"/>
      <c r="B700" s="46"/>
      <c r="C700" s="46"/>
      <c r="D700" s="46"/>
      <c r="E700" s="48"/>
      <c r="F700" s="49"/>
      <c r="G700" s="51"/>
      <c r="H700" s="48"/>
      <c r="I700" s="2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2.75" customHeight="1">
      <c r="A701" s="46"/>
      <c r="B701" s="46"/>
      <c r="C701" s="46"/>
      <c r="D701" s="46"/>
      <c r="E701" s="48"/>
      <c r="F701" s="49"/>
      <c r="G701" s="51"/>
      <c r="H701" s="48"/>
      <c r="I701" s="2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2.75" customHeight="1">
      <c r="A702" s="46"/>
      <c r="B702" s="46"/>
      <c r="C702" s="46"/>
      <c r="D702" s="46"/>
      <c r="E702" s="48"/>
      <c r="F702" s="49"/>
      <c r="G702" s="51"/>
      <c r="H702" s="48"/>
      <c r="I702" s="2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2.75" customHeight="1">
      <c r="A703" s="46"/>
      <c r="B703" s="46"/>
      <c r="C703" s="46"/>
      <c r="D703" s="46"/>
      <c r="E703" s="48"/>
      <c r="F703" s="49"/>
      <c r="G703" s="51"/>
      <c r="H703" s="48"/>
      <c r="I703" s="2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2.75" customHeight="1">
      <c r="A704" s="46"/>
      <c r="B704" s="46"/>
      <c r="C704" s="46"/>
      <c r="D704" s="46"/>
      <c r="E704" s="48"/>
      <c r="F704" s="49"/>
      <c r="G704" s="51"/>
      <c r="H704" s="48"/>
      <c r="I704" s="2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2.75" customHeight="1">
      <c r="A705" s="46"/>
      <c r="B705" s="46"/>
      <c r="C705" s="46"/>
      <c r="D705" s="46"/>
      <c r="E705" s="48"/>
      <c r="F705" s="49"/>
      <c r="G705" s="51"/>
      <c r="H705" s="48"/>
      <c r="I705" s="2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2.75" customHeight="1">
      <c r="A706" s="46"/>
      <c r="B706" s="46"/>
      <c r="C706" s="46"/>
      <c r="D706" s="46"/>
      <c r="E706" s="48"/>
      <c r="F706" s="49"/>
      <c r="G706" s="51"/>
      <c r="H706" s="48"/>
      <c r="I706" s="2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2.75" customHeight="1">
      <c r="A707" s="46"/>
      <c r="B707" s="46"/>
      <c r="C707" s="46"/>
      <c r="D707" s="46"/>
      <c r="E707" s="48"/>
      <c r="F707" s="49"/>
      <c r="G707" s="51"/>
      <c r="H707" s="48"/>
      <c r="I707" s="2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2.75" customHeight="1">
      <c r="A708" s="46"/>
      <c r="B708" s="46"/>
      <c r="C708" s="46"/>
      <c r="D708" s="46"/>
      <c r="E708" s="48"/>
      <c r="F708" s="49"/>
      <c r="G708" s="51"/>
      <c r="H708" s="48"/>
      <c r="I708" s="2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2.75" customHeight="1">
      <c r="A709" s="46"/>
      <c r="B709" s="46"/>
      <c r="C709" s="46"/>
      <c r="D709" s="46"/>
      <c r="E709" s="48"/>
      <c r="F709" s="49"/>
      <c r="G709" s="51"/>
      <c r="H709" s="48"/>
      <c r="I709" s="2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2.75" customHeight="1">
      <c r="A710" s="46"/>
      <c r="B710" s="46"/>
      <c r="C710" s="46"/>
      <c r="D710" s="46"/>
      <c r="E710" s="48"/>
      <c r="F710" s="49"/>
      <c r="G710" s="51"/>
      <c r="H710" s="48"/>
      <c r="I710" s="2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2.75" customHeight="1">
      <c r="A711" s="46"/>
      <c r="B711" s="46"/>
      <c r="C711" s="46"/>
      <c r="D711" s="46"/>
      <c r="E711" s="48"/>
      <c r="F711" s="49"/>
      <c r="G711" s="51"/>
      <c r="H711" s="48"/>
      <c r="I711" s="2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2.75" customHeight="1">
      <c r="A712" s="46"/>
      <c r="B712" s="46"/>
      <c r="C712" s="46"/>
      <c r="D712" s="46"/>
      <c r="E712" s="48"/>
      <c r="F712" s="49"/>
      <c r="G712" s="51"/>
      <c r="H712" s="48"/>
      <c r="I712" s="2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2.75" customHeight="1">
      <c r="A713" s="46"/>
      <c r="B713" s="46"/>
      <c r="C713" s="46"/>
      <c r="D713" s="46"/>
      <c r="E713" s="48"/>
      <c r="F713" s="49"/>
      <c r="G713" s="51"/>
      <c r="H713" s="48"/>
      <c r="I713" s="2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2.75" customHeight="1">
      <c r="A714" s="46"/>
      <c r="B714" s="46"/>
      <c r="C714" s="46"/>
      <c r="D714" s="46"/>
      <c r="E714" s="48"/>
      <c r="F714" s="49"/>
      <c r="G714" s="51"/>
      <c r="H714" s="48"/>
      <c r="I714" s="2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2.75" customHeight="1">
      <c r="A715" s="46"/>
      <c r="B715" s="46"/>
      <c r="C715" s="46"/>
      <c r="D715" s="46"/>
      <c r="E715" s="48"/>
      <c r="F715" s="49"/>
      <c r="G715" s="51"/>
      <c r="H715" s="48"/>
      <c r="I715" s="2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2.75" customHeight="1">
      <c r="A716" s="46"/>
      <c r="B716" s="46"/>
      <c r="C716" s="46"/>
      <c r="D716" s="46"/>
      <c r="E716" s="48"/>
      <c r="F716" s="49"/>
      <c r="G716" s="51"/>
      <c r="H716" s="48"/>
      <c r="I716" s="2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2.75" customHeight="1">
      <c r="A717" s="46"/>
      <c r="B717" s="46"/>
      <c r="C717" s="46"/>
      <c r="D717" s="46"/>
      <c r="E717" s="48"/>
      <c r="F717" s="49"/>
      <c r="G717" s="51"/>
      <c r="H717" s="48"/>
      <c r="I717" s="2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2.75" customHeight="1">
      <c r="A718" s="46"/>
      <c r="B718" s="46"/>
      <c r="C718" s="46"/>
      <c r="D718" s="46"/>
      <c r="E718" s="48"/>
      <c r="F718" s="49"/>
      <c r="G718" s="51"/>
      <c r="H718" s="48"/>
      <c r="I718" s="2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2.75" customHeight="1">
      <c r="A719" s="46"/>
      <c r="B719" s="46"/>
      <c r="C719" s="46"/>
      <c r="D719" s="46"/>
      <c r="E719" s="48"/>
      <c r="F719" s="49"/>
      <c r="G719" s="51"/>
      <c r="H719" s="48"/>
      <c r="I719" s="2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2.75" customHeight="1">
      <c r="A720" s="46"/>
      <c r="B720" s="46"/>
      <c r="C720" s="46"/>
      <c r="D720" s="46"/>
      <c r="E720" s="48"/>
      <c r="F720" s="49"/>
      <c r="G720" s="51"/>
      <c r="H720" s="48"/>
      <c r="I720" s="2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2.75" customHeight="1">
      <c r="A721" s="46"/>
      <c r="B721" s="46"/>
      <c r="C721" s="46"/>
      <c r="D721" s="46"/>
      <c r="E721" s="48"/>
      <c r="F721" s="49"/>
      <c r="G721" s="51"/>
      <c r="H721" s="48"/>
      <c r="I721" s="2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2.75" customHeight="1">
      <c r="A722" s="46"/>
      <c r="B722" s="46"/>
      <c r="C722" s="46"/>
      <c r="D722" s="46"/>
      <c r="E722" s="48"/>
      <c r="F722" s="49"/>
      <c r="G722" s="51"/>
      <c r="H722" s="48"/>
      <c r="I722" s="2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2.75" customHeight="1">
      <c r="A723" s="46"/>
      <c r="B723" s="46"/>
      <c r="C723" s="46"/>
      <c r="D723" s="46"/>
      <c r="E723" s="48"/>
      <c r="F723" s="49"/>
      <c r="G723" s="51"/>
      <c r="H723" s="48"/>
      <c r="I723" s="2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2.75" customHeight="1">
      <c r="A724" s="46"/>
      <c r="B724" s="46"/>
      <c r="C724" s="46"/>
      <c r="D724" s="46"/>
      <c r="E724" s="48"/>
      <c r="F724" s="49"/>
      <c r="G724" s="51"/>
      <c r="H724" s="48"/>
      <c r="I724" s="2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2.75" customHeight="1">
      <c r="A725" s="46"/>
      <c r="B725" s="46"/>
      <c r="C725" s="46"/>
      <c r="D725" s="46"/>
      <c r="E725" s="48"/>
      <c r="F725" s="49"/>
      <c r="G725" s="51"/>
      <c r="H725" s="48"/>
      <c r="I725" s="2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2.75" customHeight="1">
      <c r="A726" s="46"/>
      <c r="B726" s="46"/>
      <c r="C726" s="46"/>
      <c r="D726" s="46"/>
      <c r="E726" s="48"/>
      <c r="F726" s="49"/>
      <c r="G726" s="51"/>
      <c r="H726" s="48"/>
      <c r="I726" s="2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2.75" customHeight="1">
      <c r="A727" s="46"/>
      <c r="B727" s="46"/>
      <c r="C727" s="46"/>
      <c r="D727" s="46"/>
      <c r="E727" s="48"/>
      <c r="F727" s="49"/>
      <c r="G727" s="51"/>
      <c r="H727" s="48"/>
      <c r="I727" s="2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2.75" customHeight="1">
      <c r="A728" s="46"/>
      <c r="B728" s="46"/>
      <c r="C728" s="46"/>
      <c r="D728" s="46"/>
      <c r="E728" s="48"/>
      <c r="F728" s="49"/>
      <c r="G728" s="51"/>
      <c r="H728" s="48"/>
      <c r="I728" s="2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2.75" customHeight="1">
      <c r="A729" s="46"/>
      <c r="B729" s="46"/>
      <c r="C729" s="46"/>
      <c r="D729" s="46"/>
      <c r="E729" s="48"/>
      <c r="F729" s="49"/>
      <c r="G729" s="51"/>
      <c r="H729" s="48"/>
      <c r="I729" s="2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2.75" customHeight="1">
      <c r="A730" s="46"/>
      <c r="B730" s="46"/>
      <c r="C730" s="46"/>
      <c r="D730" s="46"/>
      <c r="E730" s="48"/>
      <c r="F730" s="49"/>
      <c r="G730" s="51"/>
      <c r="H730" s="48"/>
      <c r="I730" s="2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2.75" customHeight="1">
      <c r="A731" s="46"/>
      <c r="B731" s="46"/>
      <c r="C731" s="46"/>
      <c r="D731" s="46"/>
      <c r="E731" s="48"/>
      <c r="F731" s="49"/>
      <c r="G731" s="51"/>
      <c r="H731" s="48"/>
      <c r="I731" s="2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2.75" customHeight="1">
      <c r="A732" s="46"/>
      <c r="B732" s="46"/>
      <c r="C732" s="46"/>
      <c r="D732" s="46"/>
      <c r="E732" s="48"/>
      <c r="F732" s="49"/>
      <c r="G732" s="51"/>
      <c r="H732" s="48"/>
      <c r="I732" s="2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2.75" customHeight="1">
      <c r="A733" s="46"/>
      <c r="B733" s="46"/>
      <c r="C733" s="46"/>
      <c r="D733" s="46"/>
      <c r="E733" s="48"/>
      <c r="F733" s="49"/>
      <c r="G733" s="51"/>
      <c r="H733" s="48"/>
      <c r="I733" s="2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2.75" customHeight="1">
      <c r="A734" s="46"/>
      <c r="B734" s="46"/>
      <c r="C734" s="46"/>
      <c r="D734" s="46"/>
      <c r="E734" s="48"/>
      <c r="F734" s="49"/>
      <c r="G734" s="51"/>
      <c r="H734" s="48"/>
      <c r="I734" s="2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2.75" customHeight="1">
      <c r="A735" s="46"/>
      <c r="B735" s="46"/>
      <c r="C735" s="46"/>
      <c r="D735" s="46"/>
      <c r="E735" s="48"/>
      <c r="F735" s="49"/>
      <c r="G735" s="51"/>
      <c r="H735" s="48"/>
      <c r="I735" s="2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2.75" customHeight="1">
      <c r="A736" s="46"/>
      <c r="B736" s="46"/>
      <c r="C736" s="46"/>
      <c r="D736" s="46"/>
      <c r="E736" s="48"/>
      <c r="F736" s="49"/>
      <c r="G736" s="51"/>
      <c r="H736" s="48"/>
      <c r="I736" s="2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2.75" customHeight="1">
      <c r="A737" s="46"/>
      <c r="B737" s="46"/>
      <c r="C737" s="46"/>
      <c r="D737" s="46"/>
      <c r="E737" s="48"/>
      <c r="F737" s="49"/>
      <c r="G737" s="51"/>
      <c r="H737" s="48"/>
      <c r="I737" s="2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2.75" customHeight="1">
      <c r="A738" s="46"/>
      <c r="B738" s="46"/>
      <c r="C738" s="46"/>
      <c r="D738" s="46"/>
      <c r="E738" s="48"/>
      <c r="F738" s="49"/>
      <c r="G738" s="51"/>
      <c r="H738" s="48"/>
      <c r="I738" s="2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2.75" customHeight="1">
      <c r="A739" s="46"/>
      <c r="B739" s="46"/>
      <c r="C739" s="46"/>
      <c r="D739" s="46"/>
      <c r="E739" s="48"/>
      <c r="F739" s="49"/>
      <c r="G739" s="51"/>
      <c r="H739" s="48"/>
      <c r="I739" s="2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2.75" customHeight="1">
      <c r="A740" s="46"/>
      <c r="B740" s="46"/>
      <c r="C740" s="46"/>
      <c r="D740" s="46"/>
      <c r="E740" s="48"/>
      <c r="F740" s="49"/>
      <c r="G740" s="51"/>
      <c r="H740" s="48"/>
      <c r="I740" s="2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2.75" customHeight="1">
      <c r="A741" s="46"/>
      <c r="B741" s="46"/>
      <c r="C741" s="46"/>
      <c r="D741" s="46"/>
      <c r="E741" s="48"/>
      <c r="F741" s="49"/>
      <c r="G741" s="51"/>
      <c r="H741" s="48"/>
      <c r="I741" s="2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2.75" customHeight="1">
      <c r="A742" s="46"/>
      <c r="B742" s="46"/>
      <c r="C742" s="46"/>
      <c r="D742" s="46"/>
      <c r="E742" s="48"/>
      <c r="F742" s="49"/>
      <c r="G742" s="51"/>
      <c r="H742" s="48"/>
      <c r="I742" s="2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2.75" customHeight="1">
      <c r="A743" s="46"/>
      <c r="B743" s="46"/>
      <c r="C743" s="46"/>
      <c r="D743" s="46"/>
      <c r="E743" s="48"/>
      <c r="F743" s="49"/>
      <c r="G743" s="51"/>
      <c r="H743" s="48"/>
      <c r="I743" s="2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2.75" customHeight="1">
      <c r="A744" s="46"/>
      <c r="B744" s="46"/>
      <c r="C744" s="46"/>
      <c r="D744" s="46"/>
      <c r="E744" s="48"/>
      <c r="F744" s="49"/>
      <c r="G744" s="51"/>
      <c r="H744" s="48"/>
      <c r="I744" s="2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2.75" customHeight="1">
      <c r="A745" s="46"/>
      <c r="B745" s="46"/>
      <c r="C745" s="46"/>
      <c r="D745" s="46"/>
      <c r="E745" s="48"/>
      <c r="F745" s="49"/>
      <c r="G745" s="51"/>
      <c r="H745" s="48"/>
      <c r="I745" s="2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2.75" customHeight="1">
      <c r="A746" s="46"/>
      <c r="B746" s="46"/>
      <c r="C746" s="46"/>
      <c r="D746" s="46"/>
      <c r="E746" s="48"/>
      <c r="F746" s="49"/>
      <c r="G746" s="51"/>
      <c r="H746" s="48"/>
      <c r="I746" s="2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2.75" customHeight="1">
      <c r="A747" s="46"/>
      <c r="B747" s="46"/>
      <c r="C747" s="46"/>
      <c r="D747" s="46"/>
      <c r="E747" s="48"/>
      <c r="F747" s="49"/>
      <c r="G747" s="51"/>
      <c r="H747" s="48"/>
      <c r="I747" s="2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2.75" customHeight="1">
      <c r="A748" s="46"/>
      <c r="B748" s="46"/>
      <c r="C748" s="46"/>
      <c r="D748" s="46"/>
      <c r="E748" s="48"/>
      <c r="F748" s="49"/>
      <c r="G748" s="51"/>
      <c r="H748" s="48"/>
      <c r="I748" s="2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2.75" customHeight="1">
      <c r="A749" s="46"/>
      <c r="B749" s="46"/>
      <c r="C749" s="46"/>
      <c r="D749" s="46"/>
      <c r="E749" s="48"/>
      <c r="F749" s="49"/>
      <c r="G749" s="51"/>
      <c r="H749" s="48"/>
      <c r="I749" s="2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2.75" customHeight="1">
      <c r="A750" s="46"/>
      <c r="B750" s="46"/>
      <c r="C750" s="46"/>
      <c r="D750" s="46"/>
      <c r="E750" s="48"/>
      <c r="F750" s="49"/>
      <c r="G750" s="51"/>
      <c r="H750" s="48"/>
      <c r="I750" s="2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2.75" customHeight="1">
      <c r="A751" s="46"/>
      <c r="B751" s="46"/>
      <c r="C751" s="46"/>
      <c r="D751" s="46"/>
      <c r="E751" s="48"/>
      <c r="F751" s="49"/>
      <c r="G751" s="51"/>
      <c r="H751" s="48"/>
      <c r="I751" s="2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2.75" customHeight="1">
      <c r="A752" s="46"/>
      <c r="B752" s="46"/>
      <c r="C752" s="46"/>
      <c r="D752" s="46"/>
      <c r="E752" s="48"/>
      <c r="F752" s="49"/>
      <c r="G752" s="51"/>
      <c r="H752" s="48"/>
      <c r="I752" s="2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2.75" customHeight="1">
      <c r="A753" s="46"/>
      <c r="B753" s="46"/>
      <c r="C753" s="46"/>
      <c r="D753" s="46"/>
      <c r="E753" s="48"/>
      <c r="F753" s="49"/>
      <c r="G753" s="51"/>
      <c r="H753" s="48"/>
      <c r="I753" s="2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2.75" customHeight="1">
      <c r="A754" s="46"/>
      <c r="B754" s="46"/>
      <c r="C754" s="46"/>
      <c r="D754" s="46"/>
      <c r="E754" s="48"/>
      <c r="F754" s="49"/>
      <c r="G754" s="51"/>
      <c r="H754" s="48"/>
      <c r="I754" s="2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2.75" customHeight="1">
      <c r="A755" s="46"/>
      <c r="B755" s="46"/>
      <c r="C755" s="46"/>
      <c r="D755" s="46"/>
      <c r="E755" s="48"/>
      <c r="F755" s="49"/>
      <c r="G755" s="51"/>
      <c r="H755" s="48"/>
      <c r="I755" s="2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2.75" customHeight="1">
      <c r="A756" s="46"/>
      <c r="B756" s="46"/>
      <c r="C756" s="46"/>
      <c r="D756" s="46"/>
      <c r="E756" s="48"/>
      <c r="F756" s="49"/>
      <c r="G756" s="51"/>
      <c r="H756" s="48"/>
      <c r="I756" s="2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2.75" customHeight="1">
      <c r="A757" s="46"/>
      <c r="B757" s="46"/>
      <c r="C757" s="46"/>
      <c r="D757" s="46"/>
      <c r="E757" s="48"/>
      <c r="F757" s="49"/>
      <c r="G757" s="51"/>
      <c r="H757" s="48"/>
      <c r="I757" s="2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2.75" customHeight="1">
      <c r="A758" s="46"/>
      <c r="B758" s="46"/>
      <c r="C758" s="46"/>
      <c r="D758" s="46"/>
      <c r="E758" s="48"/>
      <c r="F758" s="49"/>
      <c r="G758" s="51"/>
      <c r="H758" s="48"/>
      <c r="I758" s="2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2.75" customHeight="1">
      <c r="A759" s="46"/>
      <c r="B759" s="46"/>
      <c r="C759" s="46"/>
      <c r="D759" s="46"/>
      <c r="E759" s="48"/>
      <c r="F759" s="49"/>
      <c r="G759" s="51"/>
      <c r="H759" s="48"/>
      <c r="I759" s="2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2.75" customHeight="1">
      <c r="A760" s="46"/>
      <c r="B760" s="46"/>
      <c r="C760" s="46"/>
      <c r="D760" s="46"/>
      <c r="E760" s="48"/>
      <c r="F760" s="49"/>
      <c r="G760" s="51"/>
      <c r="H760" s="48"/>
      <c r="I760" s="2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2.75" customHeight="1">
      <c r="A761" s="46"/>
      <c r="B761" s="46"/>
      <c r="C761" s="46"/>
      <c r="D761" s="46"/>
      <c r="E761" s="48"/>
      <c r="F761" s="49"/>
      <c r="G761" s="51"/>
      <c r="H761" s="48"/>
      <c r="I761" s="2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2.75" customHeight="1">
      <c r="A762" s="46"/>
      <c r="B762" s="46"/>
      <c r="C762" s="46"/>
      <c r="D762" s="46"/>
      <c r="E762" s="48"/>
      <c r="F762" s="49"/>
      <c r="G762" s="51"/>
      <c r="H762" s="48"/>
      <c r="I762" s="2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2.75" customHeight="1">
      <c r="A763" s="46"/>
      <c r="B763" s="46"/>
      <c r="C763" s="46"/>
      <c r="D763" s="46"/>
      <c r="E763" s="48"/>
      <c r="F763" s="49"/>
      <c r="G763" s="51"/>
      <c r="H763" s="48"/>
      <c r="I763" s="2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2.75" customHeight="1">
      <c r="A764" s="46"/>
      <c r="B764" s="46"/>
      <c r="C764" s="46"/>
      <c r="D764" s="46"/>
      <c r="E764" s="48"/>
      <c r="F764" s="49"/>
      <c r="G764" s="51"/>
      <c r="H764" s="48"/>
      <c r="I764" s="2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2.75" customHeight="1">
      <c r="A765" s="46"/>
      <c r="B765" s="46"/>
      <c r="C765" s="46"/>
      <c r="D765" s="46"/>
      <c r="E765" s="48"/>
      <c r="F765" s="49"/>
      <c r="G765" s="51"/>
      <c r="H765" s="48"/>
      <c r="I765" s="2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2.75" customHeight="1">
      <c r="A766" s="46"/>
      <c r="B766" s="46"/>
      <c r="C766" s="46"/>
      <c r="D766" s="46"/>
      <c r="E766" s="48"/>
      <c r="F766" s="49"/>
      <c r="G766" s="51"/>
      <c r="H766" s="48"/>
      <c r="I766" s="2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2.75" customHeight="1">
      <c r="A767" s="46"/>
      <c r="B767" s="46"/>
      <c r="C767" s="46"/>
      <c r="D767" s="46"/>
      <c r="E767" s="48"/>
      <c r="F767" s="49"/>
      <c r="G767" s="51"/>
      <c r="H767" s="48"/>
      <c r="I767" s="2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2.75" customHeight="1">
      <c r="A768" s="46"/>
      <c r="B768" s="46"/>
      <c r="C768" s="46"/>
      <c r="D768" s="46"/>
      <c r="E768" s="48"/>
      <c r="F768" s="49"/>
      <c r="G768" s="51"/>
      <c r="H768" s="48"/>
      <c r="I768" s="2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2.75" customHeight="1">
      <c r="A769" s="46"/>
      <c r="B769" s="46"/>
      <c r="C769" s="46"/>
      <c r="D769" s="46"/>
      <c r="E769" s="48"/>
      <c r="F769" s="49"/>
      <c r="G769" s="51"/>
      <c r="H769" s="48"/>
      <c r="I769" s="2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2.75" customHeight="1">
      <c r="A770" s="46"/>
      <c r="B770" s="46"/>
      <c r="C770" s="46"/>
      <c r="D770" s="46"/>
      <c r="E770" s="48"/>
      <c r="F770" s="49"/>
      <c r="G770" s="51"/>
      <c r="H770" s="48"/>
      <c r="I770" s="2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2.75" customHeight="1">
      <c r="A771" s="46"/>
      <c r="B771" s="46"/>
      <c r="C771" s="46"/>
      <c r="D771" s="46"/>
      <c r="E771" s="48"/>
      <c r="F771" s="49"/>
      <c r="G771" s="51"/>
      <c r="H771" s="48"/>
      <c r="I771" s="2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2.75" customHeight="1">
      <c r="A772" s="46"/>
      <c r="B772" s="46"/>
      <c r="C772" s="46"/>
      <c r="D772" s="46"/>
      <c r="E772" s="48"/>
      <c r="F772" s="49"/>
      <c r="G772" s="51"/>
      <c r="H772" s="48"/>
      <c r="I772" s="2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2.75" customHeight="1">
      <c r="A773" s="46"/>
      <c r="B773" s="46"/>
      <c r="C773" s="46"/>
      <c r="D773" s="46"/>
      <c r="E773" s="48"/>
      <c r="F773" s="49"/>
      <c r="G773" s="51"/>
      <c r="H773" s="48"/>
      <c r="I773" s="2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2.75" customHeight="1">
      <c r="A774" s="46"/>
      <c r="B774" s="46"/>
      <c r="C774" s="46"/>
      <c r="D774" s="46"/>
      <c r="E774" s="48"/>
      <c r="F774" s="49"/>
      <c r="G774" s="51"/>
      <c r="H774" s="48"/>
      <c r="I774" s="2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2.75" customHeight="1">
      <c r="A775" s="46"/>
      <c r="B775" s="46"/>
      <c r="C775" s="46"/>
      <c r="D775" s="46"/>
      <c r="E775" s="48"/>
      <c r="F775" s="49"/>
      <c r="G775" s="51"/>
      <c r="H775" s="48"/>
      <c r="I775" s="2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2.75" customHeight="1">
      <c r="A776" s="46"/>
      <c r="B776" s="46"/>
      <c r="C776" s="46"/>
      <c r="D776" s="46"/>
      <c r="E776" s="48"/>
      <c r="F776" s="49"/>
      <c r="G776" s="51"/>
      <c r="H776" s="48"/>
      <c r="I776" s="2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2.75" customHeight="1">
      <c r="A777" s="46"/>
      <c r="B777" s="46"/>
      <c r="C777" s="46"/>
      <c r="D777" s="46"/>
      <c r="E777" s="48"/>
      <c r="F777" s="49"/>
      <c r="G777" s="51"/>
      <c r="H777" s="48"/>
      <c r="I777" s="2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2.75" customHeight="1">
      <c r="A778" s="46"/>
      <c r="B778" s="46"/>
      <c r="C778" s="46"/>
      <c r="D778" s="46"/>
      <c r="E778" s="48"/>
      <c r="F778" s="49"/>
      <c r="G778" s="51"/>
      <c r="H778" s="48"/>
      <c r="I778" s="2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2.75" customHeight="1">
      <c r="A779" s="46"/>
      <c r="B779" s="46"/>
      <c r="C779" s="46"/>
      <c r="D779" s="46"/>
      <c r="E779" s="48"/>
      <c r="F779" s="49"/>
      <c r="G779" s="51"/>
      <c r="H779" s="48"/>
      <c r="I779" s="2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2.75" customHeight="1">
      <c r="A780" s="46"/>
      <c r="B780" s="46"/>
      <c r="C780" s="46"/>
      <c r="D780" s="46"/>
      <c r="E780" s="48"/>
      <c r="F780" s="49"/>
      <c r="G780" s="51"/>
      <c r="H780" s="48"/>
      <c r="I780" s="2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2.75" customHeight="1">
      <c r="A781" s="46"/>
      <c r="B781" s="46"/>
      <c r="C781" s="46"/>
      <c r="D781" s="46"/>
      <c r="E781" s="48"/>
      <c r="F781" s="49"/>
      <c r="G781" s="51"/>
      <c r="H781" s="48"/>
      <c r="I781" s="2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2.75" customHeight="1">
      <c r="A782" s="46"/>
      <c r="B782" s="46"/>
      <c r="C782" s="46"/>
      <c r="D782" s="46"/>
      <c r="E782" s="48"/>
      <c r="F782" s="49"/>
      <c r="G782" s="51"/>
      <c r="H782" s="48"/>
      <c r="I782" s="2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2.75" customHeight="1">
      <c r="A783" s="46"/>
      <c r="B783" s="46"/>
      <c r="C783" s="46"/>
      <c r="D783" s="46"/>
      <c r="E783" s="48"/>
      <c r="F783" s="49"/>
      <c r="G783" s="51"/>
      <c r="H783" s="48"/>
      <c r="I783" s="2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2.75" customHeight="1">
      <c r="A784" s="46"/>
      <c r="B784" s="46"/>
      <c r="C784" s="46"/>
      <c r="D784" s="46"/>
      <c r="E784" s="48"/>
      <c r="F784" s="49"/>
      <c r="G784" s="51"/>
      <c r="H784" s="48"/>
      <c r="I784" s="2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2.75" customHeight="1">
      <c r="A785" s="46"/>
      <c r="B785" s="46"/>
      <c r="C785" s="46"/>
      <c r="D785" s="46"/>
      <c r="E785" s="48"/>
      <c r="F785" s="49"/>
      <c r="G785" s="51"/>
      <c r="H785" s="48"/>
      <c r="I785" s="2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2.75" customHeight="1">
      <c r="A786" s="46"/>
      <c r="B786" s="46"/>
      <c r="C786" s="46"/>
      <c r="D786" s="46"/>
      <c r="E786" s="48"/>
      <c r="F786" s="49"/>
      <c r="G786" s="51"/>
      <c r="H786" s="48"/>
      <c r="I786" s="2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2.75" customHeight="1">
      <c r="A787" s="46"/>
      <c r="B787" s="46"/>
      <c r="C787" s="46"/>
      <c r="D787" s="46"/>
      <c r="E787" s="48"/>
      <c r="F787" s="49"/>
      <c r="G787" s="51"/>
      <c r="H787" s="48"/>
      <c r="I787" s="2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2.75" customHeight="1">
      <c r="A788" s="46"/>
      <c r="B788" s="46"/>
      <c r="C788" s="46"/>
      <c r="D788" s="46"/>
      <c r="E788" s="48"/>
      <c r="F788" s="49"/>
      <c r="G788" s="51"/>
      <c r="H788" s="48"/>
      <c r="I788" s="2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2.75" customHeight="1">
      <c r="A789" s="46"/>
      <c r="B789" s="46"/>
      <c r="C789" s="46"/>
      <c r="D789" s="46"/>
      <c r="E789" s="48"/>
      <c r="F789" s="49"/>
      <c r="G789" s="51"/>
      <c r="H789" s="48"/>
      <c r="I789" s="2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2.75" customHeight="1">
      <c r="A790" s="46"/>
      <c r="B790" s="46"/>
      <c r="C790" s="46"/>
      <c r="D790" s="46"/>
      <c r="E790" s="48"/>
      <c r="F790" s="49"/>
      <c r="G790" s="51"/>
      <c r="H790" s="48"/>
      <c r="I790" s="2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2.75" customHeight="1">
      <c r="A791" s="46"/>
      <c r="B791" s="46"/>
      <c r="C791" s="46"/>
      <c r="D791" s="46"/>
      <c r="E791" s="48"/>
      <c r="F791" s="49"/>
      <c r="G791" s="51"/>
      <c r="H791" s="48"/>
      <c r="I791" s="2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2.75" customHeight="1">
      <c r="A792" s="46"/>
      <c r="B792" s="46"/>
      <c r="C792" s="46"/>
      <c r="D792" s="46"/>
      <c r="E792" s="48"/>
      <c r="F792" s="49"/>
      <c r="G792" s="51"/>
      <c r="H792" s="48"/>
      <c r="I792" s="2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2.75" customHeight="1">
      <c r="A793" s="46"/>
      <c r="B793" s="46"/>
      <c r="C793" s="46"/>
      <c r="D793" s="46"/>
      <c r="E793" s="48"/>
      <c r="F793" s="49"/>
      <c r="G793" s="51"/>
      <c r="H793" s="48"/>
      <c r="I793" s="2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2.75" customHeight="1">
      <c r="A794" s="46"/>
      <c r="B794" s="46"/>
      <c r="C794" s="46"/>
      <c r="D794" s="46"/>
      <c r="E794" s="48"/>
      <c r="F794" s="49"/>
      <c r="G794" s="51"/>
      <c r="H794" s="48"/>
      <c r="I794" s="2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2.75" customHeight="1">
      <c r="A795" s="46"/>
      <c r="B795" s="46"/>
      <c r="C795" s="46"/>
      <c r="D795" s="46"/>
      <c r="E795" s="48"/>
      <c r="F795" s="49"/>
      <c r="G795" s="51"/>
      <c r="H795" s="48"/>
      <c r="I795" s="2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2.75" customHeight="1">
      <c r="A796" s="46"/>
      <c r="B796" s="46"/>
      <c r="C796" s="46"/>
      <c r="D796" s="46"/>
      <c r="E796" s="48"/>
      <c r="F796" s="49"/>
      <c r="G796" s="51"/>
      <c r="H796" s="48"/>
      <c r="I796" s="2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2.75" customHeight="1">
      <c r="A797" s="46"/>
      <c r="B797" s="46"/>
      <c r="C797" s="46"/>
      <c r="D797" s="46"/>
      <c r="E797" s="48"/>
      <c r="F797" s="49"/>
      <c r="G797" s="51"/>
      <c r="H797" s="48"/>
      <c r="I797" s="2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2.75" customHeight="1">
      <c r="A798" s="46"/>
      <c r="B798" s="46"/>
      <c r="C798" s="46"/>
      <c r="D798" s="46"/>
      <c r="E798" s="48"/>
      <c r="F798" s="49"/>
      <c r="G798" s="51"/>
      <c r="H798" s="48"/>
      <c r="I798" s="2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2.75" customHeight="1">
      <c r="A799" s="46"/>
      <c r="B799" s="46"/>
      <c r="C799" s="46"/>
      <c r="D799" s="46"/>
      <c r="E799" s="48"/>
      <c r="F799" s="49"/>
      <c r="G799" s="51"/>
      <c r="H799" s="48"/>
      <c r="I799" s="2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2.75" customHeight="1">
      <c r="A800" s="46"/>
      <c r="B800" s="46"/>
      <c r="C800" s="46"/>
      <c r="D800" s="46"/>
      <c r="E800" s="48"/>
      <c r="F800" s="49"/>
      <c r="G800" s="51"/>
      <c r="H800" s="48"/>
      <c r="I800" s="2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2.75" customHeight="1">
      <c r="A801" s="46"/>
      <c r="B801" s="46"/>
      <c r="C801" s="46"/>
      <c r="D801" s="46"/>
      <c r="E801" s="48"/>
      <c r="F801" s="49"/>
      <c r="G801" s="51"/>
      <c r="H801" s="48"/>
      <c r="I801" s="2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2.75" customHeight="1">
      <c r="A802" s="46"/>
      <c r="B802" s="46"/>
      <c r="C802" s="46"/>
      <c r="D802" s="46"/>
      <c r="E802" s="48"/>
      <c r="F802" s="49"/>
      <c r="G802" s="51"/>
      <c r="H802" s="48"/>
      <c r="I802" s="2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2.75" customHeight="1">
      <c r="A803" s="46"/>
      <c r="B803" s="46"/>
      <c r="C803" s="46"/>
      <c r="D803" s="46"/>
      <c r="E803" s="48"/>
      <c r="F803" s="49"/>
      <c r="G803" s="51"/>
      <c r="H803" s="48"/>
      <c r="I803" s="2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2.75" customHeight="1">
      <c r="A804" s="46"/>
      <c r="B804" s="46"/>
      <c r="C804" s="46"/>
      <c r="D804" s="46"/>
      <c r="E804" s="48"/>
      <c r="F804" s="49"/>
      <c r="G804" s="51"/>
      <c r="H804" s="48"/>
      <c r="I804" s="2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2.75" customHeight="1">
      <c r="A805" s="46"/>
      <c r="B805" s="46"/>
      <c r="C805" s="46"/>
      <c r="D805" s="46"/>
      <c r="E805" s="48"/>
      <c r="F805" s="49"/>
      <c r="G805" s="51"/>
      <c r="H805" s="48"/>
      <c r="I805" s="2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2.75" customHeight="1">
      <c r="A806" s="46"/>
      <c r="B806" s="46"/>
      <c r="C806" s="46"/>
      <c r="D806" s="46"/>
      <c r="E806" s="48"/>
      <c r="F806" s="49"/>
      <c r="G806" s="51"/>
      <c r="H806" s="48"/>
      <c r="I806" s="2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2.75" customHeight="1">
      <c r="A807" s="46"/>
      <c r="B807" s="46"/>
      <c r="C807" s="46"/>
      <c r="D807" s="46"/>
      <c r="E807" s="48"/>
      <c r="F807" s="49"/>
      <c r="G807" s="51"/>
      <c r="H807" s="48"/>
      <c r="I807" s="2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2.75" customHeight="1">
      <c r="A808" s="46"/>
      <c r="B808" s="46"/>
      <c r="C808" s="46"/>
      <c r="D808" s="46"/>
      <c r="E808" s="48"/>
      <c r="F808" s="49"/>
      <c r="G808" s="51"/>
      <c r="H808" s="48"/>
      <c r="I808" s="2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2.75" customHeight="1">
      <c r="A809" s="46"/>
      <c r="B809" s="46"/>
      <c r="C809" s="46"/>
      <c r="D809" s="46"/>
      <c r="E809" s="48"/>
      <c r="F809" s="49"/>
      <c r="G809" s="51"/>
      <c r="H809" s="48"/>
      <c r="I809" s="2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2.75" customHeight="1">
      <c r="A810" s="46"/>
      <c r="B810" s="46"/>
      <c r="C810" s="46"/>
      <c r="D810" s="46"/>
      <c r="E810" s="48"/>
      <c r="F810" s="49"/>
      <c r="G810" s="51"/>
      <c r="H810" s="48"/>
      <c r="I810" s="2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2.75" customHeight="1">
      <c r="A811" s="46"/>
      <c r="B811" s="46"/>
      <c r="C811" s="46"/>
      <c r="D811" s="46"/>
      <c r="E811" s="48"/>
      <c r="F811" s="49"/>
      <c r="G811" s="51"/>
      <c r="H811" s="48"/>
      <c r="I811" s="2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2.75" customHeight="1">
      <c r="A812" s="46"/>
      <c r="B812" s="46"/>
      <c r="C812" s="46"/>
      <c r="D812" s="46"/>
      <c r="E812" s="48"/>
      <c r="F812" s="49"/>
      <c r="G812" s="51"/>
      <c r="H812" s="48"/>
      <c r="I812" s="2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2.75" customHeight="1">
      <c r="A813" s="46"/>
      <c r="B813" s="46"/>
      <c r="C813" s="46"/>
      <c r="D813" s="46"/>
      <c r="E813" s="48"/>
      <c r="F813" s="49"/>
      <c r="G813" s="51"/>
      <c r="H813" s="48"/>
      <c r="I813" s="2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2.75" customHeight="1">
      <c r="A814" s="46"/>
      <c r="B814" s="46"/>
      <c r="C814" s="46"/>
      <c r="D814" s="46"/>
      <c r="E814" s="48"/>
      <c r="F814" s="49"/>
      <c r="G814" s="51"/>
      <c r="H814" s="48"/>
      <c r="I814" s="2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2.75" customHeight="1">
      <c r="A815" s="46"/>
      <c r="B815" s="46"/>
      <c r="C815" s="46"/>
      <c r="D815" s="46"/>
      <c r="E815" s="48"/>
      <c r="F815" s="49"/>
      <c r="G815" s="51"/>
      <c r="H815" s="48"/>
      <c r="I815" s="2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2.75" customHeight="1">
      <c r="A816" s="46"/>
      <c r="B816" s="46"/>
      <c r="C816" s="46"/>
      <c r="D816" s="46"/>
      <c r="E816" s="48"/>
      <c r="F816" s="49"/>
      <c r="G816" s="51"/>
      <c r="H816" s="48"/>
      <c r="I816" s="2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2.75" customHeight="1">
      <c r="A817" s="46"/>
      <c r="B817" s="46"/>
      <c r="C817" s="46"/>
      <c r="D817" s="46"/>
      <c r="E817" s="48"/>
      <c r="F817" s="49"/>
      <c r="G817" s="51"/>
      <c r="H817" s="48"/>
      <c r="I817" s="2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2.75" customHeight="1">
      <c r="A818" s="46"/>
      <c r="B818" s="46"/>
      <c r="C818" s="46"/>
      <c r="D818" s="46"/>
      <c r="E818" s="48"/>
      <c r="F818" s="49"/>
      <c r="G818" s="51"/>
      <c r="H818" s="48"/>
      <c r="I818" s="2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2.75" customHeight="1">
      <c r="A819" s="46"/>
      <c r="B819" s="46"/>
      <c r="C819" s="46"/>
      <c r="D819" s="46"/>
      <c r="E819" s="48"/>
      <c r="F819" s="49"/>
      <c r="G819" s="51"/>
      <c r="H819" s="48"/>
      <c r="I819" s="2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2.75" customHeight="1">
      <c r="A820" s="46"/>
      <c r="B820" s="46"/>
      <c r="C820" s="46"/>
      <c r="D820" s="46"/>
      <c r="E820" s="48"/>
      <c r="F820" s="49"/>
      <c r="G820" s="51"/>
      <c r="H820" s="48"/>
      <c r="I820" s="2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2.75" customHeight="1">
      <c r="A821" s="46"/>
      <c r="B821" s="46"/>
      <c r="C821" s="46"/>
      <c r="D821" s="46"/>
      <c r="E821" s="48"/>
      <c r="F821" s="49"/>
      <c r="G821" s="51"/>
      <c r="H821" s="48"/>
      <c r="I821" s="2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2.75" customHeight="1">
      <c r="A822" s="46"/>
      <c r="B822" s="46"/>
      <c r="C822" s="46"/>
      <c r="D822" s="46"/>
      <c r="E822" s="48"/>
      <c r="F822" s="49"/>
      <c r="G822" s="51"/>
      <c r="H822" s="48"/>
      <c r="I822" s="2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2.75" customHeight="1">
      <c r="A823" s="46"/>
      <c r="B823" s="46"/>
      <c r="C823" s="46"/>
      <c r="D823" s="46"/>
      <c r="E823" s="48"/>
      <c r="F823" s="49"/>
      <c r="G823" s="51"/>
      <c r="H823" s="48"/>
      <c r="I823" s="2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2.75" customHeight="1">
      <c r="A824" s="46"/>
      <c r="B824" s="46"/>
      <c r="C824" s="46"/>
      <c r="D824" s="46"/>
      <c r="E824" s="48"/>
      <c r="F824" s="49"/>
      <c r="G824" s="51"/>
      <c r="H824" s="48"/>
      <c r="I824" s="2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2.75" customHeight="1">
      <c r="A825" s="46"/>
      <c r="B825" s="46"/>
      <c r="C825" s="46"/>
      <c r="D825" s="46"/>
      <c r="E825" s="48"/>
      <c r="F825" s="49"/>
      <c r="G825" s="51"/>
      <c r="H825" s="48"/>
      <c r="I825" s="2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2.75" customHeight="1">
      <c r="A826" s="46"/>
      <c r="B826" s="46"/>
      <c r="C826" s="46"/>
      <c r="D826" s="46"/>
      <c r="E826" s="48"/>
      <c r="F826" s="49"/>
      <c r="G826" s="51"/>
      <c r="H826" s="48"/>
      <c r="I826" s="2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2.75" customHeight="1">
      <c r="A827" s="46"/>
      <c r="B827" s="46"/>
      <c r="C827" s="46"/>
      <c r="D827" s="46"/>
      <c r="E827" s="48"/>
      <c r="F827" s="49"/>
      <c r="G827" s="51"/>
      <c r="H827" s="48"/>
      <c r="I827" s="2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2.75" customHeight="1">
      <c r="A828" s="46"/>
      <c r="B828" s="46"/>
      <c r="C828" s="46"/>
      <c r="D828" s="46"/>
      <c r="E828" s="48"/>
      <c r="F828" s="49"/>
      <c r="G828" s="51"/>
      <c r="H828" s="48"/>
      <c r="I828" s="2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2.75" customHeight="1">
      <c r="A829" s="46"/>
      <c r="B829" s="46"/>
      <c r="C829" s="46"/>
      <c r="D829" s="46"/>
      <c r="E829" s="48"/>
      <c r="F829" s="49"/>
      <c r="G829" s="51"/>
      <c r="H829" s="48"/>
      <c r="I829" s="2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2.75" customHeight="1">
      <c r="A830" s="46"/>
      <c r="B830" s="46"/>
      <c r="C830" s="46"/>
      <c r="D830" s="46"/>
      <c r="E830" s="48"/>
      <c r="F830" s="49"/>
      <c r="G830" s="51"/>
      <c r="H830" s="48"/>
      <c r="I830" s="2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2.75" customHeight="1">
      <c r="A831" s="46"/>
      <c r="B831" s="46"/>
      <c r="C831" s="46"/>
      <c r="D831" s="46"/>
      <c r="E831" s="48"/>
      <c r="F831" s="49"/>
      <c r="G831" s="51"/>
      <c r="H831" s="48"/>
      <c r="I831" s="2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2.75" customHeight="1">
      <c r="A832" s="46"/>
      <c r="B832" s="46"/>
      <c r="C832" s="46"/>
      <c r="D832" s="46"/>
      <c r="E832" s="48"/>
      <c r="F832" s="49"/>
      <c r="G832" s="51"/>
      <c r="H832" s="48"/>
      <c r="I832" s="2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2.75" customHeight="1">
      <c r="A833" s="46"/>
      <c r="B833" s="46"/>
      <c r="C833" s="46"/>
      <c r="D833" s="46"/>
      <c r="E833" s="48"/>
      <c r="F833" s="49"/>
      <c r="G833" s="51"/>
      <c r="H833" s="48"/>
      <c r="I833" s="2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2.75" customHeight="1">
      <c r="A834" s="46"/>
      <c r="B834" s="46"/>
      <c r="C834" s="46"/>
      <c r="D834" s="46"/>
      <c r="E834" s="48"/>
      <c r="F834" s="49"/>
      <c r="G834" s="51"/>
      <c r="H834" s="48"/>
      <c r="I834" s="2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2.75" customHeight="1">
      <c r="A835" s="46"/>
      <c r="B835" s="46"/>
      <c r="C835" s="46"/>
      <c r="D835" s="46"/>
      <c r="E835" s="48"/>
      <c r="F835" s="49"/>
      <c r="G835" s="51"/>
      <c r="H835" s="48"/>
      <c r="I835" s="2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2.75" customHeight="1">
      <c r="A836" s="46"/>
      <c r="B836" s="46"/>
      <c r="C836" s="46"/>
      <c r="D836" s="46"/>
      <c r="E836" s="48"/>
      <c r="F836" s="49"/>
      <c r="G836" s="51"/>
      <c r="H836" s="48"/>
      <c r="I836" s="2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2.75" customHeight="1">
      <c r="A837" s="46"/>
      <c r="B837" s="46"/>
      <c r="C837" s="46"/>
      <c r="D837" s="46"/>
      <c r="E837" s="48"/>
      <c r="F837" s="49"/>
      <c r="G837" s="51"/>
      <c r="H837" s="48"/>
      <c r="I837" s="2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2.75" customHeight="1">
      <c r="A838" s="46"/>
      <c r="B838" s="46"/>
      <c r="C838" s="46"/>
      <c r="D838" s="46"/>
      <c r="E838" s="48"/>
      <c r="F838" s="49"/>
      <c r="G838" s="51"/>
      <c r="H838" s="48"/>
      <c r="I838" s="2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2.75" customHeight="1">
      <c r="A839" s="46"/>
      <c r="B839" s="46"/>
      <c r="C839" s="46"/>
      <c r="D839" s="46"/>
      <c r="E839" s="48"/>
      <c r="F839" s="49"/>
      <c r="G839" s="51"/>
      <c r="H839" s="48"/>
      <c r="I839" s="2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2.75" customHeight="1">
      <c r="A840" s="46"/>
      <c r="B840" s="46"/>
      <c r="C840" s="46"/>
      <c r="D840" s="46"/>
      <c r="E840" s="48"/>
      <c r="F840" s="49"/>
      <c r="G840" s="51"/>
      <c r="H840" s="48"/>
      <c r="I840" s="2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2.75" customHeight="1">
      <c r="A841" s="46"/>
      <c r="B841" s="46"/>
      <c r="C841" s="46"/>
      <c r="D841" s="46"/>
      <c r="E841" s="48"/>
      <c r="F841" s="49"/>
      <c r="G841" s="51"/>
      <c r="H841" s="48"/>
      <c r="I841" s="2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2.75" customHeight="1">
      <c r="A842" s="46"/>
      <c r="B842" s="46"/>
      <c r="C842" s="46"/>
      <c r="D842" s="46"/>
      <c r="E842" s="48"/>
      <c r="F842" s="49"/>
      <c r="G842" s="51"/>
      <c r="H842" s="48"/>
      <c r="I842" s="2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2.75" customHeight="1">
      <c r="A843" s="46"/>
      <c r="B843" s="46"/>
      <c r="C843" s="46"/>
      <c r="D843" s="46"/>
      <c r="E843" s="48"/>
      <c r="F843" s="49"/>
      <c r="G843" s="51"/>
      <c r="H843" s="48"/>
      <c r="I843" s="2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2.75" customHeight="1">
      <c r="A844" s="46"/>
      <c r="B844" s="46"/>
      <c r="C844" s="46"/>
      <c r="D844" s="46"/>
      <c r="E844" s="48"/>
      <c r="F844" s="49"/>
      <c r="G844" s="51"/>
      <c r="H844" s="48"/>
      <c r="I844" s="2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2.75" customHeight="1">
      <c r="A845" s="46"/>
      <c r="B845" s="46"/>
      <c r="C845" s="46"/>
      <c r="D845" s="46"/>
      <c r="E845" s="48"/>
      <c r="F845" s="49"/>
      <c r="G845" s="51"/>
      <c r="H845" s="48"/>
      <c r="I845" s="2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2.75" customHeight="1">
      <c r="A846" s="46"/>
      <c r="B846" s="46"/>
      <c r="C846" s="46"/>
      <c r="D846" s="46"/>
      <c r="E846" s="48"/>
      <c r="F846" s="49"/>
      <c r="G846" s="51"/>
      <c r="H846" s="48"/>
      <c r="I846" s="2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2.75" customHeight="1">
      <c r="A847" s="46"/>
      <c r="B847" s="46"/>
      <c r="C847" s="46"/>
      <c r="D847" s="46"/>
      <c r="E847" s="48"/>
      <c r="F847" s="49"/>
      <c r="G847" s="51"/>
      <c r="H847" s="48"/>
      <c r="I847" s="2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2.75" customHeight="1">
      <c r="A848" s="46"/>
      <c r="B848" s="46"/>
      <c r="C848" s="46"/>
      <c r="D848" s="46"/>
      <c r="E848" s="48"/>
      <c r="F848" s="49"/>
      <c r="G848" s="51"/>
      <c r="H848" s="48"/>
      <c r="I848" s="2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2.75" customHeight="1">
      <c r="A849" s="46"/>
      <c r="B849" s="46"/>
      <c r="C849" s="46"/>
      <c r="D849" s="46"/>
      <c r="E849" s="48"/>
      <c r="F849" s="49"/>
      <c r="G849" s="51"/>
      <c r="H849" s="48"/>
      <c r="I849" s="2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2.75" customHeight="1">
      <c r="A850" s="46"/>
      <c r="B850" s="46"/>
      <c r="C850" s="46"/>
      <c r="D850" s="46"/>
      <c r="E850" s="48"/>
      <c r="F850" s="49"/>
      <c r="G850" s="51"/>
      <c r="H850" s="48"/>
      <c r="I850" s="2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2.75" customHeight="1">
      <c r="A851" s="46"/>
      <c r="B851" s="46"/>
      <c r="C851" s="46"/>
      <c r="D851" s="46"/>
      <c r="E851" s="48"/>
      <c r="F851" s="49"/>
      <c r="G851" s="51"/>
      <c r="H851" s="48"/>
      <c r="I851" s="2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2.75" customHeight="1">
      <c r="A852" s="46"/>
      <c r="B852" s="46"/>
      <c r="C852" s="46"/>
      <c r="D852" s="46"/>
      <c r="E852" s="48"/>
      <c r="F852" s="49"/>
      <c r="G852" s="51"/>
      <c r="H852" s="48"/>
      <c r="I852" s="2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2.75" customHeight="1">
      <c r="A853" s="46"/>
      <c r="B853" s="46"/>
      <c r="C853" s="46"/>
      <c r="D853" s="46"/>
      <c r="E853" s="48"/>
      <c r="F853" s="49"/>
      <c r="G853" s="51"/>
      <c r="H853" s="48"/>
      <c r="I853" s="2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2.75" customHeight="1">
      <c r="A854" s="46"/>
      <c r="B854" s="46"/>
      <c r="C854" s="46"/>
      <c r="D854" s="46"/>
      <c r="E854" s="48"/>
      <c r="F854" s="49"/>
      <c r="G854" s="51"/>
      <c r="H854" s="48"/>
      <c r="I854" s="2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2.75" customHeight="1">
      <c r="A855" s="46"/>
      <c r="B855" s="46"/>
      <c r="C855" s="46"/>
      <c r="D855" s="46"/>
      <c r="E855" s="48"/>
      <c r="F855" s="49"/>
      <c r="G855" s="51"/>
      <c r="H855" s="48"/>
      <c r="I855" s="2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2.75" customHeight="1">
      <c r="A856" s="46"/>
      <c r="B856" s="46"/>
      <c r="C856" s="46"/>
      <c r="D856" s="46"/>
      <c r="E856" s="48"/>
      <c r="F856" s="49"/>
      <c r="G856" s="51"/>
      <c r="H856" s="48"/>
      <c r="I856" s="2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2.75" customHeight="1">
      <c r="A857" s="46"/>
      <c r="B857" s="46"/>
      <c r="C857" s="46"/>
      <c r="D857" s="46"/>
      <c r="E857" s="48"/>
      <c r="F857" s="49"/>
      <c r="G857" s="51"/>
      <c r="H857" s="48"/>
      <c r="I857" s="2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2.75" customHeight="1">
      <c r="A858" s="46"/>
      <c r="B858" s="46"/>
      <c r="C858" s="46"/>
      <c r="D858" s="46"/>
      <c r="E858" s="48"/>
      <c r="F858" s="49"/>
      <c r="G858" s="51"/>
      <c r="H858" s="48"/>
      <c r="I858" s="2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2.75" customHeight="1">
      <c r="A859" s="46"/>
      <c r="B859" s="46"/>
      <c r="C859" s="46"/>
      <c r="D859" s="46"/>
      <c r="E859" s="48"/>
      <c r="F859" s="49"/>
      <c r="G859" s="51"/>
      <c r="H859" s="48"/>
      <c r="I859" s="2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2.75" customHeight="1">
      <c r="A860" s="46"/>
      <c r="B860" s="46"/>
      <c r="C860" s="46"/>
      <c r="D860" s="46"/>
      <c r="E860" s="48"/>
      <c r="F860" s="49"/>
      <c r="G860" s="51"/>
      <c r="H860" s="48"/>
      <c r="I860" s="2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2.75" customHeight="1">
      <c r="A861" s="46"/>
      <c r="B861" s="46"/>
      <c r="C861" s="46"/>
      <c r="D861" s="46"/>
      <c r="E861" s="48"/>
      <c r="F861" s="49"/>
      <c r="G861" s="51"/>
      <c r="H861" s="48"/>
      <c r="I861" s="2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2.75" customHeight="1">
      <c r="A862" s="46"/>
      <c r="B862" s="46"/>
      <c r="C862" s="46"/>
      <c r="D862" s="46"/>
      <c r="E862" s="48"/>
      <c r="F862" s="49"/>
      <c r="G862" s="51"/>
      <c r="H862" s="48"/>
      <c r="I862" s="2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2.75" customHeight="1">
      <c r="A863" s="46"/>
      <c r="B863" s="46"/>
      <c r="C863" s="46"/>
      <c r="D863" s="46"/>
      <c r="E863" s="48"/>
      <c r="F863" s="49"/>
      <c r="G863" s="51"/>
      <c r="H863" s="48"/>
      <c r="I863" s="2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2.75" customHeight="1">
      <c r="A864" s="46"/>
      <c r="B864" s="46"/>
      <c r="C864" s="46"/>
      <c r="D864" s="46"/>
      <c r="E864" s="48"/>
      <c r="F864" s="49"/>
      <c r="G864" s="51"/>
      <c r="H864" s="48"/>
      <c r="I864" s="2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2.75" customHeight="1">
      <c r="A865" s="46"/>
      <c r="B865" s="46"/>
      <c r="C865" s="46"/>
      <c r="D865" s="46"/>
      <c r="E865" s="48"/>
      <c r="F865" s="49"/>
      <c r="G865" s="51"/>
      <c r="H865" s="48"/>
      <c r="I865" s="2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2.75" customHeight="1">
      <c r="A866" s="46"/>
      <c r="B866" s="46"/>
      <c r="C866" s="46"/>
      <c r="D866" s="46"/>
      <c r="E866" s="48"/>
      <c r="F866" s="49"/>
      <c r="G866" s="51"/>
      <c r="H866" s="48"/>
      <c r="I866" s="2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2.75" customHeight="1">
      <c r="A867" s="46"/>
      <c r="B867" s="46"/>
      <c r="C867" s="46"/>
      <c r="D867" s="46"/>
      <c r="E867" s="48"/>
      <c r="F867" s="49"/>
      <c r="G867" s="51"/>
      <c r="H867" s="48"/>
      <c r="I867" s="2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2.75" customHeight="1">
      <c r="A868" s="46"/>
      <c r="B868" s="46"/>
      <c r="C868" s="46"/>
      <c r="D868" s="46"/>
      <c r="E868" s="48"/>
      <c r="F868" s="49"/>
      <c r="G868" s="51"/>
      <c r="H868" s="48"/>
      <c r="I868" s="2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2.75" customHeight="1">
      <c r="A869" s="46"/>
      <c r="B869" s="46"/>
      <c r="C869" s="46"/>
      <c r="D869" s="46"/>
      <c r="E869" s="48"/>
      <c r="F869" s="49"/>
      <c r="G869" s="51"/>
      <c r="H869" s="48"/>
      <c r="I869" s="2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2.75" customHeight="1">
      <c r="A870" s="46"/>
      <c r="B870" s="46"/>
      <c r="C870" s="46"/>
      <c r="D870" s="46"/>
      <c r="E870" s="48"/>
      <c r="F870" s="49"/>
      <c r="G870" s="51"/>
      <c r="H870" s="48"/>
      <c r="I870" s="2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2.75" customHeight="1">
      <c r="A871" s="46"/>
      <c r="B871" s="46"/>
      <c r="C871" s="46"/>
      <c r="D871" s="46"/>
      <c r="E871" s="48"/>
      <c r="F871" s="49"/>
      <c r="G871" s="51"/>
      <c r="H871" s="48"/>
      <c r="I871" s="2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2.75" customHeight="1">
      <c r="A872" s="46"/>
      <c r="B872" s="46"/>
      <c r="C872" s="46"/>
      <c r="D872" s="46"/>
      <c r="E872" s="48"/>
      <c r="F872" s="49"/>
      <c r="G872" s="51"/>
      <c r="H872" s="48"/>
      <c r="I872" s="2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2.75" customHeight="1">
      <c r="A873" s="46"/>
      <c r="B873" s="46"/>
      <c r="C873" s="46"/>
      <c r="D873" s="46"/>
      <c r="E873" s="48"/>
      <c r="F873" s="49"/>
      <c r="G873" s="51"/>
      <c r="H873" s="48"/>
      <c r="I873" s="2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2.75" customHeight="1">
      <c r="A874" s="46"/>
      <c r="B874" s="46"/>
      <c r="C874" s="46"/>
      <c r="D874" s="46"/>
      <c r="E874" s="48"/>
      <c r="F874" s="49"/>
      <c r="G874" s="51"/>
      <c r="H874" s="48"/>
      <c r="I874" s="2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2.75" customHeight="1">
      <c r="A875" s="46"/>
      <c r="B875" s="46"/>
      <c r="C875" s="46"/>
      <c r="D875" s="46"/>
      <c r="E875" s="48"/>
      <c r="F875" s="49"/>
      <c r="G875" s="51"/>
      <c r="H875" s="48"/>
      <c r="I875" s="2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2.75" customHeight="1">
      <c r="A876" s="46"/>
      <c r="B876" s="46"/>
      <c r="C876" s="46"/>
      <c r="D876" s="46"/>
      <c r="E876" s="48"/>
      <c r="F876" s="49"/>
      <c r="G876" s="51"/>
      <c r="H876" s="48"/>
      <c r="I876" s="2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2.75" customHeight="1">
      <c r="A877" s="46"/>
      <c r="B877" s="46"/>
      <c r="C877" s="46"/>
      <c r="D877" s="46"/>
      <c r="E877" s="48"/>
      <c r="F877" s="49"/>
      <c r="G877" s="51"/>
      <c r="H877" s="48"/>
      <c r="I877" s="2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2.75" customHeight="1">
      <c r="A878" s="46"/>
      <c r="B878" s="46"/>
      <c r="C878" s="46"/>
      <c r="D878" s="46"/>
      <c r="E878" s="48"/>
      <c r="F878" s="49"/>
      <c r="G878" s="51"/>
      <c r="H878" s="48"/>
      <c r="I878" s="2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2.75" customHeight="1">
      <c r="A879" s="46"/>
      <c r="B879" s="46"/>
      <c r="C879" s="46"/>
      <c r="D879" s="46"/>
      <c r="E879" s="48"/>
      <c r="F879" s="49"/>
      <c r="G879" s="51"/>
      <c r="H879" s="48"/>
      <c r="I879" s="2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2.75" customHeight="1">
      <c r="A880" s="46"/>
      <c r="B880" s="46"/>
      <c r="C880" s="46"/>
      <c r="D880" s="46"/>
      <c r="E880" s="48"/>
      <c r="F880" s="49"/>
      <c r="G880" s="51"/>
      <c r="H880" s="48"/>
      <c r="I880" s="2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2.75" customHeight="1">
      <c r="A881" s="46"/>
      <c r="B881" s="46"/>
      <c r="C881" s="46"/>
      <c r="D881" s="46"/>
      <c r="E881" s="48"/>
      <c r="F881" s="49"/>
      <c r="G881" s="51"/>
      <c r="H881" s="48"/>
      <c r="I881" s="2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2.75" customHeight="1">
      <c r="A882" s="46"/>
      <c r="B882" s="46"/>
      <c r="C882" s="46"/>
      <c r="D882" s="46"/>
      <c r="E882" s="48"/>
      <c r="F882" s="49"/>
      <c r="G882" s="51"/>
      <c r="H882" s="48"/>
      <c r="I882" s="2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2.75" customHeight="1">
      <c r="A883" s="46"/>
      <c r="B883" s="46"/>
      <c r="C883" s="46"/>
      <c r="D883" s="46"/>
      <c r="E883" s="48"/>
      <c r="F883" s="49"/>
      <c r="G883" s="51"/>
      <c r="H883" s="48"/>
      <c r="I883" s="2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2.75" customHeight="1">
      <c r="A884" s="46"/>
      <c r="B884" s="46"/>
      <c r="C884" s="46"/>
      <c r="D884" s="46"/>
      <c r="E884" s="48"/>
      <c r="F884" s="49"/>
      <c r="G884" s="51"/>
      <c r="H884" s="48"/>
      <c r="I884" s="2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2.75" customHeight="1">
      <c r="A885" s="46"/>
      <c r="B885" s="46"/>
      <c r="C885" s="46"/>
      <c r="D885" s="46"/>
      <c r="E885" s="48"/>
      <c r="F885" s="49"/>
      <c r="G885" s="51"/>
      <c r="H885" s="48"/>
      <c r="I885" s="2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2.75" customHeight="1">
      <c r="A886" s="46"/>
      <c r="B886" s="46"/>
      <c r="C886" s="46"/>
      <c r="D886" s="46"/>
      <c r="E886" s="48"/>
      <c r="F886" s="49"/>
      <c r="G886" s="51"/>
      <c r="H886" s="48"/>
      <c r="I886" s="2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2.75" customHeight="1">
      <c r="A887" s="46"/>
      <c r="B887" s="46"/>
      <c r="C887" s="46"/>
      <c r="D887" s="46"/>
      <c r="E887" s="48"/>
      <c r="F887" s="49"/>
      <c r="G887" s="51"/>
      <c r="H887" s="48"/>
      <c r="I887" s="2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2.75" customHeight="1">
      <c r="A888" s="46"/>
      <c r="B888" s="46"/>
      <c r="C888" s="46"/>
      <c r="D888" s="46"/>
      <c r="E888" s="48"/>
      <c r="F888" s="49"/>
      <c r="G888" s="51"/>
      <c r="H888" s="48"/>
      <c r="I888" s="2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2.75" customHeight="1">
      <c r="A889" s="46"/>
      <c r="B889" s="46"/>
      <c r="C889" s="46"/>
      <c r="D889" s="46"/>
      <c r="E889" s="48"/>
      <c r="F889" s="49"/>
      <c r="G889" s="51"/>
      <c r="H889" s="48"/>
      <c r="I889" s="2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2.75" customHeight="1">
      <c r="A890" s="46"/>
      <c r="B890" s="46"/>
      <c r="C890" s="46"/>
      <c r="D890" s="46"/>
      <c r="E890" s="48"/>
      <c r="F890" s="49"/>
      <c r="G890" s="51"/>
      <c r="H890" s="48"/>
      <c r="I890" s="2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2.75" customHeight="1">
      <c r="A891" s="46"/>
      <c r="B891" s="46"/>
      <c r="C891" s="46"/>
      <c r="D891" s="46"/>
      <c r="E891" s="48"/>
      <c r="F891" s="49"/>
      <c r="G891" s="51"/>
      <c r="H891" s="48"/>
      <c r="I891" s="2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2.75" customHeight="1">
      <c r="A892" s="46"/>
      <c r="B892" s="46"/>
      <c r="C892" s="46"/>
      <c r="D892" s="46"/>
      <c r="E892" s="48"/>
      <c r="F892" s="49"/>
      <c r="G892" s="51"/>
      <c r="H892" s="48"/>
      <c r="I892" s="2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2.75" customHeight="1">
      <c r="A893" s="46"/>
      <c r="B893" s="46"/>
      <c r="C893" s="46"/>
      <c r="D893" s="46"/>
      <c r="E893" s="48"/>
      <c r="F893" s="49"/>
      <c r="G893" s="51"/>
      <c r="H893" s="48"/>
      <c r="I893" s="2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2.75" customHeight="1">
      <c r="A894" s="46"/>
      <c r="B894" s="46"/>
      <c r="C894" s="46"/>
      <c r="D894" s="46"/>
      <c r="E894" s="48"/>
      <c r="F894" s="49"/>
      <c r="G894" s="51"/>
      <c r="H894" s="48"/>
      <c r="I894" s="2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2.75" customHeight="1">
      <c r="A895" s="46"/>
      <c r="B895" s="46"/>
      <c r="C895" s="46"/>
      <c r="D895" s="46"/>
      <c r="E895" s="48"/>
      <c r="F895" s="49"/>
      <c r="G895" s="51"/>
      <c r="H895" s="48"/>
      <c r="I895" s="2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2.75" customHeight="1">
      <c r="A896" s="46"/>
      <c r="B896" s="46"/>
      <c r="C896" s="46"/>
      <c r="D896" s="46"/>
      <c r="E896" s="48"/>
      <c r="F896" s="49"/>
      <c r="G896" s="51"/>
      <c r="H896" s="48"/>
      <c r="I896" s="2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2.75" customHeight="1">
      <c r="A897" s="46"/>
      <c r="B897" s="46"/>
      <c r="C897" s="46"/>
      <c r="D897" s="46"/>
      <c r="E897" s="48"/>
      <c r="F897" s="49"/>
      <c r="G897" s="51"/>
      <c r="H897" s="48"/>
      <c r="I897" s="2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2.75" customHeight="1">
      <c r="A898" s="46"/>
      <c r="B898" s="46"/>
      <c r="C898" s="46"/>
      <c r="D898" s="46"/>
      <c r="E898" s="48"/>
      <c r="F898" s="49"/>
      <c r="G898" s="51"/>
      <c r="H898" s="48"/>
      <c r="I898" s="2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2.75" customHeight="1">
      <c r="A899" s="46"/>
      <c r="B899" s="46"/>
      <c r="C899" s="46"/>
      <c r="D899" s="46"/>
      <c r="E899" s="48"/>
      <c r="F899" s="49"/>
      <c r="G899" s="51"/>
      <c r="H899" s="48"/>
      <c r="I899" s="2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2.75" customHeight="1">
      <c r="A900" s="46"/>
      <c r="B900" s="46"/>
      <c r="C900" s="46"/>
      <c r="D900" s="46"/>
      <c r="E900" s="48"/>
      <c r="F900" s="49"/>
      <c r="G900" s="51"/>
      <c r="H900" s="48"/>
      <c r="I900" s="2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2.75" customHeight="1">
      <c r="A901" s="46"/>
      <c r="B901" s="46"/>
      <c r="C901" s="46"/>
      <c r="D901" s="46"/>
      <c r="E901" s="48"/>
      <c r="F901" s="49"/>
      <c r="G901" s="51"/>
      <c r="H901" s="48"/>
      <c r="I901" s="2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2.75" customHeight="1">
      <c r="A902" s="46"/>
      <c r="B902" s="46"/>
      <c r="C902" s="46"/>
      <c r="D902" s="46"/>
      <c r="E902" s="48"/>
      <c r="F902" s="49"/>
      <c r="G902" s="51"/>
      <c r="H902" s="48"/>
      <c r="I902" s="2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2.75" customHeight="1">
      <c r="A903" s="46"/>
      <c r="B903" s="46"/>
      <c r="C903" s="46"/>
      <c r="D903" s="46"/>
      <c r="E903" s="48"/>
      <c r="F903" s="49"/>
      <c r="G903" s="51"/>
      <c r="H903" s="48"/>
      <c r="I903" s="2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2.75" customHeight="1">
      <c r="A904" s="46"/>
      <c r="B904" s="46"/>
      <c r="C904" s="46"/>
      <c r="D904" s="46"/>
      <c r="E904" s="48"/>
      <c r="F904" s="49"/>
      <c r="G904" s="51"/>
      <c r="H904" s="48"/>
      <c r="I904" s="2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2.75" customHeight="1">
      <c r="A905" s="46"/>
      <c r="B905" s="46"/>
      <c r="C905" s="46"/>
      <c r="D905" s="46"/>
      <c r="E905" s="48"/>
      <c r="F905" s="49"/>
      <c r="G905" s="51"/>
      <c r="H905" s="48"/>
      <c r="I905" s="2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2.75" customHeight="1">
      <c r="A906" s="46"/>
      <c r="B906" s="46"/>
      <c r="C906" s="46"/>
      <c r="D906" s="46"/>
      <c r="E906" s="48"/>
      <c r="F906" s="49"/>
      <c r="G906" s="51"/>
      <c r="H906" s="48"/>
      <c r="I906" s="2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2.75" customHeight="1">
      <c r="A907" s="46"/>
      <c r="B907" s="46"/>
      <c r="C907" s="46"/>
      <c r="D907" s="46"/>
      <c r="E907" s="48"/>
      <c r="F907" s="49"/>
      <c r="G907" s="51"/>
      <c r="H907" s="48"/>
      <c r="I907" s="2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2.75" customHeight="1">
      <c r="A908" s="46"/>
      <c r="B908" s="46"/>
      <c r="C908" s="46"/>
      <c r="D908" s="46"/>
      <c r="E908" s="48"/>
      <c r="F908" s="49"/>
      <c r="G908" s="51"/>
      <c r="H908" s="48"/>
      <c r="I908" s="2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2.75" customHeight="1">
      <c r="A909" s="46"/>
      <c r="B909" s="46"/>
      <c r="C909" s="46"/>
      <c r="D909" s="46"/>
      <c r="E909" s="48"/>
      <c r="F909" s="49"/>
      <c r="G909" s="51"/>
      <c r="H909" s="48"/>
      <c r="I909" s="2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2.75" customHeight="1">
      <c r="A910" s="46"/>
      <c r="B910" s="46"/>
      <c r="C910" s="46"/>
      <c r="D910" s="46"/>
      <c r="E910" s="48"/>
      <c r="F910" s="49"/>
      <c r="G910" s="51"/>
      <c r="H910" s="48"/>
      <c r="I910" s="2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2.75" customHeight="1">
      <c r="A911" s="46"/>
      <c r="B911" s="46"/>
      <c r="C911" s="46"/>
      <c r="D911" s="46"/>
      <c r="E911" s="48"/>
      <c r="F911" s="49"/>
      <c r="G911" s="51"/>
      <c r="H911" s="48"/>
      <c r="I911" s="2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2.75" customHeight="1">
      <c r="A912" s="46"/>
      <c r="B912" s="46"/>
      <c r="C912" s="46"/>
      <c r="D912" s="46"/>
      <c r="E912" s="48"/>
      <c r="F912" s="49"/>
      <c r="G912" s="51"/>
      <c r="H912" s="48"/>
      <c r="I912" s="2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2.75" customHeight="1">
      <c r="A913" s="46"/>
      <c r="B913" s="46"/>
      <c r="C913" s="46"/>
      <c r="D913" s="46"/>
      <c r="E913" s="48"/>
      <c r="F913" s="49"/>
      <c r="G913" s="51"/>
      <c r="H913" s="48"/>
      <c r="I913" s="2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2.75" customHeight="1">
      <c r="A914" s="46"/>
      <c r="B914" s="46"/>
      <c r="C914" s="46"/>
      <c r="D914" s="46"/>
      <c r="E914" s="48"/>
      <c r="F914" s="49"/>
      <c r="G914" s="51"/>
      <c r="H914" s="48"/>
      <c r="I914" s="2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2.75" customHeight="1">
      <c r="A915" s="46"/>
      <c r="B915" s="46"/>
      <c r="C915" s="46"/>
      <c r="D915" s="46"/>
      <c r="E915" s="48"/>
      <c r="F915" s="49"/>
      <c r="G915" s="51"/>
      <c r="H915" s="48"/>
      <c r="I915" s="2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2.75" customHeight="1">
      <c r="A916" s="46"/>
      <c r="B916" s="46"/>
      <c r="C916" s="46"/>
      <c r="D916" s="46"/>
      <c r="E916" s="48"/>
      <c r="F916" s="49"/>
      <c r="G916" s="51"/>
      <c r="H916" s="48"/>
      <c r="I916" s="2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2.75" customHeight="1">
      <c r="A917" s="46"/>
      <c r="B917" s="46"/>
      <c r="C917" s="46"/>
      <c r="D917" s="46"/>
      <c r="E917" s="48"/>
      <c r="F917" s="49"/>
      <c r="G917" s="51"/>
      <c r="H917" s="48"/>
      <c r="I917" s="2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2.75" customHeight="1">
      <c r="A918" s="46"/>
      <c r="B918" s="46"/>
      <c r="C918" s="46"/>
      <c r="D918" s="46"/>
      <c r="E918" s="48"/>
      <c r="F918" s="49"/>
      <c r="G918" s="51"/>
      <c r="H918" s="48"/>
      <c r="I918" s="2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2.75" customHeight="1">
      <c r="A919" s="46"/>
      <c r="B919" s="46"/>
      <c r="C919" s="46"/>
      <c r="D919" s="46"/>
      <c r="E919" s="48"/>
      <c r="F919" s="49"/>
      <c r="G919" s="51"/>
      <c r="H919" s="48"/>
      <c r="I919" s="2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2.75" customHeight="1">
      <c r="A920" s="46"/>
      <c r="B920" s="46"/>
      <c r="C920" s="46"/>
      <c r="D920" s="46"/>
      <c r="E920" s="48"/>
      <c r="F920" s="49"/>
      <c r="G920" s="51"/>
      <c r="H920" s="48"/>
      <c r="I920" s="2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2.75" customHeight="1">
      <c r="A921" s="46"/>
      <c r="B921" s="46"/>
      <c r="C921" s="46"/>
      <c r="D921" s="46"/>
      <c r="E921" s="48"/>
      <c r="F921" s="49"/>
      <c r="G921" s="51"/>
      <c r="H921" s="48"/>
      <c r="I921" s="2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2.75" customHeight="1">
      <c r="A922" s="46"/>
      <c r="B922" s="46"/>
      <c r="C922" s="46"/>
      <c r="D922" s="46"/>
      <c r="E922" s="48"/>
      <c r="F922" s="49"/>
      <c r="G922" s="51"/>
      <c r="H922" s="48"/>
      <c r="I922" s="2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2.75" customHeight="1">
      <c r="A923" s="46"/>
      <c r="B923" s="46"/>
      <c r="C923" s="46"/>
      <c r="D923" s="46"/>
      <c r="E923" s="48"/>
      <c r="F923" s="49"/>
      <c r="G923" s="51"/>
      <c r="H923" s="48"/>
      <c r="I923" s="2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2.75" customHeight="1">
      <c r="A924" s="46"/>
      <c r="B924" s="46"/>
      <c r="C924" s="46"/>
      <c r="D924" s="46"/>
      <c r="E924" s="48"/>
      <c r="F924" s="49"/>
      <c r="G924" s="51"/>
      <c r="H924" s="48"/>
      <c r="I924" s="2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2.75" customHeight="1">
      <c r="A925" s="46"/>
      <c r="B925" s="46"/>
      <c r="C925" s="46"/>
      <c r="D925" s="46"/>
      <c r="E925" s="48"/>
      <c r="F925" s="49"/>
      <c r="G925" s="51"/>
      <c r="H925" s="48"/>
      <c r="I925" s="2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2.75" customHeight="1">
      <c r="A926" s="46"/>
      <c r="B926" s="46"/>
      <c r="C926" s="46"/>
      <c r="D926" s="46"/>
      <c r="E926" s="48"/>
      <c r="F926" s="49"/>
      <c r="G926" s="51"/>
      <c r="H926" s="48"/>
      <c r="I926" s="2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2.75" customHeight="1">
      <c r="A927" s="46"/>
      <c r="B927" s="46"/>
      <c r="C927" s="46"/>
      <c r="D927" s="46"/>
      <c r="E927" s="48"/>
      <c r="F927" s="49"/>
      <c r="G927" s="51"/>
      <c r="H927" s="48"/>
      <c r="I927" s="2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2.75" customHeight="1">
      <c r="A928" s="46"/>
      <c r="B928" s="46"/>
      <c r="C928" s="46"/>
      <c r="D928" s="46"/>
      <c r="E928" s="48"/>
      <c r="F928" s="49"/>
      <c r="G928" s="51"/>
      <c r="H928" s="48"/>
      <c r="I928" s="2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2.75" customHeight="1">
      <c r="A929" s="46"/>
      <c r="B929" s="46"/>
      <c r="C929" s="46"/>
      <c r="D929" s="46"/>
      <c r="E929" s="48"/>
      <c r="F929" s="49"/>
      <c r="G929" s="51"/>
      <c r="H929" s="48"/>
      <c r="I929" s="2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2.75" customHeight="1">
      <c r="A930" s="46"/>
      <c r="B930" s="46"/>
      <c r="C930" s="46"/>
      <c r="D930" s="46"/>
      <c r="E930" s="48"/>
      <c r="F930" s="49"/>
      <c r="G930" s="51"/>
      <c r="H930" s="48"/>
      <c r="I930" s="2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2.75" customHeight="1">
      <c r="A931" s="46"/>
      <c r="B931" s="46"/>
      <c r="C931" s="46"/>
      <c r="D931" s="46"/>
      <c r="E931" s="48"/>
      <c r="F931" s="49"/>
      <c r="G931" s="51"/>
      <c r="H931" s="48"/>
      <c r="I931" s="2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2.75" customHeight="1">
      <c r="A932" s="46"/>
      <c r="B932" s="46"/>
      <c r="C932" s="46"/>
      <c r="D932" s="46"/>
      <c r="E932" s="48"/>
      <c r="F932" s="49"/>
      <c r="G932" s="51"/>
      <c r="H932" s="48"/>
      <c r="I932" s="2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2.75" customHeight="1">
      <c r="A933" s="46"/>
      <c r="B933" s="46"/>
      <c r="C933" s="46"/>
      <c r="D933" s="46"/>
      <c r="E933" s="48"/>
      <c r="F933" s="49"/>
      <c r="G933" s="51"/>
      <c r="H933" s="48"/>
      <c r="I933" s="2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2.75" customHeight="1">
      <c r="A934" s="46"/>
      <c r="B934" s="46"/>
      <c r="C934" s="46"/>
      <c r="D934" s="46"/>
      <c r="E934" s="48"/>
      <c r="F934" s="49"/>
      <c r="G934" s="51"/>
      <c r="H934" s="48"/>
      <c r="I934" s="2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2.75" customHeight="1">
      <c r="A935" s="46"/>
      <c r="B935" s="46"/>
      <c r="C935" s="46"/>
      <c r="D935" s="46"/>
      <c r="E935" s="48"/>
      <c r="F935" s="49"/>
      <c r="G935" s="51"/>
      <c r="H935" s="48"/>
      <c r="I935" s="2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2.75" customHeight="1">
      <c r="A936" s="46"/>
      <c r="B936" s="46"/>
      <c r="C936" s="46"/>
      <c r="D936" s="46"/>
      <c r="E936" s="48"/>
      <c r="F936" s="49"/>
      <c r="G936" s="51"/>
      <c r="H936" s="48"/>
      <c r="I936" s="2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2.75" customHeight="1">
      <c r="A937" s="46"/>
      <c r="B937" s="46"/>
      <c r="C937" s="46"/>
      <c r="D937" s="46"/>
      <c r="E937" s="48"/>
      <c r="F937" s="49"/>
      <c r="G937" s="51"/>
      <c r="H937" s="48"/>
      <c r="I937" s="2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2.75" customHeight="1">
      <c r="A938" s="46"/>
      <c r="B938" s="46"/>
      <c r="C938" s="46"/>
      <c r="D938" s="46"/>
      <c r="E938" s="48"/>
      <c r="F938" s="49"/>
      <c r="G938" s="51"/>
      <c r="H938" s="48"/>
      <c r="I938" s="2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2.75" customHeight="1">
      <c r="A939" s="46"/>
      <c r="B939" s="46"/>
      <c r="C939" s="46"/>
      <c r="D939" s="46"/>
      <c r="E939" s="48"/>
      <c r="F939" s="49"/>
      <c r="G939" s="51"/>
      <c r="H939" s="48"/>
      <c r="I939" s="2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2.75" customHeight="1">
      <c r="A940" s="46"/>
      <c r="B940" s="46"/>
      <c r="C940" s="46"/>
      <c r="D940" s="46"/>
      <c r="E940" s="48"/>
      <c r="F940" s="49"/>
      <c r="G940" s="51"/>
      <c r="H940" s="48"/>
      <c r="I940" s="2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2.75" customHeight="1">
      <c r="A941" s="46"/>
      <c r="B941" s="46"/>
      <c r="C941" s="46"/>
      <c r="D941" s="46"/>
      <c r="E941" s="48"/>
      <c r="F941" s="49"/>
      <c r="G941" s="51"/>
      <c r="H941" s="48"/>
      <c r="I941" s="2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2.75" customHeight="1">
      <c r="A942" s="46"/>
      <c r="B942" s="46"/>
      <c r="C942" s="46"/>
      <c r="D942" s="46"/>
      <c r="E942" s="48"/>
      <c r="F942" s="49"/>
      <c r="G942" s="51"/>
      <c r="H942" s="48"/>
      <c r="I942" s="2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2.75" customHeight="1">
      <c r="A943" s="46"/>
      <c r="B943" s="46"/>
      <c r="C943" s="46"/>
      <c r="D943" s="46"/>
      <c r="E943" s="48"/>
      <c r="F943" s="49"/>
      <c r="G943" s="51"/>
      <c r="H943" s="48"/>
      <c r="I943" s="2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2.75" customHeight="1">
      <c r="A944" s="46"/>
      <c r="B944" s="46"/>
      <c r="C944" s="46"/>
      <c r="D944" s="46"/>
      <c r="E944" s="48"/>
      <c r="F944" s="49"/>
      <c r="G944" s="51"/>
      <c r="H944" s="48"/>
      <c r="I944" s="2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2.75" customHeight="1">
      <c r="A945" s="46"/>
      <c r="B945" s="46"/>
      <c r="C945" s="46"/>
      <c r="D945" s="46"/>
      <c r="E945" s="48"/>
      <c r="F945" s="49"/>
      <c r="G945" s="51"/>
      <c r="H945" s="48"/>
      <c r="I945" s="2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2.75" customHeight="1">
      <c r="A946" s="46"/>
      <c r="B946" s="46"/>
      <c r="C946" s="46"/>
      <c r="D946" s="46"/>
      <c r="E946" s="48"/>
      <c r="F946" s="49"/>
      <c r="G946" s="51"/>
      <c r="H946" s="48"/>
      <c r="I946" s="2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2.75" customHeight="1">
      <c r="A947" s="46"/>
      <c r="B947" s="46"/>
      <c r="C947" s="46"/>
      <c r="D947" s="46"/>
      <c r="E947" s="48"/>
      <c r="F947" s="49"/>
      <c r="G947" s="51"/>
      <c r="H947" s="48"/>
      <c r="I947" s="2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2.75" customHeight="1">
      <c r="A948" s="46"/>
      <c r="B948" s="46"/>
      <c r="C948" s="46"/>
      <c r="D948" s="46"/>
      <c r="E948" s="48"/>
      <c r="F948" s="49"/>
      <c r="G948" s="51"/>
      <c r="H948" s="48"/>
      <c r="I948" s="2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2.75" customHeight="1">
      <c r="A949" s="46"/>
      <c r="B949" s="46"/>
      <c r="C949" s="46"/>
      <c r="D949" s="46"/>
      <c r="E949" s="48"/>
      <c r="F949" s="49"/>
      <c r="G949" s="51"/>
      <c r="H949" s="48"/>
      <c r="I949" s="2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2.75" customHeight="1">
      <c r="A950" s="46"/>
      <c r="B950" s="46"/>
      <c r="C950" s="46"/>
      <c r="D950" s="46"/>
      <c r="E950" s="48"/>
      <c r="F950" s="49"/>
      <c r="G950" s="51"/>
      <c r="H950" s="48"/>
      <c r="I950" s="2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2.75" customHeight="1">
      <c r="A951" s="46"/>
      <c r="B951" s="46"/>
      <c r="C951" s="46"/>
      <c r="D951" s="46"/>
      <c r="E951" s="48"/>
      <c r="F951" s="49"/>
      <c r="G951" s="51"/>
      <c r="H951" s="48"/>
      <c r="I951" s="2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2.75" customHeight="1">
      <c r="A952" s="46"/>
      <c r="B952" s="46"/>
      <c r="C952" s="46"/>
      <c r="D952" s="46"/>
      <c r="E952" s="48"/>
      <c r="F952" s="49"/>
      <c r="G952" s="51"/>
      <c r="H952" s="48"/>
      <c r="I952" s="2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2.75" customHeight="1">
      <c r="A953" s="46"/>
      <c r="B953" s="46"/>
      <c r="C953" s="46"/>
      <c r="D953" s="46"/>
      <c r="E953" s="48"/>
      <c r="F953" s="49"/>
      <c r="G953" s="51"/>
      <c r="H953" s="48"/>
      <c r="I953" s="2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2.75" customHeight="1">
      <c r="A954" s="46"/>
      <c r="B954" s="46"/>
      <c r="C954" s="46"/>
      <c r="D954" s="46"/>
      <c r="E954" s="48"/>
      <c r="F954" s="49"/>
      <c r="G954" s="51"/>
      <c r="H954" s="48"/>
      <c r="I954" s="2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2.75" customHeight="1">
      <c r="A955" s="46"/>
      <c r="B955" s="46"/>
      <c r="C955" s="46"/>
      <c r="D955" s="46"/>
      <c r="E955" s="48"/>
      <c r="F955" s="49"/>
      <c r="G955" s="51"/>
      <c r="H955" s="48"/>
      <c r="I955" s="2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2.75" customHeight="1">
      <c r="A956" s="46"/>
      <c r="B956" s="46"/>
      <c r="C956" s="46"/>
      <c r="D956" s="46"/>
      <c r="E956" s="48"/>
      <c r="F956" s="49"/>
      <c r="G956" s="51"/>
      <c r="H956" s="48"/>
      <c r="I956" s="2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2.75" customHeight="1">
      <c r="A957" s="46"/>
      <c r="B957" s="46"/>
      <c r="C957" s="46"/>
      <c r="D957" s="46"/>
      <c r="E957" s="48"/>
      <c r="F957" s="49"/>
      <c r="G957" s="51"/>
      <c r="H957" s="48"/>
      <c r="I957" s="2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2.75" customHeight="1">
      <c r="A958" s="46"/>
      <c r="B958" s="46"/>
      <c r="C958" s="46"/>
      <c r="D958" s="46"/>
      <c r="E958" s="48"/>
      <c r="F958" s="49"/>
      <c r="G958" s="51"/>
      <c r="H958" s="48"/>
      <c r="I958" s="2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2.75" customHeight="1">
      <c r="A959" s="46"/>
      <c r="B959" s="46"/>
      <c r="C959" s="46"/>
      <c r="D959" s="46"/>
      <c r="E959" s="48"/>
      <c r="F959" s="49"/>
      <c r="G959" s="51"/>
      <c r="H959" s="48"/>
      <c r="I959" s="2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2.75" customHeight="1">
      <c r="A960" s="46"/>
      <c r="B960" s="46"/>
      <c r="C960" s="46"/>
      <c r="D960" s="46"/>
      <c r="E960" s="48"/>
      <c r="F960" s="49"/>
      <c r="G960" s="51"/>
      <c r="H960" s="48"/>
      <c r="I960" s="2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2.75" customHeight="1">
      <c r="A961" s="46"/>
      <c r="B961" s="46"/>
      <c r="C961" s="46"/>
      <c r="D961" s="46"/>
      <c r="E961" s="48"/>
      <c r="F961" s="49"/>
      <c r="G961" s="51"/>
      <c r="H961" s="48"/>
      <c r="I961" s="2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2.75" customHeight="1">
      <c r="A962" s="46"/>
      <c r="B962" s="46"/>
      <c r="C962" s="46"/>
      <c r="D962" s="46"/>
      <c r="E962" s="48"/>
      <c r="F962" s="49"/>
      <c r="G962" s="51"/>
      <c r="H962" s="48"/>
      <c r="I962" s="2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2.75" customHeight="1">
      <c r="A963" s="46"/>
      <c r="B963" s="46"/>
      <c r="C963" s="46"/>
      <c r="D963" s="46"/>
      <c r="E963" s="48"/>
      <c r="F963" s="49"/>
      <c r="G963" s="51"/>
      <c r="H963" s="48"/>
      <c r="I963" s="2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2.75" customHeight="1">
      <c r="A964" s="46"/>
      <c r="B964" s="46"/>
      <c r="C964" s="46"/>
      <c r="D964" s="46"/>
      <c r="E964" s="48"/>
      <c r="F964" s="49"/>
      <c r="G964" s="51"/>
      <c r="H964" s="48"/>
      <c r="I964" s="2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2.75" customHeight="1">
      <c r="A965" s="46"/>
      <c r="B965" s="46"/>
      <c r="C965" s="46"/>
      <c r="D965" s="46"/>
      <c r="E965" s="48"/>
      <c r="F965" s="49"/>
      <c r="G965" s="51"/>
      <c r="H965" s="48"/>
      <c r="I965" s="2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2.75" customHeight="1">
      <c r="A966" s="46"/>
      <c r="B966" s="46"/>
      <c r="C966" s="46"/>
      <c r="D966" s="46"/>
      <c r="E966" s="48"/>
      <c r="F966" s="49"/>
      <c r="G966" s="51"/>
      <c r="H966" s="48"/>
      <c r="I966" s="2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2.75" customHeight="1">
      <c r="A967" s="46"/>
      <c r="B967" s="46"/>
      <c r="C967" s="46"/>
      <c r="D967" s="46"/>
      <c r="E967" s="48"/>
      <c r="F967" s="49"/>
      <c r="G967" s="51"/>
      <c r="H967" s="48"/>
      <c r="I967" s="2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2.75" customHeight="1">
      <c r="A968" s="46"/>
      <c r="B968" s="46"/>
      <c r="C968" s="46"/>
      <c r="D968" s="46"/>
      <c r="E968" s="48"/>
      <c r="F968" s="49"/>
      <c r="G968" s="51"/>
      <c r="H968" s="48"/>
      <c r="I968" s="2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2.75" customHeight="1">
      <c r="A969" s="46"/>
      <c r="B969" s="46"/>
      <c r="C969" s="46"/>
      <c r="D969" s="46"/>
      <c r="E969" s="48"/>
      <c r="F969" s="49"/>
      <c r="G969" s="51"/>
      <c r="H969" s="48"/>
      <c r="I969" s="2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2.75" customHeight="1">
      <c r="A970" s="46"/>
      <c r="B970" s="46"/>
      <c r="C970" s="46"/>
      <c r="D970" s="46"/>
      <c r="E970" s="48"/>
      <c r="F970" s="49"/>
      <c r="G970" s="51"/>
      <c r="H970" s="48"/>
      <c r="I970" s="2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2.75" customHeight="1">
      <c r="A971" s="46"/>
      <c r="B971" s="46"/>
      <c r="C971" s="46"/>
      <c r="D971" s="46"/>
      <c r="E971" s="48"/>
      <c r="F971" s="49"/>
      <c r="G971" s="51"/>
      <c r="H971" s="48"/>
      <c r="I971" s="2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2.75" customHeight="1">
      <c r="A972" s="46"/>
      <c r="B972" s="46"/>
      <c r="C972" s="46"/>
      <c r="D972" s="46"/>
      <c r="E972" s="48"/>
      <c r="F972" s="49"/>
      <c r="G972" s="51"/>
      <c r="H972" s="48"/>
      <c r="I972" s="2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2.75" customHeight="1">
      <c r="A973" s="46"/>
      <c r="B973" s="46"/>
      <c r="C973" s="46"/>
      <c r="D973" s="46"/>
      <c r="E973" s="48"/>
      <c r="F973" s="49"/>
      <c r="G973" s="51"/>
      <c r="H973" s="48"/>
      <c r="I973" s="2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2.75" customHeight="1">
      <c r="A974" s="46"/>
      <c r="B974" s="46"/>
      <c r="C974" s="46"/>
      <c r="D974" s="46"/>
      <c r="E974" s="48"/>
      <c r="F974" s="49"/>
      <c r="G974" s="51"/>
      <c r="H974" s="48"/>
      <c r="I974" s="2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2.75" customHeight="1">
      <c r="A975" s="46"/>
      <c r="B975" s="46"/>
      <c r="C975" s="46"/>
      <c r="D975" s="46"/>
      <c r="E975" s="48"/>
      <c r="F975" s="49"/>
      <c r="G975" s="51"/>
      <c r="H975" s="48"/>
      <c r="I975" s="2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2.75" customHeight="1">
      <c r="A976" s="46"/>
      <c r="B976" s="46"/>
      <c r="C976" s="46"/>
      <c r="D976" s="46"/>
      <c r="E976" s="48"/>
      <c r="F976" s="49"/>
      <c r="G976" s="51"/>
      <c r="H976" s="48"/>
      <c r="I976" s="2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2.75" customHeight="1">
      <c r="A977" s="46"/>
      <c r="B977" s="46"/>
      <c r="C977" s="46"/>
      <c r="D977" s="46"/>
      <c r="E977" s="48"/>
      <c r="F977" s="49"/>
      <c r="G977" s="51"/>
      <c r="H977" s="48"/>
      <c r="I977" s="2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2.75" customHeight="1">
      <c r="A978" s="46"/>
      <c r="B978" s="46"/>
      <c r="C978" s="46"/>
      <c r="D978" s="46"/>
      <c r="E978" s="48"/>
      <c r="F978" s="49"/>
      <c r="G978" s="51"/>
      <c r="H978" s="48"/>
      <c r="I978" s="2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2.75" customHeight="1">
      <c r="A979" s="46"/>
      <c r="B979" s="46"/>
      <c r="C979" s="46"/>
      <c r="D979" s="46"/>
      <c r="E979" s="48"/>
      <c r="F979" s="49"/>
      <c r="G979" s="51"/>
      <c r="H979" s="48"/>
      <c r="I979" s="2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2.75" customHeight="1">
      <c r="A980" s="46"/>
      <c r="B980" s="46"/>
      <c r="C980" s="46"/>
      <c r="D980" s="46"/>
      <c r="E980" s="48"/>
      <c r="F980" s="49"/>
      <c r="G980" s="51"/>
      <c r="H980" s="48"/>
      <c r="I980" s="2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2.75" customHeight="1">
      <c r="A981" s="46"/>
      <c r="B981" s="46"/>
      <c r="C981" s="46"/>
      <c r="D981" s="46"/>
      <c r="E981" s="48"/>
      <c r="F981" s="49"/>
      <c r="G981" s="51"/>
      <c r="H981" s="48"/>
      <c r="I981" s="2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2.75" customHeight="1">
      <c r="A982" s="46"/>
      <c r="B982" s="46"/>
      <c r="C982" s="46"/>
      <c r="D982" s="46"/>
      <c r="E982" s="48"/>
      <c r="F982" s="49"/>
      <c r="G982" s="51"/>
      <c r="H982" s="48"/>
      <c r="I982" s="2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2.75" customHeight="1">
      <c r="A983" s="46"/>
      <c r="B983" s="46"/>
      <c r="C983" s="46"/>
      <c r="D983" s="46"/>
      <c r="E983" s="48"/>
      <c r="F983" s="49"/>
      <c r="G983" s="51"/>
      <c r="H983" s="48"/>
      <c r="I983" s="2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2.75" customHeight="1">
      <c r="A984" s="46"/>
      <c r="B984" s="46"/>
      <c r="C984" s="46"/>
      <c r="D984" s="46"/>
      <c r="E984" s="48"/>
      <c r="F984" s="49"/>
      <c r="G984" s="51"/>
      <c r="H984" s="48"/>
      <c r="I984" s="2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2.75" customHeight="1">
      <c r="A985" s="46"/>
      <c r="B985" s="46"/>
      <c r="C985" s="46"/>
      <c r="D985" s="46"/>
      <c r="E985" s="48"/>
      <c r="F985" s="49"/>
      <c r="G985" s="51"/>
      <c r="H985" s="48"/>
      <c r="I985" s="2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2.75" customHeight="1">
      <c r="A986" s="46"/>
      <c r="B986" s="46"/>
      <c r="C986" s="46"/>
      <c r="D986" s="46"/>
      <c r="E986" s="48"/>
      <c r="F986" s="49"/>
      <c r="G986" s="51"/>
      <c r="H986" s="48"/>
      <c r="I986" s="2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2.75" customHeight="1">
      <c r="A987" s="46"/>
      <c r="B987" s="46"/>
      <c r="C987" s="46"/>
      <c r="D987" s="46"/>
      <c r="E987" s="48"/>
      <c r="F987" s="49"/>
      <c r="G987" s="51"/>
      <c r="H987" s="48"/>
      <c r="I987" s="2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2.75" customHeight="1">
      <c r="A988" s="46"/>
      <c r="B988" s="46"/>
      <c r="C988" s="46"/>
      <c r="D988" s="46"/>
      <c r="E988" s="48"/>
      <c r="F988" s="49"/>
      <c r="G988" s="51"/>
      <c r="H988" s="48"/>
      <c r="I988" s="2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2.75" customHeight="1">
      <c r="A989" s="46"/>
      <c r="B989" s="46"/>
      <c r="C989" s="46"/>
      <c r="D989" s="46"/>
      <c r="E989" s="48"/>
      <c r="F989" s="49"/>
      <c r="G989" s="51"/>
      <c r="H989" s="48"/>
      <c r="I989" s="2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2.75" customHeight="1">
      <c r="A990" s="46"/>
      <c r="B990" s="46"/>
      <c r="C990" s="46"/>
      <c r="D990" s="46"/>
      <c r="E990" s="48"/>
      <c r="F990" s="49"/>
      <c r="G990" s="51"/>
      <c r="H990" s="48"/>
      <c r="I990" s="2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2.75" customHeight="1">
      <c r="A991" s="46"/>
      <c r="B991" s="46"/>
      <c r="C991" s="46"/>
      <c r="D991" s="46"/>
      <c r="E991" s="48"/>
      <c r="F991" s="49"/>
      <c r="G991" s="51"/>
      <c r="H991" s="48"/>
      <c r="I991" s="2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2.75" customHeight="1">
      <c r="A992" s="46"/>
      <c r="B992" s="46"/>
      <c r="C992" s="46"/>
      <c r="D992" s="46"/>
      <c r="E992" s="48"/>
      <c r="F992" s="49"/>
      <c r="G992" s="51"/>
      <c r="H992" s="48"/>
      <c r="I992" s="2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2.75" customHeight="1">
      <c r="A993" s="46"/>
      <c r="B993" s="46"/>
      <c r="C993" s="46"/>
      <c r="D993" s="46"/>
      <c r="E993" s="48"/>
      <c r="F993" s="49"/>
      <c r="G993" s="51"/>
      <c r="H993" s="48"/>
      <c r="I993" s="2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2.75" customHeight="1">
      <c r="A994" s="46"/>
      <c r="B994" s="46"/>
      <c r="C994" s="46"/>
      <c r="D994" s="46"/>
      <c r="E994" s="48"/>
      <c r="F994" s="49"/>
      <c r="G994" s="51"/>
      <c r="H994" s="48"/>
      <c r="I994" s="2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2.75" customHeight="1">
      <c r="A995" s="46"/>
      <c r="B995" s="46"/>
      <c r="C995" s="46"/>
      <c r="D995" s="46"/>
      <c r="E995" s="48"/>
      <c r="F995" s="49"/>
      <c r="G995" s="51"/>
      <c r="H995" s="48"/>
      <c r="I995" s="2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2.75" customHeight="1">
      <c r="A996" s="46"/>
      <c r="B996" s="46"/>
      <c r="C996" s="46"/>
      <c r="D996" s="46"/>
      <c r="E996" s="48"/>
      <c r="F996" s="49"/>
      <c r="G996" s="51"/>
      <c r="H996" s="48"/>
      <c r="I996" s="2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2.75" customHeight="1">
      <c r="A997" s="46"/>
      <c r="B997" s="46"/>
      <c r="C997" s="46"/>
      <c r="D997" s="46"/>
      <c r="E997" s="48"/>
      <c r="F997" s="49"/>
      <c r="G997" s="51"/>
      <c r="H997" s="48"/>
      <c r="I997" s="2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2.75" customHeight="1">
      <c r="A998" s="46"/>
      <c r="B998" s="46"/>
      <c r="C998" s="46"/>
      <c r="D998" s="46"/>
      <c r="E998" s="48"/>
      <c r="F998" s="49"/>
      <c r="G998" s="51"/>
      <c r="H998" s="48"/>
      <c r="I998" s="2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2.75" customHeight="1">
      <c r="A999" s="46"/>
      <c r="B999" s="46"/>
      <c r="C999" s="46"/>
      <c r="D999" s="46"/>
      <c r="E999" s="48"/>
      <c r="F999" s="49"/>
      <c r="G999" s="51"/>
      <c r="H999" s="48"/>
      <c r="I999" s="2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>
      <c r="F1000" s="74"/>
      <c r="I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/>
  <cols>
    <col customWidth="1" min="1" max="1" width="1.25"/>
    <col customWidth="1" hidden="1" min="2" max="2" width="12.0"/>
    <col customWidth="1" min="3" max="3" width="27.63"/>
    <col customWidth="1" min="4" max="4" width="7.63"/>
    <col customWidth="1" hidden="1" min="5" max="5" width="6.13"/>
    <col customWidth="1" min="6" max="6" width="9.0"/>
    <col customWidth="1" hidden="1" min="7" max="7" width="5.63"/>
    <col customWidth="1" min="8" max="8" width="7.63"/>
    <col customWidth="1" hidden="1" min="9" max="9" width="6.25"/>
    <col customWidth="1" min="10" max="10" width="7.63"/>
    <col customWidth="1" hidden="1" min="11" max="11" width="5.75"/>
    <col customWidth="1" min="12" max="12" width="7.63"/>
    <col customWidth="1" hidden="1" min="13" max="13" width="6.5"/>
    <col customWidth="1" min="14" max="14" width="9.0"/>
    <col customWidth="1" hidden="1" min="15" max="15" width="5.63"/>
    <col customWidth="1" min="16" max="16" width="7.63"/>
    <col customWidth="1" hidden="1" min="17" max="17" width="5.13"/>
    <col customWidth="1" min="18" max="18" width="7.63"/>
    <col customWidth="1" hidden="1" min="19" max="19" width="6.13"/>
    <col customWidth="1" min="20" max="20" width="9.0"/>
    <col customWidth="1" hidden="1" min="21" max="21" width="5.88"/>
    <col customWidth="1" min="22" max="22" width="9.0"/>
    <col customWidth="1" hidden="1" min="23" max="23" width="5.5"/>
    <col customWidth="1" min="24" max="24" width="9.0"/>
    <col customWidth="1" hidden="1" min="25" max="25" width="6.0"/>
    <col customWidth="1" min="26" max="26" width="9.0"/>
    <col customWidth="1" hidden="1" min="27" max="27" width="5.5"/>
    <col customWidth="1" min="28" max="28" width="9.88"/>
    <col customWidth="1" min="29" max="33" width="9.13"/>
  </cols>
  <sheetData>
    <row r="1" ht="15.0" customHeight="1">
      <c r="AC1" s="75"/>
    </row>
    <row r="2" ht="12.75" customHeight="1">
      <c r="B2" s="2"/>
      <c r="C2" s="76" t="s">
        <v>100</v>
      </c>
      <c r="D2" s="77">
        <v>46023.0</v>
      </c>
      <c r="E2" s="78">
        <v>46023.0</v>
      </c>
      <c r="F2" s="77">
        <v>46054.0</v>
      </c>
      <c r="G2" s="78">
        <v>46054.0</v>
      </c>
      <c r="H2" s="77">
        <v>46082.0</v>
      </c>
      <c r="I2" s="78">
        <v>46082.0</v>
      </c>
      <c r="J2" s="77">
        <v>46113.0</v>
      </c>
      <c r="K2" s="78">
        <v>46113.0</v>
      </c>
      <c r="L2" s="77">
        <v>46143.0</v>
      </c>
      <c r="M2" s="78">
        <v>46143.0</v>
      </c>
      <c r="N2" s="77">
        <v>46174.0</v>
      </c>
      <c r="O2" s="78">
        <v>46174.0</v>
      </c>
      <c r="P2" s="77">
        <v>46204.0</v>
      </c>
      <c r="Q2" s="78">
        <v>46204.0</v>
      </c>
      <c r="R2" s="77">
        <v>46235.0</v>
      </c>
      <c r="S2" s="78">
        <v>46235.0</v>
      </c>
      <c r="T2" s="77">
        <v>46266.0</v>
      </c>
      <c r="U2" s="78">
        <v>46266.0</v>
      </c>
      <c r="V2" s="77">
        <v>46296.0</v>
      </c>
      <c r="W2" s="78">
        <v>46296.0</v>
      </c>
      <c r="X2" s="77">
        <v>46327.0</v>
      </c>
      <c r="Y2" s="78">
        <v>46327.0</v>
      </c>
      <c r="Z2" s="77">
        <v>46357.0</v>
      </c>
      <c r="AA2" s="78">
        <v>46357.0</v>
      </c>
      <c r="AB2" s="79">
        <v>2026.0</v>
      </c>
      <c r="AC2" s="75"/>
    </row>
    <row r="3" ht="12.75" customHeight="1">
      <c r="B3" s="2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75"/>
    </row>
    <row r="4" ht="12.75" customHeight="1">
      <c r="B4" s="2"/>
      <c r="C4" s="81" t="s">
        <v>101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75"/>
    </row>
    <row r="5" ht="12.75" customHeight="1">
      <c r="B5" s="2" t="s">
        <v>102</v>
      </c>
      <c r="C5" s="2" t="s">
        <v>103</v>
      </c>
      <c r="D5" s="82">
        <v>695531.68</v>
      </c>
      <c r="E5" s="3">
        <v>0.0</v>
      </c>
      <c r="F5" s="82">
        <v>695531.68</v>
      </c>
      <c r="G5" s="3">
        <v>0.0</v>
      </c>
      <c r="H5" s="82">
        <v>695531.68</v>
      </c>
      <c r="I5" s="3">
        <v>0.0</v>
      </c>
      <c r="J5" s="82">
        <v>695531.68</v>
      </c>
      <c r="K5" s="3">
        <v>0.0</v>
      </c>
      <c r="L5" s="82">
        <v>695531.68</v>
      </c>
      <c r="M5" s="3">
        <v>0.0</v>
      </c>
      <c r="N5" s="82">
        <v>695531.68</v>
      </c>
      <c r="O5" s="3">
        <v>0.0</v>
      </c>
      <c r="P5" s="82">
        <v>695531.68</v>
      </c>
      <c r="Q5" s="3">
        <v>0.0</v>
      </c>
      <c r="R5" s="82">
        <v>695531.68</v>
      </c>
      <c r="S5" s="3">
        <v>0.0</v>
      </c>
      <c r="T5" s="82">
        <v>695531.68</v>
      </c>
      <c r="U5" s="3">
        <v>0.0</v>
      </c>
      <c r="V5" s="82">
        <v>695531.68</v>
      </c>
      <c r="W5" s="3">
        <v>0.0</v>
      </c>
      <c r="X5" s="82">
        <v>695531.68</v>
      </c>
      <c r="Y5" s="3">
        <v>0.0</v>
      </c>
      <c r="Z5" s="82">
        <v>695531.68</v>
      </c>
      <c r="AA5" s="3">
        <v>0.0</v>
      </c>
      <c r="AB5" s="3">
        <f t="shared" ref="AB5:AB8" si="1">D5+F5+H5+J5+L5+N5+P5+R5+T5+V5+X5+Z5</f>
        <v>8346380.16</v>
      </c>
      <c r="AC5" s="83"/>
      <c r="AD5" s="84"/>
    </row>
    <row r="6" ht="12.75" customHeight="1">
      <c r="B6" s="2" t="s">
        <v>104</v>
      </c>
      <c r="C6" s="2" t="s">
        <v>105</v>
      </c>
      <c r="D6" s="3">
        <v>-18444.425</v>
      </c>
      <c r="E6" s="3">
        <v>0.0</v>
      </c>
      <c r="F6" s="3">
        <v>-18423.994599999998</v>
      </c>
      <c r="G6" s="3">
        <v>0.0</v>
      </c>
      <c r="H6" s="3">
        <v>-18402.8975</v>
      </c>
      <c r="I6" s="3">
        <v>0.0</v>
      </c>
      <c r="J6" s="3">
        <v>-18493.5913</v>
      </c>
      <c r="K6" s="3">
        <v>0.0</v>
      </c>
      <c r="L6" s="3">
        <v>-19741.292099999995</v>
      </c>
      <c r="M6" s="3">
        <v>0.0</v>
      </c>
      <c r="N6" s="3">
        <v>-18391.1455</v>
      </c>
      <c r="O6" s="3">
        <v>0.0</v>
      </c>
      <c r="P6" s="3">
        <v>-18402.0726</v>
      </c>
      <c r="Q6" s="3">
        <v>0.0</v>
      </c>
      <c r="R6" s="3">
        <v>-18545.187099999996</v>
      </c>
      <c r="S6" s="3">
        <v>0.0</v>
      </c>
      <c r="T6" s="3">
        <v>-18954.1454</v>
      </c>
      <c r="U6" s="3">
        <v>0.0</v>
      </c>
      <c r="V6" s="3">
        <v>-12255.602990909087</v>
      </c>
      <c r="W6" s="3">
        <v>0.0</v>
      </c>
      <c r="X6" s="3">
        <v>-12255.602990909087</v>
      </c>
      <c r="Y6" s="3">
        <v>0.0</v>
      </c>
      <c r="Z6" s="3">
        <v>-12264.266666666665</v>
      </c>
      <c r="AA6" s="3">
        <v>0.0</v>
      </c>
      <c r="AB6" s="3">
        <f t="shared" si="1"/>
        <v>-204574.2237</v>
      </c>
      <c r="AC6" s="75"/>
    </row>
    <row r="7" ht="12.75" customHeight="1">
      <c r="B7" s="2" t="s">
        <v>106</v>
      </c>
      <c r="C7" s="2" t="s">
        <v>107</v>
      </c>
      <c r="D7" s="82">
        <v>260871.54</v>
      </c>
      <c r="E7" s="3">
        <v>0.0</v>
      </c>
      <c r="F7" s="82">
        <v>260871.54</v>
      </c>
      <c r="G7" s="3">
        <v>0.0</v>
      </c>
      <c r="H7" s="82">
        <v>260871.54</v>
      </c>
      <c r="I7" s="3">
        <v>0.0</v>
      </c>
      <c r="J7" s="82">
        <v>260871.54</v>
      </c>
      <c r="K7" s="3">
        <v>0.0</v>
      </c>
      <c r="L7" s="82">
        <v>260871.54</v>
      </c>
      <c r="M7" s="3">
        <v>0.0</v>
      </c>
      <c r="N7" s="82">
        <v>260871.54</v>
      </c>
      <c r="O7" s="3">
        <v>0.0</v>
      </c>
      <c r="P7" s="82">
        <v>260871.54</v>
      </c>
      <c r="Q7" s="3">
        <v>0.0</v>
      </c>
      <c r="R7" s="82">
        <v>260871.54</v>
      </c>
      <c r="S7" s="3">
        <v>0.0</v>
      </c>
      <c r="T7" s="82">
        <v>260871.54</v>
      </c>
      <c r="U7" s="3">
        <v>0.0</v>
      </c>
      <c r="V7" s="82">
        <v>260871.54</v>
      </c>
      <c r="W7" s="3">
        <v>0.0</v>
      </c>
      <c r="X7" s="82">
        <v>260871.54</v>
      </c>
      <c r="Y7" s="3">
        <v>0.0</v>
      </c>
      <c r="Z7" s="82">
        <v>260871.54</v>
      </c>
      <c r="AA7" s="3">
        <v>0.0</v>
      </c>
      <c r="AB7" s="3">
        <f t="shared" si="1"/>
        <v>3130458.48</v>
      </c>
      <c r="AC7" s="83"/>
      <c r="AD7" s="84"/>
    </row>
    <row r="8" ht="12.75" customHeight="1">
      <c r="B8" s="2" t="s">
        <v>108</v>
      </c>
      <c r="C8" s="2" t="s">
        <v>109</v>
      </c>
      <c r="D8" s="3">
        <v>42035.99999999999</v>
      </c>
      <c r="E8" s="3">
        <v>0.0</v>
      </c>
      <c r="F8" s="3">
        <v>74015.0</v>
      </c>
      <c r="G8" s="3">
        <v>0.0</v>
      </c>
      <c r="H8" s="3">
        <v>25424.999999999996</v>
      </c>
      <c r="I8" s="3">
        <v>0.0</v>
      </c>
      <c r="J8" s="3">
        <v>27684.999999999996</v>
      </c>
      <c r="K8" s="3">
        <v>0.0</v>
      </c>
      <c r="L8" s="3">
        <v>0.0</v>
      </c>
      <c r="M8" s="3">
        <v>0.0</v>
      </c>
      <c r="N8" s="3">
        <v>33335.0</v>
      </c>
      <c r="O8" s="3">
        <v>0.0</v>
      </c>
      <c r="P8" s="3">
        <v>33335.0</v>
      </c>
      <c r="Q8" s="3">
        <v>0.0</v>
      </c>
      <c r="R8" s="3">
        <v>18419.0</v>
      </c>
      <c r="S8" s="3">
        <v>0.0</v>
      </c>
      <c r="T8" s="3">
        <v>34804.0</v>
      </c>
      <c r="U8" s="3">
        <v>0.0</v>
      </c>
      <c r="V8" s="3">
        <v>67800.0</v>
      </c>
      <c r="W8" s="3">
        <v>0.0</v>
      </c>
      <c r="X8" s="3">
        <v>80229.99999999999</v>
      </c>
      <c r="Y8" s="3">
        <v>0.0</v>
      </c>
      <c r="Z8" s="3">
        <v>73450.0</v>
      </c>
      <c r="AA8" s="3">
        <v>0.0</v>
      </c>
      <c r="AB8" s="3">
        <f t="shared" si="1"/>
        <v>510534</v>
      </c>
      <c r="AC8" s="75"/>
    </row>
    <row r="9" ht="12.75" customHeight="1">
      <c r="B9" s="2"/>
      <c r="C9" s="85" t="s">
        <v>110</v>
      </c>
      <c r="D9" s="86">
        <f t="shared" ref="D9:AB9" si="2">SUM(D5:D8)</f>
        <v>979994.795</v>
      </c>
      <c r="E9" s="86">
        <f t="shared" si="2"/>
        <v>0</v>
      </c>
      <c r="F9" s="86">
        <f t="shared" si="2"/>
        <v>1011994.225</v>
      </c>
      <c r="G9" s="86">
        <f t="shared" si="2"/>
        <v>0</v>
      </c>
      <c r="H9" s="86">
        <f t="shared" si="2"/>
        <v>963425.3225</v>
      </c>
      <c r="I9" s="86">
        <f t="shared" si="2"/>
        <v>0</v>
      </c>
      <c r="J9" s="86">
        <f t="shared" si="2"/>
        <v>965594.6287</v>
      </c>
      <c r="K9" s="86">
        <f t="shared" si="2"/>
        <v>0</v>
      </c>
      <c r="L9" s="86">
        <f t="shared" si="2"/>
        <v>936661.9279</v>
      </c>
      <c r="M9" s="86">
        <f t="shared" si="2"/>
        <v>0</v>
      </c>
      <c r="N9" s="86">
        <f t="shared" si="2"/>
        <v>971347.0745</v>
      </c>
      <c r="O9" s="86">
        <f t="shared" si="2"/>
        <v>0</v>
      </c>
      <c r="P9" s="86">
        <f t="shared" si="2"/>
        <v>971336.1474</v>
      </c>
      <c r="Q9" s="86">
        <f t="shared" si="2"/>
        <v>0</v>
      </c>
      <c r="R9" s="86">
        <f t="shared" si="2"/>
        <v>956277.0329</v>
      </c>
      <c r="S9" s="86">
        <f t="shared" si="2"/>
        <v>0</v>
      </c>
      <c r="T9" s="86">
        <f t="shared" si="2"/>
        <v>972253.0746</v>
      </c>
      <c r="U9" s="86">
        <f t="shared" si="2"/>
        <v>0</v>
      </c>
      <c r="V9" s="86">
        <f t="shared" si="2"/>
        <v>1011947.617</v>
      </c>
      <c r="W9" s="86">
        <f t="shared" si="2"/>
        <v>0</v>
      </c>
      <c r="X9" s="86">
        <f t="shared" si="2"/>
        <v>1024377.617</v>
      </c>
      <c r="Y9" s="86">
        <f t="shared" si="2"/>
        <v>0</v>
      </c>
      <c r="Z9" s="86">
        <f t="shared" si="2"/>
        <v>1017588.953</v>
      </c>
      <c r="AA9" s="86">
        <f t="shared" si="2"/>
        <v>0</v>
      </c>
      <c r="AB9" s="86">
        <f t="shared" si="2"/>
        <v>11782798.42</v>
      </c>
      <c r="AC9" s="75"/>
    </row>
    <row r="10" ht="12.75" customHeight="1">
      <c r="B10" s="2"/>
      <c r="C10" s="80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75"/>
    </row>
    <row r="11" ht="12.75" customHeight="1">
      <c r="B11" s="2"/>
      <c r="C11" s="81" t="s">
        <v>111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3"/>
      <c r="AC11" s="75"/>
    </row>
    <row r="12" ht="12.75" hidden="1" customHeight="1">
      <c r="B12" s="2" t="s">
        <v>112</v>
      </c>
      <c r="C12" s="2" t="s">
        <v>113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f t="shared" ref="AB12:AB14" si="3">D12+F12+H12+J12+L12+N12+P12+R12+T12+V12+X12+Z12</f>
        <v>0</v>
      </c>
      <c r="AC12" s="75"/>
    </row>
    <row r="13" ht="12.75" customHeight="1">
      <c r="B13" s="2" t="s">
        <v>114</v>
      </c>
      <c r="C13" s="2" t="s">
        <v>115</v>
      </c>
      <c r="D13" s="82">
        <v>38293.58</v>
      </c>
      <c r="E13" s="3">
        <v>0.0</v>
      </c>
      <c r="F13" s="82">
        <v>38293.58</v>
      </c>
      <c r="G13" s="3">
        <v>0.0</v>
      </c>
      <c r="H13" s="82">
        <v>38293.58</v>
      </c>
      <c r="I13" s="3">
        <v>0.0</v>
      </c>
      <c r="J13" s="82">
        <v>38293.58</v>
      </c>
      <c r="K13" s="3">
        <v>0.0</v>
      </c>
      <c r="L13" s="82">
        <v>38293.58</v>
      </c>
      <c r="M13" s="3">
        <v>0.0</v>
      </c>
      <c r="N13" s="82">
        <v>38293.58</v>
      </c>
      <c r="O13" s="3">
        <v>0.0</v>
      </c>
      <c r="P13" s="82">
        <v>38293.58</v>
      </c>
      <c r="Q13" s="3">
        <v>0.0</v>
      </c>
      <c r="R13" s="82">
        <v>38293.58</v>
      </c>
      <c r="S13" s="3">
        <v>0.0</v>
      </c>
      <c r="T13" s="82">
        <v>38293.58</v>
      </c>
      <c r="U13" s="3">
        <v>0.0</v>
      </c>
      <c r="V13" s="82">
        <v>38293.58</v>
      </c>
      <c r="W13" s="3">
        <v>0.0</v>
      </c>
      <c r="X13" s="82">
        <v>38293.58</v>
      </c>
      <c r="Y13" s="3">
        <v>0.0</v>
      </c>
      <c r="Z13" s="82">
        <v>38293.58</v>
      </c>
      <c r="AA13" s="3">
        <v>0.0</v>
      </c>
      <c r="AB13" s="3">
        <f t="shared" si="3"/>
        <v>459522.96</v>
      </c>
      <c r="AC13" s="87"/>
    </row>
    <row r="14" ht="12.75" customHeight="1">
      <c r="B14" s="2" t="s">
        <v>116</v>
      </c>
      <c r="C14" s="2" t="s">
        <v>117</v>
      </c>
      <c r="D14" s="3">
        <v>1657.0026</v>
      </c>
      <c r="E14" s="3">
        <v>0.0</v>
      </c>
      <c r="F14" s="3">
        <v>1923.9636</v>
      </c>
      <c r="G14" s="3">
        <v>0.0</v>
      </c>
      <c r="H14" s="3">
        <v>0.0</v>
      </c>
      <c r="I14" s="3">
        <v>0.0</v>
      </c>
      <c r="J14" s="3">
        <v>860.0310000000001</v>
      </c>
      <c r="K14" s="3">
        <v>0.0</v>
      </c>
      <c r="L14" s="3">
        <v>0.0</v>
      </c>
      <c r="M14" s="3">
        <v>0.0</v>
      </c>
      <c r="N14" s="3">
        <v>4139.247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2339.3140000000003</v>
      </c>
      <c r="U14" s="3">
        <v>0.0</v>
      </c>
      <c r="V14" s="3">
        <v>0.0</v>
      </c>
      <c r="W14" s="3">
        <v>0.0</v>
      </c>
      <c r="X14" s="3">
        <v>22599.999999999996</v>
      </c>
      <c r="Y14" s="3">
        <v>0.0</v>
      </c>
      <c r="Z14" s="3">
        <v>0.0</v>
      </c>
      <c r="AA14" s="3">
        <v>0.0</v>
      </c>
      <c r="AB14" s="3">
        <f t="shared" si="3"/>
        <v>33519.5582</v>
      </c>
      <c r="AC14" s="75"/>
    </row>
    <row r="15" ht="12.75" customHeight="1">
      <c r="B15" s="2"/>
      <c r="C15" s="85" t="s">
        <v>118</v>
      </c>
      <c r="D15" s="86">
        <f t="shared" ref="D15:AB15" si="4">SUM(D12:D14)</f>
        <v>39950.5826</v>
      </c>
      <c r="E15" s="86">
        <f t="shared" si="4"/>
        <v>0</v>
      </c>
      <c r="F15" s="86">
        <f t="shared" si="4"/>
        <v>40217.5436</v>
      </c>
      <c r="G15" s="86">
        <f t="shared" si="4"/>
        <v>0</v>
      </c>
      <c r="H15" s="86">
        <f t="shared" si="4"/>
        <v>38293.58</v>
      </c>
      <c r="I15" s="86">
        <f t="shared" si="4"/>
        <v>0</v>
      </c>
      <c r="J15" s="86">
        <f t="shared" si="4"/>
        <v>39153.611</v>
      </c>
      <c r="K15" s="86">
        <f t="shared" si="4"/>
        <v>0</v>
      </c>
      <c r="L15" s="86">
        <f t="shared" si="4"/>
        <v>38293.58</v>
      </c>
      <c r="M15" s="86">
        <f t="shared" si="4"/>
        <v>0</v>
      </c>
      <c r="N15" s="86">
        <f t="shared" si="4"/>
        <v>42432.827</v>
      </c>
      <c r="O15" s="86">
        <f t="shared" si="4"/>
        <v>0</v>
      </c>
      <c r="P15" s="86">
        <f t="shared" si="4"/>
        <v>38293.58</v>
      </c>
      <c r="Q15" s="86">
        <f t="shared" si="4"/>
        <v>0</v>
      </c>
      <c r="R15" s="86">
        <f t="shared" si="4"/>
        <v>38293.58</v>
      </c>
      <c r="S15" s="86">
        <f t="shared" si="4"/>
        <v>0</v>
      </c>
      <c r="T15" s="86">
        <f t="shared" si="4"/>
        <v>40632.894</v>
      </c>
      <c r="U15" s="86">
        <f t="shared" si="4"/>
        <v>0</v>
      </c>
      <c r="V15" s="86">
        <f t="shared" si="4"/>
        <v>38293.58</v>
      </c>
      <c r="W15" s="86">
        <f t="shared" si="4"/>
        <v>0</v>
      </c>
      <c r="X15" s="86">
        <f t="shared" si="4"/>
        <v>60893.58</v>
      </c>
      <c r="Y15" s="86">
        <f t="shared" si="4"/>
        <v>0</v>
      </c>
      <c r="Z15" s="86">
        <f t="shared" si="4"/>
        <v>38293.58</v>
      </c>
      <c r="AA15" s="86">
        <f t="shared" si="4"/>
        <v>0</v>
      </c>
      <c r="AB15" s="86">
        <f t="shared" si="4"/>
        <v>493042.5182</v>
      </c>
      <c r="AC15" s="75"/>
    </row>
    <row r="16" ht="15.0" customHeight="1">
      <c r="AC16" s="75"/>
    </row>
    <row r="17" ht="15.0" customHeight="1">
      <c r="AC17" s="75"/>
    </row>
    <row r="18" ht="12.75" customHeight="1">
      <c r="C18" s="88" t="s">
        <v>119</v>
      </c>
      <c r="D18" s="89">
        <f t="shared" ref="D18:AB18" si="5">+D9-D15</f>
        <v>940044.2124</v>
      </c>
      <c r="E18" s="89">
        <f t="shared" si="5"/>
        <v>0</v>
      </c>
      <c r="F18" s="89">
        <f t="shared" si="5"/>
        <v>971776.6818</v>
      </c>
      <c r="G18" s="89">
        <f t="shared" si="5"/>
        <v>0</v>
      </c>
      <c r="H18" s="89">
        <f t="shared" si="5"/>
        <v>925131.7425</v>
      </c>
      <c r="I18" s="89">
        <f t="shared" si="5"/>
        <v>0</v>
      </c>
      <c r="J18" s="89">
        <f t="shared" si="5"/>
        <v>926441.0177</v>
      </c>
      <c r="K18" s="89">
        <f t="shared" si="5"/>
        <v>0</v>
      </c>
      <c r="L18" s="89">
        <f t="shared" si="5"/>
        <v>898368.3479</v>
      </c>
      <c r="M18" s="89">
        <f t="shared" si="5"/>
        <v>0</v>
      </c>
      <c r="N18" s="89">
        <f t="shared" si="5"/>
        <v>928914.2475</v>
      </c>
      <c r="O18" s="89">
        <f t="shared" si="5"/>
        <v>0</v>
      </c>
      <c r="P18" s="89">
        <f t="shared" si="5"/>
        <v>933042.5674</v>
      </c>
      <c r="Q18" s="89">
        <f t="shared" si="5"/>
        <v>0</v>
      </c>
      <c r="R18" s="89">
        <f t="shared" si="5"/>
        <v>917983.4529</v>
      </c>
      <c r="S18" s="89">
        <f t="shared" si="5"/>
        <v>0</v>
      </c>
      <c r="T18" s="89">
        <f t="shared" si="5"/>
        <v>931620.1806</v>
      </c>
      <c r="U18" s="89">
        <f t="shared" si="5"/>
        <v>0</v>
      </c>
      <c r="V18" s="89">
        <f t="shared" si="5"/>
        <v>973654.037</v>
      </c>
      <c r="W18" s="89">
        <f t="shared" si="5"/>
        <v>0</v>
      </c>
      <c r="X18" s="89">
        <f t="shared" si="5"/>
        <v>963484.037</v>
      </c>
      <c r="Y18" s="89">
        <f t="shared" si="5"/>
        <v>0</v>
      </c>
      <c r="Z18" s="89">
        <f t="shared" si="5"/>
        <v>979295.3733</v>
      </c>
      <c r="AA18" s="89">
        <f t="shared" si="5"/>
        <v>0</v>
      </c>
      <c r="AB18" s="90">
        <f t="shared" si="5"/>
        <v>11289755.9</v>
      </c>
      <c r="AC18" s="75"/>
    </row>
    <row r="19" ht="15.0" customHeight="1">
      <c r="M19" s="91"/>
      <c r="O19" s="91"/>
      <c r="Q19" s="2"/>
      <c r="AB19" s="92"/>
      <c r="AC19" s="75"/>
    </row>
    <row r="20" ht="15.0" customHeight="1">
      <c r="M20" s="2"/>
      <c r="O20" s="2"/>
      <c r="Q20" s="2"/>
      <c r="AB20" s="93"/>
      <c r="AC20" s="75"/>
    </row>
    <row r="21" ht="15.0" customHeight="1">
      <c r="M21" s="2"/>
      <c r="O21" s="2"/>
      <c r="Q21" s="2"/>
      <c r="AB21" s="92"/>
      <c r="AC21" s="75"/>
    </row>
    <row r="22" ht="15.0" customHeight="1">
      <c r="M22" s="2"/>
      <c r="O22" s="2"/>
      <c r="Q22" s="2"/>
      <c r="AB22" s="92"/>
      <c r="AC22" s="75"/>
    </row>
    <row r="23" ht="15.0" customHeight="1">
      <c r="M23" s="2"/>
      <c r="O23" s="2"/>
      <c r="Q23" s="2"/>
      <c r="AB23" s="92"/>
      <c r="AC23" s="75"/>
    </row>
    <row r="24" ht="15.0" customHeight="1">
      <c r="M24" s="2"/>
      <c r="O24" s="2"/>
      <c r="Q24" s="2"/>
      <c r="AB24" s="92"/>
      <c r="AC24" s="75"/>
    </row>
    <row r="25" ht="15.0" customHeight="1">
      <c r="M25" s="2"/>
      <c r="O25" s="2"/>
      <c r="Q25" s="2"/>
      <c r="AC25" s="75"/>
    </row>
    <row r="26" ht="15.0" customHeight="1">
      <c r="M26" s="2"/>
      <c r="O26" s="2"/>
      <c r="Q26" s="2"/>
      <c r="AC26" s="75"/>
    </row>
    <row r="27" ht="15.0" customHeight="1">
      <c r="M27" s="75"/>
      <c r="O27" s="75"/>
      <c r="Q27" s="2"/>
      <c r="AC27" s="75"/>
    </row>
    <row r="28" ht="15.0" customHeight="1">
      <c r="M28" s="2"/>
      <c r="O28" s="2"/>
      <c r="AC28" s="75"/>
    </row>
    <row r="29" ht="15.0" customHeight="1">
      <c r="M29" s="2"/>
      <c r="O29" s="2"/>
      <c r="AC29" s="75"/>
    </row>
    <row r="30">
      <c r="AC30" s="75"/>
    </row>
    <row r="31">
      <c r="AC31" s="75"/>
    </row>
    <row r="32">
      <c r="AC32" s="75"/>
    </row>
    <row r="33">
      <c r="AC33" s="75"/>
    </row>
    <row r="34">
      <c r="AC34" s="75"/>
    </row>
    <row r="35">
      <c r="AC35" s="75"/>
    </row>
    <row r="36">
      <c r="AC36" s="75"/>
    </row>
    <row r="37">
      <c r="AC37" s="75"/>
    </row>
    <row r="38">
      <c r="AC38" s="75"/>
    </row>
    <row r="39">
      <c r="AC39" s="75"/>
    </row>
    <row r="40">
      <c r="AC40" s="75"/>
    </row>
    <row r="41">
      <c r="AC41" s="75"/>
    </row>
    <row r="42">
      <c r="AC42" s="75"/>
    </row>
    <row r="43">
      <c r="AC43" s="75"/>
    </row>
    <row r="44">
      <c r="AC44" s="75"/>
    </row>
    <row r="45">
      <c r="AC45" s="75"/>
    </row>
    <row r="46">
      <c r="AC46" s="75"/>
    </row>
    <row r="47">
      <c r="AC47" s="75"/>
    </row>
    <row r="48">
      <c r="AC48" s="75"/>
    </row>
    <row r="49">
      <c r="AC49" s="75"/>
    </row>
    <row r="50">
      <c r="AC50" s="75"/>
    </row>
    <row r="51">
      <c r="AC51" s="75"/>
    </row>
    <row r="52">
      <c r="AC52" s="75"/>
    </row>
    <row r="53">
      <c r="AC53" s="75"/>
    </row>
    <row r="54">
      <c r="AC54" s="75"/>
    </row>
    <row r="55">
      <c r="AC55" s="75"/>
    </row>
    <row r="56">
      <c r="AC56" s="75"/>
    </row>
    <row r="57">
      <c r="AC57" s="75"/>
    </row>
    <row r="58">
      <c r="AC58" s="75"/>
    </row>
    <row r="59">
      <c r="AC59" s="75"/>
    </row>
    <row r="60">
      <c r="AC60" s="75"/>
    </row>
    <row r="61">
      <c r="AC61" s="75"/>
    </row>
    <row r="62">
      <c r="AC62" s="75"/>
    </row>
    <row r="63">
      <c r="AC63" s="75"/>
    </row>
    <row r="64">
      <c r="AC64" s="75"/>
    </row>
    <row r="65">
      <c r="AC65" s="75"/>
    </row>
    <row r="66">
      <c r="AC66" s="75"/>
    </row>
    <row r="67">
      <c r="AC67" s="75"/>
    </row>
    <row r="68">
      <c r="AC68" s="75"/>
    </row>
    <row r="69">
      <c r="AC69" s="75"/>
    </row>
    <row r="70">
      <c r="AC70" s="75"/>
    </row>
    <row r="71">
      <c r="AC71" s="75"/>
    </row>
    <row r="72">
      <c r="AC72" s="75"/>
    </row>
    <row r="73">
      <c r="AC73" s="75"/>
    </row>
    <row r="74">
      <c r="AC74" s="75"/>
    </row>
    <row r="75">
      <c r="AC75" s="75"/>
    </row>
    <row r="76">
      <c r="AC76" s="75"/>
    </row>
    <row r="77">
      <c r="AC77" s="75"/>
    </row>
    <row r="78">
      <c r="AC78" s="75"/>
    </row>
    <row r="79">
      <c r="AC79" s="75"/>
    </row>
    <row r="80">
      <c r="AC80" s="75"/>
    </row>
    <row r="81">
      <c r="AC81" s="75"/>
    </row>
    <row r="82">
      <c r="AC82" s="75"/>
    </row>
    <row r="83">
      <c r="AC83" s="75"/>
    </row>
    <row r="84">
      <c r="AC84" s="75"/>
    </row>
    <row r="85">
      <c r="AC85" s="75"/>
    </row>
    <row r="86">
      <c r="AC86" s="75"/>
    </row>
    <row r="87">
      <c r="AC87" s="75"/>
    </row>
    <row r="88">
      <c r="AC88" s="75"/>
    </row>
    <row r="89">
      <c r="AC89" s="75"/>
    </row>
    <row r="90">
      <c r="AC90" s="75"/>
    </row>
    <row r="91">
      <c r="AC91" s="75"/>
    </row>
    <row r="92">
      <c r="AC92" s="75"/>
    </row>
    <row r="93">
      <c r="AC93" s="75"/>
    </row>
    <row r="94">
      <c r="AC94" s="75"/>
    </row>
    <row r="95">
      <c r="AC95" s="75"/>
    </row>
    <row r="96">
      <c r="AC96" s="75"/>
    </row>
    <row r="97">
      <c r="AC97" s="75"/>
    </row>
    <row r="98">
      <c r="AC98" s="75"/>
    </row>
    <row r="99">
      <c r="AC99" s="75"/>
    </row>
    <row r="100">
      <c r="AC100" s="75"/>
    </row>
    <row r="101">
      <c r="AC101" s="75"/>
    </row>
    <row r="102">
      <c r="AC102" s="75"/>
    </row>
    <row r="103">
      <c r="AC103" s="75"/>
    </row>
    <row r="104">
      <c r="AC104" s="75"/>
    </row>
    <row r="105">
      <c r="AC105" s="75"/>
    </row>
    <row r="106">
      <c r="AC106" s="75"/>
    </row>
    <row r="107">
      <c r="AC107" s="75"/>
    </row>
    <row r="108">
      <c r="AC108" s="75"/>
    </row>
    <row r="109">
      <c r="AC109" s="75"/>
    </row>
    <row r="110">
      <c r="AC110" s="75"/>
    </row>
    <row r="111">
      <c r="AC111" s="75"/>
    </row>
    <row r="112">
      <c r="AC112" s="75"/>
    </row>
    <row r="113">
      <c r="AC113" s="75"/>
    </row>
    <row r="114">
      <c r="AC114" s="75"/>
    </row>
    <row r="115">
      <c r="AC115" s="75"/>
    </row>
    <row r="116">
      <c r="AC116" s="75"/>
    </row>
    <row r="117">
      <c r="AC117" s="75"/>
    </row>
    <row r="118">
      <c r="AC118" s="75"/>
    </row>
    <row r="119">
      <c r="AC119" s="75"/>
    </row>
    <row r="120">
      <c r="AC120" s="75"/>
    </row>
    <row r="121">
      <c r="AC121" s="75"/>
    </row>
    <row r="122">
      <c r="AC122" s="75"/>
    </row>
    <row r="123">
      <c r="AC123" s="75"/>
    </row>
    <row r="124">
      <c r="AC124" s="75"/>
    </row>
    <row r="125">
      <c r="AC125" s="75"/>
    </row>
    <row r="126">
      <c r="AC126" s="75"/>
    </row>
    <row r="127">
      <c r="AC127" s="75"/>
    </row>
    <row r="128">
      <c r="AC128" s="75"/>
    </row>
    <row r="129">
      <c r="AC129" s="75"/>
    </row>
    <row r="130">
      <c r="AC130" s="75"/>
    </row>
    <row r="131">
      <c r="AC131" s="75"/>
    </row>
    <row r="132">
      <c r="AC132" s="75"/>
    </row>
    <row r="133">
      <c r="AC133" s="75"/>
    </row>
    <row r="134">
      <c r="AC134" s="75"/>
    </row>
    <row r="135">
      <c r="AC135" s="75"/>
    </row>
    <row r="136">
      <c r="AC136" s="75"/>
    </row>
    <row r="137">
      <c r="AC137" s="75"/>
    </row>
    <row r="138">
      <c r="AC138" s="75"/>
    </row>
    <row r="139">
      <c r="AC139" s="75"/>
    </row>
    <row r="140">
      <c r="AC140" s="75"/>
    </row>
    <row r="141">
      <c r="AC141" s="75"/>
    </row>
    <row r="142">
      <c r="AC142" s="75"/>
    </row>
    <row r="143">
      <c r="AC143" s="75"/>
    </row>
    <row r="144">
      <c r="AC144" s="75"/>
    </row>
    <row r="145">
      <c r="AC145" s="75"/>
    </row>
    <row r="146">
      <c r="AC146" s="75"/>
    </row>
    <row r="147">
      <c r="AC147" s="75"/>
    </row>
    <row r="148">
      <c r="AC148" s="75"/>
    </row>
    <row r="149">
      <c r="AC149" s="75"/>
    </row>
    <row r="150">
      <c r="AC150" s="75"/>
    </row>
    <row r="151">
      <c r="AC151" s="75"/>
    </row>
    <row r="152">
      <c r="AC152" s="75"/>
    </row>
    <row r="153">
      <c r="AC153" s="75"/>
    </row>
    <row r="154">
      <c r="AC154" s="75"/>
    </row>
    <row r="155">
      <c r="AC155" s="75"/>
    </row>
    <row r="156">
      <c r="AC156" s="75"/>
    </row>
    <row r="157">
      <c r="AC157" s="75"/>
    </row>
    <row r="158">
      <c r="AC158" s="75"/>
    </row>
    <row r="159">
      <c r="AC159" s="75"/>
    </row>
    <row r="160">
      <c r="AC160" s="75"/>
    </row>
    <row r="161">
      <c r="AC161" s="75"/>
    </row>
    <row r="162">
      <c r="AC162" s="75"/>
    </row>
    <row r="163">
      <c r="AC163" s="75"/>
    </row>
    <row r="164">
      <c r="AC164" s="75"/>
    </row>
    <row r="165">
      <c r="AC165" s="75"/>
    </row>
    <row r="166">
      <c r="AC166" s="75"/>
    </row>
    <row r="167">
      <c r="AC167" s="75"/>
    </row>
    <row r="168">
      <c r="AC168" s="75"/>
    </row>
    <row r="169">
      <c r="AC169" s="75"/>
    </row>
    <row r="170">
      <c r="AC170" s="75"/>
    </row>
    <row r="171">
      <c r="AC171" s="75"/>
    </row>
    <row r="172">
      <c r="AC172" s="75"/>
    </row>
    <row r="173">
      <c r="AC173" s="75"/>
    </row>
    <row r="174">
      <c r="AC174" s="75"/>
    </row>
    <row r="175">
      <c r="AC175" s="75"/>
    </row>
    <row r="176">
      <c r="AC176" s="75"/>
    </row>
    <row r="177">
      <c r="AC177" s="75"/>
    </row>
    <row r="178">
      <c r="AC178" s="75"/>
    </row>
    <row r="179">
      <c r="AC179" s="75"/>
    </row>
    <row r="180">
      <c r="AC180" s="75"/>
    </row>
    <row r="181">
      <c r="AC181" s="75"/>
    </row>
    <row r="182">
      <c r="AC182" s="75"/>
    </row>
    <row r="183">
      <c r="AC183" s="75"/>
    </row>
    <row r="184">
      <c r="AC184" s="75"/>
    </row>
    <row r="185">
      <c r="AC185" s="75"/>
    </row>
    <row r="186">
      <c r="AC186" s="75"/>
    </row>
    <row r="187">
      <c r="AC187" s="75"/>
    </row>
    <row r="188">
      <c r="AC188" s="75"/>
    </row>
    <row r="189">
      <c r="AC189" s="75"/>
    </row>
    <row r="190">
      <c r="AC190" s="75"/>
    </row>
    <row r="191">
      <c r="AC191" s="75"/>
    </row>
    <row r="192">
      <c r="AC192" s="75"/>
    </row>
    <row r="193">
      <c r="AC193" s="75"/>
    </row>
    <row r="194">
      <c r="AC194" s="75"/>
    </row>
    <row r="195">
      <c r="AC195" s="75"/>
    </row>
    <row r="196">
      <c r="AC196" s="75"/>
    </row>
    <row r="197">
      <c r="AC197" s="75"/>
    </row>
    <row r="198">
      <c r="AC198" s="75"/>
    </row>
    <row r="199">
      <c r="AC199" s="75"/>
    </row>
    <row r="200">
      <c r="AC200" s="75"/>
    </row>
    <row r="201">
      <c r="AC201" s="75"/>
    </row>
    <row r="202">
      <c r="AC202" s="75"/>
    </row>
    <row r="203">
      <c r="AC203" s="75"/>
    </row>
    <row r="204">
      <c r="AC204" s="75"/>
    </row>
    <row r="205">
      <c r="AC205" s="75"/>
    </row>
    <row r="206">
      <c r="AC206" s="75"/>
    </row>
    <row r="207">
      <c r="AC207" s="75"/>
    </row>
    <row r="208">
      <c r="AC208" s="75"/>
    </row>
    <row r="209">
      <c r="AC209" s="75"/>
    </row>
    <row r="210">
      <c r="AC210" s="75"/>
    </row>
    <row r="211">
      <c r="AC211" s="75"/>
    </row>
    <row r="212">
      <c r="AC212" s="75"/>
    </row>
    <row r="213">
      <c r="AC213" s="75"/>
    </row>
    <row r="214">
      <c r="AC214" s="75"/>
    </row>
    <row r="215">
      <c r="AC215" s="75"/>
    </row>
    <row r="216">
      <c r="AC216" s="75"/>
    </row>
    <row r="217">
      <c r="AC217" s="75"/>
    </row>
    <row r="218">
      <c r="AC218" s="75"/>
    </row>
    <row r="219">
      <c r="AC219" s="75"/>
    </row>
    <row r="220">
      <c r="AC220" s="75"/>
    </row>
    <row r="221">
      <c r="AC221" s="75"/>
    </row>
    <row r="222">
      <c r="AC222" s="75"/>
    </row>
    <row r="223">
      <c r="AC223" s="75"/>
    </row>
    <row r="224">
      <c r="AC224" s="75"/>
    </row>
    <row r="225">
      <c r="AC225" s="75"/>
    </row>
    <row r="226">
      <c r="AC226" s="75"/>
    </row>
    <row r="227">
      <c r="AC227" s="75"/>
    </row>
    <row r="228">
      <c r="AC228" s="75"/>
    </row>
    <row r="229">
      <c r="AC229" s="75"/>
    </row>
    <row r="230">
      <c r="AC230" s="75"/>
    </row>
    <row r="231">
      <c r="AC231" s="75"/>
    </row>
    <row r="232">
      <c r="AC232" s="75"/>
    </row>
    <row r="233">
      <c r="AC233" s="75"/>
    </row>
    <row r="234">
      <c r="AC234" s="75"/>
    </row>
    <row r="235">
      <c r="AC235" s="75"/>
    </row>
    <row r="236">
      <c r="AC236" s="75"/>
    </row>
    <row r="237">
      <c r="AC237" s="75"/>
    </row>
    <row r="238">
      <c r="AC238" s="75"/>
    </row>
    <row r="239">
      <c r="AC239" s="75"/>
    </row>
    <row r="240">
      <c r="AC240" s="75"/>
    </row>
    <row r="241">
      <c r="AC241" s="75"/>
    </row>
    <row r="242">
      <c r="AC242" s="75"/>
    </row>
    <row r="243">
      <c r="AC243" s="75"/>
    </row>
    <row r="244">
      <c r="AC244" s="75"/>
    </row>
    <row r="245">
      <c r="AC245" s="75"/>
    </row>
    <row r="246">
      <c r="AC246" s="75"/>
    </row>
    <row r="247">
      <c r="AC247" s="75"/>
    </row>
    <row r="248">
      <c r="AC248" s="75"/>
    </row>
    <row r="249">
      <c r="AC249" s="75"/>
    </row>
    <row r="250">
      <c r="AC250" s="75"/>
    </row>
    <row r="251">
      <c r="AC251" s="75"/>
    </row>
    <row r="252">
      <c r="AC252" s="75"/>
    </row>
    <row r="253">
      <c r="AC253" s="75"/>
    </row>
    <row r="254">
      <c r="AC254" s="75"/>
    </row>
    <row r="255">
      <c r="AC255" s="75"/>
    </row>
    <row r="256">
      <c r="AC256" s="75"/>
    </row>
    <row r="257">
      <c r="AC257" s="75"/>
    </row>
    <row r="258">
      <c r="AC258" s="75"/>
    </row>
    <row r="259">
      <c r="AC259" s="75"/>
    </row>
    <row r="260">
      <c r="AC260" s="75"/>
    </row>
    <row r="261">
      <c r="AC261" s="75"/>
    </row>
    <row r="262">
      <c r="AC262" s="75"/>
    </row>
    <row r="263">
      <c r="AC263" s="75"/>
    </row>
    <row r="264">
      <c r="AC264" s="75"/>
    </row>
    <row r="265">
      <c r="AC265" s="75"/>
    </row>
    <row r="266">
      <c r="AC266" s="75"/>
    </row>
    <row r="267">
      <c r="AC267" s="75"/>
    </row>
    <row r="268">
      <c r="AC268" s="75"/>
    </row>
    <row r="269">
      <c r="AC269" s="75"/>
    </row>
    <row r="270">
      <c r="AC270" s="75"/>
    </row>
    <row r="271">
      <c r="AC271" s="75"/>
    </row>
    <row r="272">
      <c r="AC272" s="75"/>
    </row>
    <row r="273">
      <c r="AC273" s="75"/>
    </row>
    <row r="274">
      <c r="AC274" s="75"/>
    </row>
    <row r="275">
      <c r="AC275" s="75"/>
    </row>
    <row r="276">
      <c r="AC276" s="75"/>
    </row>
    <row r="277">
      <c r="AC277" s="75"/>
    </row>
    <row r="278">
      <c r="AC278" s="75"/>
    </row>
    <row r="279">
      <c r="AC279" s="75"/>
    </row>
    <row r="280">
      <c r="AC280" s="75"/>
    </row>
    <row r="281">
      <c r="AC281" s="75"/>
    </row>
    <row r="282">
      <c r="AC282" s="75"/>
    </row>
    <row r="283">
      <c r="AC283" s="75"/>
    </row>
    <row r="284">
      <c r="AC284" s="75"/>
    </row>
    <row r="285">
      <c r="AC285" s="75"/>
    </row>
    <row r="286">
      <c r="AC286" s="75"/>
    </row>
    <row r="287">
      <c r="AC287" s="75"/>
    </row>
    <row r="288">
      <c r="AC288" s="75"/>
    </row>
    <row r="289">
      <c r="AC289" s="75"/>
    </row>
    <row r="290">
      <c r="AC290" s="75"/>
    </row>
    <row r="291">
      <c r="AC291" s="75"/>
    </row>
    <row r="292">
      <c r="AC292" s="75"/>
    </row>
    <row r="293">
      <c r="AC293" s="75"/>
    </row>
    <row r="294">
      <c r="AC294" s="75"/>
    </row>
    <row r="295">
      <c r="AC295" s="75"/>
    </row>
    <row r="296">
      <c r="AC296" s="75"/>
    </row>
    <row r="297">
      <c r="AC297" s="75"/>
    </row>
    <row r="298">
      <c r="AC298" s="75"/>
    </row>
    <row r="299">
      <c r="AC299" s="75"/>
    </row>
    <row r="300">
      <c r="AC300" s="75"/>
    </row>
    <row r="301">
      <c r="AC301" s="75"/>
    </row>
    <row r="302">
      <c r="AC302" s="75"/>
    </row>
    <row r="303">
      <c r="AC303" s="75"/>
    </row>
    <row r="304">
      <c r="AC304" s="75"/>
    </row>
    <row r="305">
      <c r="AC305" s="75"/>
    </row>
    <row r="306">
      <c r="AC306" s="75"/>
    </row>
    <row r="307">
      <c r="AC307" s="75"/>
    </row>
    <row r="308">
      <c r="AC308" s="75"/>
    </row>
    <row r="309">
      <c r="AC309" s="75"/>
    </row>
    <row r="310">
      <c r="AC310" s="75"/>
    </row>
    <row r="311">
      <c r="AC311" s="75"/>
    </row>
    <row r="312">
      <c r="AC312" s="75"/>
    </row>
    <row r="313">
      <c r="AC313" s="75"/>
    </row>
    <row r="314">
      <c r="AC314" s="75"/>
    </row>
    <row r="315">
      <c r="AC315" s="75"/>
    </row>
    <row r="316">
      <c r="AC316" s="75"/>
    </row>
    <row r="317">
      <c r="AC317" s="75"/>
    </row>
    <row r="318">
      <c r="AC318" s="75"/>
    </row>
    <row r="319">
      <c r="AC319" s="75"/>
    </row>
    <row r="320">
      <c r="AC320" s="75"/>
    </row>
    <row r="321">
      <c r="AC321" s="75"/>
    </row>
    <row r="322">
      <c r="AC322" s="75"/>
    </row>
    <row r="323">
      <c r="AC323" s="75"/>
    </row>
    <row r="324">
      <c r="AC324" s="75"/>
    </row>
    <row r="325">
      <c r="AC325" s="75"/>
    </row>
    <row r="326">
      <c r="AC326" s="75"/>
    </row>
    <row r="327">
      <c r="AC327" s="75"/>
    </row>
    <row r="328">
      <c r="AC328" s="75"/>
    </row>
    <row r="329">
      <c r="AC329" s="75"/>
    </row>
    <row r="330">
      <c r="AC330" s="75"/>
    </row>
    <row r="331">
      <c r="AC331" s="75"/>
    </row>
    <row r="332">
      <c r="AC332" s="75"/>
    </row>
    <row r="333">
      <c r="AC333" s="75"/>
    </row>
    <row r="334">
      <c r="AC334" s="75"/>
    </row>
    <row r="335">
      <c r="AC335" s="75"/>
    </row>
    <row r="336">
      <c r="AC336" s="75"/>
    </row>
    <row r="337">
      <c r="AC337" s="75"/>
    </row>
    <row r="338">
      <c r="AC338" s="75"/>
    </row>
    <row r="339">
      <c r="AC339" s="75"/>
    </row>
    <row r="340">
      <c r="AC340" s="75"/>
    </row>
    <row r="341">
      <c r="AC341" s="75"/>
    </row>
    <row r="342">
      <c r="AC342" s="75"/>
    </row>
    <row r="343">
      <c r="AC343" s="75"/>
    </row>
    <row r="344">
      <c r="AC344" s="75"/>
    </row>
    <row r="345">
      <c r="AC345" s="75"/>
    </row>
    <row r="346">
      <c r="AC346" s="75"/>
    </row>
    <row r="347">
      <c r="AC347" s="75"/>
    </row>
    <row r="348">
      <c r="AC348" s="75"/>
    </row>
    <row r="349">
      <c r="AC349" s="75"/>
    </row>
    <row r="350">
      <c r="AC350" s="75"/>
    </row>
    <row r="351">
      <c r="AC351" s="75"/>
    </row>
    <row r="352">
      <c r="AC352" s="75"/>
    </row>
    <row r="353">
      <c r="AC353" s="75"/>
    </row>
    <row r="354">
      <c r="AC354" s="75"/>
    </row>
    <row r="355">
      <c r="AC355" s="75"/>
    </row>
    <row r="356">
      <c r="AC356" s="75"/>
    </row>
    <row r="357">
      <c r="AC357" s="75"/>
    </row>
    <row r="358">
      <c r="AC358" s="75"/>
    </row>
    <row r="359">
      <c r="AC359" s="75"/>
    </row>
    <row r="360">
      <c r="AC360" s="75"/>
    </row>
    <row r="361">
      <c r="AC361" s="75"/>
    </row>
    <row r="362">
      <c r="AC362" s="75"/>
    </row>
    <row r="363">
      <c r="AC363" s="75"/>
    </row>
    <row r="364">
      <c r="AC364" s="75"/>
    </row>
    <row r="365">
      <c r="AC365" s="75"/>
    </row>
    <row r="366">
      <c r="AC366" s="75"/>
    </row>
    <row r="367">
      <c r="AC367" s="75"/>
    </row>
    <row r="368">
      <c r="AC368" s="75"/>
    </row>
    <row r="369">
      <c r="AC369" s="75"/>
    </row>
    <row r="370">
      <c r="AC370" s="75"/>
    </row>
    <row r="371">
      <c r="AC371" s="75"/>
    </row>
    <row r="372">
      <c r="AC372" s="75"/>
    </row>
    <row r="373">
      <c r="AC373" s="75"/>
    </row>
    <row r="374">
      <c r="AC374" s="75"/>
    </row>
    <row r="375">
      <c r="AC375" s="75"/>
    </row>
    <row r="376">
      <c r="AC376" s="75"/>
    </row>
    <row r="377">
      <c r="AC377" s="75"/>
    </row>
    <row r="378">
      <c r="AC378" s="75"/>
    </row>
    <row r="379">
      <c r="AC379" s="75"/>
    </row>
    <row r="380">
      <c r="AC380" s="75"/>
    </row>
    <row r="381">
      <c r="AC381" s="75"/>
    </row>
    <row r="382">
      <c r="AC382" s="75"/>
    </row>
    <row r="383">
      <c r="AC383" s="75"/>
    </row>
    <row r="384">
      <c r="AC384" s="75"/>
    </row>
    <row r="385">
      <c r="AC385" s="75"/>
    </row>
    <row r="386">
      <c r="AC386" s="75"/>
    </row>
    <row r="387">
      <c r="AC387" s="75"/>
    </row>
    <row r="388">
      <c r="AC388" s="75"/>
    </row>
    <row r="389">
      <c r="AC389" s="75"/>
    </row>
    <row r="390">
      <c r="AC390" s="75"/>
    </row>
    <row r="391">
      <c r="AC391" s="75"/>
    </row>
    <row r="392">
      <c r="AC392" s="75"/>
    </row>
    <row r="393">
      <c r="AC393" s="75"/>
    </row>
    <row r="394">
      <c r="AC394" s="75"/>
    </row>
    <row r="395">
      <c r="AC395" s="75"/>
    </row>
    <row r="396">
      <c r="AC396" s="75"/>
    </row>
    <row r="397">
      <c r="AC397" s="75"/>
    </row>
    <row r="398">
      <c r="AC398" s="75"/>
    </row>
    <row r="399">
      <c r="AC399" s="75"/>
    </row>
    <row r="400">
      <c r="AC400" s="75"/>
    </row>
    <row r="401">
      <c r="AC401" s="75"/>
    </row>
    <row r="402">
      <c r="AC402" s="75"/>
    </row>
    <row r="403">
      <c r="AC403" s="75"/>
    </row>
    <row r="404">
      <c r="AC404" s="75"/>
    </row>
    <row r="405">
      <c r="AC405" s="75"/>
    </row>
    <row r="406">
      <c r="AC406" s="75"/>
    </row>
    <row r="407">
      <c r="AC407" s="75"/>
    </row>
    <row r="408">
      <c r="AC408" s="75"/>
    </row>
    <row r="409">
      <c r="AC409" s="75"/>
    </row>
    <row r="410">
      <c r="AC410" s="75"/>
    </row>
    <row r="411">
      <c r="AC411" s="75"/>
    </row>
    <row r="412">
      <c r="AC412" s="75"/>
    </row>
    <row r="413">
      <c r="AC413" s="75"/>
    </row>
    <row r="414">
      <c r="AC414" s="75"/>
    </row>
    <row r="415">
      <c r="AC415" s="75"/>
    </row>
    <row r="416">
      <c r="AC416" s="75"/>
    </row>
    <row r="417">
      <c r="AC417" s="75"/>
    </row>
    <row r="418">
      <c r="AC418" s="75"/>
    </row>
    <row r="419">
      <c r="AC419" s="75"/>
    </row>
    <row r="420">
      <c r="AC420" s="75"/>
    </row>
    <row r="421">
      <c r="AC421" s="75"/>
    </row>
    <row r="422">
      <c r="AC422" s="75"/>
    </row>
    <row r="423">
      <c r="AC423" s="75"/>
    </row>
    <row r="424">
      <c r="AC424" s="75"/>
    </row>
    <row r="425">
      <c r="AC425" s="75"/>
    </row>
    <row r="426">
      <c r="AC426" s="75"/>
    </row>
    <row r="427">
      <c r="AC427" s="75"/>
    </row>
    <row r="428">
      <c r="AC428" s="75"/>
    </row>
    <row r="429">
      <c r="AC429" s="75"/>
    </row>
    <row r="430">
      <c r="AC430" s="75"/>
    </row>
    <row r="431">
      <c r="AC431" s="75"/>
    </row>
    <row r="432">
      <c r="AC432" s="75"/>
    </row>
    <row r="433">
      <c r="AC433" s="75"/>
    </row>
    <row r="434">
      <c r="AC434" s="75"/>
    </row>
    <row r="435">
      <c r="AC435" s="75"/>
    </row>
    <row r="436">
      <c r="AC436" s="75"/>
    </row>
    <row r="437">
      <c r="AC437" s="75"/>
    </row>
    <row r="438">
      <c r="AC438" s="75"/>
    </row>
    <row r="439">
      <c r="AC439" s="75"/>
    </row>
    <row r="440">
      <c r="AC440" s="75"/>
    </row>
    <row r="441">
      <c r="AC441" s="75"/>
    </row>
    <row r="442">
      <c r="AC442" s="75"/>
    </row>
    <row r="443">
      <c r="AC443" s="75"/>
    </row>
    <row r="444">
      <c r="AC444" s="75"/>
    </row>
    <row r="445">
      <c r="AC445" s="75"/>
    </row>
    <row r="446">
      <c r="AC446" s="75"/>
    </row>
    <row r="447">
      <c r="AC447" s="75"/>
    </row>
    <row r="448">
      <c r="AC448" s="75"/>
    </row>
    <row r="449">
      <c r="AC449" s="75"/>
    </row>
    <row r="450">
      <c r="AC450" s="75"/>
    </row>
    <row r="451">
      <c r="AC451" s="75"/>
    </row>
    <row r="452">
      <c r="AC452" s="75"/>
    </row>
    <row r="453">
      <c r="AC453" s="75"/>
    </row>
    <row r="454">
      <c r="AC454" s="75"/>
    </row>
    <row r="455">
      <c r="AC455" s="75"/>
    </row>
    <row r="456">
      <c r="AC456" s="75"/>
    </row>
    <row r="457">
      <c r="AC457" s="75"/>
    </row>
    <row r="458">
      <c r="AC458" s="75"/>
    </row>
    <row r="459">
      <c r="AC459" s="75"/>
    </row>
    <row r="460">
      <c r="AC460" s="75"/>
    </row>
    <row r="461">
      <c r="AC461" s="75"/>
    </row>
    <row r="462">
      <c r="AC462" s="75"/>
    </row>
    <row r="463">
      <c r="AC463" s="75"/>
    </row>
    <row r="464">
      <c r="AC464" s="75"/>
    </row>
    <row r="465">
      <c r="AC465" s="75"/>
    </row>
    <row r="466">
      <c r="AC466" s="75"/>
    </row>
    <row r="467">
      <c r="AC467" s="75"/>
    </row>
    <row r="468">
      <c r="AC468" s="75"/>
    </row>
    <row r="469">
      <c r="AC469" s="75"/>
    </row>
    <row r="470">
      <c r="AC470" s="75"/>
    </row>
    <row r="471">
      <c r="AC471" s="75"/>
    </row>
    <row r="472">
      <c r="AC472" s="75"/>
    </row>
    <row r="473">
      <c r="AC473" s="75"/>
    </row>
    <row r="474">
      <c r="AC474" s="75"/>
    </row>
    <row r="475">
      <c r="AC475" s="75"/>
    </row>
    <row r="476">
      <c r="AC476" s="75"/>
    </row>
    <row r="477">
      <c r="AC477" s="75"/>
    </row>
    <row r="478">
      <c r="AC478" s="75"/>
    </row>
    <row r="479">
      <c r="AC479" s="75"/>
    </row>
    <row r="480">
      <c r="AC480" s="75"/>
    </row>
    <row r="481">
      <c r="AC481" s="75"/>
    </row>
    <row r="482">
      <c r="AC482" s="75"/>
    </row>
    <row r="483">
      <c r="AC483" s="75"/>
    </row>
    <row r="484">
      <c r="AC484" s="75"/>
    </row>
    <row r="485">
      <c r="AC485" s="75"/>
    </row>
    <row r="486">
      <c r="AC486" s="75"/>
    </row>
    <row r="487">
      <c r="AC487" s="75"/>
    </row>
    <row r="488">
      <c r="AC488" s="75"/>
    </row>
    <row r="489">
      <c r="AC489" s="75"/>
    </row>
    <row r="490">
      <c r="AC490" s="75"/>
    </row>
    <row r="491">
      <c r="AC491" s="75"/>
    </row>
    <row r="492">
      <c r="AC492" s="75"/>
    </row>
    <row r="493">
      <c r="AC493" s="75"/>
    </row>
    <row r="494">
      <c r="AC494" s="75"/>
    </row>
    <row r="495">
      <c r="AC495" s="75"/>
    </row>
    <row r="496">
      <c r="AC496" s="75"/>
    </row>
    <row r="497">
      <c r="AC497" s="75"/>
    </row>
    <row r="498">
      <c r="AC498" s="75"/>
    </row>
    <row r="499">
      <c r="AC499" s="75"/>
    </row>
    <row r="500">
      <c r="AC500" s="75"/>
    </row>
    <row r="501">
      <c r="AC501" s="75"/>
    </row>
    <row r="502">
      <c r="AC502" s="75"/>
    </row>
    <row r="503">
      <c r="AC503" s="75"/>
    </row>
    <row r="504">
      <c r="AC504" s="75"/>
    </row>
    <row r="505">
      <c r="AC505" s="75"/>
    </row>
    <row r="506">
      <c r="AC506" s="75"/>
    </row>
    <row r="507">
      <c r="AC507" s="75"/>
    </row>
    <row r="508">
      <c r="AC508" s="75"/>
    </row>
    <row r="509">
      <c r="AC509" s="75"/>
    </row>
    <row r="510">
      <c r="AC510" s="75"/>
    </row>
    <row r="511">
      <c r="AC511" s="75"/>
    </row>
    <row r="512">
      <c r="AC512" s="75"/>
    </row>
    <row r="513">
      <c r="AC513" s="75"/>
    </row>
    <row r="514">
      <c r="AC514" s="75"/>
    </row>
    <row r="515">
      <c r="AC515" s="75"/>
    </row>
    <row r="516">
      <c r="AC516" s="75"/>
    </row>
    <row r="517">
      <c r="AC517" s="75"/>
    </row>
    <row r="518">
      <c r="AC518" s="75"/>
    </row>
    <row r="519">
      <c r="AC519" s="75"/>
    </row>
    <row r="520">
      <c r="AC520" s="75"/>
    </row>
    <row r="521">
      <c r="AC521" s="75"/>
    </row>
    <row r="522">
      <c r="AC522" s="75"/>
    </row>
    <row r="523">
      <c r="AC523" s="75"/>
    </row>
    <row r="524">
      <c r="AC524" s="75"/>
    </row>
    <row r="525">
      <c r="AC525" s="75"/>
    </row>
    <row r="526">
      <c r="AC526" s="75"/>
    </row>
    <row r="527">
      <c r="AC527" s="75"/>
    </row>
    <row r="528">
      <c r="AC528" s="75"/>
    </row>
    <row r="529">
      <c r="AC529" s="75"/>
    </row>
    <row r="530">
      <c r="AC530" s="75"/>
    </row>
    <row r="531">
      <c r="AC531" s="75"/>
    </row>
    <row r="532">
      <c r="AC532" s="75"/>
    </row>
    <row r="533">
      <c r="AC533" s="75"/>
    </row>
    <row r="534">
      <c r="AC534" s="75"/>
    </row>
    <row r="535">
      <c r="AC535" s="75"/>
    </row>
    <row r="536">
      <c r="AC536" s="75"/>
    </row>
    <row r="537">
      <c r="AC537" s="75"/>
    </row>
    <row r="538">
      <c r="AC538" s="75"/>
    </row>
    <row r="539">
      <c r="AC539" s="75"/>
    </row>
    <row r="540">
      <c r="AC540" s="75"/>
    </row>
    <row r="541">
      <c r="AC541" s="75"/>
    </row>
    <row r="542">
      <c r="AC542" s="75"/>
    </row>
    <row r="543">
      <c r="AC543" s="75"/>
    </row>
    <row r="544">
      <c r="AC544" s="75"/>
    </row>
    <row r="545">
      <c r="AC545" s="75"/>
    </row>
    <row r="546">
      <c r="AC546" s="75"/>
    </row>
    <row r="547">
      <c r="AC547" s="75"/>
    </row>
    <row r="548">
      <c r="AC548" s="75"/>
    </row>
    <row r="549">
      <c r="AC549" s="75"/>
    </row>
    <row r="550">
      <c r="AC550" s="75"/>
    </row>
    <row r="551">
      <c r="AC551" s="75"/>
    </row>
    <row r="552">
      <c r="AC552" s="75"/>
    </row>
    <row r="553">
      <c r="AC553" s="75"/>
    </row>
    <row r="554">
      <c r="AC554" s="75"/>
    </row>
    <row r="555">
      <c r="AC555" s="75"/>
    </row>
    <row r="556">
      <c r="AC556" s="75"/>
    </row>
    <row r="557">
      <c r="AC557" s="75"/>
    </row>
    <row r="558">
      <c r="AC558" s="75"/>
    </row>
    <row r="559">
      <c r="AC559" s="75"/>
    </row>
    <row r="560">
      <c r="AC560" s="75"/>
    </row>
    <row r="561">
      <c r="AC561" s="75"/>
    </row>
    <row r="562">
      <c r="AC562" s="75"/>
    </row>
    <row r="563">
      <c r="AC563" s="75"/>
    </row>
    <row r="564">
      <c r="AC564" s="75"/>
    </row>
    <row r="565">
      <c r="AC565" s="75"/>
    </row>
    <row r="566">
      <c r="AC566" s="75"/>
    </row>
    <row r="567">
      <c r="AC567" s="75"/>
    </row>
    <row r="568">
      <c r="AC568" s="75"/>
    </row>
    <row r="569">
      <c r="AC569" s="75"/>
    </row>
    <row r="570">
      <c r="AC570" s="75"/>
    </row>
    <row r="571">
      <c r="AC571" s="75"/>
    </row>
    <row r="572">
      <c r="AC572" s="75"/>
    </row>
    <row r="573">
      <c r="AC573" s="75"/>
    </row>
    <row r="574">
      <c r="AC574" s="75"/>
    </row>
    <row r="575">
      <c r="AC575" s="75"/>
    </row>
    <row r="576">
      <c r="AC576" s="75"/>
    </row>
    <row r="577">
      <c r="AC577" s="75"/>
    </row>
    <row r="578">
      <c r="AC578" s="75"/>
    </row>
    <row r="579">
      <c r="AC579" s="75"/>
    </row>
    <row r="580">
      <c r="AC580" s="75"/>
    </row>
    <row r="581">
      <c r="AC581" s="75"/>
    </row>
    <row r="582">
      <c r="AC582" s="75"/>
    </row>
    <row r="583">
      <c r="AC583" s="75"/>
    </row>
    <row r="584">
      <c r="AC584" s="75"/>
    </row>
    <row r="585">
      <c r="AC585" s="75"/>
    </row>
    <row r="586">
      <c r="AC586" s="75"/>
    </row>
    <row r="587">
      <c r="AC587" s="75"/>
    </row>
    <row r="588">
      <c r="AC588" s="75"/>
    </row>
    <row r="589">
      <c r="AC589" s="75"/>
    </row>
    <row r="590">
      <c r="AC590" s="75"/>
    </row>
    <row r="591">
      <c r="AC591" s="75"/>
    </row>
    <row r="592">
      <c r="AC592" s="75"/>
    </row>
    <row r="593">
      <c r="AC593" s="75"/>
    </row>
    <row r="594">
      <c r="AC594" s="75"/>
    </row>
    <row r="595">
      <c r="AC595" s="75"/>
    </row>
    <row r="596">
      <c r="AC596" s="75"/>
    </row>
    <row r="597">
      <c r="AC597" s="75"/>
    </row>
    <row r="598">
      <c r="AC598" s="75"/>
    </row>
    <row r="599">
      <c r="AC599" s="75"/>
    </row>
    <row r="600">
      <c r="AC600" s="75"/>
    </row>
    <row r="601">
      <c r="AC601" s="75"/>
    </row>
    <row r="602">
      <c r="AC602" s="75"/>
    </row>
    <row r="603">
      <c r="AC603" s="75"/>
    </row>
    <row r="604">
      <c r="AC604" s="75"/>
    </row>
    <row r="605">
      <c r="AC605" s="75"/>
    </row>
    <row r="606">
      <c r="AC606" s="75"/>
    </row>
    <row r="607">
      <c r="AC607" s="75"/>
    </row>
    <row r="608">
      <c r="AC608" s="75"/>
    </row>
    <row r="609">
      <c r="AC609" s="75"/>
    </row>
    <row r="610">
      <c r="AC610" s="75"/>
    </row>
    <row r="611">
      <c r="AC611" s="75"/>
    </row>
    <row r="612">
      <c r="AC612" s="75"/>
    </row>
    <row r="613">
      <c r="AC613" s="75"/>
    </row>
    <row r="614">
      <c r="AC614" s="75"/>
    </row>
    <row r="615">
      <c r="AC615" s="75"/>
    </row>
    <row r="616">
      <c r="AC616" s="75"/>
    </row>
    <row r="617">
      <c r="AC617" s="75"/>
    </row>
    <row r="618">
      <c r="AC618" s="75"/>
    </row>
    <row r="619">
      <c r="AC619" s="75"/>
    </row>
    <row r="620">
      <c r="AC620" s="75"/>
    </row>
    <row r="621">
      <c r="AC621" s="75"/>
    </row>
    <row r="622">
      <c r="AC622" s="75"/>
    </row>
    <row r="623">
      <c r="AC623" s="75"/>
    </row>
    <row r="624">
      <c r="AC624" s="75"/>
    </row>
    <row r="625">
      <c r="AC625" s="75"/>
    </row>
    <row r="626">
      <c r="AC626" s="75"/>
    </row>
    <row r="627">
      <c r="AC627" s="75"/>
    </row>
    <row r="628">
      <c r="AC628" s="75"/>
    </row>
    <row r="629">
      <c r="AC629" s="75"/>
    </row>
    <row r="630">
      <c r="AC630" s="75"/>
    </row>
    <row r="631">
      <c r="AC631" s="75"/>
    </row>
    <row r="632">
      <c r="AC632" s="75"/>
    </row>
    <row r="633">
      <c r="AC633" s="75"/>
    </row>
    <row r="634">
      <c r="AC634" s="75"/>
    </row>
    <row r="635">
      <c r="AC635" s="75"/>
    </row>
    <row r="636">
      <c r="AC636" s="75"/>
    </row>
    <row r="637">
      <c r="AC637" s="75"/>
    </row>
    <row r="638">
      <c r="AC638" s="75"/>
    </row>
    <row r="639">
      <c r="AC639" s="75"/>
    </row>
    <row r="640">
      <c r="AC640" s="75"/>
    </row>
    <row r="641">
      <c r="AC641" s="75"/>
    </row>
    <row r="642">
      <c r="AC642" s="75"/>
    </row>
    <row r="643">
      <c r="AC643" s="75"/>
    </row>
    <row r="644">
      <c r="AC644" s="75"/>
    </row>
    <row r="645">
      <c r="AC645" s="75"/>
    </row>
    <row r="646">
      <c r="AC646" s="75"/>
    </row>
    <row r="647">
      <c r="AC647" s="75"/>
    </row>
    <row r="648">
      <c r="AC648" s="75"/>
    </row>
    <row r="649">
      <c r="AC649" s="75"/>
    </row>
    <row r="650">
      <c r="AC650" s="75"/>
    </row>
    <row r="651">
      <c r="AC651" s="75"/>
    </row>
    <row r="652">
      <c r="AC652" s="75"/>
    </row>
    <row r="653">
      <c r="AC653" s="75"/>
    </row>
    <row r="654">
      <c r="AC654" s="75"/>
    </row>
    <row r="655">
      <c r="AC655" s="75"/>
    </row>
    <row r="656">
      <c r="AC656" s="75"/>
    </row>
    <row r="657">
      <c r="AC657" s="75"/>
    </row>
    <row r="658">
      <c r="AC658" s="75"/>
    </row>
    <row r="659">
      <c r="AC659" s="75"/>
    </row>
    <row r="660">
      <c r="AC660" s="75"/>
    </row>
    <row r="661">
      <c r="AC661" s="75"/>
    </row>
    <row r="662">
      <c r="AC662" s="75"/>
    </row>
    <row r="663">
      <c r="AC663" s="75"/>
    </row>
    <row r="664">
      <c r="AC664" s="75"/>
    </row>
    <row r="665">
      <c r="AC665" s="75"/>
    </row>
    <row r="666">
      <c r="AC666" s="75"/>
    </row>
    <row r="667">
      <c r="AC667" s="75"/>
    </row>
    <row r="668">
      <c r="AC668" s="75"/>
    </row>
    <row r="669">
      <c r="AC669" s="75"/>
    </row>
    <row r="670">
      <c r="AC670" s="75"/>
    </row>
    <row r="671">
      <c r="AC671" s="75"/>
    </row>
    <row r="672">
      <c r="AC672" s="75"/>
    </row>
    <row r="673">
      <c r="AC673" s="75"/>
    </row>
    <row r="674">
      <c r="AC674" s="75"/>
    </row>
    <row r="675">
      <c r="AC675" s="75"/>
    </row>
    <row r="676">
      <c r="AC676" s="75"/>
    </row>
    <row r="677">
      <c r="AC677" s="75"/>
    </row>
    <row r="678">
      <c r="AC678" s="75"/>
    </row>
    <row r="679">
      <c r="AC679" s="75"/>
    </row>
    <row r="680">
      <c r="AC680" s="75"/>
    </row>
    <row r="681">
      <c r="AC681" s="75"/>
    </row>
    <row r="682">
      <c r="AC682" s="75"/>
    </row>
    <row r="683">
      <c r="AC683" s="75"/>
    </row>
    <row r="684">
      <c r="AC684" s="75"/>
    </row>
    <row r="685">
      <c r="AC685" s="75"/>
    </row>
    <row r="686">
      <c r="AC686" s="75"/>
    </row>
    <row r="687">
      <c r="AC687" s="75"/>
    </row>
    <row r="688">
      <c r="AC688" s="75"/>
    </row>
    <row r="689">
      <c r="AC689" s="75"/>
    </row>
    <row r="690">
      <c r="AC690" s="75"/>
    </row>
    <row r="691">
      <c r="AC691" s="75"/>
    </row>
    <row r="692">
      <c r="AC692" s="75"/>
    </row>
    <row r="693">
      <c r="AC693" s="75"/>
    </row>
    <row r="694">
      <c r="AC694" s="75"/>
    </row>
    <row r="695">
      <c r="AC695" s="75"/>
    </row>
    <row r="696">
      <c r="AC696" s="75"/>
    </row>
    <row r="697">
      <c r="AC697" s="75"/>
    </row>
    <row r="698">
      <c r="AC698" s="75"/>
    </row>
    <row r="699">
      <c r="AC699" s="75"/>
    </row>
    <row r="700">
      <c r="AC700" s="75"/>
    </row>
    <row r="701">
      <c r="AC701" s="75"/>
    </row>
    <row r="702">
      <c r="AC702" s="75"/>
    </row>
    <row r="703">
      <c r="AC703" s="75"/>
    </row>
    <row r="704">
      <c r="AC704" s="75"/>
    </row>
    <row r="705">
      <c r="AC705" s="75"/>
    </row>
    <row r="706">
      <c r="AC706" s="75"/>
    </row>
    <row r="707">
      <c r="AC707" s="75"/>
    </row>
    <row r="708">
      <c r="AC708" s="75"/>
    </row>
    <row r="709">
      <c r="AC709" s="75"/>
    </row>
    <row r="710">
      <c r="AC710" s="75"/>
    </row>
    <row r="711">
      <c r="AC711" s="75"/>
    </row>
    <row r="712">
      <c r="AC712" s="75"/>
    </row>
    <row r="713">
      <c r="AC713" s="75"/>
    </row>
    <row r="714">
      <c r="AC714" s="75"/>
    </row>
    <row r="715">
      <c r="AC715" s="75"/>
    </row>
    <row r="716">
      <c r="AC716" s="75"/>
    </row>
    <row r="717">
      <c r="AC717" s="75"/>
    </row>
    <row r="718">
      <c r="AC718" s="75"/>
    </row>
    <row r="719">
      <c r="AC719" s="75"/>
    </row>
    <row r="720">
      <c r="AC720" s="75"/>
    </row>
    <row r="721">
      <c r="AC721" s="75"/>
    </row>
    <row r="722">
      <c r="AC722" s="75"/>
    </row>
    <row r="723">
      <c r="AC723" s="75"/>
    </row>
    <row r="724">
      <c r="AC724" s="75"/>
    </row>
    <row r="725">
      <c r="AC725" s="75"/>
    </row>
    <row r="726">
      <c r="AC726" s="75"/>
    </row>
    <row r="727">
      <c r="AC727" s="75"/>
    </row>
    <row r="728">
      <c r="AC728" s="75"/>
    </row>
    <row r="729">
      <c r="AC729" s="75"/>
    </row>
    <row r="730">
      <c r="AC730" s="75"/>
    </row>
    <row r="731">
      <c r="AC731" s="75"/>
    </row>
    <row r="732">
      <c r="AC732" s="75"/>
    </row>
    <row r="733">
      <c r="AC733" s="75"/>
    </row>
    <row r="734">
      <c r="AC734" s="75"/>
    </row>
    <row r="735">
      <c r="AC735" s="75"/>
    </row>
    <row r="736">
      <c r="AC736" s="75"/>
    </row>
    <row r="737">
      <c r="AC737" s="75"/>
    </row>
    <row r="738">
      <c r="AC738" s="75"/>
    </row>
    <row r="739">
      <c r="AC739" s="75"/>
    </row>
    <row r="740">
      <c r="AC740" s="75"/>
    </row>
    <row r="741">
      <c r="AC741" s="75"/>
    </row>
    <row r="742">
      <c r="AC742" s="75"/>
    </row>
    <row r="743">
      <c r="AC743" s="75"/>
    </row>
    <row r="744">
      <c r="AC744" s="75"/>
    </row>
    <row r="745">
      <c r="AC745" s="75"/>
    </row>
    <row r="746">
      <c r="AC746" s="75"/>
    </row>
    <row r="747">
      <c r="AC747" s="75"/>
    </row>
    <row r="748">
      <c r="AC748" s="75"/>
    </row>
    <row r="749">
      <c r="AC749" s="75"/>
    </row>
    <row r="750">
      <c r="AC750" s="75"/>
    </row>
    <row r="751">
      <c r="AC751" s="75"/>
    </row>
    <row r="752">
      <c r="AC752" s="75"/>
    </row>
    <row r="753">
      <c r="AC753" s="75"/>
    </row>
    <row r="754">
      <c r="AC754" s="75"/>
    </row>
    <row r="755">
      <c r="AC755" s="75"/>
    </row>
    <row r="756">
      <c r="AC756" s="75"/>
    </row>
    <row r="757">
      <c r="AC757" s="75"/>
    </row>
    <row r="758">
      <c r="AC758" s="75"/>
    </row>
    <row r="759">
      <c r="AC759" s="75"/>
    </row>
    <row r="760">
      <c r="AC760" s="75"/>
    </row>
    <row r="761">
      <c r="AC761" s="75"/>
    </row>
    <row r="762">
      <c r="AC762" s="75"/>
    </row>
    <row r="763">
      <c r="AC763" s="75"/>
    </row>
    <row r="764">
      <c r="AC764" s="75"/>
    </row>
    <row r="765">
      <c r="AC765" s="75"/>
    </row>
    <row r="766">
      <c r="AC766" s="75"/>
    </row>
    <row r="767">
      <c r="AC767" s="75"/>
    </row>
    <row r="768">
      <c r="AC768" s="75"/>
    </row>
    <row r="769">
      <c r="AC769" s="75"/>
    </row>
    <row r="770">
      <c r="AC770" s="75"/>
    </row>
    <row r="771">
      <c r="AC771" s="75"/>
    </row>
    <row r="772">
      <c r="AC772" s="75"/>
    </row>
    <row r="773">
      <c r="AC773" s="75"/>
    </row>
    <row r="774">
      <c r="AC774" s="75"/>
    </row>
    <row r="775">
      <c r="AC775" s="75"/>
    </row>
    <row r="776">
      <c r="AC776" s="75"/>
    </row>
    <row r="777">
      <c r="AC777" s="75"/>
    </row>
    <row r="778">
      <c r="AC778" s="75"/>
    </row>
    <row r="779">
      <c r="AC779" s="75"/>
    </row>
    <row r="780">
      <c r="AC780" s="75"/>
    </row>
    <row r="781">
      <c r="AC781" s="75"/>
    </row>
    <row r="782">
      <c r="AC782" s="75"/>
    </row>
    <row r="783">
      <c r="AC783" s="75"/>
    </row>
    <row r="784">
      <c r="AC784" s="75"/>
    </row>
    <row r="785">
      <c r="AC785" s="75"/>
    </row>
    <row r="786">
      <c r="AC786" s="75"/>
    </row>
    <row r="787">
      <c r="AC787" s="75"/>
    </row>
    <row r="788">
      <c r="AC788" s="75"/>
    </row>
    <row r="789">
      <c r="AC789" s="75"/>
    </row>
    <row r="790">
      <c r="AC790" s="75"/>
    </row>
    <row r="791">
      <c r="AC791" s="75"/>
    </row>
    <row r="792">
      <c r="AC792" s="75"/>
    </row>
    <row r="793">
      <c r="AC793" s="75"/>
    </row>
    <row r="794">
      <c r="AC794" s="75"/>
    </row>
    <row r="795">
      <c r="AC795" s="75"/>
    </row>
    <row r="796">
      <c r="AC796" s="75"/>
    </row>
    <row r="797">
      <c r="AC797" s="75"/>
    </row>
    <row r="798">
      <c r="AC798" s="75"/>
    </row>
    <row r="799">
      <c r="AC799" s="75"/>
    </row>
    <row r="800">
      <c r="AC800" s="75"/>
    </row>
    <row r="801">
      <c r="AC801" s="75"/>
    </row>
    <row r="802">
      <c r="AC802" s="75"/>
    </row>
    <row r="803">
      <c r="AC803" s="75"/>
    </row>
    <row r="804">
      <c r="AC804" s="75"/>
    </row>
    <row r="805">
      <c r="AC805" s="75"/>
    </row>
    <row r="806">
      <c r="AC806" s="75"/>
    </row>
    <row r="807">
      <c r="AC807" s="75"/>
    </row>
    <row r="808">
      <c r="AC808" s="75"/>
    </row>
    <row r="809">
      <c r="AC809" s="75"/>
    </row>
    <row r="810">
      <c r="AC810" s="75"/>
    </row>
    <row r="811">
      <c r="AC811" s="75"/>
    </row>
    <row r="812">
      <c r="AC812" s="75"/>
    </row>
    <row r="813">
      <c r="AC813" s="75"/>
    </row>
    <row r="814">
      <c r="AC814" s="75"/>
    </row>
    <row r="815">
      <c r="AC815" s="75"/>
    </row>
    <row r="816">
      <c r="AC816" s="75"/>
    </row>
    <row r="817">
      <c r="AC817" s="75"/>
    </row>
    <row r="818">
      <c r="AC818" s="75"/>
    </row>
    <row r="819">
      <c r="AC819" s="75"/>
    </row>
    <row r="820">
      <c r="AC820" s="75"/>
    </row>
    <row r="821">
      <c r="AC821" s="75"/>
    </row>
    <row r="822">
      <c r="AC822" s="75"/>
    </row>
    <row r="823">
      <c r="AC823" s="75"/>
    </row>
    <row r="824">
      <c r="AC824" s="75"/>
    </row>
    <row r="825">
      <c r="AC825" s="75"/>
    </row>
    <row r="826">
      <c r="AC826" s="75"/>
    </row>
    <row r="827">
      <c r="AC827" s="75"/>
    </row>
    <row r="828">
      <c r="AC828" s="75"/>
    </row>
    <row r="829">
      <c r="AC829" s="75"/>
    </row>
    <row r="830">
      <c r="AC830" s="75"/>
    </row>
    <row r="831">
      <c r="AC831" s="75"/>
    </row>
    <row r="832">
      <c r="AC832" s="75"/>
    </row>
    <row r="833">
      <c r="AC833" s="75"/>
    </row>
    <row r="834">
      <c r="AC834" s="75"/>
    </row>
    <row r="835">
      <c r="AC835" s="75"/>
    </row>
    <row r="836">
      <c r="AC836" s="75"/>
    </row>
    <row r="837">
      <c r="AC837" s="75"/>
    </row>
    <row r="838">
      <c r="AC838" s="75"/>
    </row>
    <row r="839">
      <c r="AC839" s="75"/>
    </row>
    <row r="840">
      <c r="AC840" s="75"/>
    </row>
    <row r="841">
      <c r="AC841" s="75"/>
    </row>
    <row r="842">
      <c r="AC842" s="75"/>
    </row>
    <row r="843">
      <c r="AC843" s="75"/>
    </row>
    <row r="844">
      <c r="AC844" s="75"/>
    </row>
    <row r="845">
      <c r="AC845" s="75"/>
    </row>
    <row r="846">
      <c r="AC846" s="75"/>
    </row>
    <row r="847">
      <c r="AC847" s="75"/>
    </row>
    <row r="848">
      <c r="AC848" s="75"/>
    </row>
    <row r="849">
      <c r="AC849" s="75"/>
    </row>
    <row r="850">
      <c r="AC850" s="75"/>
    </row>
    <row r="851">
      <c r="AC851" s="75"/>
    </row>
    <row r="852">
      <c r="AC852" s="75"/>
    </row>
    <row r="853">
      <c r="AC853" s="75"/>
    </row>
    <row r="854">
      <c r="AC854" s="75"/>
    </row>
    <row r="855">
      <c r="AC855" s="75"/>
    </row>
    <row r="856">
      <c r="AC856" s="75"/>
    </row>
    <row r="857">
      <c r="AC857" s="75"/>
    </row>
    <row r="858">
      <c r="AC858" s="75"/>
    </row>
    <row r="859">
      <c r="AC859" s="75"/>
    </row>
    <row r="860">
      <c r="AC860" s="75"/>
    </row>
    <row r="861">
      <c r="AC861" s="75"/>
    </row>
    <row r="862">
      <c r="AC862" s="75"/>
    </row>
    <row r="863">
      <c r="AC863" s="75"/>
    </row>
    <row r="864">
      <c r="AC864" s="75"/>
    </row>
    <row r="865">
      <c r="AC865" s="75"/>
    </row>
    <row r="866">
      <c r="AC866" s="75"/>
    </row>
    <row r="867">
      <c r="AC867" s="75"/>
    </row>
    <row r="868">
      <c r="AC868" s="75"/>
    </row>
    <row r="869">
      <c r="AC869" s="75"/>
    </row>
    <row r="870">
      <c r="AC870" s="75"/>
    </row>
    <row r="871">
      <c r="AC871" s="75"/>
    </row>
    <row r="872">
      <c r="AC872" s="75"/>
    </row>
    <row r="873">
      <c r="AC873" s="75"/>
    </row>
    <row r="874">
      <c r="AC874" s="75"/>
    </row>
    <row r="875">
      <c r="AC875" s="75"/>
    </row>
    <row r="876">
      <c r="AC876" s="75"/>
    </row>
    <row r="877">
      <c r="AC877" s="75"/>
    </row>
    <row r="878">
      <c r="AC878" s="75"/>
    </row>
    <row r="879">
      <c r="AC879" s="75"/>
    </row>
    <row r="880">
      <c r="AC880" s="75"/>
    </row>
    <row r="881">
      <c r="AC881" s="75"/>
    </row>
    <row r="882">
      <c r="AC882" s="75"/>
    </row>
    <row r="883">
      <c r="AC883" s="75"/>
    </row>
    <row r="884">
      <c r="AC884" s="75"/>
    </row>
    <row r="885">
      <c r="AC885" s="75"/>
    </row>
    <row r="886">
      <c r="AC886" s="75"/>
    </row>
    <row r="887">
      <c r="AC887" s="75"/>
    </row>
    <row r="888">
      <c r="AC888" s="75"/>
    </row>
    <row r="889">
      <c r="AC889" s="75"/>
    </row>
    <row r="890">
      <c r="AC890" s="75"/>
    </row>
    <row r="891">
      <c r="AC891" s="75"/>
    </row>
    <row r="892">
      <c r="AC892" s="75"/>
    </row>
    <row r="893">
      <c r="AC893" s="75"/>
    </row>
    <row r="894">
      <c r="AC894" s="75"/>
    </row>
    <row r="895">
      <c r="AC895" s="75"/>
    </row>
    <row r="896">
      <c r="AC896" s="75"/>
    </row>
    <row r="897">
      <c r="AC897" s="75"/>
    </row>
    <row r="898">
      <c r="AC898" s="75"/>
    </row>
    <row r="899">
      <c r="AC899" s="75"/>
    </row>
    <row r="900">
      <c r="AC900" s="75"/>
    </row>
    <row r="901">
      <c r="AC901" s="75"/>
    </row>
    <row r="902">
      <c r="AC902" s="75"/>
    </row>
    <row r="903">
      <c r="AC903" s="75"/>
    </row>
    <row r="904">
      <c r="AC904" s="75"/>
    </row>
    <row r="905">
      <c r="AC905" s="75"/>
    </row>
    <row r="906">
      <c r="AC906" s="75"/>
    </row>
    <row r="907">
      <c r="AC907" s="75"/>
    </row>
    <row r="908">
      <c r="AC908" s="75"/>
    </row>
    <row r="909">
      <c r="AC909" s="75"/>
    </row>
    <row r="910">
      <c r="AC910" s="75"/>
    </row>
    <row r="911">
      <c r="AC911" s="75"/>
    </row>
    <row r="912">
      <c r="AC912" s="75"/>
    </row>
    <row r="913">
      <c r="AC913" s="75"/>
    </row>
    <row r="914">
      <c r="AC914" s="75"/>
    </row>
    <row r="915">
      <c r="AC915" s="75"/>
    </row>
    <row r="916">
      <c r="AC916" s="75"/>
    </row>
    <row r="917">
      <c r="AC917" s="75"/>
    </row>
    <row r="918">
      <c r="AC918" s="75"/>
    </row>
    <row r="919">
      <c r="AC919" s="75"/>
    </row>
    <row r="920">
      <c r="AC920" s="75"/>
    </row>
    <row r="921">
      <c r="AC921" s="75"/>
    </row>
    <row r="922">
      <c r="AC922" s="75"/>
    </row>
    <row r="923">
      <c r="AC923" s="75"/>
    </row>
    <row r="924">
      <c r="AC924" s="75"/>
    </row>
    <row r="925">
      <c r="AC925" s="75"/>
    </row>
    <row r="926">
      <c r="AC926" s="75"/>
    </row>
    <row r="927">
      <c r="AC927" s="75"/>
    </row>
    <row r="928">
      <c r="AC928" s="75"/>
    </row>
    <row r="929">
      <c r="AC929" s="75"/>
    </row>
    <row r="930">
      <c r="AC930" s="75"/>
    </row>
    <row r="931">
      <c r="AC931" s="75"/>
    </row>
    <row r="932">
      <c r="AC932" s="75"/>
    </row>
    <row r="933">
      <c r="AC933" s="75"/>
    </row>
    <row r="934">
      <c r="AC934" s="75"/>
    </row>
    <row r="935">
      <c r="AC935" s="75"/>
    </row>
    <row r="936">
      <c r="AC936" s="75"/>
    </row>
    <row r="937">
      <c r="AC937" s="75"/>
    </row>
    <row r="938">
      <c r="AC938" s="75"/>
    </row>
    <row r="939">
      <c r="AC939" s="75"/>
    </row>
    <row r="940">
      <c r="AC940" s="75"/>
    </row>
    <row r="941">
      <c r="AC941" s="75"/>
    </row>
    <row r="942">
      <c r="AC942" s="75"/>
    </row>
    <row r="943">
      <c r="AC943" s="75"/>
    </row>
    <row r="944">
      <c r="AC944" s="75"/>
    </row>
    <row r="945">
      <c r="AC945" s="75"/>
    </row>
    <row r="946">
      <c r="AC946" s="75"/>
    </row>
    <row r="947">
      <c r="AC947" s="75"/>
    </row>
    <row r="948">
      <c r="AC948" s="75"/>
    </row>
    <row r="949">
      <c r="AC949" s="75"/>
    </row>
    <row r="950">
      <c r="AC950" s="75"/>
    </row>
    <row r="951">
      <c r="AC951" s="75"/>
    </row>
    <row r="952">
      <c r="AC952" s="75"/>
    </row>
    <row r="953">
      <c r="AC953" s="75"/>
    </row>
    <row r="954">
      <c r="AC954" s="75"/>
    </row>
    <row r="955">
      <c r="AC955" s="75"/>
    </row>
    <row r="956">
      <c r="AC956" s="75"/>
    </row>
    <row r="957">
      <c r="AC957" s="75"/>
    </row>
    <row r="958">
      <c r="AC958" s="75"/>
    </row>
    <row r="959">
      <c r="AC959" s="75"/>
    </row>
    <row r="960">
      <c r="AC960" s="75"/>
    </row>
    <row r="961">
      <c r="AC961" s="75"/>
    </row>
    <row r="962">
      <c r="AC962" s="75"/>
    </row>
    <row r="963">
      <c r="AC963" s="75"/>
    </row>
    <row r="964">
      <c r="AC964" s="75"/>
    </row>
    <row r="965">
      <c r="AC965" s="75"/>
    </row>
    <row r="966">
      <c r="AC966" s="75"/>
    </row>
    <row r="967">
      <c r="AC967" s="75"/>
    </row>
    <row r="968">
      <c r="AC968" s="75"/>
    </row>
    <row r="969">
      <c r="AC969" s="75"/>
    </row>
    <row r="970">
      <c r="AC970" s="75"/>
    </row>
    <row r="971">
      <c r="AC971" s="75"/>
    </row>
    <row r="972">
      <c r="AC972" s="75"/>
    </row>
    <row r="973">
      <c r="AC973" s="75"/>
    </row>
    <row r="974">
      <c r="AC974" s="75"/>
    </row>
    <row r="975">
      <c r="AC975" s="75"/>
    </row>
    <row r="976">
      <c r="AC976" s="75"/>
    </row>
    <row r="977">
      <c r="AC977" s="75"/>
    </row>
    <row r="978">
      <c r="AC978" s="75"/>
    </row>
    <row r="979">
      <c r="AC979" s="75"/>
    </row>
    <row r="980">
      <c r="AC980" s="75"/>
    </row>
    <row r="981">
      <c r="AC981" s="75"/>
    </row>
    <row r="982">
      <c r="AC982" s="75"/>
    </row>
    <row r="983">
      <c r="AC983" s="75"/>
    </row>
    <row r="984">
      <c r="AC984" s="75"/>
    </row>
    <row r="985">
      <c r="AC985" s="75"/>
    </row>
    <row r="986">
      <c r="AC986" s="75"/>
    </row>
    <row r="987">
      <c r="AC987" s="75"/>
    </row>
    <row r="988">
      <c r="AC988" s="75"/>
    </row>
    <row r="989">
      <c r="AC989" s="75"/>
    </row>
    <row r="990">
      <c r="AC990" s="75"/>
    </row>
    <row r="991">
      <c r="AC991" s="75"/>
    </row>
    <row r="992">
      <c r="AC992" s="75"/>
    </row>
    <row r="993">
      <c r="AC993" s="75"/>
    </row>
    <row r="994">
      <c r="AC994" s="75"/>
    </row>
    <row r="995">
      <c r="AC995" s="75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/>
  <cols>
    <col customWidth="1" min="1" max="1" width="1.5"/>
    <col customWidth="1" hidden="1" min="2" max="2" width="12.88"/>
    <col customWidth="1" min="3" max="3" width="32.75"/>
    <col customWidth="1" min="4" max="4" width="7.13"/>
    <col customWidth="1" hidden="1" min="5" max="5" width="6.13"/>
    <col customWidth="1" min="6" max="6" width="7.13"/>
    <col customWidth="1" hidden="1" min="7" max="7" width="5.63"/>
    <col customWidth="1" min="8" max="8" width="7.13"/>
    <col customWidth="1" hidden="1" min="9" max="9" width="6.25"/>
    <col customWidth="1" min="10" max="10" width="7.13"/>
    <col customWidth="1" hidden="1" min="11" max="11" width="5.75"/>
    <col customWidth="1" min="12" max="12" width="8.13"/>
    <col customWidth="1" hidden="1" min="13" max="13" width="6.5"/>
    <col customWidth="1" min="14" max="14" width="8.13"/>
    <col customWidth="1" hidden="1" min="15" max="15" width="5.63"/>
    <col customWidth="1" min="16" max="16" width="8.13"/>
    <col customWidth="1" hidden="1" min="17" max="17" width="5.13"/>
    <col customWidth="1" min="18" max="18" width="8.13"/>
    <col customWidth="1" hidden="1" min="19" max="19" width="6.13"/>
    <col customWidth="1" min="20" max="20" width="8.13"/>
    <col customWidth="1" hidden="1" min="21" max="21" width="5.88"/>
    <col customWidth="1" min="22" max="22" width="7.88"/>
    <col customWidth="1" hidden="1" min="23" max="23" width="5.5"/>
    <col customWidth="1" min="24" max="24" width="7.88"/>
    <col customWidth="1" hidden="1" min="25" max="25" width="6.0"/>
    <col customWidth="1" min="26" max="26" width="7.13"/>
    <col customWidth="1" hidden="1" min="27" max="27" width="5.5"/>
    <col customWidth="1" min="28" max="28" width="9.0"/>
    <col customWidth="1" hidden="1" min="29" max="29" width="9.0"/>
  </cols>
  <sheetData>
    <row r="1" ht="12.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75"/>
    </row>
    <row r="2" ht="12.0" customHeight="1">
      <c r="A2" s="2"/>
      <c r="B2" s="2"/>
      <c r="C2" s="94" t="s">
        <v>120</v>
      </c>
      <c r="D2" s="77">
        <v>46023.0</v>
      </c>
      <c r="E2" s="78">
        <v>46023.0</v>
      </c>
      <c r="F2" s="77">
        <v>46054.0</v>
      </c>
      <c r="G2" s="78">
        <v>46054.0</v>
      </c>
      <c r="H2" s="77">
        <v>46082.0</v>
      </c>
      <c r="I2" s="78">
        <v>46082.0</v>
      </c>
      <c r="J2" s="77">
        <v>46113.0</v>
      </c>
      <c r="K2" s="78">
        <v>46113.0</v>
      </c>
      <c r="L2" s="77">
        <v>46143.0</v>
      </c>
      <c r="M2" s="78">
        <v>46143.0</v>
      </c>
      <c r="N2" s="77">
        <v>46174.0</v>
      </c>
      <c r="O2" s="78">
        <v>46174.0</v>
      </c>
      <c r="P2" s="77">
        <v>46204.0</v>
      </c>
      <c r="Q2" s="78">
        <v>46204.0</v>
      </c>
      <c r="R2" s="77">
        <v>46235.0</v>
      </c>
      <c r="S2" s="78">
        <v>46235.0</v>
      </c>
      <c r="T2" s="77">
        <v>46266.0</v>
      </c>
      <c r="U2" s="78">
        <v>46266.0</v>
      </c>
      <c r="V2" s="77">
        <v>46296.0</v>
      </c>
      <c r="W2" s="78">
        <v>46296.0</v>
      </c>
      <c r="X2" s="77">
        <v>46327.0</v>
      </c>
      <c r="Y2" s="78">
        <v>46327.0</v>
      </c>
      <c r="Z2" s="77">
        <v>46357.0</v>
      </c>
      <c r="AA2" s="78">
        <v>46357.0</v>
      </c>
      <c r="AB2" s="79">
        <v>2026.0</v>
      </c>
      <c r="AC2" s="75"/>
    </row>
    <row r="3" ht="12.0" customHeight="1">
      <c r="A3" s="2"/>
      <c r="B3" s="2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75" t="s">
        <v>121</v>
      </c>
    </row>
    <row r="4" ht="12.0" customHeight="1">
      <c r="A4" s="2"/>
      <c r="B4" s="2"/>
      <c r="C4" s="81" t="s">
        <v>122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75" t="s">
        <v>123</v>
      </c>
    </row>
    <row r="5">
      <c r="A5" s="2"/>
      <c r="B5" s="2" t="s">
        <v>124</v>
      </c>
      <c r="C5" s="95" t="s">
        <v>125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82">
        <v>0.0</v>
      </c>
      <c r="O5" s="3">
        <v>0.0</v>
      </c>
      <c r="P5" s="82">
        <v>5000.0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82">
        <v>0.0</v>
      </c>
      <c r="W5" s="3">
        <v>0.0</v>
      </c>
      <c r="X5" s="3">
        <v>0.0</v>
      </c>
      <c r="Y5" s="3">
        <v>0.0</v>
      </c>
      <c r="Z5" s="82">
        <v>0.0</v>
      </c>
      <c r="AA5" s="3">
        <v>0.0</v>
      </c>
      <c r="AB5" s="3">
        <f t="shared" ref="AB5:AB16" si="1">D5+F5+H5+J5+L5+N5+P5+R5+T5+V5+X5+Z5</f>
        <v>5000</v>
      </c>
      <c r="AC5" s="75" t="s">
        <v>126</v>
      </c>
    </row>
    <row r="6" ht="12.0" customHeight="1">
      <c r="A6" s="2"/>
      <c r="B6" s="2" t="s">
        <v>127</v>
      </c>
      <c r="C6" s="96" t="s">
        <v>128</v>
      </c>
      <c r="D6" s="82">
        <v>13500.0</v>
      </c>
      <c r="E6" s="3">
        <v>0.0</v>
      </c>
      <c r="F6" s="82">
        <v>13500.0</v>
      </c>
      <c r="G6" s="3">
        <v>0.0</v>
      </c>
      <c r="H6" s="82">
        <v>13500.0</v>
      </c>
      <c r="I6" s="3">
        <v>0.0</v>
      </c>
      <c r="J6" s="82">
        <v>13500.0</v>
      </c>
      <c r="K6" s="3">
        <v>0.0</v>
      </c>
      <c r="L6" s="82">
        <v>13500.0</v>
      </c>
      <c r="M6" s="3">
        <v>0.0</v>
      </c>
      <c r="N6" s="82">
        <v>13500.0</v>
      </c>
      <c r="O6" s="3">
        <v>0.0</v>
      </c>
      <c r="P6" s="82">
        <v>13500.0</v>
      </c>
      <c r="Q6" s="3">
        <v>0.0</v>
      </c>
      <c r="R6" s="82">
        <v>13500.0</v>
      </c>
      <c r="S6" s="3">
        <v>0.0</v>
      </c>
      <c r="T6" s="82">
        <v>13500.0</v>
      </c>
      <c r="U6" s="3">
        <v>0.0</v>
      </c>
      <c r="V6" s="82">
        <v>13500.0</v>
      </c>
      <c r="W6" s="3">
        <v>0.0</v>
      </c>
      <c r="X6" s="82">
        <v>13500.0</v>
      </c>
      <c r="Y6" s="3">
        <v>0.0</v>
      </c>
      <c r="Z6" s="82">
        <v>0.0</v>
      </c>
      <c r="AA6" s="3">
        <v>0.0</v>
      </c>
      <c r="AB6" s="3">
        <f t="shared" si="1"/>
        <v>148500</v>
      </c>
      <c r="AC6" s="75" t="s">
        <v>129</v>
      </c>
    </row>
    <row r="7" ht="12.0" customHeight="1">
      <c r="A7" s="2"/>
      <c r="B7" s="2" t="s">
        <v>130</v>
      </c>
      <c r="C7" s="96" t="s">
        <v>131</v>
      </c>
      <c r="D7" s="82">
        <v>13500.0</v>
      </c>
      <c r="E7" s="3">
        <v>0.0</v>
      </c>
      <c r="F7" s="82">
        <v>13500.0</v>
      </c>
      <c r="G7" s="3">
        <v>0.0</v>
      </c>
      <c r="H7" s="82">
        <v>13500.0</v>
      </c>
      <c r="I7" s="3">
        <v>0.0</v>
      </c>
      <c r="J7" s="82">
        <v>13500.0</v>
      </c>
      <c r="K7" s="3">
        <v>0.0</v>
      </c>
      <c r="L7" s="82">
        <v>13500.0</v>
      </c>
      <c r="M7" s="3">
        <v>0.0</v>
      </c>
      <c r="N7" s="82">
        <v>13500.0</v>
      </c>
      <c r="O7" s="3">
        <v>0.0</v>
      </c>
      <c r="P7" s="82">
        <v>13500.0</v>
      </c>
      <c r="Q7" s="3">
        <v>0.0</v>
      </c>
      <c r="R7" s="82">
        <v>13500.0</v>
      </c>
      <c r="S7" s="3">
        <v>0.0</v>
      </c>
      <c r="T7" s="82">
        <v>13500.0</v>
      </c>
      <c r="U7" s="3">
        <v>0.0</v>
      </c>
      <c r="V7" s="82">
        <v>13500.0</v>
      </c>
      <c r="W7" s="3">
        <v>0.0</v>
      </c>
      <c r="X7" s="82">
        <v>13500.0</v>
      </c>
      <c r="Y7" s="3">
        <v>0.0</v>
      </c>
      <c r="Z7" s="82">
        <v>0.0</v>
      </c>
      <c r="AA7" s="3">
        <v>0.0</v>
      </c>
      <c r="AB7" s="3">
        <f t="shared" si="1"/>
        <v>148500</v>
      </c>
      <c r="AC7" s="75" t="s">
        <v>129</v>
      </c>
    </row>
    <row r="8" ht="12.0" customHeight="1">
      <c r="A8" s="2"/>
      <c r="B8" s="97" t="s">
        <v>132</v>
      </c>
      <c r="C8" s="98" t="s">
        <v>133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82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3">
        <f t="shared" si="1"/>
        <v>0</v>
      </c>
      <c r="AC8" s="75"/>
    </row>
    <row r="9" ht="12.0" customHeight="1">
      <c r="A9" s="2"/>
      <c r="B9" s="2" t="s">
        <v>134</v>
      </c>
      <c r="C9" s="96" t="s">
        <v>135</v>
      </c>
      <c r="D9" s="82">
        <v>13500.0</v>
      </c>
      <c r="E9" s="3">
        <v>0.0</v>
      </c>
      <c r="F9" s="82">
        <v>13500.0</v>
      </c>
      <c r="G9" s="3">
        <v>0.0</v>
      </c>
      <c r="H9" s="82">
        <v>13500.0</v>
      </c>
      <c r="I9" s="3">
        <v>0.0</v>
      </c>
      <c r="J9" s="82">
        <v>13500.0</v>
      </c>
      <c r="K9" s="3">
        <v>0.0</v>
      </c>
      <c r="L9" s="82">
        <v>13500.0</v>
      </c>
      <c r="M9" s="3">
        <v>0.0</v>
      </c>
      <c r="N9" s="82">
        <v>13500.0</v>
      </c>
      <c r="O9" s="3">
        <v>0.0</v>
      </c>
      <c r="P9" s="82">
        <v>13500.0</v>
      </c>
      <c r="Q9" s="3">
        <v>0.0</v>
      </c>
      <c r="R9" s="82">
        <v>13500.0</v>
      </c>
      <c r="S9" s="3">
        <v>0.0</v>
      </c>
      <c r="T9" s="82">
        <v>13500.0</v>
      </c>
      <c r="U9" s="3">
        <v>0.0</v>
      </c>
      <c r="V9" s="82">
        <v>13500.0</v>
      </c>
      <c r="W9" s="3">
        <v>0.0</v>
      </c>
      <c r="X9" s="82">
        <v>13500.0</v>
      </c>
      <c r="Y9" s="3">
        <v>0.0</v>
      </c>
      <c r="Z9" s="82">
        <v>0.0</v>
      </c>
      <c r="AA9" s="3">
        <v>0.0</v>
      </c>
      <c r="AB9" s="3">
        <f t="shared" si="1"/>
        <v>148500</v>
      </c>
      <c r="AC9" s="75" t="s">
        <v>129</v>
      </c>
    </row>
    <row r="10" ht="12.0" customHeight="1">
      <c r="A10" s="2"/>
      <c r="B10" s="2" t="s">
        <v>136</v>
      </c>
      <c r="C10" s="96" t="s">
        <v>137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82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f t="shared" si="1"/>
        <v>0</v>
      </c>
      <c r="AC10" s="75" t="s">
        <v>138</v>
      </c>
    </row>
    <row r="11" ht="12.0" customHeight="1">
      <c r="A11" s="2"/>
      <c r="B11" s="2" t="s">
        <v>139</v>
      </c>
      <c r="C11" s="96" t="s">
        <v>140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82">
        <v>0.0</v>
      </c>
      <c r="W11" s="3">
        <v>0.0</v>
      </c>
      <c r="X11" s="82">
        <v>0.0</v>
      </c>
      <c r="Y11" s="3">
        <v>0.0</v>
      </c>
      <c r="Z11" s="82">
        <v>0.0</v>
      </c>
      <c r="AA11" s="3">
        <v>0.0</v>
      </c>
      <c r="AB11" s="3">
        <f t="shared" si="1"/>
        <v>0</v>
      </c>
      <c r="AC11" s="75" t="s">
        <v>138</v>
      </c>
    </row>
    <row r="12" ht="12.0" customHeight="1">
      <c r="A12" s="2"/>
      <c r="B12" s="2" t="s">
        <v>141</v>
      </c>
      <c r="C12" s="96" t="s">
        <v>142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f t="shared" si="1"/>
        <v>0</v>
      </c>
      <c r="AC12" s="75" t="s">
        <v>138</v>
      </c>
    </row>
    <row r="13" ht="12.0" customHeight="1">
      <c r="A13" s="2"/>
      <c r="B13" s="2" t="s">
        <v>143</v>
      </c>
      <c r="C13" s="99" t="s">
        <v>144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82">
        <v>0.0</v>
      </c>
      <c r="W13" s="3">
        <v>0.0</v>
      </c>
      <c r="X13" s="82">
        <v>0.0</v>
      </c>
      <c r="Y13" s="3">
        <v>0.0</v>
      </c>
      <c r="Z13" s="82">
        <v>0.0</v>
      </c>
      <c r="AA13" s="3">
        <v>0.0</v>
      </c>
      <c r="AB13" s="3">
        <f t="shared" si="1"/>
        <v>0</v>
      </c>
      <c r="AC13" s="75" t="s">
        <v>138</v>
      </c>
    </row>
    <row r="14" ht="12.0" customHeight="1">
      <c r="A14" s="2"/>
      <c r="B14" s="2" t="s">
        <v>145</v>
      </c>
      <c r="C14" s="99" t="s">
        <v>146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f t="shared" si="1"/>
        <v>0</v>
      </c>
      <c r="AC14" s="75" t="s">
        <v>138</v>
      </c>
    </row>
    <row r="15" ht="12.0" customHeight="1">
      <c r="A15" s="2"/>
      <c r="B15" s="2" t="s">
        <v>147</v>
      </c>
      <c r="C15" s="99" t="s">
        <v>148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f t="shared" si="1"/>
        <v>0</v>
      </c>
      <c r="AC15" s="75" t="s">
        <v>138</v>
      </c>
    </row>
    <row r="16" ht="12.0" customHeight="1">
      <c r="A16" s="2"/>
      <c r="B16" s="2" t="s">
        <v>149</v>
      </c>
      <c r="C16" s="99" t="s">
        <v>150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f>71500+71428.57</f>
        <v>142928.57</v>
      </c>
      <c r="M16" s="3">
        <v>0.0</v>
      </c>
      <c r="N16" s="3">
        <f>215416.66+71428.57</f>
        <v>286845.23</v>
      </c>
      <c r="O16" s="100">
        <v>0.0</v>
      </c>
      <c r="P16" s="3">
        <f>167749.99+71428.57</f>
        <v>239178.56</v>
      </c>
      <c r="Q16" s="100">
        <v>0.0</v>
      </c>
      <c r="R16" s="3">
        <f>11916.66+71428.57+100000</f>
        <v>183345.23</v>
      </c>
      <c r="S16" s="100">
        <v>0.0</v>
      </c>
      <c r="T16" s="3">
        <f>11916.66+71428.57</f>
        <v>83345.23</v>
      </c>
      <c r="U16" s="100">
        <v>0.0</v>
      </c>
      <c r="V16" s="3">
        <f>0+71428.57</f>
        <v>71428.57</v>
      </c>
      <c r="W16" s="3">
        <v>0.0</v>
      </c>
      <c r="X16" s="3">
        <f>0+71428.57</f>
        <v>71428.57</v>
      </c>
      <c r="Y16" s="3">
        <v>0.0</v>
      </c>
      <c r="Z16" s="3">
        <v>0.0</v>
      </c>
      <c r="AA16" s="3">
        <v>0.0</v>
      </c>
      <c r="AB16" s="3">
        <f t="shared" si="1"/>
        <v>1078499.96</v>
      </c>
      <c r="AC16" s="75" t="s">
        <v>151</v>
      </c>
    </row>
    <row r="17" ht="12.0" customHeight="1">
      <c r="A17" s="2"/>
      <c r="B17" s="2"/>
      <c r="C17" s="85" t="s">
        <v>152</v>
      </c>
      <c r="D17" s="86">
        <f t="shared" ref="D17:AB17" si="2">SUM(D5:D16)</f>
        <v>40500</v>
      </c>
      <c r="E17" s="86">
        <f t="shared" si="2"/>
        <v>0</v>
      </c>
      <c r="F17" s="86">
        <f t="shared" si="2"/>
        <v>40500</v>
      </c>
      <c r="G17" s="86">
        <f t="shared" si="2"/>
        <v>0</v>
      </c>
      <c r="H17" s="86">
        <f t="shared" si="2"/>
        <v>40500</v>
      </c>
      <c r="I17" s="86">
        <f t="shared" si="2"/>
        <v>0</v>
      </c>
      <c r="J17" s="86">
        <f t="shared" si="2"/>
        <v>40500</v>
      </c>
      <c r="K17" s="86">
        <f t="shared" si="2"/>
        <v>0</v>
      </c>
      <c r="L17" s="86">
        <f t="shared" si="2"/>
        <v>183428.57</v>
      </c>
      <c r="M17" s="86">
        <f t="shared" si="2"/>
        <v>0</v>
      </c>
      <c r="N17" s="86">
        <f t="shared" si="2"/>
        <v>327345.23</v>
      </c>
      <c r="O17" s="86">
        <f t="shared" si="2"/>
        <v>0</v>
      </c>
      <c r="P17" s="86">
        <f t="shared" si="2"/>
        <v>284678.56</v>
      </c>
      <c r="Q17" s="86">
        <f t="shared" si="2"/>
        <v>0</v>
      </c>
      <c r="R17" s="86">
        <f t="shared" si="2"/>
        <v>223845.23</v>
      </c>
      <c r="S17" s="86">
        <f t="shared" si="2"/>
        <v>0</v>
      </c>
      <c r="T17" s="86">
        <f t="shared" si="2"/>
        <v>123845.23</v>
      </c>
      <c r="U17" s="86">
        <f t="shared" si="2"/>
        <v>0</v>
      </c>
      <c r="V17" s="86">
        <f t="shared" si="2"/>
        <v>111928.57</v>
      </c>
      <c r="W17" s="86">
        <f t="shared" si="2"/>
        <v>0</v>
      </c>
      <c r="X17" s="86">
        <f t="shared" si="2"/>
        <v>111928.57</v>
      </c>
      <c r="Y17" s="86">
        <f t="shared" si="2"/>
        <v>0</v>
      </c>
      <c r="Z17" s="86">
        <f t="shared" si="2"/>
        <v>0</v>
      </c>
      <c r="AA17" s="86">
        <f t="shared" si="2"/>
        <v>0</v>
      </c>
      <c r="AB17" s="86">
        <f t="shared" si="2"/>
        <v>1528999.96</v>
      </c>
      <c r="AC17" s="101"/>
    </row>
    <row r="18" ht="12.0" customHeight="1">
      <c r="A18" s="2"/>
      <c r="B18" s="2"/>
      <c r="C18" s="81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75"/>
    </row>
    <row r="19" ht="12.0" customHeight="1">
      <c r="A19" s="2"/>
      <c r="B19" s="2"/>
      <c r="C19" s="81" t="s">
        <v>153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75"/>
    </row>
    <row r="20">
      <c r="A20" s="2"/>
      <c r="B20" s="2" t="s">
        <v>154</v>
      </c>
      <c r="C20" s="95" t="s">
        <v>125</v>
      </c>
      <c r="D20" s="3">
        <v>0.0</v>
      </c>
      <c r="E20" s="3">
        <v>0.0</v>
      </c>
      <c r="F20" s="82">
        <v>500.0</v>
      </c>
      <c r="G20" s="3">
        <v>0.0</v>
      </c>
      <c r="H20" s="82">
        <v>500.0</v>
      </c>
      <c r="I20" s="3">
        <v>0.0</v>
      </c>
      <c r="J20" s="82">
        <v>500.0</v>
      </c>
      <c r="K20" s="3">
        <v>0.0</v>
      </c>
      <c r="L20" s="82">
        <v>500.0</v>
      </c>
      <c r="M20" s="3">
        <v>0.0</v>
      </c>
      <c r="N20" s="82">
        <v>500.0</v>
      </c>
      <c r="O20" s="3">
        <v>0.0</v>
      </c>
      <c r="P20" s="82">
        <v>500.0</v>
      </c>
      <c r="Q20" s="3">
        <v>0.0</v>
      </c>
      <c r="R20" s="82">
        <v>500.0</v>
      </c>
      <c r="S20" s="3">
        <v>0.0</v>
      </c>
      <c r="T20" s="82">
        <v>500.0</v>
      </c>
      <c r="U20" s="3">
        <v>0.0</v>
      </c>
      <c r="V20" s="82">
        <v>500.0</v>
      </c>
      <c r="W20" s="3">
        <v>0.0</v>
      </c>
      <c r="X20" s="82">
        <v>500.0</v>
      </c>
      <c r="Y20" s="3">
        <v>0.0</v>
      </c>
      <c r="Z20" s="82">
        <v>0.0</v>
      </c>
      <c r="AA20" s="3">
        <v>0.0</v>
      </c>
      <c r="AB20" s="3">
        <f t="shared" ref="AB20:AB32" si="3">D20+F20+H20+J20+L20+N20+P20+R20+T20+V20+X20+Z20</f>
        <v>5000</v>
      </c>
      <c r="AC20" s="75"/>
    </row>
    <row r="21" ht="12.0" customHeight="1">
      <c r="A21" s="2"/>
      <c r="B21" s="2" t="s">
        <v>155</v>
      </c>
      <c r="C21" s="96" t="s">
        <v>128</v>
      </c>
      <c r="D21" s="82">
        <v>12000.0</v>
      </c>
      <c r="E21" s="3">
        <v>0.0</v>
      </c>
      <c r="F21" s="82">
        <v>12000.0</v>
      </c>
      <c r="G21" s="3">
        <v>0.0</v>
      </c>
      <c r="H21" s="82">
        <v>12000.0</v>
      </c>
      <c r="I21" s="3">
        <v>0.0</v>
      </c>
      <c r="J21" s="82">
        <v>12000.0</v>
      </c>
      <c r="K21" s="3">
        <v>0.0</v>
      </c>
      <c r="L21" s="82">
        <v>12000.0</v>
      </c>
      <c r="M21" s="3">
        <v>0.0</v>
      </c>
      <c r="N21" s="82">
        <v>12000.0</v>
      </c>
      <c r="O21" s="3">
        <v>0.0</v>
      </c>
      <c r="P21" s="82">
        <v>12000.0</v>
      </c>
      <c r="Q21" s="3">
        <v>0.0</v>
      </c>
      <c r="R21" s="82">
        <v>12000.0</v>
      </c>
      <c r="S21" s="3">
        <v>0.0</v>
      </c>
      <c r="T21" s="82">
        <v>12000.0</v>
      </c>
      <c r="U21" s="3">
        <v>0.0</v>
      </c>
      <c r="V21" s="82">
        <v>12000.0</v>
      </c>
      <c r="W21" s="3">
        <v>0.0</v>
      </c>
      <c r="X21" s="82">
        <v>12000.0</v>
      </c>
      <c r="Y21" s="3">
        <v>0.0</v>
      </c>
      <c r="Z21" s="82">
        <v>0.0</v>
      </c>
      <c r="AA21" s="3">
        <v>0.0</v>
      </c>
      <c r="AB21" s="3">
        <f t="shared" si="3"/>
        <v>132000</v>
      </c>
      <c r="AC21" s="75"/>
    </row>
    <row r="22" ht="12.0" customHeight="1">
      <c r="A22" s="2"/>
      <c r="B22" s="2" t="s">
        <v>156</v>
      </c>
      <c r="C22" s="96" t="s">
        <v>131</v>
      </c>
      <c r="D22" s="82">
        <v>12000.0</v>
      </c>
      <c r="E22" s="3">
        <v>0.0</v>
      </c>
      <c r="F22" s="82">
        <v>12000.0</v>
      </c>
      <c r="G22" s="3">
        <v>0.0</v>
      </c>
      <c r="H22" s="82">
        <v>12000.0</v>
      </c>
      <c r="I22" s="3">
        <v>0.0</v>
      </c>
      <c r="J22" s="82">
        <v>12000.0</v>
      </c>
      <c r="K22" s="3">
        <v>0.0</v>
      </c>
      <c r="L22" s="82">
        <v>12000.0</v>
      </c>
      <c r="M22" s="3">
        <v>0.0</v>
      </c>
      <c r="N22" s="82">
        <v>12000.0</v>
      </c>
      <c r="O22" s="3">
        <v>0.0</v>
      </c>
      <c r="P22" s="82">
        <v>12000.0</v>
      </c>
      <c r="Q22" s="3">
        <v>0.0</v>
      </c>
      <c r="R22" s="82">
        <v>12000.0</v>
      </c>
      <c r="S22" s="3">
        <v>0.0</v>
      </c>
      <c r="T22" s="82">
        <v>12000.0</v>
      </c>
      <c r="U22" s="3">
        <v>0.0</v>
      </c>
      <c r="V22" s="82">
        <v>12000.0</v>
      </c>
      <c r="W22" s="3">
        <v>0.0</v>
      </c>
      <c r="X22" s="82">
        <v>12000.0</v>
      </c>
      <c r="Y22" s="3">
        <v>0.0</v>
      </c>
      <c r="Z22" s="82">
        <v>0.0</v>
      </c>
      <c r="AA22" s="3">
        <v>0.0</v>
      </c>
      <c r="AB22" s="3">
        <f t="shared" si="3"/>
        <v>132000</v>
      </c>
      <c r="AC22" s="75"/>
    </row>
    <row r="23" ht="12.0" customHeight="1">
      <c r="A23" s="2"/>
      <c r="B23" s="97" t="s">
        <v>157</v>
      </c>
      <c r="C23" s="98" t="s">
        <v>133</v>
      </c>
      <c r="D23" s="3">
        <v>0.0</v>
      </c>
      <c r="E23" s="3">
        <v>0.0</v>
      </c>
      <c r="F23" s="82">
        <v>500.0</v>
      </c>
      <c r="G23" s="3">
        <v>0.0</v>
      </c>
      <c r="H23" s="82">
        <v>500.0</v>
      </c>
      <c r="I23" s="3">
        <v>0.0</v>
      </c>
      <c r="J23" s="82">
        <v>500.0</v>
      </c>
      <c r="K23" s="3">
        <v>0.0</v>
      </c>
      <c r="L23" s="82">
        <v>500.0</v>
      </c>
      <c r="M23" s="3">
        <v>0.0</v>
      </c>
      <c r="N23" s="82">
        <v>500.0</v>
      </c>
      <c r="O23" s="3">
        <v>0.0</v>
      </c>
      <c r="P23" s="82">
        <v>500.0</v>
      </c>
      <c r="Q23" s="3">
        <v>0.0</v>
      </c>
      <c r="R23" s="82">
        <v>500.0</v>
      </c>
      <c r="S23" s="3">
        <v>0.0</v>
      </c>
      <c r="T23" s="82">
        <v>500.0</v>
      </c>
      <c r="U23" s="3">
        <v>0.0</v>
      </c>
      <c r="V23" s="82">
        <v>500.0</v>
      </c>
      <c r="W23" s="3">
        <v>0.0</v>
      </c>
      <c r="X23" s="82">
        <v>500.0</v>
      </c>
      <c r="Y23" s="3">
        <v>0.0</v>
      </c>
      <c r="Z23" s="82">
        <v>0.0</v>
      </c>
      <c r="AA23" s="3">
        <v>0.0</v>
      </c>
      <c r="AB23" s="3">
        <f t="shared" si="3"/>
        <v>5000</v>
      </c>
      <c r="AC23" s="75"/>
    </row>
    <row r="24" ht="12.0" customHeight="1">
      <c r="A24" s="2"/>
      <c r="B24" s="2" t="s">
        <v>158</v>
      </c>
      <c r="C24" s="96" t="s">
        <v>135</v>
      </c>
      <c r="D24" s="82">
        <v>12000.0</v>
      </c>
      <c r="E24" s="3">
        <v>0.0</v>
      </c>
      <c r="F24" s="82">
        <v>12000.0</v>
      </c>
      <c r="G24" s="3">
        <v>0.0</v>
      </c>
      <c r="H24" s="82">
        <v>12000.0</v>
      </c>
      <c r="I24" s="3">
        <v>0.0</v>
      </c>
      <c r="J24" s="82">
        <v>12000.0</v>
      </c>
      <c r="K24" s="3">
        <v>0.0</v>
      </c>
      <c r="L24" s="82">
        <v>12000.0</v>
      </c>
      <c r="M24" s="3">
        <v>0.0</v>
      </c>
      <c r="N24" s="82">
        <v>12000.0</v>
      </c>
      <c r="O24" s="3">
        <v>0.0</v>
      </c>
      <c r="P24" s="82">
        <v>12000.0</v>
      </c>
      <c r="Q24" s="3">
        <v>0.0</v>
      </c>
      <c r="R24" s="82">
        <v>12000.0</v>
      </c>
      <c r="S24" s="3">
        <v>0.0</v>
      </c>
      <c r="T24" s="82">
        <v>12000.0</v>
      </c>
      <c r="U24" s="3">
        <v>0.0</v>
      </c>
      <c r="V24" s="82">
        <v>12000.0</v>
      </c>
      <c r="W24" s="3">
        <v>0.0</v>
      </c>
      <c r="X24" s="82">
        <v>12000.0</v>
      </c>
      <c r="Y24" s="3">
        <v>0.0</v>
      </c>
      <c r="Z24" s="82">
        <v>0.0</v>
      </c>
      <c r="AA24" s="3">
        <v>0.0</v>
      </c>
      <c r="AB24" s="3">
        <f t="shared" si="3"/>
        <v>132000</v>
      </c>
      <c r="AC24" s="75"/>
    </row>
    <row r="25" ht="12.0" customHeight="1">
      <c r="A25" s="2"/>
      <c r="B25" s="2" t="s">
        <v>159</v>
      </c>
      <c r="C25" s="96" t="s">
        <v>137</v>
      </c>
      <c r="D25" s="3">
        <v>0.0</v>
      </c>
      <c r="E25" s="3">
        <v>0.0</v>
      </c>
      <c r="F25" s="82">
        <v>500.0</v>
      </c>
      <c r="G25" s="3">
        <v>0.0</v>
      </c>
      <c r="H25" s="82">
        <v>500.0</v>
      </c>
      <c r="I25" s="3">
        <v>0.0</v>
      </c>
      <c r="J25" s="82">
        <v>500.0</v>
      </c>
      <c r="K25" s="3">
        <v>0.0</v>
      </c>
      <c r="L25" s="82">
        <v>500.0</v>
      </c>
      <c r="M25" s="3">
        <v>0.0</v>
      </c>
      <c r="N25" s="82">
        <v>500.0</v>
      </c>
      <c r="O25" s="3">
        <v>0.0</v>
      </c>
      <c r="P25" s="82">
        <v>500.0</v>
      </c>
      <c r="Q25" s="3">
        <v>0.0</v>
      </c>
      <c r="R25" s="82">
        <v>500.0</v>
      </c>
      <c r="S25" s="3">
        <v>0.0</v>
      </c>
      <c r="T25" s="82">
        <v>500.0</v>
      </c>
      <c r="U25" s="3">
        <v>0.0</v>
      </c>
      <c r="V25" s="82">
        <v>500.0</v>
      </c>
      <c r="W25" s="3">
        <v>0.0</v>
      </c>
      <c r="X25" s="82">
        <v>500.0</v>
      </c>
      <c r="Y25" s="3">
        <v>0.0</v>
      </c>
      <c r="Z25" s="82">
        <v>0.0</v>
      </c>
      <c r="AA25" s="3">
        <v>0.0</v>
      </c>
      <c r="AB25" s="3">
        <f t="shared" si="3"/>
        <v>5000</v>
      </c>
      <c r="AC25" s="75"/>
    </row>
    <row r="26" ht="12.0" customHeight="1">
      <c r="A26" s="2"/>
      <c r="B26" s="2" t="s">
        <v>160</v>
      </c>
      <c r="C26" s="96" t="s">
        <v>140</v>
      </c>
      <c r="D26" s="3">
        <v>0.0</v>
      </c>
      <c r="E26" s="3">
        <v>0.0</v>
      </c>
      <c r="F26" s="82">
        <v>500.0</v>
      </c>
      <c r="G26" s="3">
        <v>0.0</v>
      </c>
      <c r="H26" s="82">
        <v>500.0</v>
      </c>
      <c r="I26" s="3">
        <v>0.0</v>
      </c>
      <c r="J26" s="82">
        <v>500.0</v>
      </c>
      <c r="K26" s="3">
        <v>0.0</v>
      </c>
      <c r="L26" s="82">
        <v>500.0</v>
      </c>
      <c r="M26" s="3">
        <v>0.0</v>
      </c>
      <c r="N26" s="82">
        <v>500.0</v>
      </c>
      <c r="O26" s="3">
        <v>0.0</v>
      </c>
      <c r="P26" s="82">
        <v>500.0</v>
      </c>
      <c r="Q26" s="3">
        <v>0.0</v>
      </c>
      <c r="R26" s="82">
        <v>500.0</v>
      </c>
      <c r="S26" s="3">
        <v>0.0</v>
      </c>
      <c r="T26" s="82">
        <v>500.0</v>
      </c>
      <c r="U26" s="3">
        <v>0.0</v>
      </c>
      <c r="V26" s="82">
        <v>500.0</v>
      </c>
      <c r="W26" s="3">
        <v>0.0</v>
      </c>
      <c r="X26" s="82">
        <v>500.0</v>
      </c>
      <c r="Y26" s="3">
        <v>0.0</v>
      </c>
      <c r="Z26" s="82">
        <v>0.0</v>
      </c>
      <c r="AA26" s="3">
        <v>0.0</v>
      </c>
      <c r="AB26" s="3">
        <f t="shared" si="3"/>
        <v>5000</v>
      </c>
      <c r="AC26" s="75"/>
    </row>
    <row r="27" ht="12.0" customHeight="1">
      <c r="A27" s="2"/>
      <c r="B27" s="2" t="s">
        <v>161</v>
      </c>
      <c r="C27" s="96" t="s">
        <v>142</v>
      </c>
      <c r="D27" s="3">
        <v>0.0</v>
      </c>
      <c r="E27" s="3">
        <v>0.0</v>
      </c>
      <c r="F27" s="82">
        <v>500.0</v>
      </c>
      <c r="G27" s="3">
        <v>0.0</v>
      </c>
      <c r="H27" s="82">
        <v>500.0</v>
      </c>
      <c r="I27" s="3">
        <v>0.0</v>
      </c>
      <c r="J27" s="82">
        <v>500.0</v>
      </c>
      <c r="K27" s="3">
        <v>0.0</v>
      </c>
      <c r="L27" s="82">
        <v>500.0</v>
      </c>
      <c r="M27" s="3">
        <v>0.0</v>
      </c>
      <c r="N27" s="82">
        <v>500.0</v>
      </c>
      <c r="O27" s="3">
        <v>0.0</v>
      </c>
      <c r="P27" s="82">
        <v>500.0</v>
      </c>
      <c r="Q27" s="3">
        <v>0.0</v>
      </c>
      <c r="R27" s="82">
        <v>500.0</v>
      </c>
      <c r="S27" s="3">
        <v>0.0</v>
      </c>
      <c r="T27" s="82">
        <v>500.0</v>
      </c>
      <c r="U27" s="3">
        <v>0.0</v>
      </c>
      <c r="V27" s="82">
        <v>500.0</v>
      </c>
      <c r="W27" s="3">
        <v>0.0</v>
      </c>
      <c r="X27" s="82">
        <v>500.0</v>
      </c>
      <c r="Y27" s="3">
        <v>0.0</v>
      </c>
      <c r="Z27" s="82">
        <v>0.0</v>
      </c>
      <c r="AA27" s="3">
        <v>0.0</v>
      </c>
      <c r="AB27" s="3">
        <f t="shared" si="3"/>
        <v>5000</v>
      </c>
      <c r="AC27" s="75"/>
    </row>
    <row r="28" ht="12.0" customHeight="1">
      <c r="A28" s="2"/>
      <c r="B28" s="2" t="s">
        <v>162</v>
      </c>
      <c r="C28" s="99" t="s">
        <v>144</v>
      </c>
      <c r="D28" s="3">
        <v>0.0</v>
      </c>
      <c r="E28" s="3">
        <v>0.0</v>
      </c>
      <c r="F28" s="82">
        <v>500.0</v>
      </c>
      <c r="G28" s="3">
        <v>0.0</v>
      </c>
      <c r="H28" s="82">
        <v>500.0</v>
      </c>
      <c r="I28" s="3">
        <v>0.0</v>
      </c>
      <c r="J28" s="82">
        <v>500.0</v>
      </c>
      <c r="K28" s="3">
        <v>0.0</v>
      </c>
      <c r="L28" s="82">
        <v>500.0</v>
      </c>
      <c r="M28" s="3">
        <v>0.0</v>
      </c>
      <c r="N28" s="82">
        <v>500.0</v>
      </c>
      <c r="O28" s="3">
        <v>0.0</v>
      </c>
      <c r="P28" s="82">
        <v>500.0</v>
      </c>
      <c r="Q28" s="3">
        <v>0.0</v>
      </c>
      <c r="R28" s="82">
        <v>500.0</v>
      </c>
      <c r="S28" s="3">
        <v>0.0</v>
      </c>
      <c r="T28" s="82">
        <v>500.0</v>
      </c>
      <c r="U28" s="3">
        <v>0.0</v>
      </c>
      <c r="V28" s="82">
        <v>500.0</v>
      </c>
      <c r="W28" s="3">
        <v>0.0</v>
      </c>
      <c r="X28" s="82">
        <v>500.0</v>
      </c>
      <c r="Y28" s="3">
        <v>0.0</v>
      </c>
      <c r="Z28" s="82">
        <v>0.0</v>
      </c>
      <c r="AA28" s="3">
        <v>0.0</v>
      </c>
      <c r="AB28" s="3">
        <f t="shared" si="3"/>
        <v>5000</v>
      </c>
      <c r="AC28" s="75"/>
    </row>
    <row r="29" ht="12.0" customHeight="1">
      <c r="A29" s="2"/>
      <c r="B29" s="2" t="s">
        <v>163</v>
      </c>
      <c r="C29" s="99" t="s">
        <v>146</v>
      </c>
      <c r="D29" s="3">
        <v>0.0</v>
      </c>
      <c r="E29" s="3">
        <v>0.0</v>
      </c>
      <c r="F29" s="82">
        <v>500.0</v>
      </c>
      <c r="G29" s="3">
        <v>0.0</v>
      </c>
      <c r="H29" s="82">
        <v>500.0</v>
      </c>
      <c r="I29" s="3">
        <v>0.0</v>
      </c>
      <c r="J29" s="82">
        <v>500.0</v>
      </c>
      <c r="K29" s="3">
        <v>0.0</v>
      </c>
      <c r="L29" s="82">
        <v>500.0</v>
      </c>
      <c r="M29" s="3">
        <v>0.0</v>
      </c>
      <c r="N29" s="82">
        <v>500.0</v>
      </c>
      <c r="O29" s="3">
        <v>0.0</v>
      </c>
      <c r="P29" s="82">
        <v>500.0</v>
      </c>
      <c r="Q29" s="3">
        <v>0.0</v>
      </c>
      <c r="R29" s="82">
        <v>500.0</v>
      </c>
      <c r="S29" s="3">
        <v>0.0</v>
      </c>
      <c r="T29" s="82">
        <v>500.0</v>
      </c>
      <c r="U29" s="3">
        <v>0.0</v>
      </c>
      <c r="V29" s="82">
        <v>500.0</v>
      </c>
      <c r="W29" s="3">
        <v>0.0</v>
      </c>
      <c r="X29" s="82">
        <v>500.0</v>
      </c>
      <c r="Y29" s="3">
        <v>0.0</v>
      </c>
      <c r="Z29" s="82">
        <v>0.0</v>
      </c>
      <c r="AA29" s="3">
        <v>0.0</v>
      </c>
      <c r="AB29" s="3">
        <f t="shared" si="3"/>
        <v>5000</v>
      </c>
      <c r="AC29" s="75"/>
    </row>
    <row r="30" ht="12.0" customHeight="1">
      <c r="A30" s="2"/>
      <c r="B30" s="2" t="s">
        <v>164</v>
      </c>
      <c r="C30" s="99" t="s">
        <v>148</v>
      </c>
      <c r="D30" s="3">
        <v>0.0</v>
      </c>
      <c r="E30" s="3">
        <v>0.0</v>
      </c>
      <c r="F30" s="82">
        <v>500.0</v>
      </c>
      <c r="G30" s="3">
        <v>0.0</v>
      </c>
      <c r="H30" s="82">
        <v>500.0</v>
      </c>
      <c r="I30" s="3">
        <v>0.0</v>
      </c>
      <c r="J30" s="82">
        <v>500.0</v>
      </c>
      <c r="K30" s="3">
        <v>0.0</v>
      </c>
      <c r="L30" s="82">
        <v>500.0</v>
      </c>
      <c r="M30" s="3">
        <v>0.0</v>
      </c>
      <c r="N30" s="82">
        <v>500.0</v>
      </c>
      <c r="O30" s="3">
        <v>0.0</v>
      </c>
      <c r="P30" s="82">
        <v>500.0</v>
      </c>
      <c r="Q30" s="3">
        <v>0.0</v>
      </c>
      <c r="R30" s="82">
        <v>500.0</v>
      </c>
      <c r="S30" s="3">
        <v>0.0</v>
      </c>
      <c r="T30" s="82">
        <v>500.0</v>
      </c>
      <c r="U30" s="3">
        <v>0.0</v>
      </c>
      <c r="V30" s="82">
        <v>500.0</v>
      </c>
      <c r="W30" s="3">
        <v>0.0</v>
      </c>
      <c r="X30" s="82">
        <v>500.0</v>
      </c>
      <c r="Y30" s="3">
        <v>0.0</v>
      </c>
      <c r="Z30" s="82">
        <v>0.0</v>
      </c>
      <c r="AA30" s="3">
        <v>0.0</v>
      </c>
      <c r="AB30" s="3">
        <f t="shared" si="3"/>
        <v>5000</v>
      </c>
      <c r="AC30" s="75"/>
    </row>
    <row r="31" ht="12.0" customHeight="1">
      <c r="A31" s="2"/>
      <c r="B31" s="97" t="s">
        <v>165</v>
      </c>
      <c r="C31" s="102" t="s">
        <v>166</v>
      </c>
      <c r="D31" s="82">
        <v>0.0</v>
      </c>
      <c r="E31" s="3"/>
      <c r="F31" s="82">
        <v>500.0</v>
      </c>
      <c r="G31" s="3">
        <v>0.0</v>
      </c>
      <c r="H31" s="82">
        <v>500.0</v>
      </c>
      <c r="I31" s="3">
        <v>0.0</v>
      </c>
      <c r="J31" s="82">
        <v>500.0</v>
      </c>
      <c r="K31" s="3">
        <v>0.0</v>
      </c>
      <c r="L31" s="82">
        <v>500.0</v>
      </c>
      <c r="M31" s="3">
        <v>0.0</v>
      </c>
      <c r="N31" s="82">
        <v>500.0</v>
      </c>
      <c r="O31" s="3">
        <v>0.0</v>
      </c>
      <c r="P31" s="82">
        <v>500.0</v>
      </c>
      <c r="Q31" s="3">
        <v>0.0</v>
      </c>
      <c r="R31" s="82">
        <v>500.0</v>
      </c>
      <c r="S31" s="3">
        <v>0.0</v>
      </c>
      <c r="T31" s="82">
        <v>500.0</v>
      </c>
      <c r="U31" s="3">
        <v>0.0</v>
      </c>
      <c r="V31" s="82">
        <v>500.0</v>
      </c>
      <c r="W31" s="3">
        <v>0.0</v>
      </c>
      <c r="X31" s="82">
        <v>500.0</v>
      </c>
      <c r="Y31" s="3">
        <v>0.0</v>
      </c>
      <c r="Z31" s="82">
        <v>0.0</v>
      </c>
      <c r="AA31" s="3">
        <v>0.0</v>
      </c>
      <c r="AB31" s="3">
        <f t="shared" si="3"/>
        <v>5000</v>
      </c>
      <c r="AC31" s="75"/>
    </row>
    <row r="32" ht="12.0" customHeight="1">
      <c r="A32" s="2"/>
      <c r="B32" s="2" t="s">
        <v>167</v>
      </c>
      <c r="C32" s="99" t="s">
        <v>150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  <c r="L32" s="3">
        <v>357564.9</v>
      </c>
      <c r="M32" s="3">
        <v>0.0</v>
      </c>
      <c r="N32" s="3">
        <v>3352.745</v>
      </c>
      <c r="O32" s="100">
        <v>0.0</v>
      </c>
      <c r="P32" s="3">
        <v>4062.5310000000004</v>
      </c>
      <c r="Q32" s="100">
        <v>0.0</v>
      </c>
      <c r="R32" s="3">
        <v>72123.964</v>
      </c>
      <c r="S32" s="100">
        <v>0.0</v>
      </c>
      <c r="T32" s="3">
        <v>5170.869000000001</v>
      </c>
      <c r="U32" s="100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44000.0</v>
      </c>
      <c r="AA32" s="3">
        <v>0.0</v>
      </c>
      <c r="AB32" s="3">
        <f t="shared" si="3"/>
        <v>486275.009</v>
      </c>
      <c r="AC32" s="75" t="s">
        <v>151</v>
      </c>
    </row>
    <row r="33" ht="12.0" customHeight="1">
      <c r="A33" s="2"/>
      <c r="B33" s="2"/>
      <c r="C33" s="88" t="s">
        <v>168</v>
      </c>
      <c r="D33" s="89">
        <f t="shared" ref="D33:AB33" si="4">SUM(D20:D32)</f>
        <v>36000</v>
      </c>
      <c r="E33" s="89">
        <f t="shared" si="4"/>
        <v>0</v>
      </c>
      <c r="F33" s="89">
        <f t="shared" si="4"/>
        <v>40500</v>
      </c>
      <c r="G33" s="89">
        <f t="shared" si="4"/>
        <v>0</v>
      </c>
      <c r="H33" s="89">
        <f t="shared" si="4"/>
        <v>40500</v>
      </c>
      <c r="I33" s="89">
        <f t="shared" si="4"/>
        <v>0</v>
      </c>
      <c r="J33" s="89">
        <f t="shared" si="4"/>
        <v>40500</v>
      </c>
      <c r="K33" s="89">
        <f t="shared" si="4"/>
        <v>0</v>
      </c>
      <c r="L33" s="89">
        <f t="shared" si="4"/>
        <v>398064.9</v>
      </c>
      <c r="M33" s="89">
        <f t="shared" si="4"/>
        <v>0</v>
      </c>
      <c r="N33" s="89">
        <f t="shared" si="4"/>
        <v>43852.745</v>
      </c>
      <c r="O33" s="89">
        <f t="shared" si="4"/>
        <v>0</v>
      </c>
      <c r="P33" s="89">
        <f t="shared" si="4"/>
        <v>44562.531</v>
      </c>
      <c r="Q33" s="89">
        <f t="shared" si="4"/>
        <v>0</v>
      </c>
      <c r="R33" s="89">
        <f t="shared" si="4"/>
        <v>112623.964</v>
      </c>
      <c r="S33" s="89">
        <f t="shared" si="4"/>
        <v>0</v>
      </c>
      <c r="T33" s="89">
        <f t="shared" si="4"/>
        <v>45670.869</v>
      </c>
      <c r="U33" s="89">
        <f t="shared" si="4"/>
        <v>0</v>
      </c>
      <c r="V33" s="89">
        <f t="shared" si="4"/>
        <v>40500</v>
      </c>
      <c r="W33" s="89">
        <f t="shared" si="4"/>
        <v>0</v>
      </c>
      <c r="X33" s="89">
        <f t="shared" si="4"/>
        <v>40500</v>
      </c>
      <c r="Y33" s="89">
        <f t="shared" si="4"/>
        <v>0</v>
      </c>
      <c r="Z33" s="89">
        <f t="shared" si="4"/>
        <v>44000</v>
      </c>
      <c r="AA33" s="89">
        <f t="shared" si="4"/>
        <v>0</v>
      </c>
      <c r="AB33" s="90">
        <f t="shared" si="4"/>
        <v>927275.009</v>
      </c>
      <c r="AC33" s="75"/>
    </row>
    <row r="34" ht="12.0" customHeight="1">
      <c r="A34" s="2"/>
      <c r="B34" s="2"/>
      <c r="C34" s="103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75"/>
    </row>
    <row r="35" ht="12.0" customHeight="1">
      <c r="A35" s="2"/>
      <c r="B35" s="2"/>
      <c r="C35" s="88" t="s">
        <v>169</v>
      </c>
      <c r="D35" s="89">
        <f t="shared" ref="D35:AB35" si="5">+D17-D33</f>
        <v>4500</v>
      </c>
      <c r="E35" s="89">
        <f t="shared" si="5"/>
        <v>0</v>
      </c>
      <c r="F35" s="89">
        <f t="shared" si="5"/>
        <v>0</v>
      </c>
      <c r="G35" s="89">
        <f t="shared" si="5"/>
        <v>0</v>
      </c>
      <c r="H35" s="89">
        <f t="shared" si="5"/>
        <v>0</v>
      </c>
      <c r="I35" s="89">
        <f t="shared" si="5"/>
        <v>0</v>
      </c>
      <c r="J35" s="89">
        <f t="shared" si="5"/>
        <v>0</v>
      </c>
      <c r="K35" s="89">
        <f t="shared" si="5"/>
        <v>0</v>
      </c>
      <c r="L35" s="89">
        <f t="shared" si="5"/>
        <v>-214636.33</v>
      </c>
      <c r="M35" s="89">
        <f t="shared" si="5"/>
        <v>0</v>
      </c>
      <c r="N35" s="89">
        <f t="shared" si="5"/>
        <v>283492.485</v>
      </c>
      <c r="O35" s="89">
        <f t="shared" si="5"/>
        <v>0</v>
      </c>
      <c r="P35" s="89">
        <f t="shared" si="5"/>
        <v>240116.029</v>
      </c>
      <c r="Q35" s="89">
        <f t="shared" si="5"/>
        <v>0</v>
      </c>
      <c r="R35" s="89">
        <f t="shared" si="5"/>
        <v>111221.266</v>
      </c>
      <c r="S35" s="89">
        <f t="shared" si="5"/>
        <v>0</v>
      </c>
      <c r="T35" s="89">
        <f t="shared" si="5"/>
        <v>78174.361</v>
      </c>
      <c r="U35" s="89">
        <f t="shared" si="5"/>
        <v>0</v>
      </c>
      <c r="V35" s="89">
        <f t="shared" si="5"/>
        <v>71428.57</v>
      </c>
      <c r="W35" s="89">
        <f t="shared" si="5"/>
        <v>0</v>
      </c>
      <c r="X35" s="89">
        <f t="shared" si="5"/>
        <v>71428.57</v>
      </c>
      <c r="Y35" s="89">
        <f t="shared" si="5"/>
        <v>0</v>
      </c>
      <c r="Z35" s="89">
        <f t="shared" si="5"/>
        <v>-44000</v>
      </c>
      <c r="AA35" s="89">
        <f t="shared" si="5"/>
        <v>0</v>
      </c>
      <c r="AB35" s="90">
        <f t="shared" si="5"/>
        <v>601724.951</v>
      </c>
      <c r="AC35" s="75"/>
    </row>
    <row r="36" ht="12.0" customHeight="1">
      <c r="A36" s="2"/>
      <c r="B36" s="2"/>
      <c r="C36" s="2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75"/>
    </row>
    <row r="37" ht="12.0" customHeight="1">
      <c r="A37" s="2"/>
      <c r="B37" s="2" t="s">
        <v>170</v>
      </c>
      <c r="C37" s="99" t="s">
        <v>32</v>
      </c>
      <c r="D37" s="3">
        <v>0.0</v>
      </c>
      <c r="E37" s="3">
        <v>0.0</v>
      </c>
      <c r="F37" s="3">
        <v>0.0</v>
      </c>
      <c r="G37" s="3">
        <v>0.0</v>
      </c>
      <c r="H37" s="3">
        <v>0.0</v>
      </c>
      <c r="I37" s="3">
        <v>0.0</v>
      </c>
      <c r="J37" s="3">
        <v>0.0</v>
      </c>
      <c r="K37" s="3">
        <v>0.0</v>
      </c>
      <c r="L37" s="3">
        <v>0.0</v>
      </c>
      <c r="M37" s="3">
        <v>0.0</v>
      </c>
      <c r="N37" s="105">
        <v>0.0</v>
      </c>
      <c r="O37" s="105">
        <v>0.0</v>
      </c>
      <c r="P37" s="105">
        <v>0.0</v>
      </c>
      <c r="Q37" s="105">
        <v>0.0</v>
      </c>
      <c r="R37" s="105">
        <v>0.0</v>
      </c>
      <c r="S37" s="105">
        <v>0.0</v>
      </c>
      <c r="T37" s="105">
        <v>0.0</v>
      </c>
      <c r="U37" s="105">
        <v>0.0</v>
      </c>
      <c r="V37" s="3">
        <v>0.0</v>
      </c>
      <c r="W37" s="3">
        <v>0.0</v>
      </c>
      <c r="X37" s="3">
        <v>0.0</v>
      </c>
      <c r="Y37" s="3">
        <v>0.0</v>
      </c>
      <c r="Z37" s="3">
        <v>0.0</v>
      </c>
      <c r="AA37" s="3">
        <v>0.0</v>
      </c>
      <c r="AB37" s="3">
        <f>D37+F37+H37+J37+L37+N37+P37+R37+T37+V37+X37+Z37</f>
        <v>0</v>
      </c>
      <c r="AC37" s="75"/>
    </row>
    <row r="38" ht="12.0" customHeight="1">
      <c r="A38" s="2"/>
      <c r="B38" s="2"/>
      <c r="C38" s="99"/>
      <c r="D38" s="3"/>
      <c r="E38" s="3"/>
      <c r="F38" s="3"/>
      <c r="G38" s="3"/>
      <c r="H38" s="3"/>
      <c r="I38" s="3"/>
      <c r="J38" s="3"/>
      <c r="K38" s="3"/>
      <c r="L38" s="3"/>
      <c r="M38" s="3"/>
      <c r="N38" s="105"/>
      <c r="O38" s="105"/>
      <c r="P38" s="105"/>
      <c r="Q38" s="105"/>
      <c r="R38" s="105"/>
      <c r="S38" s="105"/>
      <c r="T38" s="105"/>
      <c r="U38" s="105"/>
      <c r="V38" s="3"/>
      <c r="W38" s="3"/>
      <c r="X38" s="3"/>
      <c r="Y38" s="3"/>
      <c r="Z38" s="3"/>
      <c r="AA38" s="3"/>
      <c r="AB38" s="3"/>
      <c r="AC38" s="75"/>
    </row>
    <row r="39" ht="12.0" customHeight="1">
      <c r="A39" s="2"/>
      <c r="B39" s="2"/>
      <c r="C39" s="88" t="s">
        <v>171</v>
      </c>
      <c r="D39" s="89">
        <f t="shared" ref="D39:AB39" si="6">D35-D37</f>
        <v>4500</v>
      </c>
      <c r="E39" s="89">
        <f t="shared" si="6"/>
        <v>0</v>
      </c>
      <c r="F39" s="89">
        <f t="shared" si="6"/>
        <v>0</v>
      </c>
      <c r="G39" s="89">
        <f t="shared" si="6"/>
        <v>0</v>
      </c>
      <c r="H39" s="89">
        <f t="shared" si="6"/>
        <v>0</v>
      </c>
      <c r="I39" s="89">
        <f t="shared" si="6"/>
        <v>0</v>
      </c>
      <c r="J39" s="89">
        <f t="shared" si="6"/>
        <v>0</v>
      </c>
      <c r="K39" s="89">
        <f t="shared" si="6"/>
        <v>0</v>
      </c>
      <c r="L39" s="89">
        <f t="shared" si="6"/>
        <v>-214636.33</v>
      </c>
      <c r="M39" s="89">
        <f t="shared" si="6"/>
        <v>0</v>
      </c>
      <c r="N39" s="89">
        <f t="shared" si="6"/>
        <v>283492.485</v>
      </c>
      <c r="O39" s="89">
        <f t="shared" si="6"/>
        <v>0</v>
      </c>
      <c r="P39" s="89">
        <f t="shared" si="6"/>
        <v>240116.029</v>
      </c>
      <c r="Q39" s="89">
        <f t="shared" si="6"/>
        <v>0</v>
      </c>
      <c r="R39" s="89">
        <f t="shared" si="6"/>
        <v>111221.266</v>
      </c>
      <c r="S39" s="89">
        <f t="shared" si="6"/>
        <v>0</v>
      </c>
      <c r="T39" s="89">
        <f t="shared" si="6"/>
        <v>78174.361</v>
      </c>
      <c r="U39" s="89">
        <f t="shared" si="6"/>
        <v>0</v>
      </c>
      <c r="V39" s="89">
        <f t="shared" si="6"/>
        <v>71428.57</v>
      </c>
      <c r="W39" s="89">
        <f t="shared" si="6"/>
        <v>0</v>
      </c>
      <c r="X39" s="89">
        <f t="shared" si="6"/>
        <v>71428.57</v>
      </c>
      <c r="Y39" s="89">
        <f t="shared" si="6"/>
        <v>0</v>
      </c>
      <c r="Z39" s="89">
        <f t="shared" si="6"/>
        <v>-44000</v>
      </c>
      <c r="AA39" s="89">
        <f t="shared" si="6"/>
        <v>0</v>
      </c>
      <c r="AB39" s="90">
        <f t="shared" si="6"/>
        <v>601724.951</v>
      </c>
      <c r="AC39" s="75" t="s">
        <v>172</v>
      </c>
    </row>
    <row r="40" ht="12.0" customHeight="1">
      <c r="A40" s="2"/>
      <c r="B40" s="2"/>
      <c r="C40" s="99"/>
      <c r="D40" s="3"/>
      <c r="E40" s="3"/>
      <c r="F40" s="3"/>
      <c r="G40" s="3"/>
      <c r="H40" s="3"/>
      <c r="I40" s="3"/>
      <c r="J40" s="3"/>
      <c r="K40" s="3"/>
      <c r="L40" s="3"/>
      <c r="M40" s="3"/>
      <c r="N40" s="105"/>
      <c r="O40" s="105"/>
      <c r="P40" s="105"/>
      <c r="Q40" s="105"/>
      <c r="R40" s="105"/>
      <c r="S40" s="105"/>
      <c r="T40" s="105"/>
      <c r="U40" s="105"/>
      <c r="V40" s="3"/>
      <c r="W40" s="3"/>
      <c r="X40" s="3"/>
      <c r="Y40" s="3"/>
      <c r="Z40" s="3"/>
      <c r="AA40" s="3"/>
      <c r="AB40" s="3"/>
      <c r="AC40" s="75"/>
    </row>
    <row r="41" ht="12.0" customHeight="1">
      <c r="A41" s="2"/>
      <c r="B41" s="2"/>
      <c r="C41" s="106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3">
        <f>AB17+'Dirección'!AB7</f>
        <v>1594590.683</v>
      </c>
      <c r="AC41" s="75"/>
    </row>
    <row r="42" ht="12.0" customHeight="1">
      <c r="A42" s="2"/>
      <c r="B42" s="2"/>
      <c r="C42" s="106" t="s">
        <v>173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3">
        <f>AB33+'Dirección'!AB12</f>
        <v>1004784.881</v>
      </c>
      <c r="AC42" s="75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75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75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75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75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75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75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75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75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75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75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75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75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75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75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75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75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75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75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75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75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75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75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75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75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75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75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75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75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75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75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75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75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75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75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75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75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75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75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75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75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75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75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75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75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75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75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75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75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75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75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75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75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75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75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75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75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75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75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75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75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75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75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75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75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75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75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75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75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75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75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75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75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75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75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75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75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75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75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75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75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75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75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75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75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75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75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75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75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75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75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75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75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75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75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75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75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75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75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75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75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75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75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75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75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75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75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75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75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75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75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75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75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75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75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75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75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75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75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75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75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75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75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75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75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75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75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75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75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75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75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75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75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75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75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75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75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75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75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75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75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75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75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75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75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75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75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75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75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75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75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75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75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75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75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75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75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75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75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75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75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75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75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75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75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75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75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75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75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75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75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75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75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75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75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75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75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75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75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75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75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75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75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75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75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75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75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75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75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75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75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75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75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75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75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75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75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75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75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75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75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75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75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75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75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75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75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75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75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75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75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75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75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75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75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75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75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75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75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75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75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75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75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75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75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75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75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75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75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75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75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75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75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75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75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75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75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75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75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75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75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75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75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75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75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75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75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75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75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75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75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75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75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75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75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75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75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75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75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75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75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75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75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75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75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75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75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75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75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75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75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75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75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75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75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75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75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75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75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75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75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75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75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75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75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75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75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75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75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75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75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75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75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75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75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75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75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75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75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75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75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75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75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75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75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75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75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75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75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75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75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75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75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75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75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75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75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75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75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75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75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75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75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75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75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75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75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75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75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75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75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75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75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75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75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75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75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75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75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75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75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75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75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75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75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75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75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75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75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75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75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75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75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75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75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75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75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75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75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75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75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75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75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75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75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75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75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75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75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75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75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75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75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75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75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75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75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75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75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75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75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75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75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75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75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75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75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75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75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75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75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75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75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75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75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75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75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75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75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75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75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75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75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75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75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75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75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75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75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75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75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75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75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75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75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75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75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75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75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75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75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75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75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75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75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75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75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75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75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75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75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75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75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75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75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75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75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75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75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75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75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75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75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75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75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75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75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75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75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75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75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75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75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75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75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75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75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75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75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75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75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75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75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75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75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75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75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75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75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75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75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75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75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75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75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75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75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75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75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75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75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75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75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75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75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75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75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75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75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75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75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75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75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75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75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75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75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75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75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75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75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75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75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75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75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75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75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75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75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75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75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75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75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75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75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75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75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75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75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75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75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75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75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75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75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75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75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75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75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75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75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75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75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75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75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75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75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75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75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75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75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75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75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75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75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75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75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75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75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75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75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75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75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75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75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75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75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75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75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75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75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75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75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75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75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75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75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75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75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75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75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75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75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75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75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75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75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75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75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75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75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75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75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75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75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75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75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75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75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75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75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75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75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75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75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75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75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75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75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75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75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75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75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75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75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75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75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75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75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75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75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75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75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75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75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75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75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75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75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75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75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75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75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75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75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75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75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75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75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75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75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75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75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75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75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75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75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75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75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75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75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75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75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75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75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75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75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75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75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75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75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75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75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75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75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75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75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75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75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75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75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75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75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75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75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75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75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75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75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75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75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75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75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75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75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75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75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75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75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75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75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75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75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75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75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75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75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75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75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75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75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75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75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75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75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75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75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75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75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75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75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75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75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75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75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75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75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75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75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75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75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75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75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75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75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75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75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75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75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75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75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75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75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75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75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75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75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75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75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75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75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75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75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75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75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75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75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75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75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75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75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75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75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75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75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75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75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75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75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75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75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75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75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75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75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75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75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75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75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75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75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75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75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75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75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75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75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75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75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75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75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75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75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75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75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75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75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75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75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75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75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75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75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75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75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75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75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75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75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75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75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75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75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75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75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75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75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75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75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75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75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75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75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75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75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75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75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75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75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75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75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75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75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75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75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75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75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75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75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75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75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75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75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75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75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75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75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75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75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75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75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75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75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75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75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75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75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75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75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75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75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75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75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75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75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75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75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75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75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75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75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75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75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75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75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75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75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75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75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75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75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75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75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75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75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75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75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75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75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75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75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75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75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75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75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75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75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75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75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75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75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75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75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75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75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75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75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75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75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75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75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75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75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75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75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75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75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75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75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75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75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75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75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75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75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75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75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75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75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75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75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75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75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75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75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75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75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75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75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75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75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75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75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75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75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75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75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75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75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75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75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75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75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75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75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75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75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75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75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75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75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75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75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75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75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75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75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75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75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75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75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75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75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75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75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75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75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75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75"/>
    </row>
    <row r="1001" ht="12.0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75"/>
    </row>
    <row r="1002" ht="12.0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75"/>
    </row>
    <row r="1003" ht="12.0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75"/>
    </row>
    <row r="1004" ht="12.0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75"/>
    </row>
    <row r="1005" ht="12.0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75"/>
    </row>
    <row r="1006" ht="12.0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75"/>
    </row>
    <row r="1007" ht="12.0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75"/>
    </row>
    <row r="1008" ht="12.0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75"/>
    </row>
    <row r="1009" ht="12.0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75"/>
    </row>
    <row r="1010" ht="12.0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75"/>
    </row>
    <row r="1011" ht="12.0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75"/>
    </row>
    <row r="1012" ht="12.0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75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/>
  <cols>
    <col customWidth="1" min="1" max="1" width="1.25"/>
    <col customWidth="1" hidden="1" min="2" max="2" width="12.0"/>
    <col customWidth="1" min="3" max="3" width="21.0"/>
    <col customWidth="1" min="4" max="4" width="6.13"/>
    <col customWidth="1" hidden="1" min="5" max="5" width="6.13"/>
    <col customWidth="1" min="6" max="6" width="5.63"/>
    <col customWidth="1" hidden="1" min="7" max="7" width="5.63"/>
    <col customWidth="1" min="8" max="8" width="6.63"/>
    <col customWidth="1" hidden="1" min="9" max="9" width="6.25"/>
    <col customWidth="1" min="10" max="10" width="5.75"/>
    <col customWidth="1" hidden="1" min="11" max="11" width="5.75"/>
    <col customWidth="1" min="12" max="12" width="6.63"/>
    <col customWidth="1" hidden="1" min="13" max="13" width="6.5"/>
    <col customWidth="1" min="14" max="14" width="5.63"/>
    <col customWidth="1" hidden="1" min="15" max="15" width="5.63"/>
    <col customWidth="1" min="16" max="16" width="6.63"/>
    <col customWidth="1" hidden="1" min="17" max="17" width="5.13"/>
    <col customWidth="1" min="18" max="18" width="6.13"/>
    <col customWidth="1" hidden="1" min="19" max="19" width="6.13"/>
    <col customWidth="1" min="20" max="20" width="6.63"/>
    <col customWidth="1" hidden="1" min="21" max="21" width="5.88"/>
    <col customWidth="1" min="22" max="22" width="6.63"/>
    <col customWidth="1" hidden="1" min="23" max="23" width="5.5"/>
    <col customWidth="1" min="24" max="24" width="6.63"/>
    <col customWidth="1" hidden="1" min="25" max="25" width="6.0"/>
    <col customWidth="1" min="26" max="26" width="5.5"/>
    <col customWidth="1" hidden="1" min="27" max="27" width="5.5"/>
    <col customWidth="1" min="28" max="28" width="7.5"/>
    <col customWidth="1" hidden="1" min="29" max="29" width="7.5"/>
    <col customWidth="1" hidden="1" min="30" max="31" width="0.13"/>
  </cols>
  <sheetData>
    <row r="1" ht="12.0" customHeight="1">
      <c r="A1" s="107"/>
      <c r="B1" s="107"/>
      <c r="C1" s="108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10"/>
      <c r="AD1" s="111"/>
      <c r="AE1" s="111"/>
    </row>
    <row r="2" ht="12.0" customHeight="1">
      <c r="A2" s="107"/>
      <c r="B2" s="107"/>
      <c r="C2" s="112" t="s">
        <v>23</v>
      </c>
      <c r="D2" s="77">
        <v>46023.0</v>
      </c>
      <c r="E2" s="78">
        <v>46023.0</v>
      </c>
      <c r="F2" s="77">
        <v>46054.0</v>
      </c>
      <c r="G2" s="78">
        <v>46054.0</v>
      </c>
      <c r="H2" s="77">
        <v>46082.0</v>
      </c>
      <c r="I2" s="78">
        <v>46082.0</v>
      </c>
      <c r="J2" s="77">
        <v>46113.0</v>
      </c>
      <c r="K2" s="78">
        <v>46113.0</v>
      </c>
      <c r="L2" s="77">
        <v>46143.0</v>
      </c>
      <c r="M2" s="78">
        <v>46143.0</v>
      </c>
      <c r="N2" s="77">
        <v>46174.0</v>
      </c>
      <c r="O2" s="78">
        <v>46174.0</v>
      </c>
      <c r="P2" s="77">
        <v>46204.0</v>
      </c>
      <c r="Q2" s="78">
        <v>46204.0</v>
      </c>
      <c r="R2" s="77">
        <v>46235.0</v>
      </c>
      <c r="S2" s="78">
        <v>46235.0</v>
      </c>
      <c r="T2" s="77">
        <v>46266.0</v>
      </c>
      <c r="U2" s="78">
        <v>46266.0</v>
      </c>
      <c r="V2" s="77">
        <v>46296.0</v>
      </c>
      <c r="W2" s="78">
        <v>46296.0</v>
      </c>
      <c r="X2" s="77">
        <v>46327.0</v>
      </c>
      <c r="Y2" s="78">
        <v>46327.0</v>
      </c>
      <c r="Z2" s="77">
        <v>46357.0</v>
      </c>
      <c r="AA2" s="78">
        <v>46357.0</v>
      </c>
      <c r="AB2" s="79">
        <v>2026.0</v>
      </c>
      <c r="AC2" s="110"/>
      <c r="AD2" s="111"/>
      <c r="AE2" s="111"/>
    </row>
    <row r="3" ht="12.0" customHeight="1">
      <c r="A3" s="107"/>
      <c r="B3" s="107"/>
      <c r="C3" s="113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10"/>
      <c r="AD3" s="111"/>
      <c r="AE3" s="111"/>
    </row>
    <row r="4" ht="12.0" customHeight="1">
      <c r="A4" s="107"/>
      <c r="B4" s="107"/>
      <c r="C4" s="113" t="s">
        <v>174</v>
      </c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10"/>
      <c r="AD4" s="111"/>
      <c r="AE4" s="111"/>
    </row>
    <row r="5" ht="12.0" customHeight="1">
      <c r="A5" s="107"/>
      <c r="B5" s="107"/>
      <c r="C5" s="107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5" t="s">
        <v>175</v>
      </c>
      <c r="AD5" s="111"/>
      <c r="AE5" s="111"/>
    </row>
    <row r="6" ht="12.0" customHeight="1">
      <c r="A6" s="107"/>
      <c r="B6" s="107" t="s">
        <v>176</v>
      </c>
      <c r="C6" s="107" t="s">
        <v>177</v>
      </c>
      <c r="D6" s="114">
        <v>0.0</v>
      </c>
      <c r="E6" s="114">
        <v>0.0</v>
      </c>
      <c r="F6" s="114">
        <v>0.0</v>
      </c>
      <c r="G6" s="114">
        <v>0.0</v>
      </c>
      <c r="H6" s="114">
        <v>0.0</v>
      </c>
      <c r="I6" s="114">
        <v>0.0</v>
      </c>
      <c r="J6" s="114">
        <v>0.0</v>
      </c>
      <c r="K6" s="114">
        <v>0.0</v>
      </c>
      <c r="L6" s="114">
        <v>0.0</v>
      </c>
      <c r="M6" s="114">
        <v>0.0</v>
      </c>
      <c r="N6" s="114">
        <v>0.0</v>
      </c>
      <c r="O6" s="114">
        <v>0.0</v>
      </c>
      <c r="P6" s="114">
        <v>0.0</v>
      </c>
      <c r="Q6" s="114">
        <v>0.0</v>
      </c>
      <c r="R6" s="114">
        <v>0.0</v>
      </c>
      <c r="S6" s="114">
        <v>0.0</v>
      </c>
      <c r="T6" s="114">
        <v>0.0</v>
      </c>
      <c r="U6" s="114">
        <v>0.0</v>
      </c>
      <c r="V6" s="116">
        <v>50000.0</v>
      </c>
      <c r="W6" s="114">
        <v>0.0</v>
      </c>
      <c r="X6" s="114">
        <v>0.0</v>
      </c>
      <c r="Y6" s="114">
        <v>0.0</v>
      </c>
      <c r="Z6" s="114">
        <v>0.0</v>
      </c>
      <c r="AA6" s="114">
        <v>0.0</v>
      </c>
      <c r="AB6" s="114">
        <f t="shared" ref="AB6:AB7" si="1">D6+F6+H6+J6+L6+N6+P6+R6+T6+V6+X6+Z6</f>
        <v>50000</v>
      </c>
      <c r="AC6" s="115" t="s">
        <v>178</v>
      </c>
      <c r="AD6" s="111"/>
      <c r="AE6" s="111" t="s">
        <v>179</v>
      </c>
    </row>
    <row r="7" ht="12.0" customHeight="1">
      <c r="A7" s="107"/>
      <c r="B7" s="107" t="s">
        <v>180</v>
      </c>
      <c r="C7" s="107" t="s">
        <v>181</v>
      </c>
      <c r="D7" s="114">
        <v>0.0</v>
      </c>
      <c r="E7" s="114">
        <v>0.0</v>
      </c>
      <c r="F7" s="114">
        <v>0.0</v>
      </c>
      <c r="G7" s="114">
        <v>0.0</v>
      </c>
      <c r="H7" s="114">
        <v>0.0</v>
      </c>
      <c r="I7" s="114">
        <v>0.0</v>
      </c>
      <c r="J7" s="114">
        <v>0.0</v>
      </c>
      <c r="K7" s="114">
        <v>0.0</v>
      </c>
      <c r="L7" s="114">
        <v>0.0</v>
      </c>
      <c r="M7" s="114">
        <v>0.0</v>
      </c>
      <c r="N7" s="114">
        <v>0.0</v>
      </c>
      <c r="O7" s="114">
        <v>0.0</v>
      </c>
      <c r="P7" s="114">
        <v>0.0</v>
      </c>
      <c r="Q7" s="114">
        <v>0.0</v>
      </c>
      <c r="R7" s="114">
        <v>0.0</v>
      </c>
      <c r="S7" s="114">
        <v>0.0</v>
      </c>
      <c r="T7" s="114">
        <v>0.0</v>
      </c>
      <c r="U7" s="114">
        <v>0.0</v>
      </c>
      <c r="V7" s="114">
        <v>0.0</v>
      </c>
      <c r="W7" s="114">
        <v>0.0</v>
      </c>
      <c r="X7" s="114">
        <v>0.0</v>
      </c>
      <c r="Y7" s="114">
        <v>0.0</v>
      </c>
      <c r="Z7" s="114">
        <v>0.0</v>
      </c>
      <c r="AA7" s="114">
        <v>0.0</v>
      </c>
      <c r="AB7" s="114">
        <f t="shared" si="1"/>
        <v>0</v>
      </c>
      <c r="AC7" s="115"/>
      <c r="AD7" s="111"/>
      <c r="AE7" s="111"/>
    </row>
    <row r="8" ht="12.0" customHeight="1">
      <c r="A8" s="107"/>
      <c r="B8" s="107"/>
      <c r="C8" s="117" t="s">
        <v>182</v>
      </c>
      <c r="D8" s="118">
        <f t="shared" ref="D8:AB8" si="2">SUM(D6:D7)</f>
        <v>0</v>
      </c>
      <c r="E8" s="118">
        <f t="shared" si="2"/>
        <v>0</v>
      </c>
      <c r="F8" s="118">
        <f t="shared" si="2"/>
        <v>0</v>
      </c>
      <c r="G8" s="118">
        <f t="shared" si="2"/>
        <v>0</v>
      </c>
      <c r="H8" s="118">
        <f t="shared" si="2"/>
        <v>0</v>
      </c>
      <c r="I8" s="118">
        <f t="shared" si="2"/>
        <v>0</v>
      </c>
      <c r="J8" s="118">
        <f t="shared" si="2"/>
        <v>0</v>
      </c>
      <c r="K8" s="118">
        <f t="shared" si="2"/>
        <v>0</v>
      </c>
      <c r="L8" s="118">
        <f t="shared" si="2"/>
        <v>0</v>
      </c>
      <c r="M8" s="118">
        <f t="shared" si="2"/>
        <v>0</v>
      </c>
      <c r="N8" s="118">
        <f t="shared" si="2"/>
        <v>0</v>
      </c>
      <c r="O8" s="118">
        <f t="shared" si="2"/>
        <v>0</v>
      </c>
      <c r="P8" s="118">
        <f t="shared" si="2"/>
        <v>0</v>
      </c>
      <c r="Q8" s="118">
        <f t="shared" si="2"/>
        <v>0</v>
      </c>
      <c r="R8" s="118">
        <f t="shared" si="2"/>
        <v>0</v>
      </c>
      <c r="S8" s="118">
        <f t="shared" si="2"/>
        <v>0</v>
      </c>
      <c r="T8" s="118">
        <f t="shared" si="2"/>
        <v>0</v>
      </c>
      <c r="U8" s="118">
        <f t="shared" si="2"/>
        <v>0</v>
      </c>
      <c r="V8" s="118">
        <f t="shared" si="2"/>
        <v>50000</v>
      </c>
      <c r="W8" s="118">
        <f t="shared" si="2"/>
        <v>0</v>
      </c>
      <c r="X8" s="118">
        <f t="shared" si="2"/>
        <v>0</v>
      </c>
      <c r="Y8" s="118">
        <f t="shared" si="2"/>
        <v>0</v>
      </c>
      <c r="Z8" s="118">
        <f t="shared" si="2"/>
        <v>0</v>
      </c>
      <c r="AA8" s="118">
        <f t="shared" si="2"/>
        <v>0</v>
      </c>
      <c r="AB8" s="118">
        <f t="shared" si="2"/>
        <v>50000</v>
      </c>
      <c r="AC8" s="115"/>
      <c r="AD8" s="111"/>
      <c r="AE8" s="111"/>
    </row>
    <row r="9" ht="12.0" customHeight="1">
      <c r="A9" s="107"/>
      <c r="B9" s="107"/>
      <c r="C9" s="109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5"/>
      <c r="AD9" s="111"/>
      <c r="AE9" s="111"/>
    </row>
    <row r="10" ht="12.0" customHeight="1">
      <c r="A10" s="107"/>
      <c r="B10" s="107"/>
      <c r="C10" s="113" t="s">
        <v>183</v>
      </c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5"/>
      <c r="AD10" s="111"/>
      <c r="AE10" s="111"/>
    </row>
    <row r="11" ht="12.0" customHeight="1">
      <c r="A11" s="107"/>
      <c r="B11" s="107" t="s">
        <v>184</v>
      </c>
      <c r="C11" s="107" t="s">
        <v>177</v>
      </c>
      <c r="D11" s="114">
        <v>0.0</v>
      </c>
      <c r="E11" s="114">
        <v>0.0</v>
      </c>
      <c r="F11" s="114">
        <v>0.0</v>
      </c>
      <c r="G11" s="114">
        <v>0.0</v>
      </c>
      <c r="H11" s="114">
        <v>0.0</v>
      </c>
      <c r="I11" s="114">
        <v>0.0</v>
      </c>
      <c r="J11" s="114">
        <v>0.0</v>
      </c>
      <c r="K11" s="114">
        <v>0.0</v>
      </c>
      <c r="L11" s="114">
        <v>0.0</v>
      </c>
      <c r="M11" s="114">
        <v>0.0</v>
      </c>
      <c r="N11" s="114">
        <v>0.0</v>
      </c>
      <c r="O11" s="114">
        <v>0.0</v>
      </c>
      <c r="P11" s="114">
        <v>0.0</v>
      </c>
      <c r="Q11" s="114">
        <v>0.0</v>
      </c>
      <c r="R11" s="114">
        <v>0.0</v>
      </c>
      <c r="S11" s="114">
        <v>0.0</v>
      </c>
      <c r="T11" s="114">
        <v>0.0</v>
      </c>
      <c r="U11" s="114">
        <v>0.0</v>
      </c>
      <c r="V11" s="116">
        <v>25000.0</v>
      </c>
      <c r="W11" s="114">
        <v>0.0</v>
      </c>
      <c r="X11" s="114">
        <v>0.0</v>
      </c>
      <c r="Y11" s="114">
        <v>0.0</v>
      </c>
      <c r="Z11" s="114">
        <v>0.0</v>
      </c>
      <c r="AA11" s="114">
        <v>0.0</v>
      </c>
      <c r="AB11" s="114">
        <f t="shared" ref="AB11:AB12" si="3">D11+F11+H11+J11+L11+N11+P11+R11+T11+V11+X11+Z11</f>
        <v>25000</v>
      </c>
      <c r="AC11" s="115" t="s">
        <v>185</v>
      </c>
      <c r="AD11" s="111"/>
      <c r="AE11" s="111" t="s">
        <v>179</v>
      </c>
    </row>
    <row r="12" ht="12.0" customHeight="1">
      <c r="A12" s="107"/>
      <c r="B12" s="107" t="s">
        <v>186</v>
      </c>
      <c r="C12" s="107" t="s">
        <v>187</v>
      </c>
      <c r="D12" s="114">
        <v>0.0</v>
      </c>
      <c r="E12" s="114">
        <v>0.0</v>
      </c>
      <c r="F12" s="114">
        <v>0.0</v>
      </c>
      <c r="G12" s="114">
        <v>0.0</v>
      </c>
      <c r="H12" s="114">
        <v>0.0</v>
      </c>
      <c r="I12" s="114">
        <v>0.0</v>
      </c>
      <c r="J12" s="114">
        <v>0.0</v>
      </c>
      <c r="K12" s="114">
        <v>0.0</v>
      </c>
      <c r="L12" s="114">
        <v>0.0</v>
      </c>
      <c r="M12" s="114">
        <v>0.0</v>
      </c>
      <c r="N12" s="114">
        <v>0.0</v>
      </c>
      <c r="O12" s="114">
        <v>0.0</v>
      </c>
      <c r="P12" s="114">
        <v>0.0</v>
      </c>
      <c r="Q12" s="114">
        <v>0.0</v>
      </c>
      <c r="R12" s="114">
        <v>0.0</v>
      </c>
      <c r="S12" s="114">
        <v>0.0</v>
      </c>
      <c r="T12" s="114">
        <v>0.0</v>
      </c>
      <c r="U12" s="114">
        <v>0.0</v>
      </c>
      <c r="V12" s="114">
        <v>0.0</v>
      </c>
      <c r="W12" s="114">
        <v>0.0</v>
      </c>
      <c r="X12" s="114">
        <v>0.0</v>
      </c>
      <c r="Y12" s="114">
        <v>0.0</v>
      </c>
      <c r="Z12" s="114">
        <v>0.0</v>
      </c>
      <c r="AA12" s="114">
        <v>0.0</v>
      </c>
      <c r="AB12" s="114">
        <f t="shared" si="3"/>
        <v>0</v>
      </c>
      <c r="AC12" s="115"/>
      <c r="AD12" s="111"/>
      <c r="AE12" s="111"/>
    </row>
    <row r="13" ht="12.0" customHeight="1">
      <c r="A13" s="107"/>
      <c r="B13" s="107"/>
      <c r="C13" s="117" t="s">
        <v>188</v>
      </c>
      <c r="D13" s="118">
        <f t="shared" ref="D13:AB13" si="4">SUM(D11:D12)</f>
        <v>0</v>
      </c>
      <c r="E13" s="118">
        <f t="shared" si="4"/>
        <v>0</v>
      </c>
      <c r="F13" s="118">
        <f t="shared" si="4"/>
        <v>0</v>
      </c>
      <c r="G13" s="118">
        <f t="shared" si="4"/>
        <v>0</v>
      </c>
      <c r="H13" s="118">
        <f t="shared" si="4"/>
        <v>0</v>
      </c>
      <c r="I13" s="118">
        <f t="shared" si="4"/>
        <v>0</v>
      </c>
      <c r="J13" s="118">
        <f t="shared" si="4"/>
        <v>0</v>
      </c>
      <c r="K13" s="118">
        <f t="shared" si="4"/>
        <v>0</v>
      </c>
      <c r="L13" s="118">
        <f t="shared" si="4"/>
        <v>0</v>
      </c>
      <c r="M13" s="118">
        <f t="shared" si="4"/>
        <v>0</v>
      </c>
      <c r="N13" s="118">
        <f t="shared" si="4"/>
        <v>0</v>
      </c>
      <c r="O13" s="118">
        <f t="shared" si="4"/>
        <v>0</v>
      </c>
      <c r="P13" s="118">
        <f t="shared" si="4"/>
        <v>0</v>
      </c>
      <c r="Q13" s="118">
        <f t="shared" si="4"/>
        <v>0</v>
      </c>
      <c r="R13" s="118">
        <f t="shared" si="4"/>
        <v>0</v>
      </c>
      <c r="S13" s="118">
        <f t="shared" si="4"/>
        <v>0</v>
      </c>
      <c r="T13" s="118">
        <f t="shared" si="4"/>
        <v>0</v>
      </c>
      <c r="U13" s="118">
        <f t="shared" si="4"/>
        <v>0</v>
      </c>
      <c r="V13" s="118">
        <f t="shared" si="4"/>
        <v>25000</v>
      </c>
      <c r="W13" s="118">
        <f t="shared" si="4"/>
        <v>0</v>
      </c>
      <c r="X13" s="118">
        <f t="shared" si="4"/>
        <v>0</v>
      </c>
      <c r="Y13" s="118">
        <f t="shared" si="4"/>
        <v>0</v>
      </c>
      <c r="Z13" s="118">
        <f t="shared" si="4"/>
        <v>0</v>
      </c>
      <c r="AA13" s="118">
        <f t="shared" si="4"/>
        <v>0</v>
      </c>
      <c r="AB13" s="118">
        <f t="shared" si="4"/>
        <v>25000</v>
      </c>
      <c r="AC13" s="115"/>
      <c r="AD13" s="111"/>
      <c r="AE13" s="111"/>
    </row>
    <row r="14" ht="15.0" customHeight="1">
      <c r="A14" s="107"/>
      <c r="B14" s="107"/>
      <c r="C14" s="107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5"/>
      <c r="AD14" s="111"/>
      <c r="AE14" s="111"/>
    </row>
    <row r="15" ht="15.0" customHeight="1">
      <c r="A15" s="107"/>
      <c r="B15" s="107"/>
      <c r="C15" s="107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5"/>
      <c r="AD15" s="111"/>
      <c r="AE15" s="111"/>
    </row>
    <row r="16" ht="12.0" customHeight="1">
      <c r="A16" s="107"/>
      <c r="B16" s="107"/>
      <c r="C16" s="119" t="s">
        <v>189</v>
      </c>
      <c r="D16" s="120">
        <f t="shared" ref="D16:AB16" si="5">D8-D13</f>
        <v>0</v>
      </c>
      <c r="E16" s="120">
        <f t="shared" si="5"/>
        <v>0</v>
      </c>
      <c r="F16" s="120">
        <f t="shared" si="5"/>
        <v>0</v>
      </c>
      <c r="G16" s="120">
        <f t="shared" si="5"/>
        <v>0</v>
      </c>
      <c r="H16" s="120">
        <f t="shared" si="5"/>
        <v>0</v>
      </c>
      <c r="I16" s="120">
        <f t="shared" si="5"/>
        <v>0</v>
      </c>
      <c r="J16" s="120">
        <f t="shared" si="5"/>
        <v>0</v>
      </c>
      <c r="K16" s="120">
        <f t="shared" si="5"/>
        <v>0</v>
      </c>
      <c r="L16" s="120">
        <f t="shared" si="5"/>
        <v>0</v>
      </c>
      <c r="M16" s="120">
        <f t="shared" si="5"/>
        <v>0</v>
      </c>
      <c r="N16" s="120">
        <f t="shared" si="5"/>
        <v>0</v>
      </c>
      <c r="O16" s="120">
        <f t="shared" si="5"/>
        <v>0</v>
      </c>
      <c r="P16" s="120">
        <f t="shared" si="5"/>
        <v>0</v>
      </c>
      <c r="Q16" s="120">
        <f t="shared" si="5"/>
        <v>0</v>
      </c>
      <c r="R16" s="120">
        <f t="shared" si="5"/>
        <v>0</v>
      </c>
      <c r="S16" s="120">
        <f t="shared" si="5"/>
        <v>0</v>
      </c>
      <c r="T16" s="120">
        <f t="shared" si="5"/>
        <v>0</v>
      </c>
      <c r="U16" s="120">
        <f t="shared" si="5"/>
        <v>0</v>
      </c>
      <c r="V16" s="120">
        <f t="shared" si="5"/>
        <v>25000</v>
      </c>
      <c r="W16" s="120">
        <f t="shared" si="5"/>
        <v>0</v>
      </c>
      <c r="X16" s="120">
        <f t="shared" si="5"/>
        <v>0</v>
      </c>
      <c r="Y16" s="120">
        <f t="shared" si="5"/>
        <v>0</v>
      </c>
      <c r="Z16" s="120">
        <f t="shared" si="5"/>
        <v>0</v>
      </c>
      <c r="AA16" s="120">
        <f t="shared" si="5"/>
        <v>0</v>
      </c>
      <c r="AB16" s="121">
        <f t="shared" si="5"/>
        <v>25000</v>
      </c>
      <c r="AC16" s="115" t="s">
        <v>190</v>
      </c>
      <c r="AD16" s="111"/>
      <c r="AE16" s="111"/>
    </row>
    <row r="17" ht="12.0" customHeight="1">
      <c r="A17" s="107"/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10"/>
      <c r="AD17" s="111"/>
      <c r="AE17" s="111"/>
    </row>
    <row r="18" ht="12.0" customHeight="1">
      <c r="A18" s="107"/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10"/>
      <c r="AD18" s="111"/>
      <c r="AE18" s="111"/>
    </row>
    <row r="19" ht="12.0" customHeight="1">
      <c r="A19" s="107"/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10"/>
      <c r="AD19" s="111"/>
      <c r="AE19" s="111"/>
    </row>
    <row r="20" ht="12.0" customHeight="1">
      <c r="A20" s="107"/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10"/>
      <c r="AD20" s="111"/>
      <c r="AE20" s="111"/>
    </row>
    <row r="21" ht="12.0" customHeight="1">
      <c r="A21" s="107"/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10"/>
      <c r="AD21" s="111"/>
      <c r="AE21" s="111"/>
    </row>
    <row r="22" ht="12.0" customHeight="1">
      <c r="A22" s="107"/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10"/>
      <c r="AD22" s="111"/>
      <c r="AE22" s="111"/>
    </row>
    <row r="23" ht="12.0" customHeight="1">
      <c r="A23" s="107"/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10"/>
      <c r="AD23" s="111"/>
      <c r="AE23" s="111"/>
    </row>
    <row r="24" ht="12.0" customHeight="1">
      <c r="A24" s="107"/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10"/>
      <c r="AD24" s="111"/>
      <c r="AE24" s="111"/>
    </row>
    <row r="25" ht="12.0" customHeight="1">
      <c r="A25" s="107"/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10"/>
      <c r="AD25" s="111"/>
      <c r="AE25" s="111"/>
    </row>
    <row r="26" ht="12.0" customHeight="1">
      <c r="A26" s="107"/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10"/>
      <c r="AD26" s="111"/>
      <c r="AE26" s="111"/>
    </row>
    <row r="27" ht="12.0" customHeight="1">
      <c r="A27" s="107"/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10"/>
      <c r="AD27" s="111"/>
      <c r="AE27" s="111"/>
    </row>
    <row r="28" ht="12.0" customHeight="1">
      <c r="A28" s="107"/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10"/>
      <c r="AD28" s="111"/>
      <c r="AE28" s="111"/>
    </row>
    <row r="29" ht="12.0" customHeight="1">
      <c r="A29" s="107"/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10"/>
      <c r="AD29" s="111"/>
      <c r="AE29" s="111"/>
    </row>
    <row r="30" ht="12.0" customHeight="1">
      <c r="A30" s="107"/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10"/>
      <c r="AD30" s="111"/>
      <c r="AE30" s="111"/>
    </row>
    <row r="31" ht="12.0" customHeight="1">
      <c r="A31" s="107"/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10"/>
      <c r="AD31" s="111"/>
      <c r="AE31" s="111"/>
    </row>
    <row r="32" ht="12.0" customHeight="1">
      <c r="A32" s="107"/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10"/>
      <c r="AD32" s="111"/>
      <c r="AE32" s="111"/>
    </row>
    <row r="33" ht="12.0" customHeight="1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10"/>
      <c r="AD33" s="111"/>
      <c r="AE33" s="111"/>
    </row>
    <row r="34" ht="12.0" customHeight="1">
      <c r="A34" s="107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10"/>
      <c r="AD34" s="111"/>
      <c r="AE34" s="111"/>
    </row>
    <row r="35" ht="12.0" customHeight="1">
      <c r="A35" s="107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10"/>
      <c r="AD35" s="111"/>
      <c r="AE35" s="111"/>
    </row>
    <row r="36" ht="12.0" customHeight="1">
      <c r="A36" s="107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10"/>
      <c r="AD36" s="111"/>
      <c r="AE36" s="111"/>
    </row>
    <row r="37" ht="12.0" customHeight="1">
      <c r="A37" s="107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10"/>
      <c r="AD37" s="111"/>
      <c r="AE37" s="111"/>
    </row>
    <row r="38" ht="12.0" customHeight="1">
      <c r="A38" s="107"/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10"/>
      <c r="AD38" s="111"/>
      <c r="AE38" s="111"/>
    </row>
    <row r="39" ht="12.0" customHeight="1">
      <c r="A39" s="107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10"/>
      <c r="AD39" s="111"/>
      <c r="AE39" s="111"/>
    </row>
    <row r="40" ht="12.0" customHeight="1">
      <c r="A40" s="107"/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10"/>
      <c r="AD40" s="111"/>
      <c r="AE40" s="111"/>
    </row>
    <row r="41" ht="12.0" customHeight="1">
      <c r="A41" s="107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10"/>
      <c r="AD41" s="111"/>
      <c r="AE41" s="111"/>
    </row>
    <row r="42" ht="12.0" customHeight="1">
      <c r="A42" s="107"/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10"/>
      <c r="AD42" s="111"/>
      <c r="AE42" s="111"/>
    </row>
    <row r="43" ht="12.0" customHeight="1">
      <c r="A43" s="107"/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10"/>
      <c r="AD43" s="111"/>
      <c r="AE43" s="111"/>
    </row>
    <row r="44" ht="12.0" customHeight="1">
      <c r="A44" s="107"/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10"/>
      <c r="AD44" s="111"/>
      <c r="AE44" s="111"/>
    </row>
    <row r="45" ht="12.0" customHeight="1">
      <c r="A45" s="107"/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10"/>
      <c r="AD45" s="111"/>
      <c r="AE45" s="111"/>
    </row>
    <row r="46" ht="12.0" customHeight="1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10"/>
      <c r="AD46" s="111"/>
      <c r="AE46" s="111"/>
    </row>
    <row r="47" ht="12.0" customHeight="1">
      <c r="A47" s="107"/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10"/>
      <c r="AD47" s="111"/>
      <c r="AE47" s="111"/>
    </row>
    <row r="48" ht="12.0" customHeight="1">
      <c r="A48" s="107"/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10"/>
      <c r="AD48" s="111"/>
      <c r="AE48" s="111"/>
    </row>
    <row r="49" ht="12.0" customHeight="1">
      <c r="A49" s="107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10"/>
      <c r="AD49" s="111"/>
      <c r="AE49" s="111"/>
    </row>
    <row r="50" ht="12.0" customHeight="1">
      <c r="A50" s="107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10"/>
      <c r="AD50" s="111"/>
      <c r="AE50" s="111"/>
    </row>
    <row r="51" ht="12.0" customHeight="1">
      <c r="A51" s="107"/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10"/>
      <c r="AD51" s="111"/>
      <c r="AE51" s="111"/>
    </row>
    <row r="52" ht="12.0" customHeight="1">
      <c r="A52" s="107"/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10"/>
      <c r="AD52" s="111"/>
      <c r="AE52" s="111"/>
    </row>
    <row r="53" ht="12.0" customHeight="1">
      <c r="A53" s="107"/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10"/>
      <c r="AD53" s="111"/>
      <c r="AE53" s="111"/>
    </row>
    <row r="54" ht="12.0" customHeight="1">
      <c r="A54" s="107"/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10"/>
      <c r="AD54" s="111"/>
      <c r="AE54" s="111"/>
    </row>
    <row r="55" ht="12.0" customHeight="1">
      <c r="A55" s="107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10"/>
      <c r="AD55" s="111"/>
      <c r="AE55" s="111"/>
    </row>
    <row r="56" ht="12.0" customHeight="1">
      <c r="A56" s="107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10"/>
      <c r="AD56" s="111"/>
      <c r="AE56" s="111"/>
    </row>
    <row r="57" ht="12.0" customHeight="1">
      <c r="A57" s="107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10"/>
      <c r="AD57" s="111"/>
      <c r="AE57" s="111"/>
    </row>
    <row r="58" ht="12.0" customHeight="1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10"/>
      <c r="AD58" s="111"/>
      <c r="AE58" s="111"/>
    </row>
    <row r="59" ht="12.0" customHeight="1">
      <c r="A59" s="107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10"/>
      <c r="AD59" s="111"/>
      <c r="AE59" s="111"/>
    </row>
    <row r="60" ht="12.0" customHeight="1">
      <c r="A60" s="107"/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10"/>
      <c r="AD60" s="111"/>
      <c r="AE60" s="111"/>
    </row>
    <row r="61" ht="12.0" customHeight="1">
      <c r="A61" s="107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10"/>
      <c r="AD61" s="111"/>
      <c r="AE61" s="111"/>
    </row>
    <row r="62" ht="12.0" customHeight="1">
      <c r="A62" s="107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10"/>
      <c r="AD62" s="111"/>
      <c r="AE62" s="111"/>
    </row>
    <row r="63" ht="12.0" customHeight="1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10"/>
      <c r="AD63" s="111"/>
      <c r="AE63" s="111"/>
    </row>
    <row r="64" ht="12.0" customHeight="1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10"/>
      <c r="AD64" s="111"/>
      <c r="AE64" s="111"/>
    </row>
    <row r="65" ht="12.0" customHeight="1">
      <c r="A65" s="107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10"/>
      <c r="AD65" s="111"/>
      <c r="AE65" s="111"/>
    </row>
    <row r="66" ht="12.0" customHeight="1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10"/>
      <c r="AD66" s="111"/>
      <c r="AE66" s="111"/>
    </row>
    <row r="67" ht="12.0" customHeight="1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10"/>
      <c r="AD67" s="111"/>
      <c r="AE67" s="111"/>
    </row>
    <row r="68" ht="12.0" customHeight="1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10"/>
      <c r="AD68" s="111"/>
      <c r="AE68" s="111"/>
    </row>
    <row r="69" ht="12.0" customHeight="1">
      <c r="A69" s="107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10"/>
      <c r="AD69" s="111"/>
      <c r="AE69" s="111"/>
    </row>
    <row r="70" ht="12.0" customHeight="1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10"/>
      <c r="AD70" s="111"/>
      <c r="AE70" s="111"/>
    </row>
    <row r="71" ht="12.0" customHeight="1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10"/>
      <c r="AD71" s="111"/>
      <c r="AE71" s="111"/>
    </row>
    <row r="72" ht="12.0" customHeight="1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10"/>
      <c r="AD72" s="111"/>
      <c r="AE72" s="111"/>
    </row>
    <row r="73" ht="12.0" customHeight="1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10"/>
      <c r="AD73" s="111"/>
      <c r="AE73" s="111"/>
    </row>
    <row r="74" ht="12.0" customHeight="1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10"/>
      <c r="AD74" s="111"/>
      <c r="AE74" s="111"/>
    </row>
    <row r="75" ht="12.0" customHeight="1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10"/>
      <c r="AD75" s="111"/>
      <c r="AE75" s="111"/>
    </row>
    <row r="76" ht="12.0" customHeight="1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10"/>
      <c r="AD76" s="111"/>
      <c r="AE76" s="111"/>
    </row>
    <row r="77" ht="12.0" customHeight="1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10"/>
      <c r="AD77" s="111"/>
      <c r="AE77" s="111"/>
    </row>
    <row r="78" ht="12.0" customHeight="1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10"/>
      <c r="AD78" s="111"/>
      <c r="AE78" s="111"/>
    </row>
    <row r="79" ht="12.0" customHeight="1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10"/>
      <c r="AD79" s="111"/>
      <c r="AE79" s="111"/>
    </row>
    <row r="80" ht="12.0" customHeight="1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10"/>
      <c r="AD80" s="111"/>
      <c r="AE80" s="111"/>
    </row>
    <row r="81" ht="12.0" customHeight="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AC81" s="110"/>
      <c r="AD81" s="111"/>
      <c r="AE81" s="111"/>
    </row>
    <row r="82" ht="12.0" customHeight="1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10"/>
      <c r="AD82" s="111"/>
      <c r="AE82" s="111"/>
    </row>
    <row r="83" ht="12.0" customHeight="1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10"/>
      <c r="AD83" s="111"/>
      <c r="AE83" s="111"/>
    </row>
    <row r="84" ht="12.0" customHeight="1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10"/>
      <c r="AD84" s="111"/>
      <c r="AE84" s="111"/>
    </row>
    <row r="85" ht="12.0" customHeight="1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10"/>
      <c r="AD85" s="111"/>
      <c r="AE85" s="111"/>
    </row>
    <row r="86" ht="12.0" customHeight="1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10"/>
      <c r="AD86" s="111"/>
      <c r="AE86" s="111"/>
    </row>
    <row r="87" ht="12.0" customHeight="1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10"/>
      <c r="AD87" s="111"/>
      <c r="AE87" s="111"/>
    </row>
    <row r="88" ht="12.0" customHeight="1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10"/>
      <c r="AD88" s="111"/>
      <c r="AE88" s="111"/>
    </row>
    <row r="89" ht="12.0" customHeight="1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10"/>
      <c r="AD89" s="111"/>
      <c r="AE89" s="111"/>
    </row>
    <row r="90" ht="12.0" customHeight="1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  <c r="AC90" s="110"/>
      <c r="AD90" s="111"/>
      <c r="AE90" s="111"/>
    </row>
    <row r="91" ht="12.0" customHeight="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10"/>
      <c r="AD91" s="111"/>
      <c r="AE91" s="111"/>
    </row>
    <row r="92" ht="12.0" customHeight="1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10"/>
      <c r="AD92" s="111"/>
      <c r="AE92" s="111"/>
    </row>
    <row r="93" ht="12.0" customHeight="1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10"/>
      <c r="AD93" s="111"/>
      <c r="AE93" s="111"/>
    </row>
    <row r="94" ht="12.0" customHeight="1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10"/>
      <c r="AD94" s="111"/>
      <c r="AE94" s="111"/>
    </row>
    <row r="95" ht="12.0" customHeight="1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10"/>
      <c r="AD95" s="111"/>
      <c r="AE95" s="111"/>
    </row>
    <row r="96" ht="12.0" customHeight="1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  <c r="AC96" s="110"/>
      <c r="AD96" s="111"/>
      <c r="AE96" s="111"/>
    </row>
    <row r="97" ht="12.0" customHeight="1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10"/>
      <c r="AD97" s="111"/>
      <c r="AE97" s="111"/>
    </row>
    <row r="98" ht="12.0" customHeight="1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10"/>
      <c r="AD98" s="111"/>
      <c r="AE98" s="111"/>
    </row>
    <row r="99" ht="12.0" customHeight="1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10"/>
      <c r="AD99" s="111"/>
      <c r="AE99" s="111"/>
    </row>
    <row r="100" ht="12.0" customHeight="1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10"/>
      <c r="AD100" s="111"/>
      <c r="AE100" s="111"/>
    </row>
    <row r="101" ht="12.0" customHeight="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10"/>
      <c r="AD101" s="111"/>
      <c r="AE101" s="111"/>
    </row>
    <row r="102" ht="12.0" customHeight="1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10"/>
      <c r="AD102" s="111"/>
      <c r="AE102" s="111"/>
    </row>
    <row r="103" ht="12.0" customHeight="1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10"/>
      <c r="AD103" s="111"/>
      <c r="AE103" s="111"/>
    </row>
    <row r="104" ht="12.0" customHeight="1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10"/>
      <c r="AD104" s="111"/>
      <c r="AE104" s="111"/>
    </row>
    <row r="105" ht="12.0" customHeight="1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10"/>
      <c r="AD105" s="111"/>
      <c r="AE105" s="111"/>
    </row>
    <row r="106" ht="12.0" customHeight="1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10"/>
      <c r="AD106" s="111"/>
      <c r="AE106" s="111"/>
    </row>
    <row r="107" ht="12.0" customHeight="1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10"/>
      <c r="AD107" s="111"/>
      <c r="AE107" s="111"/>
    </row>
    <row r="108" ht="12.0" customHeight="1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10"/>
      <c r="AD108" s="111"/>
      <c r="AE108" s="111"/>
    </row>
    <row r="109" ht="12.0" customHeight="1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10"/>
      <c r="AD109" s="111"/>
      <c r="AE109" s="111"/>
    </row>
    <row r="110" ht="12.0" customHeight="1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  <c r="AC110" s="110"/>
      <c r="AD110" s="111"/>
      <c r="AE110" s="111"/>
    </row>
    <row r="111" ht="12.0" customHeight="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10"/>
      <c r="AD111" s="111"/>
      <c r="AE111" s="111"/>
    </row>
    <row r="112" ht="12.0" customHeight="1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AC112" s="110"/>
      <c r="AD112" s="111"/>
      <c r="AE112" s="111"/>
    </row>
    <row r="113" ht="12.0" customHeight="1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10"/>
      <c r="AD113" s="111"/>
      <c r="AE113" s="111"/>
    </row>
    <row r="114" ht="12.0" customHeight="1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  <c r="AC114" s="110"/>
      <c r="AD114" s="111"/>
      <c r="AE114" s="111"/>
    </row>
    <row r="115" ht="12.0" customHeight="1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10"/>
      <c r="AD115" s="111"/>
      <c r="AE115" s="111"/>
    </row>
    <row r="116" ht="12.0" customHeight="1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10"/>
      <c r="AD116" s="111"/>
      <c r="AE116" s="111"/>
    </row>
    <row r="117" ht="12.0" customHeight="1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10"/>
      <c r="AD117" s="111"/>
      <c r="AE117" s="111"/>
    </row>
    <row r="118" ht="12.0" customHeight="1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10"/>
      <c r="AD118" s="111"/>
      <c r="AE118" s="111"/>
    </row>
    <row r="119" ht="12.0" customHeight="1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10"/>
      <c r="AD119" s="111"/>
      <c r="AE119" s="111"/>
    </row>
    <row r="120" ht="12.0" customHeight="1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  <c r="AC120" s="110"/>
      <c r="AD120" s="111"/>
      <c r="AE120" s="111"/>
    </row>
    <row r="121" ht="12.0" customHeight="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  <c r="AC121" s="110"/>
      <c r="AD121" s="111"/>
      <c r="AE121" s="111"/>
    </row>
    <row r="122" ht="12.0" customHeight="1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  <c r="AB122" s="107"/>
      <c r="AC122" s="110"/>
      <c r="AD122" s="111"/>
      <c r="AE122" s="111"/>
    </row>
    <row r="123" ht="12.0" customHeight="1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10"/>
      <c r="AD123" s="111"/>
      <c r="AE123" s="111"/>
    </row>
    <row r="124" ht="12.0" customHeight="1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  <c r="AC124" s="110"/>
      <c r="AD124" s="111"/>
      <c r="AE124" s="111"/>
    </row>
    <row r="125" ht="12.0" customHeight="1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  <c r="AC125" s="110"/>
      <c r="AD125" s="111"/>
      <c r="AE125" s="111"/>
    </row>
    <row r="126" ht="12.0" customHeight="1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  <c r="AC126" s="110"/>
      <c r="AD126" s="111"/>
      <c r="AE126" s="111"/>
    </row>
    <row r="127" ht="12.0" customHeight="1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  <c r="AC127" s="110"/>
      <c r="AD127" s="111"/>
      <c r="AE127" s="111"/>
    </row>
    <row r="128" ht="12.0" customHeight="1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  <c r="AC128" s="110"/>
      <c r="AD128" s="111"/>
      <c r="AE128" s="111"/>
    </row>
    <row r="129" ht="12.0" customHeight="1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  <c r="AC129" s="110"/>
      <c r="AD129" s="111"/>
      <c r="AE129" s="111"/>
    </row>
    <row r="130" ht="12.0" customHeight="1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  <c r="AC130" s="110"/>
      <c r="AD130" s="111"/>
      <c r="AE130" s="111"/>
    </row>
    <row r="131" ht="12.0" customHeight="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10"/>
      <c r="AD131" s="111"/>
      <c r="AE131" s="111"/>
    </row>
    <row r="132" ht="12.0" customHeight="1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10"/>
      <c r="AD132" s="111"/>
      <c r="AE132" s="111"/>
    </row>
    <row r="133" ht="12.0" customHeight="1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10"/>
      <c r="AD133" s="111"/>
      <c r="AE133" s="111"/>
    </row>
    <row r="134" ht="12.0" customHeight="1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10"/>
      <c r="AD134" s="111"/>
      <c r="AE134" s="111"/>
    </row>
    <row r="135" ht="12.0" customHeight="1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10"/>
      <c r="AD135" s="111"/>
      <c r="AE135" s="111"/>
    </row>
    <row r="136" ht="12.0" customHeight="1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10"/>
      <c r="AD136" s="111"/>
      <c r="AE136" s="111"/>
    </row>
    <row r="137" ht="12.0" customHeight="1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10"/>
      <c r="AD137" s="111"/>
      <c r="AE137" s="111"/>
    </row>
    <row r="138" ht="12.0" customHeight="1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10"/>
      <c r="AD138" s="111"/>
      <c r="AE138" s="111"/>
    </row>
    <row r="139" ht="12.0" customHeight="1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10"/>
      <c r="AD139" s="111"/>
      <c r="AE139" s="111"/>
    </row>
    <row r="140" ht="12.0" customHeight="1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10"/>
      <c r="AD140" s="111"/>
      <c r="AE140" s="111"/>
    </row>
    <row r="141" ht="12.0" customHeight="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10"/>
      <c r="AD141" s="111"/>
      <c r="AE141" s="111"/>
    </row>
    <row r="142" ht="12.0" customHeight="1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10"/>
      <c r="AD142" s="111"/>
      <c r="AE142" s="111"/>
    </row>
    <row r="143" ht="12.0" customHeight="1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10"/>
      <c r="AD143" s="111"/>
      <c r="AE143" s="111"/>
    </row>
    <row r="144" ht="12.0" customHeight="1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10"/>
      <c r="AD144" s="111"/>
      <c r="AE144" s="111"/>
    </row>
    <row r="145" ht="12.0" customHeight="1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10"/>
      <c r="AD145" s="111"/>
      <c r="AE145" s="111"/>
    </row>
    <row r="146" ht="12.0" customHeight="1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10"/>
      <c r="AD146" s="111"/>
      <c r="AE146" s="111"/>
    </row>
    <row r="147" ht="12.0" customHeight="1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10"/>
      <c r="AD147" s="111"/>
      <c r="AE147" s="111"/>
    </row>
    <row r="148" ht="12.0" customHeight="1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10"/>
      <c r="AD148" s="111"/>
      <c r="AE148" s="111"/>
    </row>
    <row r="149" ht="12.0" customHeight="1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10"/>
      <c r="AD149" s="111"/>
      <c r="AE149" s="111"/>
    </row>
    <row r="150" ht="12.0" customHeight="1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10"/>
      <c r="AD150" s="111"/>
      <c r="AE150" s="111"/>
    </row>
    <row r="151" ht="12.0" customHeight="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10"/>
      <c r="AD151" s="111"/>
      <c r="AE151" s="111"/>
    </row>
    <row r="152" ht="12.0" customHeight="1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AC152" s="110"/>
      <c r="AD152" s="111"/>
      <c r="AE152" s="111"/>
    </row>
    <row r="153" ht="12.0" customHeight="1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10"/>
      <c r="AD153" s="111"/>
      <c r="AE153" s="111"/>
    </row>
    <row r="154" ht="12.0" customHeight="1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10"/>
      <c r="AD154" s="111"/>
      <c r="AE154" s="111"/>
    </row>
    <row r="155" ht="12.0" customHeight="1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10"/>
      <c r="AD155" s="111"/>
      <c r="AE155" s="111"/>
    </row>
    <row r="156" ht="12.0" customHeight="1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10"/>
      <c r="AD156" s="111"/>
      <c r="AE156" s="111"/>
    </row>
    <row r="157" ht="12.0" customHeight="1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AC157" s="110"/>
      <c r="AD157" s="111"/>
      <c r="AE157" s="111"/>
    </row>
    <row r="158" ht="12.0" customHeight="1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AC158" s="110"/>
      <c r="AD158" s="111"/>
      <c r="AE158" s="111"/>
    </row>
    <row r="159" ht="12.0" customHeight="1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AC159" s="110"/>
      <c r="AD159" s="111"/>
      <c r="AE159" s="111"/>
    </row>
    <row r="160" ht="12.0" customHeight="1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10"/>
      <c r="AD160" s="111"/>
      <c r="AE160" s="111"/>
    </row>
    <row r="161" ht="12.0" customHeight="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10"/>
      <c r="AD161" s="111"/>
      <c r="AE161" s="111"/>
    </row>
    <row r="162" ht="12.0" customHeight="1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10"/>
      <c r="AD162" s="111"/>
      <c r="AE162" s="111"/>
    </row>
    <row r="163" ht="12.0" customHeight="1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10"/>
      <c r="AD163" s="111"/>
      <c r="AE163" s="111"/>
    </row>
    <row r="164" ht="12.0" customHeight="1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10"/>
      <c r="AD164" s="111"/>
      <c r="AE164" s="111"/>
    </row>
    <row r="165" ht="12.0" customHeight="1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AC165" s="110"/>
      <c r="AD165" s="111"/>
      <c r="AE165" s="111"/>
    </row>
    <row r="166" ht="12.0" customHeight="1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  <c r="AC166" s="110"/>
      <c r="AD166" s="111"/>
      <c r="AE166" s="111"/>
    </row>
    <row r="167" ht="12.0" customHeight="1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10"/>
      <c r="AD167" s="111"/>
      <c r="AE167" s="111"/>
    </row>
    <row r="168" ht="12.0" customHeight="1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10"/>
      <c r="AD168" s="111"/>
      <c r="AE168" s="111"/>
    </row>
    <row r="169" ht="12.0" customHeight="1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10"/>
      <c r="AD169" s="111"/>
      <c r="AE169" s="111"/>
    </row>
    <row r="170" ht="12.0" customHeight="1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10"/>
      <c r="AD170" s="111"/>
      <c r="AE170" s="111"/>
    </row>
    <row r="171" ht="12.0" customHeight="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10"/>
      <c r="AD171" s="111"/>
      <c r="AE171" s="111"/>
    </row>
    <row r="172" ht="12.0" customHeight="1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10"/>
      <c r="AD172" s="111"/>
      <c r="AE172" s="111"/>
    </row>
    <row r="173" ht="12.0" customHeight="1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10"/>
      <c r="AD173" s="111"/>
      <c r="AE173" s="111"/>
    </row>
    <row r="174" ht="12.0" customHeight="1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10"/>
      <c r="AD174" s="111"/>
      <c r="AE174" s="111"/>
    </row>
    <row r="175" ht="12.0" customHeight="1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10"/>
      <c r="AD175" s="111"/>
      <c r="AE175" s="111"/>
    </row>
    <row r="176" ht="12.0" customHeight="1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10"/>
      <c r="AD176" s="111"/>
      <c r="AE176" s="111"/>
    </row>
    <row r="177" ht="12.0" customHeight="1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10"/>
      <c r="AD177" s="111"/>
      <c r="AE177" s="111"/>
    </row>
    <row r="178" ht="12.0" customHeight="1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10"/>
      <c r="AD178" s="111"/>
      <c r="AE178" s="111"/>
    </row>
    <row r="179" ht="12.0" customHeight="1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10"/>
      <c r="AD179" s="111"/>
      <c r="AE179" s="111"/>
    </row>
    <row r="180" ht="12.0" customHeight="1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10"/>
      <c r="AD180" s="111"/>
      <c r="AE180" s="111"/>
    </row>
    <row r="181" ht="12.0" customHeight="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10"/>
      <c r="AD181" s="111"/>
      <c r="AE181" s="111"/>
    </row>
    <row r="182" ht="12.0" customHeight="1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10"/>
      <c r="AD182" s="111"/>
      <c r="AE182" s="111"/>
    </row>
    <row r="183" ht="12.0" customHeight="1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10"/>
      <c r="AD183" s="111"/>
      <c r="AE183" s="111"/>
    </row>
    <row r="184" ht="12.0" customHeight="1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10"/>
      <c r="AD184" s="111"/>
      <c r="AE184" s="111"/>
    </row>
    <row r="185" ht="12.0" customHeight="1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10"/>
      <c r="AD185" s="111"/>
      <c r="AE185" s="111"/>
    </row>
    <row r="186" ht="12.0" customHeight="1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10"/>
      <c r="AD186" s="111"/>
      <c r="AE186" s="111"/>
    </row>
    <row r="187" ht="12.0" customHeight="1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  <c r="AC187" s="110"/>
      <c r="AD187" s="111"/>
      <c r="AE187" s="111"/>
    </row>
    <row r="188" ht="12.0" customHeight="1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AC188" s="110"/>
      <c r="AD188" s="111"/>
      <c r="AE188" s="111"/>
    </row>
    <row r="189" ht="12.0" customHeight="1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10"/>
      <c r="AD189" s="111"/>
      <c r="AE189" s="111"/>
    </row>
    <row r="190" ht="12.0" customHeight="1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AC190" s="110"/>
      <c r="AD190" s="111"/>
      <c r="AE190" s="111"/>
    </row>
    <row r="191" ht="12.0" customHeight="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10"/>
      <c r="AD191" s="111"/>
      <c r="AE191" s="111"/>
    </row>
    <row r="192" ht="12.0" customHeight="1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10"/>
      <c r="AD192" s="111"/>
      <c r="AE192" s="111"/>
    </row>
    <row r="193" ht="12.0" customHeight="1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10"/>
      <c r="AD193" s="111"/>
      <c r="AE193" s="111"/>
    </row>
    <row r="194" ht="12.0" customHeight="1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10"/>
      <c r="AD194" s="111"/>
      <c r="AE194" s="111"/>
    </row>
    <row r="195" ht="12.0" customHeight="1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10"/>
      <c r="AD195" s="111"/>
      <c r="AE195" s="111"/>
    </row>
    <row r="196" ht="12.0" customHeight="1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10"/>
      <c r="AD196" s="111"/>
      <c r="AE196" s="111"/>
    </row>
    <row r="197" ht="12.0" customHeight="1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10"/>
      <c r="AD197" s="111"/>
      <c r="AE197" s="111"/>
    </row>
    <row r="198" ht="12.0" customHeight="1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  <c r="AB198" s="107"/>
      <c r="AC198" s="110"/>
      <c r="AD198" s="111"/>
      <c r="AE198" s="111"/>
    </row>
    <row r="199" ht="12.0" customHeight="1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  <c r="AC199" s="110"/>
      <c r="AD199" s="111"/>
      <c r="AE199" s="111"/>
    </row>
    <row r="200" ht="12.0" customHeight="1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  <c r="AC200" s="110"/>
      <c r="AD200" s="111"/>
      <c r="AE200" s="111"/>
    </row>
    <row r="201" ht="12.0" customHeight="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  <c r="AC201" s="110"/>
      <c r="AD201" s="111"/>
      <c r="AE201" s="111"/>
    </row>
    <row r="202" ht="12.0" customHeight="1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  <c r="AB202" s="107"/>
      <c r="AC202" s="110"/>
      <c r="AD202" s="111"/>
      <c r="AE202" s="111"/>
    </row>
    <row r="203" ht="12.0" customHeight="1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10"/>
      <c r="AD203" s="111"/>
      <c r="AE203" s="111"/>
    </row>
    <row r="204" ht="12.0" customHeight="1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  <c r="AC204" s="110"/>
      <c r="AD204" s="111"/>
      <c r="AE204" s="111"/>
    </row>
    <row r="205" ht="12.0" customHeight="1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  <c r="AB205" s="107"/>
      <c r="AC205" s="110"/>
      <c r="AD205" s="111"/>
      <c r="AE205" s="111"/>
    </row>
    <row r="206" ht="12.0" customHeight="1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  <c r="AB206" s="107"/>
      <c r="AC206" s="110"/>
      <c r="AD206" s="111"/>
      <c r="AE206" s="111"/>
    </row>
    <row r="207" ht="12.0" customHeight="1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  <c r="AC207" s="110"/>
      <c r="AD207" s="111"/>
      <c r="AE207" s="111"/>
    </row>
    <row r="208" ht="12.0" customHeight="1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  <c r="AC208" s="110"/>
      <c r="AD208" s="111"/>
      <c r="AE208" s="111"/>
    </row>
    <row r="209" ht="12.0" customHeight="1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  <c r="AB209" s="107"/>
      <c r="AC209" s="110"/>
      <c r="AD209" s="111"/>
      <c r="AE209" s="111"/>
    </row>
    <row r="210" ht="12.0" customHeight="1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  <c r="AC210" s="110"/>
      <c r="AD210" s="111"/>
      <c r="AE210" s="111"/>
    </row>
    <row r="211" ht="12.0" customHeight="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  <c r="AC211" s="110"/>
      <c r="AD211" s="111"/>
      <c r="AE211" s="111"/>
    </row>
    <row r="212" ht="12.0" customHeight="1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10"/>
      <c r="AD212" s="111"/>
      <c r="AE212" s="111"/>
    </row>
    <row r="213" ht="12.0" customHeight="1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  <c r="AB213" s="107"/>
      <c r="AC213" s="110"/>
      <c r="AD213" s="111"/>
      <c r="AE213" s="111"/>
    </row>
    <row r="214" ht="12.0" customHeight="1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  <c r="AB214" s="107"/>
      <c r="AC214" s="110"/>
      <c r="AD214" s="111"/>
      <c r="AE214" s="111"/>
    </row>
    <row r="215" ht="12.0" customHeight="1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  <c r="AB215" s="107"/>
      <c r="AC215" s="110"/>
      <c r="AD215" s="111"/>
      <c r="AE215" s="111"/>
    </row>
    <row r="216" ht="12.0" customHeight="1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  <c r="AB216" s="107"/>
      <c r="AC216" s="110"/>
      <c r="AD216" s="111"/>
      <c r="AE216" s="111"/>
    </row>
    <row r="217" ht="12.0" customHeight="1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  <c r="AB217" s="107"/>
      <c r="AC217" s="110"/>
      <c r="AD217" s="111"/>
      <c r="AE217" s="111"/>
    </row>
    <row r="218" ht="12.0" customHeight="1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  <c r="AB218" s="107"/>
      <c r="AC218" s="110"/>
      <c r="AD218" s="111"/>
      <c r="AE218" s="111"/>
    </row>
    <row r="219" ht="12.0" customHeight="1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  <c r="AB219" s="107"/>
      <c r="AC219" s="110"/>
      <c r="AD219" s="111"/>
      <c r="AE219" s="111"/>
    </row>
    <row r="220" ht="12.0" customHeight="1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  <c r="AB220" s="107"/>
      <c r="AC220" s="110"/>
      <c r="AD220" s="111"/>
      <c r="AE220" s="111"/>
    </row>
    <row r="221" ht="15.75" customHeight="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22"/>
      <c r="AD221" s="111"/>
      <c r="AE221" s="111"/>
    </row>
    <row r="222" ht="15.75" customHeight="1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22"/>
      <c r="AD222" s="111"/>
      <c r="AE222" s="111"/>
    </row>
    <row r="223" ht="15.75" customHeight="1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22"/>
      <c r="AD223" s="111"/>
      <c r="AE223" s="111"/>
    </row>
    <row r="224" ht="15.75" customHeight="1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22"/>
      <c r="AD224" s="111"/>
      <c r="AE224" s="111"/>
    </row>
    <row r="225" ht="15.75" customHeight="1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22"/>
      <c r="AD225" s="111"/>
      <c r="AE225" s="111"/>
    </row>
    <row r="226" ht="15.75" customHeight="1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22"/>
      <c r="AD226" s="111"/>
      <c r="AE226" s="111"/>
    </row>
    <row r="227" ht="15.75" customHeight="1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22"/>
      <c r="AD227" s="111"/>
      <c r="AE227" s="111"/>
    </row>
    <row r="228" ht="15.75" customHeight="1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22"/>
      <c r="AD228" s="111"/>
      <c r="AE228" s="111"/>
    </row>
    <row r="229" ht="15.75" customHeight="1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22"/>
      <c r="AD229" s="111"/>
      <c r="AE229" s="111"/>
    </row>
    <row r="230" ht="15.75" customHeight="1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22"/>
      <c r="AD230" s="111"/>
      <c r="AE230" s="111"/>
    </row>
    <row r="231" ht="15.75" customHeight="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22"/>
      <c r="AD231" s="111"/>
      <c r="AE231" s="111"/>
    </row>
    <row r="232" ht="15.75" customHeight="1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22"/>
      <c r="AD232" s="111"/>
      <c r="AE232" s="111"/>
    </row>
    <row r="233" ht="15.75" customHeight="1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22"/>
      <c r="AD233" s="111"/>
      <c r="AE233" s="111"/>
    </row>
    <row r="234" ht="15.75" customHeight="1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22"/>
      <c r="AD234" s="111"/>
      <c r="AE234" s="111"/>
    </row>
    <row r="235" ht="15.75" customHeight="1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22"/>
      <c r="AD235" s="111"/>
      <c r="AE235" s="111"/>
    </row>
    <row r="236" ht="15.75" customHeight="1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22"/>
      <c r="AD236" s="111"/>
      <c r="AE236" s="111"/>
    </row>
    <row r="237" ht="15.75" customHeight="1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22"/>
      <c r="AD237" s="111"/>
      <c r="AE237" s="111"/>
    </row>
    <row r="238" ht="15.75" customHeight="1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22"/>
      <c r="AD238" s="111"/>
      <c r="AE238" s="111"/>
    </row>
    <row r="239" ht="15.75" customHeight="1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22"/>
      <c r="AD239" s="111"/>
      <c r="AE239" s="111"/>
    </row>
    <row r="240" ht="15.75" customHeight="1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22"/>
      <c r="AD240" s="111"/>
      <c r="AE240" s="111"/>
    </row>
    <row r="241" ht="15.75" customHeight="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22"/>
      <c r="AD241" s="111"/>
      <c r="AE241" s="111"/>
    </row>
    <row r="242" ht="15.75" customHeight="1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22"/>
      <c r="AD242" s="111"/>
      <c r="AE242" s="111"/>
    </row>
    <row r="243" ht="15.75" customHeight="1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22"/>
      <c r="AD243" s="111"/>
      <c r="AE243" s="111"/>
    </row>
    <row r="244" ht="15.75" customHeight="1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22"/>
      <c r="AD244" s="111"/>
      <c r="AE244" s="111"/>
    </row>
    <row r="245" ht="15.75" customHeight="1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22"/>
      <c r="AD245" s="111"/>
      <c r="AE245" s="111"/>
    </row>
    <row r="246" ht="15.75" customHeight="1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22"/>
      <c r="AD246" s="111"/>
      <c r="AE246" s="111"/>
    </row>
    <row r="247" ht="15.75" customHeight="1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22"/>
      <c r="AD247" s="111"/>
      <c r="AE247" s="111"/>
    </row>
    <row r="248" ht="15.75" customHeight="1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22"/>
      <c r="AD248" s="111"/>
      <c r="AE248" s="111"/>
    </row>
    <row r="249" ht="15.75" customHeight="1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22"/>
      <c r="AD249" s="111"/>
      <c r="AE249" s="111"/>
    </row>
    <row r="250" ht="15.75" customHeight="1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22"/>
      <c r="AD250" s="111"/>
      <c r="AE250" s="111"/>
    </row>
    <row r="251" ht="15.75" customHeight="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22"/>
      <c r="AD251" s="111"/>
      <c r="AE251" s="111"/>
    </row>
    <row r="252" ht="15.75" customHeight="1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22"/>
      <c r="AD252" s="111"/>
      <c r="AE252" s="111"/>
    </row>
    <row r="253" ht="15.75" customHeight="1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22"/>
      <c r="AD253" s="111"/>
      <c r="AE253" s="111"/>
    </row>
    <row r="254" ht="15.75" customHeight="1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22"/>
      <c r="AD254" s="111"/>
      <c r="AE254" s="111"/>
    </row>
    <row r="255" ht="15.75" customHeight="1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22"/>
      <c r="AD255" s="111"/>
      <c r="AE255" s="111"/>
    </row>
    <row r="256" ht="15.75" customHeight="1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22"/>
      <c r="AD256" s="111"/>
      <c r="AE256" s="111"/>
    </row>
    <row r="257" ht="15.75" customHeight="1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22"/>
      <c r="AD257" s="111"/>
      <c r="AE257" s="111"/>
    </row>
    <row r="258" ht="15.75" customHeight="1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22"/>
      <c r="AD258" s="111"/>
      <c r="AE258" s="111"/>
    </row>
    <row r="259" ht="15.75" customHeight="1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22"/>
      <c r="AD259" s="111"/>
      <c r="AE259" s="111"/>
    </row>
    <row r="260" ht="15.75" customHeight="1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22"/>
      <c r="AD260" s="111"/>
      <c r="AE260" s="111"/>
    </row>
    <row r="261" ht="15.75" customHeight="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22"/>
      <c r="AD261" s="111"/>
      <c r="AE261" s="111"/>
    </row>
    <row r="262" ht="15.75" customHeight="1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22"/>
      <c r="AD262" s="111"/>
      <c r="AE262" s="111"/>
    </row>
    <row r="263" ht="15.75" customHeight="1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22"/>
      <c r="AD263" s="111"/>
      <c r="AE263" s="111"/>
    </row>
    <row r="264" ht="15.75" customHeight="1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22"/>
      <c r="AD264" s="111"/>
      <c r="AE264" s="111"/>
    </row>
    <row r="265" ht="15.75" customHeight="1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22"/>
      <c r="AD265" s="111"/>
      <c r="AE265" s="111"/>
    </row>
    <row r="266" ht="15.75" customHeight="1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22"/>
      <c r="AD266" s="111"/>
      <c r="AE266" s="111"/>
    </row>
    <row r="267" ht="15.75" customHeight="1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22"/>
      <c r="AD267" s="111"/>
      <c r="AE267" s="111"/>
    </row>
    <row r="268" ht="15.75" customHeight="1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22"/>
      <c r="AD268" s="111"/>
      <c r="AE268" s="111"/>
    </row>
    <row r="269" ht="15.75" customHeight="1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22"/>
      <c r="AD269" s="111"/>
      <c r="AE269" s="111"/>
    </row>
    <row r="270" ht="15.75" customHeight="1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22"/>
      <c r="AD270" s="111"/>
      <c r="AE270" s="111"/>
    </row>
    <row r="271" ht="15.75" customHeight="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22"/>
      <c r="AD271" s="111"/>
      <c r="AE271" s="111"/>
    </row>
    <row r="272" ht="15.75" customHeight="1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22"/>
      <c r="AD272" s="111"/>
      <c r="AE272" s="111"/>
    </row>
    <row r="273" ht="15.75" customHeight="1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22"/>
      <c r="AD273" s="111"/>
      <c r="AE273" s="111"/>
    </row>
    <row r="274" ht="15.75" customHeight="1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22"/>
      <c r="AD274" s="111"/>
      <c r="AE274" s="111"/>
    </row>
    <row r="275" ht="15.75" customHeight="1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22"/>
      <c r="AD275" s="111"/>
      <c r="AE275" s="111"/>
    </row>
    <row r="276" ht="15.75" customHeight="1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22"/>
      <c r="AD276" s="111"/>
      <c r="AE276" s="111"/>
    </row>
    <row r="277" ht="15.75" customHeight="1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22"/>
      <c r="AD277" s="111"/>
      <c r="AE277" s="111"/>
    </row>
    <row r="278" ht="15.75" customHeight="1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22"/>
      <c r="AD278" s="111"/>
      <c r="AE278" s="111"/>
    </row>
    <row r="279" ht="15.75" customHeight="1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22"/>
      <c r="AD279" s="111"/>
      <c r="AE279" s="111"/>
    </row>
    <row r="280" ht="15.75" customHeight="1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22"/>
      <c r="AD280" s="111"/>
      <c r="AE280" s="111"/>
    </row>
    <row r="281" ht="15.75" customHeight="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22"/>
      <c r="AD281" s="111"/>
      <c r="AE281" s="111"/>
    </row>
    <row r="282" ht="15.75" customHeight="1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22"/>
      <c r="AD282" s="111"/>
      <c r="AE282" s="111"/>
    </row>
    <row r="283" ht="15.75" customHeight="1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22"/>
      <c r="AD283" s="111"/>
      <c r="AE283" s="111"/>
    </row>
    <row r="284" ht="15.75" customHeight="1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22"/>
      <c r="AD284" s="111"/>
      <c r="AE284" s="111"/>
    </row>
    <row r="285" ht="15.75" customHeight="1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22"/>
      <c r="AD285" s="111"/>
      <c r="AE285" s="111"/>
    </row>
    <row r="286" ht="15.75" customHeight="1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22"/>
      <c r="AD286" s="111"/>
      <c r="AE286" s="111"/>
    </row>
    <row r="287" ht="15.75" customHeight="1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22"/>
      <c r="AD287" s="111"/>
      <c r="AE287" s="111"/>
    </row>
    <row r="288" ht="15.75" customHeight="1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22"/>
      <c r="AD288" s="111"/>
      <c r="AE288" s="111"/>
    </row>
    <row r="289" ht="15.75" customHeight="1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22"/>
      <c r="AD289" s="111"/>
      <c r="AE289" s="111"/>
    </row>
    <row r="290" ht="15.75" customHeight="1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22"/>
      <c r="AD290" s="111"/>
      <c r="AE290" s="111"/>
    </row>
    <row r="291" ht="15.75" customHeight="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22"/>
      <c r="AD291" s="111"/>
      <c r="AE291" s="111"/>
    </row>
    <row r="292" ht="15.75" customHeight="1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22"/>
      <c r="AD292" s="111"/>
      <c r="AE292" s="111"/>
    </row>
    <row r="293" ht="15.75" customHeight="1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22"/>
      <c r="AD293" s="111"/>
      <c r="AE293" s="111"/>
    </row>
    <row r="294" ht="15.75" customHeight="1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22"/>
      <c r="AD294" s="111"/>
      <c r="AE294" s="111"/>
    </row>
    <row r="295" ht="15.75" customHeight="1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22"/>
      <c r="AD295" s="111"/>
      <c r="AE295" s="111"/>
    </row>
    <row r="296" ht="15.75" customHeight="1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22"/>
      <c r="AD296" s="111"/>
      <c r="AE296" s="111"/>
    </row>
    <row r="297" ht="15.75" customHeight="1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22"/>
      <c r="AD297" s="111"/>
      <c r="AE297" s="111"/>
    </row>
    <row r="298" ht="15.75" customHeight="1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22"/>
      <c r="AD298" s="111"/>
      <c r="AE298" s="111"/>
    </row>
    <row r="299" ht="15.75" customHeight="1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22"/>
      <c r="AD299" s="111"/>
      <c r="AE299" s="111"/>
    </row>
    <row r="300" ht="15.75" customHeight="1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22"/>
      <c r="AD300" s="111"/>
      <c r="AE300" s="111"/>
    </row>
    <row r="301" ht="15.75" customHeight="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22"/>
      <c r="AD301" s="111"/>
      <c r="AE301" s="111"/>
    </row>
    <row r="302" ht="15.75" customHeight="1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22"/>
      <c r="AD302" s="111"/>
      <c r="AE302" s="111"/>
    </row>
    <row r="303" ht="15.75" customHeight="1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22"/>
      <c r="AD303" s="111"/>
      <c r="AE303" s="111"/>
    </row>
    <row r="304" ht="15.75" customHeight="1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22"/>
      <c r="AD304" s="111"/>
      <c r="AE304" s="111"/>
    </row>
    <row r="305" ht="15.75" customHeight="1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22"/>
      <c r="AD305" s="111"/>
      <c r="AE305" s="111"/>
    </row>
    <row r="306" ht="15.75" customHeight="1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22"/>
      <c r="AD306" s="111"/>
      <c r="AE306" s="111"/>
    </row>
    <row r="307" ht="15.75" customHeight="1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22"/>
      <c r="AD307" s="111"/>
      <c r="AE307" s="111"/>
    </row>
    <row r="308" ht="15.75" customHeight="1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22"/>
      <c r="AD308" s="111"/>
      <c r="AE308" s="111"/>
    </row>
    <row r="309" ht="15.75" customHeight="1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22"/>
      <c r="AD309" s="111"/>
      <c r="AE309" s="111"/>
    </row>
    <row r="310" ht="15.75" customHeight="1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22"/>
      <c r="AD310" s="111"/>
      <c r="AE310" s="111"/>
    </row>
    <row r="311" ht="15.75" customHeight="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22"/>
      <c r="AD311" s="111"/>
      <c r="AE311" s="111"/>
    </row>
    <row r="312" ht="15.75" customHeight="1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22"/>
      <c r="AD312" s="111"/>
      <c r="AE312" s="111"/>
    </row>
    <row r="313" ht="15.75" customHeight="1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22"/>
      <c r="AD313" s="111"/>
      <c r="AE313" s="111"/>
    </row>
    <row r="314" ht="15.75" customHeight="1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22"/>
      <c r="AD314" s="111"/>
      <c r="AE314" s="111"/>
    </row>
    <row r="315" ht="15.75" customHeight="1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22"/>
      <c r="AD315" s="111"/>
      <c r="AE315" s="111"/>
    </row>
    <row r="316" ht="15.75" customHeight="1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22"/>
      <c r="AD316" s="111"/>
      <c r="AE316" s="111"/>
    </row>
    <row r="317" ht="15.75" customHeight="1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22"/>
      <c r="AD317" s="111"/>
      <c r="AE317" s="111"/>
    </row>
    <row r="318" ht="15.75" customHeight="1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22"/>
      <c r="AD318" s="111"/>
      <c r="AE318" s="111"/>
    </row>
    <row r="319" ht="15.75" customHeight="1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22"/>
      <c r="AD319" s="111"/>
      <c r="AE319" s="111"/>
    </row>
    <row r="320" ht="15.75" customHeight="1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22"/>
      <c r="AD320" s="111"/>
      <c r="AE320" s="111"/>
    </row>
    <row r="321" ht="15.75" customHeight="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22"/>
      <c r="AD321" s="111"/>
      <c r="AE321" s="111"/>
    </row>
    <row r="322" ht="15.75" customHeight="1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22"/>
      <c r="AD322" s="111"/>
      <c r="AE322" s="111"/>
    </row>
    <row r="323" ht="15.75" customHeight="1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22"/>
      <c r="AD323" s="111"/>
      <c r="AE323" s="111"/>
    </row>
    <row r="324" ht="15.75" customHeight="1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22"/>
      <c r="AD324" s="111"/>
      <c r="AE324" s="111"/>
    </row>
    <row r="325" ht="15.75" customHeight="1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22"/>
      <c r="AD325" s="111"/>
      <c r="AE325" s="111"/>
    </row>
    <row r="326" ht="15.75" customHeight="1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22"/>
      <c r="AD326" s="111"/>
      <c r="AE326" s="111"/>
    </row>
    <row r="327" ht="15.75" customHeight="1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22"/>
      <c r="AD327" s="111"/>
      <c r="AE327" s="111"/>
    </row>
    <row r="328" ht="15.75" customHeight="1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22"/>
      <c r="AD328" s="111"/>
      <c r="AE328" s="111"/>
    </row>
    <row r="329" ht="15.75" customHeight="1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22"/>
      <c r="AD329" s="111"/>
      <c r="AE329" s="111"/>
    </row>
    <row r="330" ht="15.75" customHeight="1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22"/>
      <c r="AD330" s="111"/>
      <c r="AE330" s="111"/>
    </row>
    <row r="331" ht="15.75" customHeight="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22"/>
      <c r="AD331" s="111"/>
      <c r="AE331" s="111"/>
    </row>
    <row r="332" ht="15.75" customHeight="1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22"/>
      <c r="AD332" s="111"/>
      <c r="AE332" s="111"/>
    </row>
    <row r="333" ht="15.75" customHeight="1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22"/>
      <c r="AD333" s="111"/>
      <c r="AE333" s="111"/>
    </row>
    <row r="334" ht="15.75" customHeight="1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22"/>
      <c r="AD334" s="111"/>
      <c r="AE334" s="111"/>
    </row>
    <row r="335" ht="15.75" customHeight="1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22"/>
      <c r="AD335" s="111"/>
      <c r="AE335" s="111"/>
    </row>
    <row r="336" ht="15.75" customHeight="1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22"/>
      <c r="AD336" s="111"/>
      <c r="AE336" s="111"/>
    </row>
    <row r="337" ht="15.75" customHeight="1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22"/>
      <c r="AD337" s="111"/>
      <c r="AE337" s="111"/>
    </row>
    <row r="338" ht="15.75" customHeight="1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22"/>
      <c r="AD338" s="111"/>
      <c r="AE338" s="111"/>
    </row>
    <row r="339" ht="15.75" customHeight="1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22"/>
      <c r="AD339" s="111"/>
      <c r="AE339" s="111"/>
    </row>
    <row r="340" ht="15.75" customHeight="1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22"/>
      <c r="AD340" s="111"/>
      <c r="AE340" s="111"/>
    </row>
    <row r="341" ht="15.75" customHeight="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22"/>
      <c r="AD341" s="111"/>
      <c r="AE341" s="111"/>
    </row>
    <row r="342" ht="15.75" customHeight="1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22"/>
      <c r="AD342" s="111"/>
      <c r="AE342" s="111"/>
    </row>
    <row r="343" ht="15.75" customHeight="1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22"/>
      <c r="AD343" s="111"/>
      <c r="AE343" s="111"/>
    </row>
    <row r="344" ht="15.75" customHeight="1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22"/>
      <c r="AD344" s="111"/>
      <c r="AE344" s="111"/>
    </row>
    <row r="345" ht="15.75" customHeight="1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22"/>
      <c r="AD345" s="111"/>
      <c r="AE345" s="111"/>
    </row>
    <row r="346" ht="15.75" customHeight="1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22"/>
      <c r="AD346" s="111"/>
      <c r="AE346" s="111"/>
    </row>
    <row r="347" ht="15.75" customHeight="1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22"/>
      <c r="AD347" s="111"/>
      <c r="AE347" s="111"/>
    </row>
    <row r="348" ht="15.75" customHeight="1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22"/>
      <c r="AD348" s="111"/>
      <c r="AE348" s="111"/>
    </row>
    <row r="349" ht="15.75" customHeight="1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22"/>
      <c r="AD349" s="111"/>
      <c r="AE349" s="111"/>
    </row>
    <row r="350" ht="15.75" customHeight="1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22"/>
      <c r="AD350" s="111"/>
      <c r="AE350" s="111"/>
    </row>
    <row r="351" ht="15.75" customHeight="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22"/>
      <c r="AD351" s="111"/>
      <c r="AE351" s="111"/>
    </row>
    <row r="352" ht="15.75" customHeight="1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22"/>
      <c r="AD352" s="111"/>
      <c r="AE352" s="111"/>
    </row>
    <row r="353" ht="15.75" customHeight="1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22"/>
      <c r="AD353" s="111"/>
      <c r="AE353" s="111"/>
    </row>
    <row r="354" ht="15.75" customHeight="1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22"/>
      <c r="AD354" s="111"/>
      <c r="AE354" s="111"/>
    </row>
    <row r="355" ht="15.75" customHeight="1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22"/>
      <c r="AD355" s="111"/>
      <c r="AE355" s="111"/>
    </row>
    <row r="356" ht="15.75" customHeight="1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22"/>
      <c r="AD356" s="111"/>
      <c r="AE356" s="111"/>
    </row>
    <row r="357" ht="15.75" customHeight="1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22"/>
      <c r="AD357" s="111"/>
      <c r="AE357" s="111"/>
    </row>
    <row r="358" ht="15.75" customHeight="1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22"/>
      <c r="AD358" s="111"/>
      <c r="AE358" s="111"/>
    </row>
    <row r="359" ht="15.75" customHeight="1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22"/>
      <c r="AD359" s="111"/>
      <c r="AE359" s="111"/>
    </row>
    <row r="360" ht="15.75" customHeight="1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22"/>
      <c r="AD360" s="111"/>
      <c r="AE360" s="111"/>
    </row>
    <row r="361" ht="15.75" customHeight="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22"/>
      <c r="AD361" s="111"/>
      <c r="AE361" s="111"/>
    </row>
    <row r="362" ht="15.75" customHeight="1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22"/>
      <c r="AD362" s="111"/>
      <c r="AE362" s="111"/>
    </row>
    <row r="363" ht="15.75" customHeight="1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22"/>
      <c r="AD363" s="111"/>
      <c r="AE363" s="111"/>
    </row>
    <row r="364" ht="15.75" customHeight="1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22"/>
      <c r="AD364" s="111"/>
      <c r="AE364" s="111"/>
    </row>
    <row r="365" ht="15.75" customHeight="1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22"/>
      <c r="AD365" s="111"/>
      <c r="AE365" s="111"/>
    </row>
    <row r="366" ht="15.75" customHeight="1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22"/>
      <c r="AD366" s="111"/>
      <c r="AE366" s="111"/>
    </row>
    <row r="367" ht="15.75" customHeight="1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22"/>
      <c r="AD367" s="111"/>
      <c r="AE367" s="111"/>
    </row>
    <row r="368" ht="15.75" customHeight="1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22"/>
      <c r="AD368" s="111"/>
      <c r="AE368" s="111"/>
    </row>
    <row r="369" ht="15.75" customHeight="1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22"/>
      <c r="AD369" s="111"/>
      <c r="AE369" s="111"/>
    </row>
    <row r="370" ht="15.75" customHeight="1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22"/>
      <c r="AD370" s="111"/>
      <c r="AE370" s="111"/>
    </row>
    <row r="371" ht="15.75" customHeight="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22"/>
      <c r="AD371" s="111"/>
      <c r="AE371" s="111"/>
    </row>
    <row r="372" ht="15.75" customHeight="1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22"/>
      <c r="AD372" s="111"/>
      <c r="AE372" s="111"/>
    </row>
    <row r="373" ht="15.75" customHeight="1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22"/>
      <c r="AD373" s="111"/>
      <c r="AE373" s="111"/>
    </row>
    <row r="374" ht="15.75" customHeight="1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22"/>
      <c r="AD374" s="111"/>
      <c r="AE374" s="111"/>
    </row>
    <row r="375" ht="15.75" customHeight="1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22"/>
      <c r="AD375" s="111"/>
      <c r="AE375" s="111"/>
    </row>
    <row r="376" ht="15.75" customHeight="1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22"/>
      <c r="AD376" s="111"/>
      <c r="AE376" s="111"/>
    </row>
    <row r="377" ht="15.75" customHeight="1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22"/>
      <c r="AD377" s="111"/>
      <c r="AE377" s="111"/>
    </row>
    <row r="378" ht="15.75" customHeight="1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22"/>
      <c r="AD378" s="111"/>
      <c r="AE378" s="111"/>
    </row>
    <row r="379" ht="15.75" customHeight="1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22"/>
      <c r="AD379" s="111"/>
      <c r="AE379" s="111"/>
    </row>
    <row r="380" ht="15.75" customHeight="1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22"/>
      <c r="AD380" s="111"/>
      <c r="AE380" s="111"/>
    </row>
    <row r="381" ht="15.75" customHeight="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22"/>
      <c r="AD381" s="111"/>
      <c r="AE381" s="111"/>
    </row>
    <row r="382" ht="15.75" customHeight="1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22"/>
      <c r="AD382" s="111"/>
      <c r="AE382" s="111"/>
    </row>
    <row r="383" ht="15.75" customHeight="1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22"/>
      <c r="AD383" s="111"/>
      <c r="AE383" s="111"/>
    </row>
    <row r="384" ht="15.75" customHeight="1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22"/>
      <c r="AD384" s="111"/>
      <c r="AE384" s="111"/>
    </row>
    <row r="385" ht="15.75" customHeight="1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22"/>
      <c r="AD385" s="111"/>
      <c r="AE385" s="111"/>
    </row>
    <row r="386" ht="15.75" customHeight="1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22"/>
      <c r="AD386" s="111"/>
      <c r="AE386" s="111"/>
    </row>
    <row r="387" ht="15.75" customHeight="1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22"/>
      <c r="AD387" s="111"/>
      <c r="AE387" s="111"/>
    </row>
    <row r="388" ht="15.75" customHeight="1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22"/>
      <c r="AD388" s="111"/>
      <c r="AE388" s="111"/>
    </row>
    <row r="389" ht="15.75" customHeight="1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22"/>
      <c r="AD389" s="111"/>
      <c r="AE389" s="111"/>
    </row>
    <row r="390" ht="15.75" customHeight="1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22"/>
      <c r="AD390" s="111"/>
      <c r="AE390" s="111"/>
    </row>
    <row r="391" ht="15.75" customHeight="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22"/>
      <c r="AD391" s="111"/>
      <c r="AE391" s="111"/>
    </row>
    <row r="392" ht="15.75" customHeight="1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22"/>
      <c r="AD392" s="111"/>
      <c r="AE392" s="111"/>
    </row>
    <row r="393" ht="15.75" customHeight="1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22"/>
      <c r="AD393" s="111"/>
      <c r="AE393" s="111"/>
    </row>
    <row r="394" ht="15.75" customHeight="1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22"/>
      <c r="AD394" s="111"/>
      <c r="AE394" s="111"/>
    </row>
    <row r="395" ht="15.75" customHeight="1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22"/>
      <c r="AD395" s="111"/>
      <c r="AE395" s="111"/>
    </row>
    <row r="396" ht="15.75" customHeight="1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22"/>
      <c r="AD396" s="111"/>
      <c r="AE396" s="111"/>
    </row>
    <row r="397" ht="15.75" customHeight="1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22"/>
      <c r="AD397" s="111"/>
      <c r="AE397" s="111"/>
    </row>
    <row r="398" ht="15.75" customHeight="1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22"/>
      <c r="AD398" s="111"/>
      <c r="AE398" s="111"/>
    </row>
    <row r="399" ht="15.75" customHeight="1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22"/>
      <c r="AD399" s="111"/>
      <c r="AE399" s="111"/>
    </row>
    <row r="400" ht="15.75" customHeight="1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22"/>
      <c r="AD400" s="111"/>
      <c r="AE400" s="111"/>
    </row>
    <row r="401" ht="15.75" customHeight="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22"/>
      <c r="AD401" s="111"/>
      <c r="AE401" s="111"/>
    </row>
    <row r="402" ht="15.75" customHeight="1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22"/>
      <c r="AD402" s="111"/>
      <c r="AE402" s="111"/>
    </row>
    <row r="403" ht="15.75" customHeight="1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22"/>
      <c r="AD403" s="111"/>
      <c r="AE403" s="111"/>
    </row>
    <row r="404" ht="15.75" customHeight="1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22"/>
      <c r="AD404" s="111"/>
      <c r="AE404" s="111"/>
    </row>
    <row r="405" ht="15.75" customHeight="1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22"/>
      <c r="AD405" s="111"/>
      <c r="AE405" s="111"/>
    </row>
    <row r="406" ht="15.75" customHeight="1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22"/>
      <c r="AD406" s="111"/>
      <c r="AE406" s="111"/>
    </row>
    <row r="407" ht="15.75" customHeight="1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22"/>
      <c r="AD407" s="111"/>
      <c r="AE407" s="111"/>
    </row>
    <row r="408" ht="15.75" customHeight="1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22"/>
      <c r="AD408" s="111"/>
      <c r="AE408" s="111"/>
    </row>
    <row r="409" ht="15.75" customHeight="1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22"/>
      <c r="AD409" s="111"/>
      <c r="AE409" s="111"/>
    </row>
    <row r="410" ht="15.75" customHeight="1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22"/>
      <c r="AD410" s="111"/>
      <c r="AE410" s="111"/>
    </row>
    <row r="411" ht="15.75" customHeight="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22"/>
      <c r="AD411" s="111"/>
      <c r="AE411" s="111"/>
    </row>
    <row r="412" ht="15.75" customHeight="1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22"/>
      <c r="AD412" s="111"/>
      <c r="AE412" s="111"/>
    </row>
    <row r="413" ht="15.75" customHeight="1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22"/>
      <c r="AD413" s="111"/>
      <c r="AE413" s="111"/>
    </row>
    <row r="414" ht="15.75" customHeight="1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22"/>
      <c r="AD414" s="111"/>
      <c r="AE414" s="111"/>
    </row>
    <row r="415" ht="15.75" customHeight="1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22"/>
      <c r="AD415" s="111"/>
      <c r="AE415" s="111"/>
    </row>
    <row r="416" ht="15.75" customHeight="1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22"/>
      <c r="AD416" s="111"/>
      <c r="AE416" s="111"/>
    </row>
    <row r="417" ht="15.75" customHeight="1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22"/>
      <c r="AD417" s="111"/>
      <c r="AE417" s="111"/>
    </row>
    <row r="418" ht="15.75" customHeight="1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22"/>
      <c r="AD418" s="111"/>
      <c r="AE418" s="111"/>
    </row>
    <row r="419" ht="15.75" customHeight="1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22"/>
      <c r="AD419" s="111"/>
      <c r="AE419" s="111"/>
    </row>
    <row r="420" ht="15.75" customHeight="1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22"/>
      <c r="AD420" s="111"/>
      <c r="AE420" s="111"/>
    </row>
    <row r="421" ht="15.75" customHeight="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22"/>
      <c r="AD421" s="111"/>
      <c r="AE421" s="111"/>
    </row>
    <row r="422" ht="15.75" customHeight="1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22"/>
      <c r="AD422" s="111"/>
      <c r="AE422" s="111"/>
    </row>
    <row r="423" ht="15.75" customHeight="1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22"/>
      <c r="AD423" s="111"/>
      <c r="AE423" s="111"/>
    </row>
    <row r="424" ht="15.75" customHeight="1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22"/>
      <c r="AD424" s="111"/>
      <c r="AE424" s="111"/>
    </row>
    <row r="425" ht="15.75" customHeight="1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22"/>
      <c r="AD425" s="111"/>
      <c r="AE425" s="111"/>
    </row>
    <row r="426" ht="15.75" customHeight="1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22"/>
      <c r="AD426" s="111"/>
      <c r="AE426" s="111"/>
    </row>
    <row r="427" ht="15.75" customHeight="1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22"/>
      <c r="AD427" s="111"/>
      <c r="AE427" s="111"/>
    </row>
    <row r="428" ht="15.75" customHeight="1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22"/>
      <c r="AD428" s="111"/>
      <c r="AE428" s="111"/>
    </row>
    <row r="429" ht="15.75" customHeight="1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22"/>
      <c r="AD429" s="111"/>
      <c r="AE429" s="111"/>
    </row>
    <row r="430" ht="15.75" customHeight="1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22"/>
      <c r="AD430" s="111"/>
      <c r="AE430" s="111"/>
    </row>
    <row r="431" ht="15.75" customHeight="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22"/>
      <c r="AD431" s="111"/>
      <c r="AE431" s="111"/>
    </row>
    <row r="432" ht="15.75" customHeight="1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22"/>
      <c r="AD432" s="111"/>
      <c r="AE432" s="111"/>
    </row>
    <row r="433" ht="15.75" customHeight="1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22"/>
      <c r="AD433" s="111"/>
      <c r="AE433" s="111"/>
    </row>
    <row r="434" ht="15.75" customHeight="1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22"/>
      <c r="AD434" s="111"/>
      <c r="AE434" s="111"/>
    </row>
    <row r="435" ht="15.75" customHeight="1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22"/>
      <c r="AD435" s="111"/>
      <c r="AE435" s="111"/>
    </row>
    <row r="436" ht="15.75" customHeight="1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22"/>
      <c r="AD436" s="111"/>
      <c r="AE436" s="111"/>
    </row>
    <row r="437" ht="15.75" customHeight="1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22"/>
      <c r="AD437" s="111"/>
      <c r="AE437" s="111"/>
    </row>
    <row r="438" ht="15.75" customHeight="1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22"/>
      <c r="AD438" s="111"/>
      <c r="AE438" s="111"/>
    </row>
    <row r="439" ht="15.75" customHeight="1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22"/>
      <c r="AD439" s="111"/>
      <c r="AE439" s="111"/>
    </row>
    <row r="440" ht="15.75" customHeight="1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22"/>
      <c r="AD440" s="111"/>
      <c r="AE440" s="111"/>
    </row>
    <row r="441" ht="15.75" customHeight="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22"/>
      <c r="AD441" s="111"/>
      <c r="AE441" s="111"/>
    </row>
    <row r="442" ht="15.75" customHeight="1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22"/>
      <c r="AD442" s="111"/>
      <c r="AE442" s="111"/>
    </row>
    <row r="443" ht="15.75" customHeight="1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22"/>
      <c r="AD443" s="111"/>
      <c r="AE443" s="111"/>
    </row>
    <row r="444" ht="15.75" customHeight="1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22"/>
      <c r="AD444" s="111"/>
      <c r="AE444" s="111"/>
    </row>
    <row r="445" ht="15.75" customHeight="1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22"/>
      <c r="AD445" s="111"/>
      <c r="AE445" s="111"/>
    </row>
    <row r="446" ht="15.75" customHeight="1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22"/>
      <c r="AD446" s="111"/>
      <c r="AE446" s="111"/>
    </row>
    <row r="447" ht="15.75" customHeight="1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22"/>
      <c r="AD447" s="111"/>
      <c r="AE447" s="111"/>
    </row>
    <row r="448" ht="15.75" customHeight="1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22"/>
      <c r="AD448" s="111"/>
      <c r="AE448" s="111"/>
    </row>
    <row r="449" ht="15.75" customHeight="1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22"/>
      <c r="AD449" s="111"/>
      <c r="AE449" s="111"/>
    </row>
    <row r="450" ht="15.75" customHeight="1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22"/>
      <c r="AD450" s="111"/>
      <c r="AE450" s="111"/>
    </row>
    <row r="451" ht="15.75" customHeight="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22"/>
      <c r="AD451" s="111"/>
      <c r="AE451" s="111"/>
    </row>
    <row r="452" ht="15.75" customHeight="1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22"/>
      <c r="AD452" s="111"/>
      <c r="AE452" s="111"/>
    </row>
    <row r="453" ht="15.75" customHeight="1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22"/>
      <c r="AD453" s="111"/>
      <c r="AE453" s="111"/>
    </row>
    <row r="454" ht="15.75" customHeight="1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22"/>
      <c r="AD454" s="111"/>
      <c r="AE454" s="111"/>
    </row>
    <row r="455" ht="15.75" customHeight="1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22"/>
      <c r="AD455" s="111"/>
      <c r="AE455" s="111"/>
    </row>
    <row r="456" ht="15.75" customHeight="1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22"/>
      <c r="AD456" s="111"/>
      <c r="AE456" s="111"/>
    </row>
    <row r="457" ht="15.75" customHeight="1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22"/>
      <c r="AD457" s="111"/>
      <c r="AE457" s="111"/>
    </row>
    <row r="458" ht="15.75" customHeight="1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22"/>
      <c r="AD458" s="111"/>
      <c r="AE458" s="111"/>
    </row>
    <row r="459" ht="15.75" customHeight="1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22"/>
      <c r="AD459" s="111"/>
      <c r="AE459" s="111"/>
    </row>
    <row r="460" ht="15.75" customHeight="1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22"/>
      <c r="AD460" s="111"/>
      <c r="AE460" s="111"/>
    </row>
    <row r="461" ht="15.75" customHeight="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22"/>
      <c r="AD461" s="111"/>
      <c r="AE461" s="111"/>
    </row>
    <row r="462" ht="15.75" customHeight="1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22"/>
      <c r="AD462" s="111"/>
      <c r="AE462" s="111"/>
    </row>
    <row r="463" ht="15.75" customHeight="1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22"/>
      <c r="AD463" s="111"/>
      <c r="AE463" s="111"/>
    </row>
    <row r="464" ht="15.75" customHeight="1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22"/>
      <c r="AD464" s="111"/>
      <c r="AE464" s="111"/>
    </row>
    <row r="465" ht="15.75" customHeight="1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22"/>
      <c r="AD465" s="111"/>
      <c r="AE465" s="111"/>
    </row>
    <row r="466" ht="15.75" customHeight="1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22"/>
      <c r="AD466" s="111"/>
      <c r="AE466" s="111"/>
    </row>
    <row r="467" ht="15.75" customHeight="1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22"/>
      <c r="AD467" s="111"/>
      <c r="AE467" s="111"/>
    </row>
    <row r="468" ht="15.75" customHeight="1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22"/>
      <c r="AD468" s="111"/>
      <c r="AE468" s="111"/>
    </row>
    <row r="469" ht="15.75" customHeight="1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22"/>
      <c r="AD469" s="111"/>
      <c r="AE469" s="111"/>
    </row>
    <row r="470" ht="15.75" customHeight="1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22"/>
      <c r="AD470" s="111"/>
      <c r="AE470" s="111"/>
    </row>
    <row r="471" ht="15.75" customHeight="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22"/>
      <c r="AD471" s="111"/>
      <c r="AE471" s="111"/>
    </row>
    <row r="472" ht="15.75" customHeight="1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22"/>
      <c r="AD472" s="111"/>
      <c r="AE472" s="111"/>
    </row>
    <row r="473" ht="15.75" customHeight="1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22"/>
      <c r="AD473" s="111"/>
      <c r="AE473" s="111"/>
    </row>
    <row r="474" ht="15.75" customHeight="1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22"/>
      <c r="AD474" s="111"/>
      <c r="AE474" s="111"/>
    </row>
    <row r="475" ht="15.75" customHeight="1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22"/>
      <c r="AD475" s="111"/>
      <c r="AE475" s="111"/>
    </row>
    <row r="476" ht="15.75" customHeight="1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22"/>
      <c r="AD476" s="111"/>
      <c r="AE476" s="111"/>
    </row>
    <row r="477" ht="15.75" customHeight="1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22"/>
      <c r="AD477" s="111"/>
      <c r="AE477" s="111"/>
    </row>
    <row r="478" ht="15.75" customHeight="1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22"/>
      <c r="AD478" s="111"/>
      <c r="AE478" s="111"/>
    </row>
    <row r="479" ht="15.75" customHeight="1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22"/>
      <c r="AD479" s="111"/>
      <c r="AE479" s="111"/>
    </row>
    <row r="480" ht="15.75" customHeight="1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22"/>
      <c r="AD480" s="111"/>
      <c r="AE480" s="111"/>
    </row>
    <row r="481" ht="15.75" customHeight="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22"/>
      <c r="AD481" s="111"/>
      <c r="AE481" s="111"/>
    </row>
    <row r="482" ht="15.75" customHeight="1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22"/>
      <c r="AD482" s="111"/>
      <c r="AE482" s="111"/>
    </row>
    <row r="483" ht="15.75" customHeight="1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22"/>
      <c r="AD483" s="111"/>
      <c r="AE483" s="111"/>
    </row>
    <row r="484" ht="15.75" customHeight="1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22"/>
      <c r="AD484" s="111"/>
      <c r="AE484" s="111"/>
    </row>
    <row r="485" ht="15.75" customHeight="1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22"/>
      <c r="AD485" s="111"/>
      <c r="AE485" s="111"/>
    </row>
    <row r="486" ht="15.75" customHeight="1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22"/>
      <c r="AD486" s="111"/>
      <c r="AE486" s="111"/>
    </row>
    <row r="487" ht="15.75" customHeight="1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22"/>
      <c r="AD487" s="111"/>
      <c r="AE487" s="111"/>
    </row>
    <row r="488" ht="15.75" customHeight="1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22"/>
      <c r="AD488" s="111"/>
      <c r="AE488" s="111"/>
    </row>
    <row r="489" ht="15.75" customHeight="1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22"/>
      <c r="AD489" s="111"/>
      <c r="AE489" s="111"/>
    </row>
    <row r="490" ht="15.75" customHeight="1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22"/>
      <c r="AD490" s="111"/>
      <c r="AE490" s="111"/>
    </row>
    <row r="491" ht="15.75" customHeight="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22"/>
      <c r="AD491" s="111"/>
      <c r="AE491" s="111"/>
    </row>
    <row r="492" ht="15.75" customHeight="1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22"/>
      <c r="AD492" s="111"/>
      <c r="AE492" s="111"/>
    </row>
    <row r="493" ht="15.75" customHeight="1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22"/>
      <c r="AD493" s="111"/>
      <c r="AE493" s="111"/>
    </row>
    <row r="494" ht="15.75" customHeight="1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22"/>
      <c r="AD494" s="111"/>
      <c r="AE494" s="111"/>
    </row>
    <row r="495" ht="15.75" customHeight="1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22"/>
      <c r="AD495" s="111"/>
      <c r="AE495" s="111"/>
    </row>
    <row r="496" ht="15.75" customHeight="1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22"/>
      <c r="AD496" s="111"/>
      <c r="AE496" s="111"/>
    </row>
    <row r="497" ht="15.75" customHeight="1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22"/>
      <c r="AD497" s="111"/>
      <c r="AE497" s="111"/>
    </row>
    <row r="498" ht="15.75" customHeight="1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22"/>
      <c r="AD498" s="111"/>
      <c r="AE498" s="111"/>
    </row>
    <row r="499" ht="15.75" customHeight="1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22"/>
      <c r="AD499" s="111"/>
      <c r="AE499" s="111"/>
    </row>
    <row r="500" ht="15.75" customHeight="1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22"/>
      <c r="AD500" s="111"/>
      <c r="AE500" s="111"/>
    </row>
    <row r="501" ht="15.75" customHeight="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22"/>
      <c r="AD501" s="111"/>
      <c r="AE501" s="111"/>
    </row>
    <row r="502" ht="15.75" customHeight="1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22"/>
      <c r="AD502" s="111"/>
      <c r="AE502" s="111"/>
    </row>
    <row r="503" ht="15.75" customHeight="1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22"/>
      <c r="AD503" s="111"/>
      <c r="AE503" s="111"/>
    </row>
    <row r="504" ht="15.75" customHeight="1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22"/>
      <c r="AD504" s="111"/>
      <c r="AE504" s="111"/>
    </row>
    <row r="505" ht="15.75" customHeight="1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22"/>
      <c r="AD505" s="111"/>
      <c r="AE505" s="111"/>
    </row>
    <row r="506" ht="15.75" customHeight="1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22"/>
      <c r="AD506" s="111"/>
      <c r="AE506" s="111"/>
    </row>
    <row r="507" ht="15.75" customHeight="1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22"/>
      <c r="AD507" s="111"/>
      <c r="AE507" s="111"/>
    </row>
    <row r="508" ht="15.75" customHeight="1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22"/>
      <c r="AD508" s="111"/>
      <c r="AE508" s="111"/>
    </row>
    <row r="509" ht="15.75" customHeight="1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22"/>
      <c r="AD509" s="111"/>
      <c r="AE509" s="111"/>
    </row>
    <row r="510" ht="15.75" customHeight="1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22"/>
      <c r="AD510" s="111"/>
      <c r="AE510" s="111"/>
    </row>
    <row r="511" ht="15.75" customHeight="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22"/>
      <c r="AD511" s="111"/>
      <c r="AE511" s="111"/>
    </row>
    <row r="512" ht="15.75" customHeight="1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22"/>
      <c r="AD512" s="111"/>
      <c r="AE512" s="111"/>
    </row>
    <row r="513" ht="15.75" customHeight="1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22"/>
      <c r="AD513" s="111"/>
      <c r="AE513" s="111"/>
    </row>
    <row r="514" ht="15.75" customHeight="1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22"/>
      <c r="AD514" s="111"/>
      <c r="AE514" s="111"/>
    </row>
    <row r="515" ht="15.75" customHeight="1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22"/>
      <c r="AD515" s="111"/>
      <c r="AE515" s="111"/>
    </row>
    <row r="516" ht="15.75" customHeight="1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22"/>
      <c r="AD516" s="111"/>
      <c r="AE516" s="111"/>
    </row>
    <row r="517" ht="15.75" customHeight="1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22"/>
      <c r="AD517" s="111"/>
      <c r="AE517" s="111"/>
    </row>
    <row r="518" ht="15.75" customHeight="1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22"/>
      <c r="AD518" s="111"/>
      <c r="AE518" s="111"/>
    </row>
    <row r="519" ht="15.75" customHeight="1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22"/>
      <c r="AD519" s="111"/>
      <c r="AE519" s="111"/>
    </row>
    <row r="520" ht="15.75" customHeight="1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22"/>
      <c r="AD520" s="111"/>
      <c r="AE520" s="111"/>
    </row>
    <row r="521" ht="15.75" customHeight="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22"/>
      <c r="AD521" s="111"/>
      <c r="AE521" s="111"/>
    </row>
    <row r="522" ht="15.75" customHeight="1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22"/>
      <c r="AD522" s="111"/>
      <c r="AE522" s="111"/>
    </row>
    <row r="523" ht="15.75" customHeight="1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22"/>
      <c r="AD523" s="111"/>
      <c r="AE523" s="111"/>
    </row>
    <row r="524" ht="15.75" customHeight="1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22"/>
      <c r="AD524" s="111"/>
      <c r="AE524" s="111"/>
    </row>
    <row r="525" ht="15.75" customHeight="1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22"/>
      <c r="AD525" s="111"/>
      <c r="AE525" s="111"/>
    </row>
    <row r="526" ht="15.75" customHeight="1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22"/>
      <c r="AD526" s="111"/>
      <c r="AE526" s="111"/>
    </row>
    <row r="527" ht="15.75" customHeight="1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22"/>
      <c r="AD527" s="111"/>
      <c r="AE527" s="111"/>
    </row>
    <row r="528" ht="15.75" customHeight="1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22"/>
      <c r="AD528" s="111"/>
      <c r="AE528" s="111"/>
    </row>
    <row r="529" ht="15.75" customHeight="1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22"/>
      <c r="AD529" s="111"/>
      <c r="AE529" s="111"/>
    </row>
    <row r="530" ht="15.75" customHeight="1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22"/>
      <c r="AD530" s="111"/>
      <c r="AE530" s="111"/>
    </row>
    <row r="531" ht="15.75" customHeight="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22"/>
      <c r="AD531" s="111"/>
      <c r="AE531" s="111"/>
    </row>
    <row r="532" ht="15.75" customHeight="1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22"/>
      <c r="AD532" s="111"/>
      <c r="AE532" s="111"/>
    </row>
    <row r="533" ht="15.75" customHeight="1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22"/>
      <c r="AD533" s="111"/>
      <c r="AE533" s="111"/>
    </row>
    <row r="534" ht="15.75" customHeight="1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22"/>
      <c r="AD534" s="111"/>
      <c r="AE534" s="111"/>
    </row>
    <row r="535" ht="15.75" customHeight="1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22"/>
      <c r="AD535" s="111"/>
      <c r="AE535" s="111"/>
    </row>
    <row r="536" ht="15.75" customHeight="1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22"/>
      <c r="AD536" s="111"/>
      <c r="AE536" s="111"/>
    </row>
    <row r="537" ht="15.75" customHeight="1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22"/>
      <c r="AD537" s="111"/>
      <c r="AE537" s="111"/>
    </row>
    <row r="538" ht="15.75" customHeight="1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22"/>
      <c r="AD538" s="111"/>
      <c r="AE538" s="111"/>
    </row>
    <row r="539" ht="15.75" customHeight="1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22"/>
      <c r="AD539" s="111"/>
      <c r="AE539" s="111"/>
    </row>
    <row r="540" ht="15.75" customHeight="1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22"/>
      <c r="AD540" s="111"/>
      <c r="AE540" s="111"/>
    </row>
    <row r="541" ht="15.75" customHeight="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22"/>
      <c r="AD541" s="111"/>
      <c r="AE541" s="111"/>
    </row>
    <row r="542" ht="15.75" customHeight="1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22"/>
      <c r="AD542" s="111"/>
      <c r="AE542" s="111"/>
    </row>
    <row r="543" ht="15.75" customHeight="1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22"/>
      <c r="AD543" s="111"/>
      <c r="AE543" s="111"/>
    </row>
    <row r="544" ht="15.75" customHeight="1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22"/>
      <c r="AD544" s="111"/>
      <c r="AE544" s="111"/>
    </row>
    <row r="545" ht="15.75" customHeight="1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22"/>
      <c r="AD545" s="111"/>
      <c r="AE545" s="111"/>
    </row>
    <row r="546" ht="15.75" customHeight="1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22"/>
      <c r="AD546" s="111"/>
      <c r="AE546" s="111"/>
    </row>
    <row r="547" ht="15.75" customHeight="1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22"/>
      <c r="AD547" s="111"/>
      <c r="AE547" s="111"/>
    </row>
    <row r="548" ht="15.75" customHeight="1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22"/>
      <c r="AD548" s="111"/>
      <c r="AE548" s="111"/>
    </row>
    <row r="549" ht="15.75" customHeight="1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22"/>
      <c r="AD549" s="111"/>
      <c r="AE549" s="111"/>
    </row>
    <row r="550" ht="15.75" customHeight="1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22"/>
      <c r="AD550" s="111"/>
      <c r="AE550" s="111"/>
    </row>
    <row r="551" ht="15.75" customHeight="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22"/>
      <c r="AD551" s="111"/>
      <c r="AE551" s="111"/>
    </row>
    <row r="552" ht="15.75" customHeight="1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22"/>
      <c r="AD552" s="111"/>
      <c r="AE552" s="111"/>
    </row>
    <row r="553" ht="15.75" customHeight="1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22"/>
      <c r="AD553" s="111"/>
      <c r="AE553" s="111"/>
    </row>
    <row r="554" ht="15.75" customHeight="1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22"/>
      <c r="AD554" s="111"/>
      <c r="AE554" s="111"/>
    </row>
    <row r="555" ht="15.75" customHeight="1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22"/>
      <c r="AD555" s="111"/>
      <c r="AE555" s="111"/>
    </row>
    <row r="556" ht="15.75" customHeight="1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22"/>
      <c r="AD556" s="111"/>
      <c r="AE556" s="111"/>
    </row>
    <row r="557" ht="15.75" customHeight="1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22"/>
      <c r="AD557" s="111"/>
      <c r="AE557" s="111"/>
    </row>
    <row r="558" ht="15.75" customHeight="1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22"/>
      <c r="AD558" s="111"/>
      <c r="AE558" s="111"/>
    </row>
    <row r="559" ht="15.75" customHeight="1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22"/>
      <c r="AD559" s="111"/>
      <c r="AE559" s="111"/>
    </row>
    <row r="560" ht="15.75" customHeight="1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22"/>
      <c r="AD560" s="111"/>
      <c r="AE560" s="111"/>
    </row>
    <row r="561" ht="15.75" customHeight="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22"/>
      <c r="AD561" s="111"/>
      <c r="AE561" s="111"/>
    </row>
    <row r="562" ht="15.75" customHeight="1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22"/>
      <c r="AD562" s="111"/>
      <c r="AE562" s="111"/>
    </row>
    <row r="563" ht="15.75" customHeight="1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22"/>
      <c r="AD563" s="111"/>
      <c r="AE563" s="111"/>
    </row>
    <row r="564" ht="15.75" customHeight="1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22"/>
      <c r="AD564" s="111"/>
      <c r="AE564" s="111"/>
    </row>
    <row r="565" ht="15.75" customHeight="1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22"/>
      <c r="AD565" s="111"/>
      <c r="AE565" s="111"/>
    </row>
    <row r="566" ht="15.75" customHeight="1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22"/>
      <c r="AD566" s="111"/>
      <c r="AE566" s="111"/>
    </row>
    <row r="567" ht="15.75" customHeight="1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22"/>
      <c r="AD567" s="111"/>
      <c r="AE567" s="111"/>
    </row>
    <row r="568" ht="15.75" customHeight="1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22"/>
      <c r="AD568" s="111"/>
      <c r="AE568" s="111"/>
    </row>
    <row r="569" ht="15.75" customHeight="1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22"/>
      <c r="AD569" s="111"/>
      <c r="AE569" s="111"/>
    </row>
    <row r="570" ht="15.75" customHeight="1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22"/>
      <c r="AD570" s="111"/>
      <c r="AE570" s="111"/>
    </row>
    <row r="571" ht="15.75" customHeight="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22"/>
      <c r="AD571" s="111"/>
      <c r="AE571" s="111"/>
    </row>
    <row r="572" ht="15.75" customHeight="1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22"/>
      <c r="AD572" s="111"/>
      <c r="AE572" s="111"/>
    </row>
    <row r="573" ht="15.75" customHeight="1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22"/>
      <c r="AD573" s="111"/>
      <c r="AE573" s="111"/>
    </row>
    <row r="574" ht="15.75" customHeight="1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22"/>
      <c r="AD574" s="111"/>
      <c r="AE574" s="111"/>
    </row>
    <row r="575" ht="15.75" customHeight="1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22"/>
      <c r="AD575" s="111"/>
      <c r="AE575" s="111"/>
    </row>
    <row r="576" ht="15.75" customHeight="1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22"/>
      <c r="AD576" s="111"/>
      <c r="AE576" s="111"/>
    </row>
    <row r="577" ht="15.75" customHeight="1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22"/>
      <c r="AD577" s="111"/>
      <c r="AE577" s="111"/>
    </row>
    <row r="578" ht="15.75" customHeight="1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22"/>
      <c r="AD578" s="111"/>
      <c r="AE578" s="111"/>
    </row>
    <row r="579" ht="15.75" customHeight="1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22"/>
      <c r="AD579" s="111"/>
      <c r="AE579" s="111"/>
    </row>
    <row r="580" ht="15.75" customHeight="1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22"/>
      <c r="AD580" s="111"/>
      <c r="AE580" s="111"/>
    </row>
    <row r="581" ht="15.75" customHeight="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22"/>
      <c r="AD581" s="111"/>
      <c r="AE581" s="111"/>
    </row>
    <row r="582" ht="15.75" customHeight="1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22"/>
      <c r="AD582" s="111"/>
      <c r="AE582" s="111"/>
    </row>
    <row r="583" ht="15.75" customHeight="1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22"/>
      <c r="AD583" s="111"/>
      <c r="AE583" s="111"/>
    </row>
    <row r="584" ht="15.75" customHeight="1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22"/>
      <c r="AD584" s="111"/>
      <c r="AE584" s="111"/>
    </row>
    <row r="585" ht="15.75" customHeight="1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22"/>
      <c r="AD585" s="111"/>
      <c r="AE585" s="111"/>
    </row>
    <row r="586" ht="15.75" customHeight="1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22"/>
      <c r="AD586" s="111"/>
      <c r="AE586" s="111"/>
    </row>
    <row r="587" ht="15.75" customHeight="1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22"/>
      <c r="AD587" s="111"/>
      <c r="AE587" s="111"/>
    </row>
    <row r="588" ht="15.75" customHeight="1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22"/>
      <c r="AD588" s="111"/>
      <c r="AE588" s="111"/>
    </row>
    <row r="589" ht="15.75" customHeight="1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22"/>
      <c r="AD589" s="111"/>
      <c r="AE589" s="111"/>
    </row>
    <row r="590" ht="15.75" customHeight="1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22"/>
      <c r="AD590" s="111"/>
      <c r="AE590" s="111"/>
    </row>
    <row r="591" ht="15.75" customHeight="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22"/>
      <c r="AD591" s="111"/>
      <c r="AE591" s="111"/>
    </row>
    <row r="592" ht="15.75" customHeight="1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22"/>
      <c r="AD592" s="111"/>
      <c r="AE592" s="111"/>
    </row>
    <row r="593" ht="15.75" customHeight="1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22"/>
      <c r="AD593" s="111"/>
      <c r="AE593" s="111"/>
    </row>
    <row r="594" ht="15.75" customHeight="1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22"/>
      <c r="AD594" s="111"/>
      <c r="AE594" s="111"/>
    </row>
    <row r="595" ht="15.75" customHeight="1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22"/>
      <c r="AD595" s="111"/>
      <c r="AE595" s="111"/>
    </row>
    <row r="596" ht="15.75" customHeight="1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22"/>
      <c r="AD596" s="111"/>
      <c r="AE596" s="111"/>
    </row>
    <row r="597" ht="15.75" customHeight="1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22"/>
      <c r="AD597" s="111"/>
      <c r="AE597" s="111"/>
    </row>
    <row r="598" ht="15.75" customHeight="1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22"/>
      <c r="AD598" s="111"/>
      <c r="AE598" s="111"/>
    </row>
    <row r="599" ht="15.75" customHeight="1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22"/>
      <c r="AD599" s="111"/>
      <c r="AE599" s="111"/>
    </row>
    <row r="600" ht="15.75" customHeight="1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22"/>
      <c r="AD600" s="111"/>
      <c r="AE600" s="111"/>
    </row>
    <row r="601" ht="15.75" customHeight="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22"/>
      <c r="AD601" s="111"/>
      <c r="AE601" s="111"/>
    </row>
    <row r="602" ht="15.75" customHeight="1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22"/>
      <c r="AD602" s="111"/>
      <c r="AE602" s="111"/>
    </row>
    <row r="603" ht="15.75" customHeight="1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22"/>
      <c r="AD603" s="111"/>
      <c r="AE603" s="111"/>
    </row>
    <row r="604" ht="15.75" customHeight="1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22"/>
      <c r="AD604" s="111"/>
      <c r="AE604" s="111"/>
    </row>
    <row r="605" ht="15.75" customHeight="1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22"/>
      <c r="AD605" s="111"/>
      <c r="AE605" s="111"/>
    </row>
    <row r="606" ht="15.75" customHeight="1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22"/>
      <c r="AD606" s="111"/>
      <c r="AE606" s="111"/>
    </row>
    <row r="607" ht="15.75" customHeight="1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22"/>
      <c r="AD607" s="111"/>
      <c r="AE607" s="111"/>
    </row>
    <row r="608" ht="15.75" customHeight="1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22"/>
      <c r="AD608" s="111"/>
      <c r="AE608" s="111"/>
    </row>
    <row r="609" ht="15.75" customHeight="1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22"/>
      <c r="AD609" s="111"/>
      <c r="AE609" s="111"/>
    </row>
    <row r="610" ht="15.75" customHeight="1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22"/>
      <c r="AD610" s="111"/>
      <c r="AE610" s="111"/>
    </row>
    <row r="611" ht="15.75" customHeight="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22"/>
      <c r="AD611" s="111"/>
      <c r="AE611" s="111"/>
    </row>
    <row r="612" ht="15.75" customHeight="1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22"/>
      <c r="AD612" s="111"/>
      <c r="AE612" s="111"/>
    </row>
    <row r="613" ht="15.75" customHeight="1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22"/>
      <c r="AD613" s="111"/>
      <c r="AE613" s="111"/>
    </row>
    <row r="614" ht="15.75" customHeight="1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22"/>
      <c r="AD614" s="111"/>
      <c r="AE614" s="111"/>
    </row>
    <row r="615" ht="15.75" customHeight="1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22"/>
      <c r="AD615" s="111"/>
      <c r="AE615" s="111"/>
    </row>
    <row r="616" ht="15.75" customHeight="1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22"/>
      <c r="AD616" s="111"/>
      <c r="AE616" s="111"/>
    </row>
    <row r="617" ht="15.75" customHeight="1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22"/>
      <c r="AD617" s="111"/>
      <c r="AE617" s="111"/>
    </row>
    <row r="618" ht="15.75" customHeight="1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22"/>
      <c r="AD618" s="111"/>
      <c r="AE618" s="111"/>
    </row>
    <row r="619" ht="15.75" customHeight="1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22"/>
      <c r="AD619" s="111"/>
      <c r="AE619" s="111"/>
    </row>
    <row r="620" ht="15.75" customHeight="1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22"/>
      <c r="AD620" s="111"/>
      <c r="AE620" s="111"/>
    </row>
    <row r="621" ht="15.75" customHeight="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22"/>
      <c r="AD621" s="111"/>
      <c r="AE621" s="111"/>
    </row>
    <row r="622" ht="15.75" customHeight="1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22"/>
      <c r="AD622" s="111"/>
      <c r="AE622" s="111"/>
    </row>
    <row r="623" ht="15.75" customHeight="1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22"/>
      <c r="AD623" s="111"/>
      <c r="AE623" s="111"/>
    </row>
    <row r="624" ht="15.75" customHeight="1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22"/>
      <c r="AD624" s="111"/>
      <c r="AE624" s="111"/>
    </row>
    <row r="625" ht="15.75" customHeight="1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22"/>
      <c r="AD625" s="111"/>
      <c r="AE625" s="111"/>
    </row>
    <row r="626" ht="15.75" customHeight="1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22"/>
      <c r="AD626" s="111"/>
      <c r="AE626" s="111"/>
    </row>
    <row r="627" ht="15.75" customHeight="1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22"/>
      <c r="AD627" s="111"/>
      <c r="AE627" s="111"/>
    </row>
    <row r="628" ht="15.75" customHeight="1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22"/>
      <c r="AD628" s="111"/>
      <c r="AE628" s="111"/>
    </row>
    <row r="629" ht="15.75" customHeight="1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22"/>
      <c r="AD629" s="111"/>
      <c r="AE629" s="111"/>
    </row>
    <row r="630" ht="15.75" customHeight="1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22"/>
      <c r="AD630" s="111"/>
      <c r="AE630" s="111"/>
    </row>
    <row r="631" ht="15.75" customHeight="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22"/>
      <c r="AD631" s="111"/>
      <c r="AE631" s="111"/>
    </row>
    <row r="632" ht="15.75" customHeight="1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22"/>
      <c r="AD632" s="111"/>
      <c r="AE632" s="111"/>
    </row>
    <row r="633" ht="15.75" customHeight="1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22"/>
      <c r="AD633" s="111"/>
      <c r="AE633" s="111"/>
    </row>
    <row r="634" ht="15.75" customHeight="1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22"/>
      <c r="AD634" s="111"/>
      <c r="AE634" s="111"/>
    </row>
    <row r="635" ht="15.75" customHeight="1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22"/>
      <c r="AD635" s="111"/>
      <c r="AE635" s="111"/>
    </row>
    <row r="636" ht="15.75" customHeight="1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22"/>
      <c r="AD636" s="111"/>
      <c r="AE636" s="111"/>
    </row>
    <row r="637" ht="15.75" customHeight="1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22"/>
      <c r="AD637" s="111"/>
      <c r="AE637" s="111"/>
    </row>
    <row r="638" ht="15.75" customHeight="1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22"/>
      <c r="AD638" s="111"/>
      <c r="AE638" s="111"/>
    </row>
    <row r="639" ht="15.75" customHeight="1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22"/>
      <c r="AD639" s="111"/>
      <c r="AE639" s="111"/>
    </row>
    <row r="640" ht="15.75" customHeight="1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22"/>
      <c r="AD640" s="111"/>
      <c r="AE640" s="111"/>
    </row>
    <row r="641" ht="15.75" customHeight="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22"/>
      <c r="AD641" s="111"/>
      <c r="AE641" s="111"/>
    </row>
    <row r="642" ht="15.75" customHeight="1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22"/>
      <c r="AD642" s="111"/>
      <c r="AE642" s="111"/>
    </row>
    <row r="643" ht="15.75" customHeight="1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22"/>
      <c r="AD643" s="111"/>
      <c r="AE643" s="111"/>
    </row>
    <row r="644" ht="15.75" customHeight="1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22"/>
      <c r="AD644" s="111"/>
      <c r="AE644" s="111"/>
    </row>
    <row r="645" ht="15.75" customHeight="1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22"/>
      <c r="AD645" s="111"/>
      <c r="AE645" s="111"/>
    </row>
    <row r="646" ht="15.75" customHeight="1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22"/>
      <c r="AD646" s="111"/>
      <c r="AE646" s="111"/>
    </row>
    <row r="647" ht="15.75" customHeight="1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22"/>
      <c r="AD647" s="111"/>
      <c r="AE647" s="111"/>
    </row>
    <row r="648" ht="15.75" customHeight="1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22"/>
      <c r="AD648" s="111"/>
      <c r="AE648" s="111"/>
    </row>
    <row r="649" ht="15.75" customHeight="1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22"/>
      <c r="AD649" s="111"/>
      <c r="AE649" s="111"/>
    </row>
    <row r="650" ht="15.75" customHeight="1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22"/>
      <c r="AD650" s="111"/>
      <c r="AE650" s="111"/>
    </row>
    <row r="651" ht="15.75" customHeight="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22"/>
      <c r="AD651" s="111"/>
      <c r="AE651" s="111"/>
    </row>
    <row r="652" ht="15.75" customHeight="1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22"/>
      <c r="AD652" s="111"/>
      <c r="AE652" s="111"/>
    </row>
    <row r="653" ht="15.75" customHeight="1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22"/>
      <c r="AD653" s="111"/>
      <c r="AE653" s="111"/>
    </row>
    <row r="654" ht="15.75" customHeight="1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22"/>
      <c r="AD654" s="111"/>
      <c r="AE654" s="111"/>
    </row>
    <row r="655" ht="15.75" customHeight="1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22"/>
      <c r="AD655" s="111"/>
      <c r="AE655" s="111"/>
    </row>
    <row r="656" ht="15.75" customHeight="1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22"/>
      <c r="AD656" s="111"/>
      <c r="AE656" s="111"/>
    </row>
    <row r="657" ht="15.75" customHeight="1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22"/>
      <c r="AD657" s="111"/>
      <c r="AE657" s="111"/>
    </row>
    <row r="658" ht="15.75" customHeight="1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22"/>
      <c r="AD658" s="111"/>
      <c r="AE658" s="111"/>
    </row>
    <row r="659" ht="15.75" customHeight="1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22"/>
      <c r="AD659" s="111"/>
      <c r="AE659" s="111"/>
    </row>
    <row r="660" ht="15.75" customHeight="1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22"/>
      <c r="AD660" s="111"/>
      <c r="AE660" s="111"/>
    </row>
    <row r="661" ht="15.75" customHeight="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22"/>
      <c r="AD661" s="111"/>
      <c r="AE661" s="111"/>
    </row>
    <row r="662" ht="15.75" customHeight="1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22"/>
      <c r="AD662" s="111"/>
      <c r="AE662" s="111"/>
    </row>
    <row r="663" ht="15.75" customHeight="1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22"/>
      <c r="AD663" s="111"/>
      <c r="AE663" s="111"/>
    </row>
    <row r="664" ht="15.75" customHeight="1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22"/>
      <c r="AD664" s="111"/>
      <c r="AE664" s="111"/>
    </row>
    <row r="665" ht="15.75" customHeight="1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22"/>
      <c r="AD665" s="111"/>
      <c r="AE665" s="111"/>
    </row>
    <row r="666" ht="15.75" customHeight="1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22"/>
      <c r="AD666" s="111"/>
      <c r="AE666" s="111"/>
    </row>
    <row r="667" ht="15.75" customHeight="1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22"/>
      <c r="AD667" s="111"/>
      <c r="AE667" s="111"/>
    </row>
    <row r="668" ht="15.75" customHeight="1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22"/>
      <c r="AD668" s="111"/>
      <c r="AE668" s="111"/>
    </row>
    <row r="669" ht="15.75" customHeight="1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22"/>
      <c r="AD669" s="111"/>
      <c r="AE669" s="111"/>
    </row>
    <row r="670" ht="15.75" customHeight="1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22"/>
      <c r="AD670" s="111"/>
      <c r="AE670" s="111"/>
    </row>
    <row r="671" ht="15.75" customHeight="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22"/>
      <c r="AD671" s="111"/>
      <c r="AE671" s="111"/>
    </row>
    <row r="672" ht="15.75" customHeight="1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22"/>
      <c r="AD672" s="111"/>
      <c r="AE672" s="111"/>
    </row>
    <row r="673" ht="15.75" customHeight="1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22"/>
      <c r="AD673" s="111"/>
      <c r="AE673" s="111"/>
    </row>
    <row r="674" ht="15.75" customHeight="1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22"/>
      <c r="AD674" s="111"/>
      <c r="AE674" s="111"/>
    </row>
    <row r="675" ht="15.75" customHeight="1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22"/>
      <c r="AD675" s="111"/>
      <c r="AE675" s="111"/>
    </row>
    <row r="676" ht="15.75" customHeight="1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22"/>
      <c r="AD676" s="111"/>
      <c r="AE676" s="111"/>
    </row>
    <row r="677" ht="15.75" customHeight="1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22"/>
      <c r="AD677" s="111"/>
      <c r="AE677" s="111"/>
    </row>
    <row r="678" ht="15.75" customHeight="1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22"/>
      <c r="AD678" s="111"/>
      <c r="AE678" s="111"/>
    </row>
    <row r="679" ht="15.75" customHeight="1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22"/>
      <c r="AD679" s="111"/>
      <c r="AE679" s="111"/>
    </row>
    <row r="680" ht="15.75" customHeight="1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22"/>
      <c r="AD680" s="111"/>
      <c r="AE680" s="111"/>
    </row>
    <row r="681" ht="15.75" customHeight="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22"/>
      <c r="AD681" s="111"/>
      <c r="AE681" s="111"/>
    </row>
    <row r="682" ht="15.75" customHeight="1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22"/>
      <c r="AD682" s="111"/>
      <c r="AE682" s="111"/>
    </row>
    <row r="683" ht="15.75" customHeight="1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22"/>
      <c r="AD683" s="111"/>
      <c r="AE683" s="111"/>
    </row>
    <row r="684" ht="15.75" customHeight="1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22"/>
      <c r="AD684" s="111"/>
      <c r="AE684" s="111"/>
    </row>
    <row r="685" ht="15.75" customHeight="1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22"/>
      <c r="AD685" s="111"/>
      <c r="AE685" s="111"/>
    </row>
    <row r="686" ht="15.75" customHeight="1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22"/>
      <c r="AD686" s="111"/>
      <c r="AE686" s="111"/>
    </row>
    <row r="687" ht="15.75" customHeight="1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22"/>
      <c r="AD687" s="111"/>
      <c r="AE687" s="111"/>
    </row>
    <row r="688" ht="15.75" customHeight="1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22"/>
      <c r="AD688" s="111"/>
      <c r="AE688" s="111"/>
    </row>
    <row r="689" ht="15.75" customHeight="1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22"/>
      <c r="AD689" s="111"/>
      <c r="AE689" s="111"/>
    </row>
    <row r="690" ht="15.75" customHeight="1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22"/>
      <c r="AD690" s="111"/>
      <c r="AE690" s="111"/>
    </row>
    <row r="691" ht="15.75" customHeight="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22"/>
      <c r="AD691" s="111"/>
      <c r="AE691" s="111"/>
    </row>
    <row r="692" ht="15.75" customHeight="1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22"/>
      <c r="AD692" s="111"/>
      <c r="AE692" s="111"/>
    </row>
    <row r="693" ht="15.75" customHeight="1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22"/>
      <c r="AD693" s="111"/>
      <c r="AE693" s="111"/>
    </row>
    <row r="694" ht="15.75" customHeight="1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22"/>
      <c r="AD694" s="111"/>
      <c r="AE694" s="111"/>
    </row>
    <row r="695" ht="15.75" customHeight="1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22"/>
      <c r="AD695" s="111"/>
      <c r="AE695" s="111"/>
    </row>
    <row r="696" ht="15.75" customHeight="1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22"/>
      <c r="AD696" s="111"/>
      <c r="AE696" s="111"/>
    </row>
    <row r="697" ht="15.75" customHeight="1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22"/>
      <c r="AD697" s="111"/>
      <c r="AE697" s="111"/>
    </row>
    <row r="698" ht="15.75" customHeight="1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22"/>
      <c r="AD698" s="111"/>
      <c r="AE698" s="111"/>
    </row>
    <row r="699" ht="15.75" customHeight="1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22"/>
      <c r="AD699" s="111"/>
      <c r="AE699" s="111"/>
    </row>
    <row r="700" ht="15.75" customHeight="1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22"/>
      <c r="AD700" s="111"/>
      <c r="AE700" s="111"/>
    </row>
    <row r="701" ht="15.75" customHeight="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22"/>
      <c r="AD701" s="111"/>
      <c r="AE701" s="111"/>
    </row>
    <row r="702" ht="15.75" customHeight="1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22"/>
      <c r="AD702" s="111"/>
      <c r="AE702" s="111"/>
    </row>
    <row r="703" ht="15.75" customHeight="1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22"/>
      <c r="AD703" s="111"/>
      <c r="AE703" s="111"/>
    </row>
    <row r="704" ht="15.75" customHeight="1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22"/>
      <c r="AD704" s="111"/>
      <c r="AE704" s="111"/>
    </row>
    <row r="705" ht="15.75" customHeight="1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22"/>
      <c r="AD705" s="111"/>
      <c r="AE705" s="111"/>
    </row>
    <row r="706" ht="15.75" customHeight="1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22"/>
      <c r="AD706" s="111"/>
      <c r="AE706" s="111"/>
    </row>
    <row r="707" ht="15.75" customHeight="1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22"/>
      <c r="AD707" s="111"/>
      <c r="AE707" s="111"/>
    </row>
    <row r="708" ht="15.75" customHeight="1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22"/>
      <c r="AD708" s="111"/>
      <c r="AE708" s="111"/>
    </row>
    <row r="709" ht="15.75" customHeight="1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22"/>
      <c r="AD709" s="111"/>
      <c r="AE709" s="111"/>
    </row>
    <row r="710" ht="15.75" customHeight="1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22"/>
      <c r="AD710" s="111"/>
      <c r="AE710" s="111"/>
    </row>
    <row r="711" ht="15.75" customHeight="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22"/>
      <c r="AD711" s="111"/>
      <c r="AE711" s="111"/>
    </row>
    <row r="712" ht="15.75" customHeight="1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22"/>
      <c r="AD712" s="111"/>
      <c r="AE712" s="111"/>
    </row>
    <row r="713" ht="15.75" customHeight="1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22"/>
      <c r="AD713" s="111"/>
      <c r="AE713" s="111"/>
    </row>
    <row r="714" ht="15.75" customHeight="1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22"/>
      <c r="AD714" s="111"/>
      <c r="AE714" s="111"/>
    </row>
    <row r="715" ht="15.75" customHeight="1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22"/>
      <c r="AD715" s="111"/>
      <c r="AE715" s="111"/>
    </row>
    <row r="716" ht="15.75" customHeight="1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22"/>
      <c r="AD716" s="111"/>
      <c r="AE716" s="111"/>
    </row>
    <row r="717" ht="15.75" customHeight="1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22"/>
      <c r="AD717" s="111"/>
      <c r="AE717" s="111"/>
    </row>
    <row r="718" ht="15.75" customHeight="1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22"/>
      <c r="AD718" s="111"/>
      <c r="AE718" s="111"/>
    </row>
    <row r="719" ht="15.75" customHeight="1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22"/>
      <c r="AD719" s="111"/>
      <c r="AE719" s="111"/>
    </row>
    <row r="720" ht="15.75" customHeight="1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22"/>
      <c r="AD720" s="111"/>
      <c r="AE720" s="111"/>
    </row>
    <row r="721" ht="15.75" customHeight="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22"/>
      <c r="AD721" s="111"/>
      <c r="AE721" s="111"/>
    </row>
    <row r="722" ht="15.75" customHeight="1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22"/>
      <c r="AD722" s="111"/>
      <c r="AE722" s="111"/>
    </row>
    <row r="723" ht="15.75" customHeight="1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22"/>
      <c r="AD723" s="111"/>
      <c r="AE723" s="111"/>
    </row>
    <row r="724" ht="15.75" customHeight="1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22"/>
      <c r="AD724" s="111"/>
      <c r="AE724" s="111"/>
    </row>
    <row r="725" ht="15.75" customHeight="1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22"/>
      <c r="AD725" s="111"/>
      <c r="AE725" s="111"/>
    </row>
    <row r="726" ht="15.75" customHeight="1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22"/>
      <c r="AD726" s="111"/>
      <c r="AE726" s="111"/>
    </row>
    <row r="727" ht="15.75" customHeight="1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22"/>
      <c r="AD727" s="111"/>
      <c r="AE727" s="111"/>
    </row>
    <row r="728" ht="15.75" customHeight="1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22"/>
      <c r="AD728" s="111"/>
      <c r="AE728" s="111"/>
    </row>
    <row r="729" ht="15.75" customHeight="1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22"/>
      <c r="AD729" s="111"/>
      <c r="AE729" s="111"/>
    </row>
    <row r="730" ht="15.75" customHeight="1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22"/>
      <c r="AD730" s="111"/>
      <c r="AE730" s="111"/>
    </row>
    <row r="731" ht="15.75" customHeight="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22"/>
      <c r="AD731" s="111"/>
      <c r="AE731" s="111"/>
    </row>
    <row r="732" ht="15.75" customHeight="1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22"/>
      <c r="AD732" s="111"/>
      <c r="AE732" s="111"/>
    </row>
    <row r="733" ht="15.75" customHeight="1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22"/>
      <c r="AD733" s="111"/>
      <c r="AE733" s="111"/>
    </row>
    <row r="734" ht="15.75" customHeight="1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22"/>
      <c r="AD734" s="111"/>
      <c r="AE734" s="111"/>
    </row>
    <row r="735" ht="15.75" customHeight="1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22"/>
      <c r="AD735" s="111"/>
      <c r="AE735" s="111"/>
    </row>
    <row r="736" ht="15.75" customHeight="1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22"/>
      <c r="AD736" s="111"/>
      <c r="AE736" s="111"/>
    </row>
    <row r="737" ht="15.75" customHeight="1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22"/>
      <c r="AD737" s="111"/>
      <c r="AE737" s="111"/>
    </row>
    <row r="738" ht="15.75" customHeight="1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22"/>
      <c r="AD738" s="111"/>
      <c r="AE738" s="111"/>
    </row>
    <row r="739" ht="15.75" customHeight="1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22"/>
      <c r="AD739" s="111"/>
      <c r="AE739" s="111"/>
    </row>
    <row r="740" ht="15.75" customHeight="1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22"/>
      <c r="AD740" s="111"/>
      <c r="AE740" s="111"/>
    </row>
    <row r="741" ht="15.75" customHeight="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22"/>
      <c r="AD741" s="111"/>
      <c r="AE741" s="111"/>
    </row>
    <row r="742" ht="15.75" customHeight="1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22"/>
      <c r="AD742" s="111"/>
      <c r="AE742" s="111"/>
    </row>
    <row r="743" ht="15.75" customHeight="1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22"/>
      <c r="AD743" s="111"/>
      <c r="AE743" s="111"/>
    </row>
    <row r="744" ht="15.75" customHeight="1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22"/>
      <c r="AD744" s="111"/>
      <c r="AE744" s="111"/>
    </row>
    <row r="745" ht="15.75" customHeight="1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22"/>
      <c r="AD745" s="111"/>
      <c r="AE745" s="111"/>
    </row>
    <row r="746" ht="15.75" customHeight="1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22"/>
      <c r="AD746" s="111"/>
      <c r="AE746" s="111"/>
    </row>
    <row r="747" ht="15.75" customHeight="1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22"/>
      <c r="AD747" s="111"/>
      <c r="AE747" s="111"/>
    </row>
    <row r="748" ht="15.75" customHeight="1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22"/>
      <c r="AD748" s="111"/>
      <c r="AE748" s="111"/>
    </row>
    <row r="749" ht="15.75" customHeight="1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22"/>
      <c r="AD749" s="111"/>
      <c r="AE749" s="111"/>
    </row>
    <row r="750" ht="15.75" customHeight="1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22"/>
      <c r="AD750" s="111"/>
      <c r="AE750" s="111"/>
    </row>
    <row r="751" ht="15.75" customHeight="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22"/>
      <c r="AD751" s="111"/>
      <c r="AE751" s="111"/>
    </row>
    <row r="752" ht="15.75" customHeight="1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22"/>
      <c r="AD752" s="111"/>
      <c r="AE752" s="111"/>
    </row>
    <row r="753" ht="15.75" customHeight="1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22"/>
      <c r="AD753" s="111"/>
      <c r="AE753" s="111"/>
    </row>
    <row r="754" ht="15.75" customHeight="1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22"/>
      <c r="AD754" s="111"/>
      <c r="AE754" s="111"/>
    </row>
    <row r="755" ht="15.75" customHeight="1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22"/>
      <c r="AD755" s="111"/>
      <c r="AE755" s="111"/>
    </row>
    <row r="756" ht="15.75" customHeight="1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22"/>
      <c r="AD756" s="111"/>
      <c r="AE756" s="111"/>
    </row>
    <row r="757" ht="15.75" customHeight="1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22"/>
      <c r="AD757" s="111"/>
      <c r="AE757" s="111"/>
    </row>
    <row r="758" ht="15.75" customHeight="1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22"/>
      <c r="AD758" s="111"/>
      <c r="AE758" s="111"/>
    </row>
    <row r="759" ht="15.75" customHeight="1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22"/>
      <c r="AD759" s="111"/>
      <c r="AE759" s="111"/>
    </row>
    <row r="760" ht="15.75" customHeight="1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22"/>
      <c r="AD760" s="111"/>
      <c r="AE760" s="111"/>
    </row>
    <row r="761" ht="15.75" customHeight="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22"/>
      <c r="AD761" s="111"/>
      <c r="AE761" s="111"/>
    </row>
    <row r="762" ht="15.75" customHeight="1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22"/>
      <c r="AD762" s="111"/>
      <c r="AE762" s="111"/>
    </row>
    <row r="763" ht="15.75" customHeight="1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22"/>
      <c r="AD763" s="111"/>
      <c r="AE763" s="111"/>
    </row>
    <row r="764" ht="15.75" customHeight="1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22"/>
      <c r="AD764" s="111"/>
      <c r="AE764" s="111"/>
    </row>
    <row r="765" ht="15.75" customHeight="1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22"/>
      <c r="AD765" s="111"/>
      <c r="AE765" s="111"/>
    </row>
    <row r="766" ht="15.75" customHeight="1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22"/>
      <c r="AD766" s="111"/>
      <c r="AE766" s="111"/>
    </row>
    <row r="767" ht="15.75" customHeight="1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22"/>
      <c r="AD767" s="111"/>
      <c r="AE767" s="111"/>
    </row>
    <row r="768" ht="15.75" customHeight="1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22"/>
      <c r="AD768" s="111"/>
      <c r="AE768" s="111"/>
    </row>
    <row r="769" ht="15.75" customHeight="1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22"/>
      <c r="AD769" s="111"/>
      <c r="AE769" s="111"/>
    </row>
    <row r="770" ht="15.75" customHeight="1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22"/>
      <c r="AD770" s="111"/>
      <c r="AE770" s="111"/>
    </row>
    <row r="771" ht="15.75" customHeight="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22"/>
      <c r="AD771" s="111"/>
      <c r="AE771" s="111"/>
    </row>
    <row r="772" ht="15.75" customHeight="1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22"/>
      <c r="AD772" s="111"/>
      <c r="AE772" s="111"/>
    </row>
    <row r="773" ht="15.75" customHeight="1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22"/>
      <c r="AD773" s="111"/>
      <c r="AE773" s="111"/>
    </row>
    <row r="774" ht="15.75" customHeight="1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22"/>
      <c r="AD774" s="111"/>
      <c r="AE774" s="111"/>
    </row>
    <row r="775" ht="15.75" customHeight="1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22"/>
      <c r="AD775" s="111"/>
      <c r="AE775" s="111"/>
    </row>
    <row r="776" ht="15.75" customHeight="1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22"/>
      <c r="AD776" s="111"/>
      <c r="AE776" s="111"/>
    </row>
    <row r="777" ht="15.75" customHeight="1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22"/>
      <c r="AD777" s="111"/>
      <c r="AE777" s="111"/>
    </row>
    <row r="778" ht="15.75" customHeight="1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22"/>
      <c r="AD778" s="111"/>
      <c r="AE778" s="111"/>
    </row>
    <row r="779" ht="15.75" customHeight="1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22"/>
      <c r="AD779" s="111"/>
      <c r="AE779" s="111"/>
    </row>
    <row r="780" ht="15.75" customHeight="1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22"/>
      <c r="AD780" s="111"/>
      <c r="AE780" s="111"/>
    </row>
    <row r="781" ht="15.75" customHeight="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22"/>
      <c r="AD781" s="111"/>
      <c r="AE781" s="111"/>
    </row>
    <row r="782" ht="15.75" customHeight="1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22"/>
      <c r="AD782" s="111"/>
      <c r="AE782" s="111"/>
    </row>
    <row r="783" ht="15.75" customHeight="1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22"/>
      <c r="AD783" s="111"/>
      <c r="AE783" s="111"/>
    </row>
    <row r="784" ht="15.75" customHeight="1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22"/>
      <c r="AD784" s="111"/>
      <c r="AE784" s="111"/>
    </row>
    <row r="785" ht="15.75" customHeight="1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22"/>
      <c r="AD785" s="111"/>
      <c r="AE785" s="111"/>
    </row>
    <row r="786" ht="15.75" customHeight="1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22"/>
      <c r="AD786" s="111"/>
      <c r="AE786" s="111"/>
    </row>
    <row r="787" ht="15.75" customHeight="1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22"/>
      <c r="AD787" s="111"/>
      <c r="AE787" s="111"/>
    </row>
    <row r="788" ht="15.75" customHeight="1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22"/>
      <c r="AD788" s="111"/>
      <c r="AE788" s="111"/>
    </row>
    <row r="789" ht="15.75" customHeight="1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22"/>
      <c r="AD789" s="111"/>
      <c r="AE789" s="111"/>
    </row>
    <row r="790" ht="15.75" customHeight="1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22"/>
      <c r="AD790" s="111"/>
      <c r="AE790" s="111"/>
    </row>
    <row r="791" ht="15.75" customHeight="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22"/>
      <c r="AD791" s="111"/>
      <c r="AE791" s="111"/>
    </row>
    <row r="792" ht="15.75" customHeight="1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22"/>
      <c r="AD792" s="111"/>
      <c r="AE792" s="111"/>
    </row>
    <row r="793" ht="15.75" customHeight="1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22"/>
      <c r="AD793" s="111"/>
      <c r="AE793" s="111"/>
    </row>
    <row r="794" ht="15.75" customHeight="1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22"/>
      <c r="AD794" s="111"/>
      <c r="AE794" s="111"/>
    </row>
    <row r="795" ht="15.75" customHeight="1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22"/>
      <c r="AD795" s="111"/>
      <c r="AE795" s="111"/>
    </row>
    <row r="796" ht="15.75" customHeight="1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22"/>
      <c r="AD796" s="111"/>
      <c r="AE796" s="111"/>
    </row>
    <row r="797" ht="15.75" customHeight="1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22"/>
      <c r="AD797" s="111"/>
      <c r="AE797" s="111"/>
    </row>
    <row r="798" ht="15.75" customHeight="1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22"/>
      <c r="AD798" s="111"/>
      <c r="AE798" s="111"/>
    </row>
    <row r="799" ht="15.75" customHeight="1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22"/>
      <c r="AD799" s="111"/>
      <c r="AE799" s="111"/>
    </row>
    <row r="800" ht="15.75" customHeight="1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22"/>
      <c r="AD800" s="111"/>
      <c r="AE800" s="111"/>
    </row>
    <row r="801" ht="15.75" customHeight="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22"/>
      <c r="AD801" s="111"/>
      <c r="AE801" s="111"/>
    </row>
    <row r="802" ht="15.75" customHeight="1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22"/>
      <c r="AD802" s="111"/>
      <c r="AE802" s="111"/>
    </row>
    <row r="803" ht="15.75" customHeight="1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22"/>
      <c r="AD803" s="111"/>
      <c r="AE803" s="111"/>
    </row>
    <row r="804" ht="15.75" customHeight="1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22"/>
      <c r="AD804" s="111"/>
      <c r="AE804" s="111"/>
    </row>
    <row r="805" ht="15.75" customHeight="1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22"/>
      <c r="AD805" s="111"/>
      <c r="AE805" s="111"/>
    </row>
    <row r="806" ht="15.75" customHeight="1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22"/>
      <c r="AD806" s="111"/>
      <c r="AE806" s="111"/>
    </row>
    <row r="807" ht="15.75" customHeight="1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22"/>
      <c r="AD807" s="111"/>
      <c r="AE807" s="111"/>
    </row>
    <row r="808" ht="15.75" customHeight="1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22"/>
      <c r="AD808" s="111"/>
      <c r="AE808" s="111"/>
    </row>
    <row r="809" ht="15.75" customHeight="1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22"/>
      <c r="AD809" s="111"/>
      <c r="AE809" s="111"/>
    </row>
    <row r="810" ht="15.75" customHeight="1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22"/>
      <c r="AD810" s="111"/>
      <c r="AE810" s="111"/>
    </row>
    <row r="811" ht="15.75" customHeight="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22"/>
      <c r="AD811" s="111"/>
      <c r="AE811" s="111"/>
    </row>
    <row r="812" ht="15.75" customHeight="1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22"/>
      <c r="AD812" s="111"/>
      <c r="AE812" s="111"/>
    </row>
    <row r="813" ht="15.75" customHeight="1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22"/>
      <c r="AD813" s="111"/>
      <c r="AE813" s="111"/>
    </row>
    <row r="814" ht="15.75" customHeight="1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22"/>
      <c r="AD814" s="111"/>
      <c r="AE814" s="111"/>
    </row>
    <row r="815" ht="15.75" customHeight="1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22"/>
      <c r="AD815" s="111"/>
      <c r="AE815" s="111"/>
    </row>
    <row r="816" ht="15.75" customHeight="1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22"/>
      <c r="AD816" s="111"/>
      <c r="AE816" s="111"/>
    </row>
    <row r="817" ht="15.75" customHeight="1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22"/>
      <c r="AD817" s="111"/>
      <c r="AE817" s="111"/>
    </row>
    <row r="818" ht="15.75" customHeight="1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22"/>
      <c r="AD818" s="111"/>
      <c r="AE818" s="111"/>
    </row>
    <row r="819" ht="15.75" customHeight="1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22"/>
      <c r="AD819" s="111"/>
      <c r="AE819" s="111"/>
    </row>
    <row r="820" ht="15.75" customHeight="1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22"/>
      <c r="AD820" s="111"/>
      <c r="AE820" s="111"/>
    </row>
    <row r="821" ht="15.75" customHeight="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22"/>
      <c r="AD821" s="111"/>
      <c r="AE821" s="111"/>
    </row>
    <row r="822" ht="15.75" customHeight="1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22"/>
      <c r="AD822" s="111"/>
      <c r="AE822" s="111"/>
    </row>
    <row r="823" ht="15.75" customHeight="1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22"/>
      <c r="AD823" s="111"/>
      <c r="AE823" s="111"/>
    </row>
    <row r="824" ht="15.75" customHeight="1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22"/>
      <c r="AD824" s="111"/>
      <c r="AE824" s="111"/>
    </row>
    <row r="825" ht="15.75" customHeight="1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22"/>
      <c r="AD825" s="111"/>
      <c r="AE825" s="111"/>
    </row>
    <row r="826" ht="15.75" customHeight="1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22"/>
      <c r="AD826" s="111"/>
      <c r="AE826" s="111"/>
    </row>
    <row r="827" ht="15.75" customHeight="1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22"/>
      <c r="AD827" s="111"/>
      <c r="AE827" s="111"/>
    </row>
    <row r="828" ht="15.75" customHeight="1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22"/>
      <c r="AD828" s="111"/>
      <c r="AE828" s="111"/>
    </row>
    <row r="829" ht="15.75" customHeight="1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22"/>
      <c r="AD829" s="111"/>
      <c r="AE829" s="111"/>
    </row>
    <row r="830" ht="15.75" customHeight="1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22"/>
      <c r="AD830" s="111"/>
      <c r="AE830" s="111"/>
    </row>
    <row r="831" ht="15.75" customHeight="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22"/>
      <c r="AD831" s="111"/>
      <c r="AE831" s="111"/>
    </row>
    <row r="832" ht="15.75" customHeight="1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22"/>
      <c r="AD832" s="111"/>
      <c r="AE832" s="111"/>
    </row>
    <row r="833" ht="15.75" customHeight="1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22"/>
      <c r="AD833" s="111"/>
      <c r="AE833" s="111"/>
    </row>
    <row r="834" ht="15.75" customHeight="1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22"/>
      <c r="AD834" s="111"/>
      <c r="AE834" s="111"/>
    </row>
    <row r="835" ht="15.75" customHeight="1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22"/>
      <c r="AD835" s="111"/>
      <c r="AE835" s="111"/>
    </row>
    <row r="836" ht="15.75" customHeight="1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22"/>
      <c r="AD836" s="111"/>
      <c r="AE836" s="111"/>
    </row>
    <row r="837" ht="15.75" customHeight="1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22"/>
      <c r="AD837" s="111"/>
      <c r="AE837" s="111"/>
    </row>
    <row r="838" ht="15.75" customHeight="1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22"/>
      <c r="AD838" s="111"/>
      <c r="AE838" s="111"/>
    </row>
    <row r="839" ht="15.75" customHeight="1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22"/>
      <c r="AD839" s="111"/>
      <c r="AE839" s="111"/>
    </row>
    <row r="840" ht="15.75" customHeight="1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22"/>
      <c r="AD840" s="111"/>
      <c r="AE840" s="111"/>
    </row>
    <row r="841" ht="15.75" customHeight="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22"/>
      <c r="AD841" s="111"/>
      <c r="AE841" s="111"/>
    </row>
    <row r="842" ht="15.75" customHeight="1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22"/>
      <c r="AD842" s="111"/>
      <c r="AE842" s="111"/>
    </row>
    <row r="843" ht="15.75" customHeight="1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22"/>
      <c r="AD843" s="111"/>
      <c r="AE843" s="111"/>
    </row>
    <row r="844" ht="15.75" customHeight="1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22"/>
      <c r="AD844" s="111"/>
      <c r="AE844" s="111"/>
    </row>
    <row r="845" ht="15.75" customHeight="1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22"/>
      <c r="AD845" s="111"/>
      <c r="AE845" s="111"/>
    </row>
    <row r="846" ht="15.75" customHeight="1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22"/>
      <c r="AD846" s="111"/>
      <c r="AE846" s="111"/>
    </row>
    <row r="847" ht="15.75" customHeight="1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22"/>
      <c r="AD847" s="111"/>
      <c r="AE847" s="111"/>
    </row>
    <row r="848" ht="15.75" customHeight="1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22"/>
      <c r="AD848" s="111"/>
      <c r="AE848" s="111"/>
    </row>
    <row r="849" ht="15.75" customHeight="1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22"/>
      <c r="AD849" s="111"/>
      <c r="AE849" s="111"/>
    </row>
    <row r="850" ht="15.75" customHeight="1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22"/>
      <c r="AD850" s="111"/>
      <c r="AE850" s="111"/>
    </row>
    <row r="851" ht="15.75" customHeight="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22"/>
      <c r="AD851" s="111"/>
      <c r="AE851" s="111"/>
    </row>
    <row r="852" ht="15.75" customHeight="1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22"/>
      <c r="AD852" s="111"/>
      <c r="AE852" s="111"/>
    </row>
    <row r="853" ht="15.75" customHeight="1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22"/>
      <c r="AD853" s="111"/>
      <c r="AE853" s="111"/>
    </row>
    <row r="854" ht="15.75" customHeight="1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22"/>
      <c r="AD854" s="111"/>
      <c r="AE854" s="111"/>
    </row>
    <row r="855" ht="15.75" customHeight="1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22"/>
      <c r="AD855" s="111"/>
      <c r="AE855" s="111"/>
    </row>
    <row r="856" ht="15.75" customHeight="1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22"/>
      <c r="AD856" s="111"/>
      <c r="AE856" s="111"/>
    </row>
    <row r="857" ht="15.75" customHeight="1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22"/>
      <c r="AD857" s="111"/>
      <c r="AE857" s="111"/>
    </row>
    <row r="858" ht="15.75" customHeight="1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22"/>
      <c r="AD858" s="111"/>
      <c r="AE858" s="111"/>
    </row>
    <row r="859" ht="15.75" customHeight="1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22"/>
      <c r="AD859" s="111"/>
      <c r="AE859" s="111"/>
    </row>
    <row r="860" ht="15.75" customHeight="1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22"/>
      <c r="AD860" s="111"/>
      <c r="AE860" s="111"/>
    </row>
    <row r="861" ht="15.75" customHeight="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22"/>
      <c r="AD861" s="111"/>
      <c r="AE861" s="111"/>
    </row>
    <row r="862" ht="15.75" customHeight="1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22"/>
      <c r="AD862" s="111"/>
      <c r="AE862" s="111"/>
    </row>
    <row r="863" ht="15.75" customHeight="1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22"/>
      <c r="AD863" s="111"/>
      <c r="AE863" s="111"/>
    </row>
    <row r="864" ht="15.75" customHeight="1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22"/>
      <c r="AD864" s="111"/>
      <c r="AE864" s="111"/>
    </row>
    <row r="865" ht="15.75" customHeight="1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22"/>
      <c r="AD865" s="111"/>
      <c r="AE865" s="111"/>
    </row>
    <row r="866" ht="15.75" customHeight="1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22"/>
      <c r="AD866" s="111"/>
      <c r="AE866" s="111"/>
    </row>
    <row r="867" ht="15.75" customHeight="1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22"/>
      <c r="AD867" s="111"/>
      <c r="AE867" s="111"/>
    </row>
    <row r="868" ht="15.75" customHeight="1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22"/>
      <c r="AD868" s="111"/>
      <c r="AE868" s="111"/>
    </row>
    <row r="869" ht="15.75" customHeight="1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22"/>
      <c r="AD869" s="111"/>
      <c r="AE869" s="111"/>
    </row>
    <row r="870" ht="15.75" customHeight="1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22"/>
      <c r="AD870" s="111"/>
      <c r="AE870" s="111"/>
    </row>
    <row r="871" ht="15.75" customHeight="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22"/>
      <c r="AD871" s="111"/>
      <c r="AE871" s="111"/>
    </row>
    <row r="872" ht="15.75" customHeight="1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22"/>
      <c r="AD872" s="111"/>
      <c r="AE872" s="111"/>
    </row>
    <row r="873" ht="15.75" customHeight="1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22"/>
      <c r="AD873" s="111"/>
      <c r="AE873" s="111"/>
    </row>
    <row r="874" ht="15.75" customHeight="1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22"/>
      <c r="AD874" s="111"/>
      <c r="AE874" s="111"/>
    </row>
    <row r="875" ht="15.75" customHeight="1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22"/>
      <c r="AD875" s="111"/>
      <c r="AE875" s="111"/>
    </row>
    <row r="876" ht="15.75" customHeight="1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22"/>
      <c r="AD876" s="111"/>
      <c r="AE876" s="111"/>
    </row>
    <row r="877" ht="15.75" customHeight="1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22"/>
      <c r="AD877" s="111"/>
      <c r="AE877" s="111"/>
    </row>
    <row r="878" ht="15.75" customHeight="1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22"/>
      <c r="AD878" s="111"/>
      <c r="AE878" s="111"/>
    </row>
    <row r="879" ht="15.75" customHeight="1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22"/>
      <c r="AD879" s="111"/>
      <c r="AE879" s="111"/>
    </row>
    <row r="880" ht="15.75" customHeight="1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22"/>
      <c r="AD880" s="111"/>
      <c r="AE880" s="111"/>
    </row>
    <row r="881" ht="15.75" customHeight="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22"/>
      <c r="AD881" s="111"/>
      <c r="AE881" s="111"/>
    </row>
    <row r="882" ht="15.75" customHeight="1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22"/>
      <c r="AD882" s="111"/>
      <c r="AE882" s="111"/>
    </row>
    <row r="883" ht="15.75" customHeight="1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22"/>
      <c r="AD883" s="111"/>
      <c r="AE883" s="111"/>
    </row>
    <row r="884" ht="15.75" customHeight="1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22"/>
      <c r="AD884" s="111"/>
      <c r="AE884" s="111"/>
    </row>
    <row r="885" ht="15.75" customHeight="1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22"/>
      <c r="AD885" s="111"/>
      <c r="AE885" s="111"/>
    </row>
    <row r="886" ht="15.75" customHeight="1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22"/>
      <c r="AD886" s="111"/>
      <c r="AE886" s="111"/>
    </row>
    <row r="887" ht="15.75" customHeight="1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22"/>
      <c r="AD887" s="111"/>
      <c r="AE887" s="111"/>
    </row>
    <row r="888" ht="15.75" customHeight="1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22"/>
      <c r="AD888" s="111"/>
      <c r="AE888" s="111"/>
    </row>
    <row r="889" ht="15.75" customHeight="1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22"/>
      <c r="AD889" s="111"/>
      <c r="AE889" s="111"/>
    </row>
    <row r="890" ht="15.75" customHeight="1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22"/>
      <c r="AD890" s="111"/>
      <c r="AE890" s="111"/>
    </row>
    <row r="891" ht="15.75" customHeight="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22"/>
      <c r="AD891" s="111"/>
      <c r="AE891" s="111"/>
    </row>
    <row r="892" ht="15.75" customHeight="1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22"/>
      <c r="AD892" s="111"/>
      <c r="AE892" s="111"/>
    </row>
    <row r="893" ht="15.75" customHeight="1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22"/>
      <c r="AD893" s="111"/>
      <c r="AE893" s="111"/>
    </row>
    <row r="894" ht="15.75" customHeight="1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22"/>
      <c r="AD894" s="111"/>
      <c r="AE894" s="111"/>
    </row>
    <row r="895" ht="15.75" customHeight="1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22"/>
      <c r="AD895" s="111"/>
      <c r="AE895" s="111"/>
    </row>
    <row r="896" ht="15.75" customHeight="1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22"/>
      <c r="AD896" s="111"/>
      <c r="AE896" s="111"/>
    </row>
    <row r="897" ht="15.75" customHeight="1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22"/>
      <c r="AD897" s="111"/>
      <c r="AE897" s="111"/>
    </row>
    <row r="898" ht="15.75" customHeight="1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22"/>
      <c r="AD898" s="111"/>
      <c r="AE898" s="111"/>
    </row>
    <row r="899" ht="15.75" customHeight="1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22"/>
      <c r="AD899" s="111"/>
      <c r="AE899" s="111"/>
    </row>
    <row r="900" ht="15.75" customHeight="1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22"/>
      <c r="AD900" s="111"/>
      <c r="AE900" s="111"/>
    </row>
    <row r="901" ht="15.75" customHeight="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22"/>
      <c r="AD901" s="111"/>
      <c r="AE901" s="111"/>
    </row>
    <row r="902" ht="15.75" customHeight="1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22"/>
      <c r="AD902" s="111"/>
      <c r="AE902" s="111"/>
    </row>
    <row r="903" ht="15.75" customHeight="1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22"/>
      <c r="AD903" s="111"/>
      <c r="AE903" s="111"/>
    </row>
    <row r="904" ht="15.75" customHeight="1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22"/>
      <c r="AD904" s="111"/>
      <c r="AE904" s="111"/>
    </row>
    <row r="905" ht="15.75" customHeight="1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22"/>
      <c r="AD905" s="111"/>
      <c r="AE905" s="111"/>
    </row>
    <row r="906" ht="15.75" customHeight="1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22"/>
      <c r="AD906" s="111"/>
      <c r="AE906" s="111"/>
    </row>
    <row r="907" ht="15.75" customHeight="1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22"/>
      <c r="AD907" s="111"/>
      <c r="AE907" s="111"/>
    </row>
    <row r="908" ht="15.75" customHeight="1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22"/>
      <c r="AD908" s="111"/>
      <c r="AE908" s="111"/>
    </row>
    <row r="909" ht="15.75" customHeight="1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22"/>
      <c r="AD909" s="111"/>
      <c r="AE909" s="111"/>
    </row>
    <row r="910" ht="15.75" customHeight="1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22"/>
      <c r="AD910" s="111"/>
      <c r="AE910" s="111"/>
    </row>
    <row r="911" ht="15.75" customHeight="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22"/>
      <c r="AD911" s="111"/>
      <c r="AE911" s="111"/>
    </row>
    <row r="912" ht="15.75" customHeight="1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22"/>
      <c r="AD912" s="111"/>
      <c r="AE912" s="111"/>
    </row>
    <row r="913" ht="15.75" customHeight="1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22"/>
      <c r="AD913" s="111"/>
      <c r="AE913" s="111"/>
    </row>
    <row r="914" ht="15.75" customHeight="1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22"/>
      <c r="AD914" s="111"/>
      <c r="AE914" s="111"/>
    </row>
    <row r="915" ht="15.75" customHeight="1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22"/>
      <c r="AD915" s="111"/>
      <c r="AE915" s="111"/>
    </row>
    <row r="916" ht="15.75" customHeight="1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22"/>
      <c r="AD916" s="111"/>
      <c r="AE916" s="111"/>
    </row>
    <row r="917" ht="15.75" customHeight="1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22"/>
      <c r="AD917" s="111"/>
      <c r="AE917" s="111"/>
    </row>
    <row r="918" ht="15.75" customHeight="1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22"/>
      <c r="AD918" s="111"/>
      <c r="AE918" s="111"/>
    </row>
    <row r="919" ht="15.75" customHeight="1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22"/>
      <c r="AD919" s="111"/>
      <c r="AE919" s="111"/>
    </row>
    <row r="920" ht="15.75" customHeight="1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  <c r="AC920" s="122"/>
      <c r="AD920" s="111"/>
      <c r="AE920" s="111"/>
    </row>
    <row r="921" ht="15.75" customHeight="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  <c r="AC921" s="122"/>
      <c r="AD921" s="111"/>
      <c r="AE921" s="111"/>
    </row>
    <row r="922" ht="15.75" customHeight="1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  <c r="AC922" s="122"/>
      <c r="AD922" s="111"/>
      <c r="AE922" s="111"/>
    </row>
    <row r="923" ht="15.75" customHeight="1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  <c r="AC923" s="122"/>
      <c r="AD923" s="111"/>
      <c r="AE923" s="111"/>
    </row>
    <row r="924" ht="15.75" customHeight="1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  <c r="AC924" s="122"/>
      <c r="AD924" s="111"/>
      <c r="AE924" s="111"/>
    </row>
    <row r="925" ht="15.75" customHeight="1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22"/>
      <c r="AD925" s="111"/>
      <c r="AE925" s="111"/>
    </row>
    <row r="926" ht="15.75" customHeight="1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  <c r="AC926" s="122"/>
      <c r="AD926" s="111"/>
      <c r="AE926" s="111"/>
    </row>
    <row r="927" ht="15.75" customHeight="1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  <c r="AC927" s="122"/>
      <c r="AD927" s="111"/>
      <c r="AE927" s="111"/>
    </row>
    <row r="928" ht="15.75" customHeight="1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  <c r="AC928" s="122"/>
      <c r="AD928" s="111"/>
      <c r="AE928" s="111"/>
    </row>
    <row r="929" ht="15.75" customHeight="1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22"/>
      <c r="AD929" s="111"/>
      <c r="AE929" s="111"/>
    </row>
    <row r="930" ht="15.75" customHeight="1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22"/>
      <c r="AD930" s="111"/>
      <c r="AE930" s="111"/>
    </row>
    <row r="931" ht="15.75" customHeight="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22"/>
      <c r="AD931" s="111"/>
      <c r="AE931" s="111"/>
    </row>
    <row r="932" ht="15.75" customHeight="1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22"/>
      <c r="AD932" s="111"/>
      <c r="AE932" s="111"/>
    </row>
    <row r="933" ht="15.75" customHeight="1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22"/>
      <c r="AD933" s="111"/>
      <c r="AE933" s="111"/>
    </row>
    <row r="934" ht="15.75" customHeight="1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22"/>
      <c r="AD934" s="111"/>
      <c r="AE934" s="111"/>
    </row>
    <row r="935" ht="15.75" customHeight="1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22"/>
      <c r="AD935" s="111"/>
      <c r="AE935" s="111"/>
    </row>
    <row r="936" ht="15.75" customHeight="1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22"/>
      <c r="AD936" s="111"/>
      <c r="AE936" s="111"/>
    </row>
    <row r="937" ht="15.75" customHeight="1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  <c r="AC937" s="122"/>
      <c r="AD937" s="111"/>
      <c r="AE937" s="111"/>
    </row>
    <row r="938" ht="15.75" customHeight="1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  <c r="AC938" s="122"/>
      <c r="AD938" s="111"/>
      <c r="AE938" s="111"/>
    </row>
    <row r="939" ht="15.75" customHeight="1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  <c r="AC939" s="122"/>
      <c r="AD939" s="111"/>
      <c r="AE939" s="111"/>
    </row>
    <row r="940" ht="15.75" customHeight="1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  <c r="AC940" s="122"/>
      <c r="AD940" s="111"/>
      <c r="AE940" s="111"/>
    </row>
    <row r="941" ht="15.75" customHeight="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  <c r="AC941" s="122"/>
      <c r="AD941" s="111"/>
      <c r="AE941" s="111"/>
    </row>
    <row r="942" ht="15.75" customHeight="1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  <c r="AC942" s="122"/>
      <c r="AD942" s="111"/>
      <c r="AE942" s="111"/>
    </row>
    <row r="943" ht="15.75" customHeight="1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  <c r="AC943" s="122"/>
      <c r="AD943" s="111"/>
      <c r="AE943" s="111"/>
    </row>
    <row r="944" ht="15.75" customHeight="1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  <c r="AC944" s="122"/>
      <c r="AD944" s="111"/>
      <c r="AE944" s="111"/>
    </row>
    <row r="945" ht="15.75" customHeight="1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  <c r="AC945" s="122"/>
      <c r="AD945" s="111"/>
      <c r="AE945" s="111"/>
    </row>
    <row r="946" ht="15.75" customHeight="1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  <c r="AC946" s="122"/>
      <c r="AD946" s="111"/>
      <c r="AE946" s="111"/>
    </row>
    <row r="947" ht="15.75" customHeight="1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  <c r="AC947" s="122"/>
      <c r="AD947" s="111"/>
      <c r="AE947" s="111"/>
    </row>
    <row r="948" ht="15.75" customHeight="1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  <c r="AC948" s="122"/>
      <c r="AD948" s="111"/>
      <c r="AE948" s="111"/>
    </row>
    <row r="949" ht="15.75" customHeight="1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  <c r="AC949" s="122"/>
      <c r="AD949" s="111"/>
      <c r="AE949" s="111"/>
    </row>
    <row r="950" ht="15.75" customHeight="1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  <c r="AC950" s="122"/>
      <c r="AD950" s="111"/>
      <c r="AE950" s="111"/>
    </row>
    <row r="951" ht="15.75" customHeight="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  <c r="AC951" s="122"/>
      <c r="AD951" s="111"/>
      <c r="AE951" s="111"/>
    </row>
    <row r="952" ht="15.75" customHeight="1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  <c r="AC952" s="122"/>
      <c r="AD952" s="111"/>
      <c r="AE952" s="111"/>
    </row>
    <row r="953" ht="15.75" customHeight="1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  <c r="AC953" s="122"/>
      <c r="AD953" s="111"/>
      <c r="AE953" s="111"/>
    </row>
    <row r="954" ht="15.75" customHeight="1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  <c r="AC954" s="122"/>
      <c r="AD954" s="111"/>
      <c r="AE954" s="111"/>
    </row>
    <row r="955" ht="15.75" customHeight="1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  <c r="AC955" s="122"/>
      <c r="AD955" s="111"/>
      <c r="AE955" s="111"/>
    </row>
    <row r="956" ht="15.75" customHeight="1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  <c r="AC956" s="122"/>
      <c r="AD956" s="111"/>
      <c r="AE956" s="111"/>
    </row>
    <row r="957" ht="15.75" customHeight="1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  <c r="AC957" s="122"/>
      <c r="AD957" s="111"/>
      <c r="AE957" s="111"/>
    </row>
    <row r="958" ht="15.75" customHeight="1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  <c r="AC958" s="122"/>
      <c r="AD958" s="111"/>
      <c r="AE958" s="111"/>
    </row>
    <row r="959" ht="15.75" customHeight="1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  <c r="AC959" s="122"/>
      <c r="AD959" s="111"/>
      <c r="AE959" s="111"/>
    </row>
    <row r="960" ht="15.75" customHeight="1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  <c r="AC960" s="122"/>
      <c r="AD960" s="111"/>
      <c r="AE960" s="111"/>
    </row>
    <row r="961" ht="15.75" customHeight="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  <c r="AC961" s="122"/>
      <c r="AD961" s="111"/>
      <c r="AE961" s="111"/>
    </row>
    <row r="962" ht="15.75" customHeight="1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  <c r="AC962" s="122"/>
      <c r="AD962" s="111"/>
      <c r="AE962" s="111"/>
    </row>
    <row r="963" ht="15.75" customHeight="1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  <c r="AC963" s="122"/>
      <c r="AD963" s="111"/>
      <c r="AE963" s="111"/>
    </row>
    <row r="964" ht="15.75" customHeight="1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  <c r="AC964" s="122"/>
      <c r="AD964" s="111"/>
      <c r="AE964" s="111"/>
    </row>
    <row r="965" ht="15.75" customHeight="1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  <c r="AC965" s="122"/>
      <c r="AD965" s="111"/>
      <c r="AE965" s="111"/>
    </row>
    <row r="966" ht="15.75" customHeight="1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  <c r="AC966" s="122"/>
      <c r="AD966" s="111"/>
      <c r="AE966" s="111"/>
    </row>
    <row r="967" ht="15.75" customHeight="1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  <c r="AC967" s="122"/>
      <c r="AD967" s="111"/>
      <c r="AE967" s="111"/>
    </row>
    <row r="968" ht="15.75" customHeight="1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  <c r="AC968" s="122"/>
      <c r="AD968" s="111"/>
      <c r="AE968" s="111"/>
    </row>
    <row r="969" ht="15.75" customHeight="1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  <c r="AC969" s="122"/>
      <c r="AD969" s="111"/>
      <c r="AE969" s="111"/>
    </row>
    <row r="970" ht="15.75" customHeight="1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  <c r="AC970" s="122"/>
      <c r="AD970" s="111"/>
      <c r="AE970" s="111"/>
    </row>
    <row r="971" ht="15.75" customHeight="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  <c r="AC971" s="122"/>
      <c r="AD971" s="111"/>
      <c r="AE971" s="111"/>
    </row>
    <row r="972" ht="15.75" customHeight="1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  <c r="AC972" s="122"/>
      <c r="AD972" s="111"/>
      <c r="AE972" s="111"/>
    </row>
    <row r="973" ht="15.75" customHeight="1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  <c r="AC973" s="122"/>
      <c r="AD973" s="111"/>
      <c r="AE973" s="111"/>
    </row>
    <row r="974" ht="15.75" customHeight="1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  <c r="AC974" s="122"/>
      <c r="AD974" s="111"/>
      <c r="AE974" s="111"/>
    </row>
    <row r="975" ht="15.75" customHeight="1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  <c r="AC975" s="122"/>
      <c r="AD975" s="111"/>
      <c r="AE975" s="111"/>
    </row>
    <row r="976" ht="15.75" customHeight="1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  <c r="AC976" s="122"/>
      <c r="AD976" s="111"/>
      <c r="AE976" s="111"/>
    </row>
    <row r="977" ht="15.75" customHeight="1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  <c r="AC977" s="122"/>
      <c r="AD977" s="111"/>
      <c r="AE977" s="111"/>
    </row>
    <row r="978" ht="15.75" customHeight="1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  <c r="AC978" s="122"/>
      <c r="AD978" s="111"/>
      <c r="AE978" s="111"/>
    </row>
    <row r="979" ht="15.75" customHeight="1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  <c r="AC979" s="122"/>
      <c r="AD979" s="111"/>
      <c r="AE979" s="111"/>
    </row>
    <row r="980" ht="15.75" customHeight="1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  <c r="AC980" s="122"/>
      <c r="AD980" s="111"/>
      <c r="AE980" s="111"/>
    </row>
    <row r="981" ht="15.75" customHeight="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  <c r="AC981" s="122"/>
      <c r="AD981" s="111"/>
      <c r="AE981" s="111"/>
    </row>
    <row r="982" ht="15.75" customHeight="1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  <c r="AC982" s="122"/>
      <c r="AD982" s="111"/>
      <c r="AE982" s="111"/>
    </row>
    <row r="983" ht="15.75" customHeight="1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  <c r="AC983" s="122"/>
      <c r="AD983" s="111"/>
      <c r="AE983" s="111"/>
    </row>
    <row r="984" ht="15.75" customHeight="1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  <c r="AC984" s="122"/>
      <c r="AD984" s="111"/>
      <c r="AE984" s="111"/>
    </row>
    <row r="985" ht="15.75" customHeight="1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  <c r="AC985" s="122"/>
      <c r="AD985" s="111"/>
      <c r="AE985" s="111"/>
    </row>
    <row r="986" ht="15.75" customHeight="1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  <c r="AC986" s="122"/>
      <c r="AD986" s="111"/>
      <c r="AE986" s="111"/>
    </row>
    <row r="987" ht="15.75" customHeight="1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  <c r="AC987" s="122"/>
      <c r="AD987" s="111"/>
      <c r="AE987" s="111"/>
    </row>
    <row r="988" ht="15.75" customHeight="1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  <c r="AC988" s="122"/>
      <c r="AD988" s="111"/>
      <c r="AE988" s="111"/>
    </row>
    <row r="989" ht="15.75" customHeight="1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  <c r="AC989" s="122"/>
      <c r="AD989" s="111"/>
      <c r="AE989" s="111"/>
    </row>
    <row r="990" ht="15.75" customHeight="1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  <c r="AC990" s="122"/>
      <c r="AD990" s="111"/>
      <c r="AE990" s="111"/>
    </row>
    <row r="991" ht="15.75" customHeight="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  <c r="AC991" s="122"/>
      <c r="AD991" s="111"/>
      <c r="AE991" s="111"/>
    </row>
    <row r="992" ht="15.75" customHeight="1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  <c r="AC992" s="122"/>
      <c r="AD992" s="111"/>
      <c r="AE992" s="111"/>
    </row>
    <row r="993" ht="15.75" customHeight="1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  <c r="AC993" s="122"/>
      <c r="AD993" s="111"/>
      <c r="AE993" s="111"/>
    </row>
    <row r="994" ht="15.75" customHeight="1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22"/>
      <c r="AD994" s="111"/>
      <c r="AE994" s="111"/>
    </row>
    <row r="995" ht="15.75" customHeight="1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  <c r="AC995" s="122"/>
      <c r="AD995" s="111"/>
      <c r="AE995" s="111"/>
    </row>
    <row r="996" ht="15.75" customHeight="1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  <c r="AC996" s="122"/>
      <c r="AD996" s="111"/>
      <c r="AE996" s="111"/>
    </row>
    <row r="997" ht="15.75" customHeight="1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  <c r="AC997" s="122"/>
      <c r="AD997" s="111"/>
      <c r="AE997" s="111"/>
    </row>
    <row r="998" ht="15.75" customHeight="1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  <c r="AC998" s="122"/>
      <c r="AD998" s="111"/>
      <c r="AE998" s="111"/>
    </row>
    <row r="999" ht="15.75" customHeight="1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  <c r="AC999" s="122"/>
      <c r="AD999" s="111"/>
      <c r="AE999" s="111"/>
    </row>
    <row r="1000" ht="15.75" customHeight="1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  <c r="AC1000" s="122"/>
      <c r="AD1000" s="111"/>
      <c r="AE1000" s="111"/>
    </row>
  </sheetData>
  <printOptions/>
  <pageMargins bottom="0.75" footer="0.0" header="0.0" left="0.7" right="0.7" top="0.75"/>
  <pageSetup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/>
  <cols>
    <col customWidth="1" min="1" max="1" width="1.75"/>
    <col customWidth="1" hidden="1" min="2" max="2" width="12.88"/>
    <col customWidth="1" min="3" max="3" width="30.25"/>
    <col customWidth="1" min="4" max="4" width="8.13"/>
    <col customWidth="1" hidden="1" min="5" max="5" width="6.13"/>
    <col customWidth="1" min="6" max="6" width="8.13"/>
    <col customWidth="1" hidden="1" min="7" max="7" width="6.75"/>
    <col customWidth="1" min="8" max="8" width="8.13"/>
    <col customWidth="1" hidden="1" min="9" max="9" width="6.25"/>
    <col customWidth="1" min="10" max="10" width="7.13"/>
    <col customWidth="1" hidden="1" min="11" max="11" width="5.75"/>
    <col customWidth="1" min="12" max="12" width="8.0"/>
    <col customWidth="1" hidden="1" min="13" max="13" width="6.5"/>
    <col customWidth="1" min="14" max="14" width="8.0"/>
    <col customWidth="1" hidden="1" min="15" max="15" width="5.63"/>
    <col customWidth="1" min="16" max="16" width="7.13"/>
    <col customWidth="1" hidden="1" min="17" max="17" width="6.75"/>
    <col customWidth="1" min="18" max="18" width="7.13"/>
    <col customWidth="1" hidden="1" min="19" max="19" width="6.13"/>
    <col customWidth="1" min="20" max="20" width="8.0"/>
    <col customWidth="1" hidden="1" min="21" max="21" width="7.63"/>
    <col customWidth="1" min="22" max="22" width="9.38"/>
    <col customWidth="1" hidden="1" min="23" max="23" width="5.5"/>
    <col customWidth="1" min="24" max="24" width="9.38"/>
    <col customWidth="1" hidden="1" min="25" max="25" width="6.0"/>
    <col customWidth="1" min="26" max="26" width="8.13"/>
    <col customWidth="1" hidden="1" min="27" max="27" width="5.5"/>
    <col customWidth="1" min="28" max="28" width="11.0"/>
    <col customWidth="1" hidden="1" min="29" max="29" width="0.13"/>
    <col hidden="1" min="30" max="30" width="12.63"/>
  </cols>
  <sheetData>
    <row r="1" ht="15.0" customHeight="1">
      <c r="AC1" s="75"/>
      <c r="AD1" s="2"/>
    </row>
    <row r="2">
      <c r="A2" s="123"/>
      <c r="B2" s="52"/>
      <c r="C2" s="124" t="s">
        <v>191</v>
      </c>
      <c r="D2" s="77">
        <v>46023.0</v>
      </c>
      <c r="E2" s="78">
        <v>46023.0</v>
      </c>
      <c r="F2" s="77">
        <v>46054.0</v>
      </c>
      <c r="G2" s="78">
        <v>46054.0</v>
      </c>
      <c r="H2" s="77">
        <v>46082.0</v>
      </c>
      <c r="I2" s="78">
        <v>46082.0</v>
      </c>
      <c r="J2" s="77">
        <v>46113.0</v>
      </c>
      <c r="K2" s="78">
        <v>46113.0</v>
      </c>
      <c r="L2" s="77">
        <v>46143.0</v>
      </c>
      <c r="M2" s="78">
        <v>46143.0</v>
      </c>
      <c r="N2" s="77">
        <v>46174.0</v>
      </c>
      <c r="O2" s="78">
        <v>46174.0</v>
      </c>
      <c r="P2" s="77">
        <v>46204.0</v>
      </c>
      <c r="Q2" s="78">
        <v>46204.0</v>
      </c>
      <c r="R2" s="77">
        <v>46235.0</v>
      </c>
      <c r="S2" s="78">
        <v>46235.0</v>
      </c>
      <c r="T2" s="77">
        <v>46266.0</v>
      </c>
      <c r="U2" s="78">
        <v>46266.0</v>
      </c>
      <c r="V2" s="77">
        <v>46296.0</v>
      </c>
      <c r="W2" s="78">
        <v>46296.0</v>
      </c>
      <c r="X2" s="77">
        <v>46327.0</v>
      </c>
      <c r="Y2" s="78">
        <v>46327.0</v>
      </c>
      <c r="Z2" s="77">
        <v>46357.0</v>
      </c>
      <c r="AA2" s="78">
        <v>46357.0</v>
      </c>
      <c r="AB2" s="79">
        <v>2026.0</v>
      </c>
      <c r="AC2" s="125"/>
      <c r="AD2" s="52"/>
    </row>
    <row r="3" ht="12.75" customHeight="1">
      <c r="B3" s="2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75"/>
      <c r="AD3" s="2"/>
    </row>
    <row r="4" ht="12.75" customHeight="1">
      <c r="B4" s="2"/>
      <c r="C4" s="126" t="s">
        <v>192</v>
      </c>
      <c r="D4" s="3"/>
      <c r="E4" s="3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3"/>
      <c r="AC4" s="75"/>
      <c r="AD4" s="2"/>
    </row>
    <row r="5" ht="12.75" customHeight="1">
      <c r="B5" s="2"/>
      <c r="C5" s="127" t="s">
        <v>193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75"/>
      <c r="AD5" s="2"/>
    </row>
    <row r="6" ht="13.5" customHeight="1">
      <c r="B6" s="2" t="s">
        <v>194</v>
      </c>
      <c r="C6" s="80" t="s">
        <v>195</v>
      </c>
      <c r="D6" s="105">
        <v>0.0</v>
      </c>
      <c r="E6" s="105">
        <v>0.0</v>
      </c>
      <c r="F6" s="105">
        <v>0.0</v>
      </c>
      <c r="G6" s="105">
        <v>0.0</v>
      </c>
      <c r="H6" s="128">
        <v>220000.0</v>
      </c>
      <c r="I6" s="105">
        <v>0.0</v>
      </c>
      <c r="J6" s="128">
        <v>30000.0</v>
      </c>
      <c r="K6" s="105">
        <v>0.0</v>
      </c>
      <c r="L6" s="105">
        <v>0.0</v>
      </c>
      <c r="M6" s="105">
        <v>0.0</v>
      </c>
      <c r="N6" s="105">
        <v>0.0</v>
      </c>
      <c r="O6" s="105">
        <v>0.0</v>
      </c>
      <c r="P6" s="105">
        <v>0.0</v>
      </c>
      <c r="Q6" s="105">
        <v>0.0</v>
      </c>
      <c r="R6" s="105">
        <v>0.0</v>
      </c>
      <c r="S6" s="105">
        <v>0.0</v>
      </c>
      <c r="T6" s="105">
        <v>0.0</v>
      </c>
      <c r="U6" s="105">
        <v>0.0</v>
      </c>
      <c r="V6" s="105">
        <v>0.0</v>
      </c>
      <c r="W6" s="105">
        <v>0.0</v>
      </c>
      <c r="X6" s="128">
        <v>0.0</v>
      </c>
      <c r="Y6" s="105">
        <v>0.0</v>
      </c>
      <c r="Z6" s="105">
        <v>0.0</v>
      </c>
      <c r="AA6" s="105">
        <v>0.0</v>
      </c>
      <c r="AB6" s="3">
        <f t="shared" ref="AB6:AB17" si="1">D6+F6+H6+J6+L6+N6+P6+R6+T6+V6+X6+Z6</f>
        <v>250000</v>
      </c>
      <c r="AC6" s="75"/>
      <c r="AD6" s="3">
        <f t="shared" ref="AD6:AD15" si="2">AB6+AB21-AB38</f>
        <v>150000</v>
      </c>
    </row>
    <row r="7" ht="12.0" customHeight="1">
      <c r="B7" s="2" t="s">
        <v>196</v>
      </c>
      <c r="C7" s="80" t="s">
        <v>197</v>
      </c>
      <c r="D7" s="128">
        <v>475000.0</v>
      </c>
      <c r="E7" s="105">
        <v>0.0</v>
      </c>
      <c r="F7" s="128">
        <v>25000.0</v>
      </c>
      <c r="G7" s="105">
        <v>0.0</v>
      </c>
      <c r="H7" s="105">
        <v>0.0</v>
      </c>
      <c r="I7" s="105">
        <v>0.0</v>
      </c>
      <c r="J7" s="105">
        <v>0.0</v>
      </c>
      <c r="K7" s="105">
        <v>0.0</v>
      </c>
      <c r="L7" s="105">
        <v>0.0</v>
      </c>
      <c r="M7" s="105">
        <v>0.0</v>
      </c>
      <c r="N7" s="105">
        <v>0.0</v>
      </c>
      <c r="O7" s="105">
        <v>0.0</v>
      </c>
      <c r="P7" s="105">
        <v>0.0</v>
      </c>
      <c r="Q7" s="105">
        <v>0.0</v>
      </c>
      <c r="R7" s="105">
        <v>0.0</v>
      </c>
      <c r="S7" s="105">
        <v>0.0</v>
      </c>
      <c r="T7" s="105">
        <v>0.0</v>
      </c>
      <c r="U7" s="105">
        <v>0.0</v>
      </c>
      <c r="V7" s="128">
        <v>0.0</v>
      </c>
      <c r="W7" s="105">
        <v>0.0</v>
      </c>
      <c r="X7" s="105">
        <v>0.0</v>
      </c>
      <c r="Y7" s="105">
        <v>0.0</v>
      </c>
      <c r="Z7" s="105">
        <v>0.0</v>
      </c>
      <c r="AA7" s="105">
        <v>0.0</v>
      </c>
      <c r="AB7" s="3">
        <f t="shared" si="1"/>
        <v>500000</v>
      </c>
      <c r="AC7" s="75"/>
      <c r="AD7" s="3">
        <f t="shared" si="2"/>
        <v>150000</v>
      </c>
    </row>
    <row r="8" ht="12.75" customHeight="1">
      <c r="B8" s="2" t="s">
        <v>198</v>
      </c>
      <c r="C8" s="80" t="s">
        <v>199</v>
      </c>
      <c r="D8" s="105">
        <v>0.0</v>
      </c>
      <c r="E8" s="105">
        <v>0.0</v>
      </c>
      <c r="F8" s="105">
        <v>0.0</v>
      </c>
      <c r="G8" s="105">
        <v>0.0</v>
      </c>
      <c r="H8" s="105">
        <v>0.0</v>
      </c>
      <c r="I8" s="105">
        <v>0.0</v>
      </c>
      <c r="J8" s="105">
        <v>0.0</v>
      </c>
      <c r="K8" s="105">
        <v>0.0</v>
      </c>
      <c r="L8" s="105">
        <v>0.0</v>
      </c>
      <c r="M8" s="105">
        <v>0.0</v>
      </c>
      <c r="N8" s="105">
        <v>0.0</v>
      </c>
      <c r="O8" s="105">
        <v>0.0</v>
      </c>
      <c r="P8" s="105">
        <v>0.0</v>
      </c>
      <c r="Q8" s="105">
        <v>0.0</v>
      </c>
      <c r="R8" s="105">
        <v>0.0</v>
      </c>
      <c r="S8" s="105">
        <v>0.0</v>
      </c>
      <c r="T8" s="128">
        <v>0.0</v>
      </c>
      <c r="U8" s="105">
        <v>0.0</v>
      </c>
      <c r="V8" s="128">
        <v>90000.0</v>
      </c>
      <c r="W8" s="105">
        <v>0.0</v>
      </c>
      <c r="X8" s="128">
        <v>10000.0</v>
      </c>
      <c r="Y8" s="105">
        <v>0.0</v>
      </c>
      <c r="Z8" s="105">
        <v>0.0</v>
      </c>
      <c r="AA8" s="105">
        <v>0.0</v>
      </c>
      <c r="AB8" s="3">
        <f t="shared" si="1"/>
        <v>100000</v>
      </c>
      <c r="AC8" s="75"/>
      <c r="AD8" s="3">
        <f t="shared" si="2"/>
        <v>150000</v>
      </c>
    </row>
    <row r="9" ht="12.0" customHeight="1">
      <c r="B9" s="2" t="s">
        <v>200</v>
      </c>
      <c r="C9" s="129" t="s">
        <v>201</v>
      </c>
      <c r="D9" s="128">
        <v>0.0</v>
      </c>
      <c r="E9" s="105">
        <v>0.0</v>
      </c>
      <c r="F9" s="128">
        <v>0.0</v>
      </c>
      <c r="G9" s="105">
        <v>0.0</v>
      </c>
      <c r="H9" s="128">
        <v>60000.0</v>
      </c>
      <c r="I9" s="105">
        <v>0.0</v>
      </c>
      <c r="J9" s="105">
        <v>0.0</v>
      </c>
      <c r="K9" s="105">
        <v>0.0</v>
      </c>
      <c r="L9" s="128">
        <v>0.0</v>
      </c>
      <c r="M9" s="105">
        <v>0.0</v>
      </c>
      <c r="N9" s="105">
        <v>0.0</v>
      </c>
      <c r="O9" s="105">
        <v>0.0</v>
      </c>
      <c r="P9" s="105">
        <v>0.0</v>
      </c>
      <c r="Q9" s="105">
        <v>0.0</v>
      </c>
      <c r="R9" s="128">
        <v>0.0</v>
      </c>
      <c r="S9" s="105">
        <v>0.0</v>
      </c>
      <c r="T9" s="128">
        <v>0.0</v>
      </c>
      <c r="U9" s="105">
        <v>0.0</v>
      </c>
      <c r="V9" s="105">
        <v>0.0</v>
      </c>
      <c r="W9" s="105">
        <v>0.0</v>
      </c>
      <c r="X9" s="105">
        <v>0.0</v>
      </c>
      <c r="Y9" s="105">
        <v>0.0</v>
      </c>
      <c r="Z9" s="105">
        <v>0.0</v>
      </c>
      <c r="AA9" s="105">
        <v>0.0</v>
      </c>
      <c r="AB9" s="3">
        <f t="shared" si="1"/>
        <v>60000</v>
      </c>
      <c r="AC9" s="75"/>
      <c r="AD9" s="3">
        <f t="shared" si="2"/>
        <v>120000</v>
      </c>
    </row>
    <row r="10" ht="12.0" customHeight="1">
      <c r="B10" s="2" t="s">
        <v>202</v>
      </c>
      <c r="C10" s="80" t="s">
        <v>203</v>
      </c>
      <c r="D10" s="105">
        <v>0.0</v>
      </c>
      <c r="E10" s="105">
        <v>0.0</v>
      </c>
      <c r="F10" s="105">
        <v>0.0</v>
      </c>
      <c r="G10" s="105">
        <v>0.0</v>
      </c>
      <c r="H10" s="105">
        <v>0.0</v>
      </c>
      <c r="I10" s="105">
        <v>0.0</v>
      </c>
      <c r="J10" s="105">
        <v>0.0</v>
      </c>
      <c r="K10" s="105">
        <v>0.0</v>
      </c>
      <c r="L10" s="128">
        <v>35000.0</v>
      </c>
      <c r="M10" s="105">
        <v>0.0</v>
      </c>
      <c r="N10" s="128">
        <v>5000.0</v>
      </c>
      <c r="O10" s="105">
        <v>0.0</v>
      </c>
      <c r="P10" s="128">
        <v>0.0</v>
      </c>
      <c r="Q10" s="105">
        <v>0.0</v>
      </c>
      <c r="R10" s="128">
        <v>0.0</v>
      </c>
      <c r="S10" s="105">
        <v>0.0</v>
      </c>
      <c r="T10" s="128">
        <v>0.0</v>
      </c>
      <c r="U10" s="105">
        <v>0.0</v>
      </c>
      <c r="V10" s="128">
        <v>0.0</v>
      </c>
      <c r="W10" s="105">
        <v>0.0</v>
      </c>
      <c r="X10" s="105">
        <v>0.0</v>
      </c>
      <c r="Y10" s="105">
        <v>0.0</v>
      </c>
      <c r="Z10" s="105">
        <v>0.0</v>
      </c>
      <c r="AA10" s="105">
        <v>0.0</v>
      </c>
      <c r="AB10" s="3">
        <f t="shared" si="1"/>
        <v>40000</v>
      </c>
      <c r="AC10" s="75"/>
      <c r="AD10" s="3">
        <f t="shared" si="2"/>
        <v>150000</v>
      </c>
    </row>
    <row r="11" ht="12.0" customHeight="1">
      <c r="B11" s="130" t="s">
        <v>204</v>
      </c>
      <c r="C11" s="80" t="s">
        <v>205</v>
      </c>
      <c r="D11" s="105">
        <v>0.0</v>
      </c>
      <c r="E11" s="105">
        <v>0.0</v>
      </c>
      <c r="F11" s="105">
        <v>0.0</v>
      </c>
      <c r="G11" s="105">
        <v>0.0</v>
      </c>
      <c r="H11" s="105">
        <v>0.0</v>
      </c>
      <c r="I11" s="105">
        <v>0.0</v>
      </c>
      <c r="J11" s="105">
        <v>0.0</v>
      </c>
      <c r="K11" s="105">
        <v>0.0</v>
      </c>
      <c r="L11" s="128">
        <v>40000.0</v>
      </c>
      <c r="M11" s="105">
        <v>0.0</v>
      </c>
      <c r="N11" s="105">
        <v>0.0</v>
      </c>
      <c r="O11" s="105">
        <v>0.0</v>
      </c>
      <c r="P11" s="105">
        <v>0.0</v>
      </c>
      <c r="Q11" s="105">
        <v>0.0</v>
      </c>
      <c r="R11" s="105">
        <v>0.0</v>
      </c>
      <c r="S11" s="105">
        <v>0.0</v>
      </c>
      <c r="T11" s="105">
        <v>0.0</v>
      </c>
      <c r="U11" s="105">
        <v>0.0</v>
      </c>
      <c r="V11" s="105">
        <v>0.0</v>
      </c>
      <c r="W11" s="105">
        <v>0.0</v>
      </c>
      <c r="X11" s="105">
        <v>0.0</v>
      </c>
      <c r="Y11" s="105">
        <v>0.0</v>
      </c>
      <c r="Z11" s="105">
        <v>0.0</v>
      </c>
      <c r="AA11" s="105">
        <v>0.0</v>
      </c>
      <c r="AB11" s="3">
        <f t="shared" si="1"/>
        <v>40000</v>
      </c>
      <c r="AC11" s="75"/>
      <c r="AD11" s="3">
        <f t="shared" si="2"/>
        <v>110000</v>
      </c>
    </row>
    <row r="12" ht="12.0" hidden="1" customHeight="1">
      <c r="B12" s="2" t="s">
        <v>206</v>
      </c>
      <c r="C12" s="129" t="s">
        <v>207</v>
      </c>
      <c r="D12" s="105">
        <v>0.0</v>
      </c>
      <c r="E12" s="105">
        <v>0.0</v>
      </c>
      <c r="F12" s="105">
        <v>0.0</v>
      </c>
      <c r="G12" s="105">
        <v>0.0</v>
      </c>
      <c r="H12" s="105">
        <v>0.0</v>
      </c>
      <c r="I12" s="105">
        <v>0.0</v>
      </c>
      <c r="J12" s="105">
        <v>0.0</v>
      </c>
      <c r="K12" s="105">
        <v>0.0</v>
      </c>
      <c r="L12" s="105">
        <v>0.0</v>
      </c>
      <c r="M12" s="105">
        <v>0.0</v>
      </c>
      <c r="N12" s="105">
        <v>0.0</v>
      </c>
      <c r="O12" s="105">
        <v>0.0</v>
      </c>
      <c r="P12" s="105">
        <v>0.0</v>
      </c>
      <c r="Q12" s="105">
        <v>0.0</v>
      </c>
      <c r="R12" s="105">
        <v>0.0</v>
      </c>
      <c r="S12" s="105">
        <v>0.0</v>
      </c>
      <c r="T12" s="105">
        <v>0.0</v>
      </c>
      <c r="U12" s="105">
        <v>0.0</v>
      </c>
      <c r="V12" s="105">
        <v>0.0</v>
      </c>
      <c r="W12" s="105">
        <v>0.0</v>
      </c>
      <c r="X12" s="105">
        <v>0.0</v>
      </c>
      <c r="Y12" s="105">
        <v>0.0</v>
      </c>
      <c r="Z12" s="105">
        <v>0.0</v>
      </c>
      <c r="AA12" s="105">
        <v>0.0</v>
      </c>
      <c r="AB12" s="3">
        <f t="shared" si="1"/>
        <v>0</v>
      </c>
      <c r="AC12" s="75"/>
      <c r="AD12" s="3">
        <f t="shared" si="2"/>
        <v>150000</v>
      </c>
    </row>
    <row r="13" ht="12.0" hidden="1" customHeight="1">
      <c r="B13" s="2" t="s">
        <v>208</v>
      </c>
      <c r="C13" s="80" t="s">
        <v>209</v>
      </c>
      <c r="D13" s="105">
        <v>0.0</v>
      </c>
      <c r="E13" s="105">
        <v>0.0</v>
      </c>
      <c r="F13" s="105">
        <v>0.0</v>
      </c>
      <c r="G13" s="105">
        <v>0.0</v>
      </c>
      <c r="H13" s="105">
        <v>0.0</v>
      </c>
      <c r="I13" s="105">
        <v>0.0</v>
      </c>
      <c r="J13" s="105">
        <v>0.0</v>
      </c>
      <c r="K13" s="105">
        <v>0.0</v>
      </c>
      <c r="L13" s="105">
        <v>0.0</v>
      </c>
      <c r="M13" s="105">
        <v>0.0</v>
      </c>
      <c r="N13" s="105">
        <v>0.0</v>
      </c>
      <c r="O13" s="105">
        <v>0.0</v>
      </c>
      <c r="P13" s="105">
        <v>0.0</v>
      </c>
      <c r="Q13" s="105">
        <v>0.0</v>
      </c>
      <c r="R13" s="105">
        <v>0.0</v>
      </c>
      <c r="S13" s="105">
        <v>0.0</v>
      </c>
      <c r="T13" s="105">
        <v>0.0</v>
      </c>
      <c r="U13" s="105">
        <v>0.0</v>
      </c>
      <c r="V13" s="105">
        <v>0.0</v>
      </c>
      <c r="W13" s="105">
        <v>0.0</v>
      </c>
      <c r="X13" s="105">
        <v>0.0</v>
      </c>
      <c r="Y13" s="105">
        <v>0.0</v>
      </c>
      <c r="Z13" s="105">
        <v>0.0</v>
      </c>
      <c r="AA13" s="105">
        <v>0.0</v>
      </c>
      <c r="AB13" s="3">
        <f t="shared" si="1"/>
        <v>0</v>
      </c>
      <c r="AC13" s="75"/>
      <c r="AD13" s="3">
        <f t="shared" si="2"/>
        <v>0</v>
      </c>
    </row>
    <row r="14" ht="12.0" hidden="1" customHeight="1">
      <c r="B14" s="2" t="s">
        <v>210</v>
      </c>
      <c r="C14" s="80" t="s">
        <v>211</v>
      </c>
      <c r="D14" s="105">
        <v>0.0</v>
      </c>
      <c r="E14" s="105">
        <v>0.0</v>
      </c>
      <c r="F14" s="105">
        <v>0.0</v>
      </c>
      <c r="G14" s="105">
        <v>0.0</v>
      </c>
      <c r="H14" s="105">
        <v>0.0</v>
      </c>
      <c r="I14" s="105">
        <v>0.0</v>
      </c>
      <c r="J14" s="105">
        <v>0.0</v>
      </c>
      <c r="K14" s="105">
        <v>0.0</v>
      </c>
      <c r="L14" s="105">
        <v>0.0</v>
      </c>
      <c r="M14" s="105">
        <v>0.0</v>
      </c>
      <c r="N14" s="105">
        <v>0.0</v>
      </c>
      <c r="O14" s="105">
        <v>0.0</v>
      </c>
      <c r="P14" s="105">
        <v>0.0</v>
      </c>
      <c r="Q14" s="105">
        <v>0.0</v>
      </c>
      <c r="R14" s="105">
        <v>0.0</v>
      </c>
      <c r="S14" s="105">
        <v>0.0</v>
      </c>
      <c r="T14" s="105">
        <v>0.0</v>
      </c>
      <c r="U14" s="105">
        <v>0.0</v>
      </c>
      <c r="V14" s="105">
        <v>0.0</v>
      </c>
      <c r="W14" s="105">
        <v>0.0</v>
      </c>
      <c r="X14" s="105">
        <v>0.0</v>
      </c>
      <c r="Y14" s="105">
        <v>0.0</v>
      </c>
      <c r="Z14" s="105">
        <v>0.0</v>
      </c>
      <c r="AA14" s="105">
        <v>0.0</v>
      </c>
      <c r="AB14" s="3">
        <f t="shared" si="1"/>
        <v>0</v>
      </c>
      <c r="AC14" s="75"/>
      <c r="AD14" s="3">
        <f t="shared" si="2"/>
        <v>0</v>
      </c>
    </row>
    <row r="15" ht="12.0" customHeight="1">
      <c r="B15" s="130" t="s">
        <v>212</v>
      </c>
      <c r="C15" s="129" t="s">
        <v>213</v>
      </c>
      <c r="D15" s="105">
        <v>0.0</v>
      </c>
      <c r="E15" s="105">
        <v>0.0</v>
      </c>
      <c r="F15" s="105">
        <v>0.0</v>
      </c>
      <c r="G15" s="105">
        <v>0.0</v>
      </c>
      <c r="H15" s="105">
        <v>0.0</v>
      </c>
      <c r="I15" s="105">
        <v>0.0</v>
      </c>
      <c r="J15" s="105">
        <v>0.0</v>
      </c>
      <c r="K15" s="105">
        <v>0.0</v>
      </c>
      <c r="L15" s="105">
        <v>0.0</v>
      </c>
      <c r="M15" s="105">
        <v>0.0</v>
      </c>
      <c r="N15" s="105">
        <v>0.0</v>
      </c>
      <c r="O15" s="105">
        <v>0.0</v>
      </c>
      <c r="P15" s="105">
        <v>0.0</v>
      </c>
      <c r="Q15" s="105">
        <v>0.0</v>
      </c>
      <c r="R15" s="105">
        <v>0.0</v>
      </c>
      <c r="S15" s="105">
        <v>0.0</v>
      </c>
      <c r="T15" s="105">
        <v>0.0</v>
      </c>
      <c r="U15" s="105">
        <v>0.0</v>
      </c>
      <c r="V15" s="105">
        <v>0.0</v>
      </c>
      <c r="W15" s="105">
        <v>0.0</v>
      </c>
      <c r="X15" s="105">
        <v>0.0</v>
      </c>
      <c r="Y15" s="105">
        <v>0.0</v>
      </c>
      <c r="Z15" s="128">
        <v>200000.0</v>
      </c>
      <c r="AA15" s="105">
        <v>0.0</v>
      </c>
      <c r="AB15" s="3">
        <f t="shared" si="1"/>
        <v>200000</v>
      </c>
      <c r="AC15" s="75"/>
      <c r="AD15" s="3">
        <f t="shared" si="2"/>
        <v>150000</v>
      </c>
    </row>
    <row r="16" ht="12.0" hidden="1" customHeight="1">
      <c r="B16" s="130" t="s">
        <v>214</v>
      </c>
      <c r="C16" s="129" t="s">
        <v>215</v>
      </c>
      <c r="D16" s="105">
        <v>0.0</v>
      </c>
      <c r="E16" s="105">
        <v>0.0</v>
      </c>
      <c r="F16" s="105">
        <v>0.0</v>
      </c>
      <c r="G16" s="105">
        <v>0.0</v>
      </c>
      <c r="H16" s="105">
        <v>0.0</v>
      </c>
      <c r="I16" s="105">
        <v>0.0</v>
      </c>
      <c r="J16" s="105">
        <v>0.0</v>
      </c>
      <c r="K16" s="105">
        <v>0.0</v>
      </c>
      <c r="L16" s="105">
        <v>0.0</v>
      </c>
      <c r="M16" s="105">
        <v>0.0</v>
      </c>
      <c r="N16" s="105">
        <v>0.0</v>
      </c>
      <c r="O16" s="105">
        <v>0.0</v>
      </c>
      <c r="P16" s="105">
        <v>0.0</v>
      </c>
      <c r="Q16" s="105">
        <v>0.0</v>
      </c>
      <c r="R16" s="105">
        <v>0.0</v>
      </c>
      <c r="S16" s="105">
        <v>0.0</v>
      </c>
      <c r="T16" s="105">
        <v>0.0</v>
      </c>
      <c r="U16" s="105">
        <v>0.0</v>
      </c>
      <c r="V16" s="105">
        <v>0.0</v>
      </c>
      <c r="W16" s="105">
        <v>0.0</v>
      </c>
      <c r="X16" s="105">
        <v>0.0</v>
      </c>
      <c r="Y16" s="105">
        <v>0.0</v>
      </c>
      <c r="Z16" s="105">
        <v>0.0</v>
      </c>
      <c r="AA16" s="105">
        <v>0.0</v>
      </c>
      <c r="AB16" s="3">
        <f t="shared" si="1"/>
        <v>0</v>
      </c>
      <c r="AC16" s="75"/>
      <c r="AD16" s="3">
        <f>AB16+AB31-AB49</f>
        <v>50000</v>
      </c>
    </row>
    <row r="17" ht="12.0" hidden="1" customHeight="1">
      <c r="B17" s="97" t="s">
        <v>216</v>
      </c>
      <c r="C17" s="129" t="s">
        <v>217</v>
      </c>
      <c r="D17" s="105">
        <v>0.0</v>
      </c>
      <c r="E17" s="105">
        <v>0.0</v>
      </c>
      <c r="F17" s="105">
        <v>0.0</v>
      </c>
      <c r="G17" s="105">
        <v>0.0</v>
      </c>
      <c r="H17" s="105">
        <v>0.0</v>
      </c>
      <c r="I17" s="105">
        <v>0.0</v>
      </c>
      <c r="J17" s="105">
        <v>0.0</v>
      </c>
      <c r="K17" s="105">
        <v>0.0</v>
      </c>
      <c r="L17" s="105">
        <v>0.0</v>
      </c>
      <c r="M17" s="105">
        <v>0.0</v>
      </c>
      <c r="N17" s="105">
        <v>0.0</v>
      </c>
      <c r="O17" s="105">
        <v>0.0</v>
      </c>
      <c r="P17" s="105">
        <v>0.0</v>
      </c>
      <c r="Q17" s="105">
        <v>0.0</v>
      </c>
      <c r="R17" s="105">
        <v>0.0</v>
      </c>
      <c r="S17" s="105">
        <v>0.0</v>
      </c>
      <c r="T17" s="105">
        <v>0.0</v>
      </c>
      <c r="U17" s="105">
        <v>0.0</v>
      </c>
      <c r="V17" s="105">
        <v>0.0</v>
      </c>
      <c r="W17" s="105">
        <v>0.0</v>
      </c>
      <c r="X17" s="105">
        <v>0.0</v>
      </c>
      <c r="Y17" s="105">
        <v>0.0</v>
      </c>
      <c r="Z17" s="105">
        <v>0.0</v>
      </c>
      <c r="AA17" s="105">
        <v>0.0</v>
      </c>
      <c r="AB17" s="3">
        <f t="shared" si="1"/>
        <v>0</v>
      </c>
      <c r="AC17" s="75"/>
      <c r="AD17" s="3">
        <f>AB17+AB32-AB49</f>
        <v>0</v>
      </c>
    </row>
    <row r="18" ht="12.75" customHeight="1">
      <c r="B18" s="2"/>
      <c r="C18" s="131" t="s">
        <v>218</v>
      </c>
      <c r="D18" s="132">
        <f t="shared" ref="D18:AB18" si="3">SUM(D6:D17)</f>
        <v>475000</v>
      </c>
      <c r="E18" s="132">
        <f t="shared" si="3"/>
        <v>0</v>
      </c>
      <c r="F18" s="132">
        <f t="shared" si="3"/>
        <v>25000</v>
      </c>
      <c r="G18" s="132">
        <f t="shared" si="3"/>
        <v>0</v>
      </c>
      <c r="H18" s="132">
        <f t="shared" si="3"/>
        <v>280000</v>
      </c>
      <c r="I18" s="132">
        <f t="shared" si="3"/>
        <v>0</v>
      </c>
      <c r="J18" s="132">
        <f t="shared" si="3"/>
        <v>30000</v>
      </c>
      <c r="K18" s="132">
        <f t="shared" si="3"/>
        <v>0</v>
      </c>
      <c r="L18" s="132">
        <f t="shared" si="3"/>
        <v>75000</v>
      </c>
      <c r="M18" s="132">
        <f t="shared" si="3"/>
        <v>0</v>
      </c>
      <c r="N18" s="132">
        <f t="shared" si="3"/>
        <v>5000</v>
      </c>
      <c r="O18" s="132">
        <f t="shared" si="3"/>
        <v>0</v>
      </c>
      <c r="P18" s="132">
        <f t="shared" si="3"/>
        <v>0</v>
      </c>
      <c r="Q18" s="132">
        <f t="shared" si="3"/>
        <v>0</v>
      </c>
      <c r="R18" s="132">
        <f t="shared" si="3"/>
        <v>0</v>
      </c>
      <c r="S18" s="132">
        <f t="shared" si="3"/>
        <v>0</v>
      </c>
      <c r="T18" s="132">
        <f t="shared" si="3"/>
        <v>0</v>
      </c>
      <c r="U18" s="132">
        <f t="shared" si="3"/>
        <v>0</v>
      </c>
      <c r="V18" s="132">
        <f t="shared" si="3"/>
        <v>90000</v>
      </c>
      <c r="W18" s="132">
        <f t="shared" si="3"/>
        <v>0</v>
      </c>
      <c r="X18" s="132">
        <f t="shared" si="3"/>
        <v>10000</v>
      </c>
      <c r="Y18" s="132">
        <f t="shared" si="3"/>
        <v>0</v>
      </c>
      <c r="Z18" s="132">
        <f t="shared" si="3"/>
        <v>200000</v>
      </c>
      <c r="AA18" s="132">
        <f t="shared" si="3"/>
        <v>0</v>
      </c>
      <c r="AB18" s="132">
        <f t="shared" si="3"/>
        <v>1190000</v>
      </c>
      <c r="AC18" s="75"/>
      <c r="AD18" s="2"/>
    </row>
    <row r="19">
      <c r="AC19" s="75"/>
      <c r="AD19" s="2"/>
    </row>
    <row r="20" ht="12.75" customHeight="1">
      <c r="B20" s="2"/>
      <c r="C20" s="126" t="s">
        <v>19</v>
      </c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75"/>
      <c r="AD20" s="2"/>
    </row>
    <row r="21" ht="12.75" customHeight="1">
      <c r="B21" s="2" t="s">
        <v>219</v>
      </c>
      <c r="C21" s="80" t="s">
        <v>195</v>
      </c>
      <c r="D21" s="105">
        <v>0.0</v>
      </c>
      <c r="E21" s="105">
        <v>0.0</v>
      </c>
      <c r="F21" s="105">
        <v>0.0</v>
      </c>
      <c r="G21" s="105">
        <v>0.0</v>
      </c>
      <c r="H21" s="128">
        <v>300000.0</v>
      </c>
      <c r="I21" s="105">
        <v>0.0</v>
      </c>
      <c r="J21" s="128">
        <v>50000.0</v>
      </c>
      <c r="K21" s="105">
        <v>0.0</v>
      </c>
      <c r="L21" s="105">
        <v>0.0</v>
      </c>
      <c r="M21" s="105">
        <v>0.0</v>
      </c>
      <c r="N21" s="105">
        <v>0.0</v>
      </c>
      <c r="O21" s="105">
        <v>0.0</v>
      </c>
      <c r="P21" s="105">
        <v>0.0</v>
      </c>
      <c r="Q21" s="105">
        <v>0.0</v>
      </c>
      <c r="R21" s="105">
        <v>0.0</v>
      </c>
      <c r="S21" s="105">
        <v>0.0</v>
      </c>
      <c r="T21" s="105">
        <v>0.0</v>
      </c>
      <c r="U21" s="105">
        <v>0.0</v>
      </c>
      <c r="V21" s="105">
        <v>0.0</v>
      </c>
      <c r="W21" s="105">
        <v>0.0</v>
      </c>
      <c r="X21" s="128">
        <v>0.0</v>
      </c>
      <c r="Y21" s="105">
        <v>0.0</v>
      </c>
      <c r="Z21" s="105">
        <v>0.0</v>
      </c>
      <c r="AA21" s="105">
        <v>0.0</v>
      </c>
      <c r="AB21" s="105">
        <f t="shared" ref="AB21:AB33" si="4">D21+F21+H21+J21+L21+N21+P21+R21+T21+V21+X21+Z21</f>
        <v>350000</v>
      </c>
      <c r="AC21" s="75"/>
      <c r="AD21" s="2"/>
    </row>
    <row r="22" ht="12.75" customHeight="1">
      <c r="B22" s="2" t="s">
        <v>220</v>
      </c>
      <c r="C22" s="80" t="s">
        <v>197</v>
      </c>
      <c r="D22" s="128">
        <v>450000.0</v>
      </c>
      <c r="E22" s="105">
        <v>0.0</v>
      </c>
      <c r="F22" s="128">
        <v>50000.0</v>
      </c>
      <c r="G22" s="105">
        <v>0.0</v>
      </c>
      <c r="H22" s="105">
        <v>0.0</v>
      </c>
      <c r="I22" s="105">
        <v>0.0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105">
        <v>0.0</v>
      </c>
      <c r="V22" s="128">
        <v>0.0</v>
      </c>
      <c r="W22" s="105">
        <v>0.0</v>
      </c>
      <c r="X22" s="105">
        <v>0.0</v>
      </c>
      <c r="Y22" s="105">
        <v>0.0</v>
      </c>
      <c r="Z22" s="105">
        <v>0.0</v>
      </c>
      <c r="AA22" s="105">
        <v>0.0</v>
      </c>
      <c r="AB22" s="3">
        <f t="shared" si="4"/>
        <v>500000</v>
      </c>
      <c r="AC22" s="75"/>
      <c r="AD22" s="2"/>
    </row>
    <row r="23" ht="12.75" customHeight="1">
      <c r="B23" s="2" t="s">
        <v>221</v>
      </c>
      <c r="C23" s="80" t="s">
        <v>199</v>
      </c>
      <c r="D23" s="105">
        <v>0.0</v>
      </c>
      <c r="E23" s="105">
        <v>0.0</v>
      </c>
      <c r="F23" s="105">
        <v>0.0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28">
        <v>0.0</v>
      </c>
      <c r="U23" s="105">
        <v>0.0</v>
      </c>
      <c r="V23" s="128">
        <v>300000.0</v>
      </c>
      <c r="W23" s="105">
        <v>0.0</v>
      </c>
      <c r="X23" s="128">
        <v>50000.0</v>
      </c>
      <c r="Y23" s="105">
        <v>0.0</v>
      </c>
      <c r="Z23" s="105">
        <v>0.0</v>
      </c>
      <c r="AA23" s="105">
        <v>0.0</v>
      </c>
      <c r="AB23" s="3">
        <f t="shared" si="4"/>
        <v>350000</v>
      </c>
      <c r="AC23" s="75"/>
      <c r="AD23" s="2"/>
    </row>
    <row r="24" ht="12.75" customHeight="1">
      <c r="B24" s="2" t="s">
        <v>222</v>
      </c>
      <c r="C24" s="129" t="s">
        <v>201</v>
      </c>
      <c r="D24" s="105">
        <v>0.0</v>
      </c>
      <c r="E24" s="105">
        <v>0.0</v>
      </c>
      <c r="F24" s="128">
        <v>0.0</v>
      </c>
      <c r="G24" s="105">
        <v>0.0</v>
      </c>
      <c r="H24" s="128">
        <v>180000.0</v>
      </c>
      <c r="I24" s="105">
        <v>0.0</v>
      </c>
      <c r="J24" s="105">
        <v>0.0</v>
      </c>
      <c r="K24" s="105">
        <v>0.0</v>
      </c>
      <c r="L24" s="128">
        <v>0.0</v>
      </c>
      <c r="M24" s="105">
        <v>0.0</v>
      </c>
      <c r="N24" s="105">
        <v>0.0</v>
      </c>
      <c r="O24" s="105">
        <v>0.0</v>
      </c>
      <c r="P24" s="105">
        <v>0.0</v>
      </c>
      <c r="Q24" s="105">
        <v>0.0</v>
      </c>
      <c r="R24" s="105">
        <v>0.0</v>
      </c>
      <c r="S24" s="105">
        <v>0.0</v>
      </c>
      <c r="T24" s="105">
        <v>0.0</v>
      </c>
      <c r="U24" s="105">
        <v>0.0</v>
      </c>
      <c r="V24" s="105">
        <v>0.0</v>
      </c>
      <c r="W24" s="105">
        <v>0.0</v>
      </c>
      <c r="X24" s="105">
        <v>0.0</v>
      </c>
      <c r="Y24" s="105">
        <v>0.0</v>
      </c>
      <c r="Z24" s="105">
        <v>0.0</v>
      </c>
      <c r="AA24" s="105">
        <v>0.0</v>
      </c>
      <c r="AB24" s="3">
        <f t="shared" si="4"/>
        <v>180000</v>
      </c>
      <c r="AC24" s="75"/>
      <c r="AD24" s="2"/>
    </row>
    <row r="25" ht="12.75" customHeight="1">
      <c r="B25" s="2" t="s">
        <v>223</v>
      </c>
      <c r="C25" s="80" t="s">
        <v>203</v>
      </c>
      <c r="D25" s="105">
        <v>0.0</v>
      </c>
      <c r="E25" s="105">
        <v>0.0</v>
      </c>
      <c r="F25" s="105">
        <v>0.0</v>
      </c>
      <c r="G25" s="105">
        <v>0.0</v>
      </c>
      <c r="H25" s="105">
        <v>0.0</v>
      </c>
      <c r="I25" s="105">
        <v>0.0</v>
      </c>
      <c r="J25" s="105">
        <v>0.0</v>
      </c>
      <c r="K25" s="105">
        <v>0.0</v>
      </c>
      <c r="L25" s="128">
        <v>210000.0</v>
      </c>
      <c r="M25" s="105">
        <v>0.0</v>
      </c>
      <c r="N25" s="128">
        <v>20000.0</v>
      </c>
      <c r="O25" s="105">
        <v>0.0</v>
      </c>
      <c r="P25" s="128">
        <v>0.0</v>
      </c>
      <c r="Q25" s="105">
        <v>0.0</v>
      </c>
      <c r="R25" s="105">
        <v>0.0</v>
      </c>
      <c r="S25" s="105">
        <v>0.0</v>
      </c>
      <c r="T25" s="128">
        <v>0.0</v>
      </c>
      <c r="U25" s="105">
        <v>0.0</v>
      </c>
      <c r="V25" s="128">
        <v>0.0</v>
      </c>
      <c r="W25" s="105">
        <v>0.0</v>
      </c>
      <c r="X25" s="105">
        <v>0.0</v>
      </c>
      <c r="Y25" s="105">
        <v>0.0</v>
      </c>
      <c r="Z25" s="105">
        <v>0.0</v>
      </c>
      <c r="AA25" s="105">
        <v>0.0</v>
      </c>
      <c r="AB25" s="3">
        <f t="shared" si="4"/>
        <v>230000</v>
      </c>
      <c r="AC25" s="75"/>
      <c r="AD25" s="2"/>
    </row>
    <row r="26" ht="12.75" customHeight="1">
      <c r="B26" s="2" t="s">
        <v>224</v>
      </c>
      <c r="C26" s="80" t="s">
        <v>205</v>
      </c>
      <c r="D26" s="105">
        <v>0.0</v>
      </c>
      <c r="E26" s="105">
        <v>0.0</v>
      </c>
      <c r="F26" s="105">
        <v>0.0</v>
      </c>
      <c r="G26" s="105">
        <v>0.0</v>
      </c>
      <c r="H26" s="105">
        <v>0.0</v>
      </c>
      <c r="I26" s="105">
        <v>0.0</v>
      </c>
      <c r="J26" s="105">
        <v>0.0</v>
      </c>
      <c r="K26" s="105">
        <v>0.0</v>
      </c>
      <c r="L26" s="128">
        <v>170000.0</v>
      </c>
      <c r="M26" s="105">
        <v>0.0</v>
      </c>
      <c r="N26" s="105">
        <v>0.0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105">
        <v>0.0</v>
      </c>
      <c r="V26" s="105">
        <v>0.0</v>
      </c>
      <c r="W26" s="105">
        <v>0.0</v>
      </c>
      <c r="X26" s="105">
        <v>0.0</v>
      </c>
      <c r="Y26" s="105">
        <v>0.0</v>
      </c>
      <c r="Z26" s="105">
        <v>0.0</v>
      </c>
      <c r="AA26" s="105">
        <v>0.0</v>
      </c>
      <c r="AB26" s="3">
        <f t="shared" si="4"/>
        <v>170000</v>
      </c>
      <c r="AC26" s="75"/>
      <c r="AD26" s="2"/>
    </row>
    <row r="27" ht="12.75" customHeight="1">
      <c r="B27" s="2" t="s">
        <v>225</v>
      </c>
      <c r="C27" s="129" t="s">
        <v>207</v>
      </c>
      <c r="D27" s="105">
        <v>0.0</v>
      </c>
      <c r="E27" s="105">
        <v>0.0</v>
      </c>
      <c r="F27" s="128">
        <v>100000.0</v>
      </c>
      <c r="G27" s="105">
        <v>0.0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105">
        <v>0.0</v>
      </c>
      <c r="P27" s="128">
        <v>100000.0</v>
      </c>
      <c r="Q27" s="105">
        <v>0.0</v>
      </c>
      <c r="R27" s="105">
        <v>0.0</v>
      </c>
      <c r="S27" s="105">
        <v>0.0</v>
      </c>
      <c r="T27" s="105">
        <v>0.0</v>
      </c>
      <c r="U27" s="105">
        <v>0.0</v>
      </c>
      <c r="V27" s="105">
        <v>0.0</v>
      </c>
      <c r="W27" s="105">
        <v>0.0</v>
      </c>
      <c r="X27" s="128">
        <v>100000.0</v>
      </c>
      <c r="Y27" s="105">
        <v>0.0</v>
      </c>
      <c r="Z27" s="105">
        <v>0.0</v>
      </c>
      <c r="AA27" s="105">
        <v>0.0</v>
      </c>
      <c r="AB27" s="3">
        <f t="shared" si="4"/>
        <v>300000</v>
      </c>
      <c r="AC27" s="75"/>
      <c r="AD27" s="2"/>
    </row>
    <row r="28" ht="12.75" hidden="1" customHeight="1">
      <c r="B28" s="2" t="s">
        <v>226</v>
      </c>
      <c r="C28" s="80" t="s">
        <v>209</v>
      </c>
      <c r="D28" s="105">
        <v>0.0</v>
      </c>
      <c r="E28" s="105">
        <v>0.0</v>
      </c>
      <c r="F28" s="105">
        <v>0.0</v>
      </c>
      <c r="G28" s="105">
        <v>0.0</v>
      </c>
      <c r="H28" s="105">
        <v>0.0</v>
      </c>
      <c r="I28" s="105">
        <v>0.0</v>
      </c>
      <c r="J28" s="105">
        <v>0.0</v>
      </c>
      <c r="K28" s="105">
        <v>0.0</v>
      </c>
      <c r="L28" s="105">
        <v>0.0</v>
      </c>
      <c r="M28" s="105">
        <v>0.0</v>
      </c>
      <c r="N28" s="105">
        <v>0.0</v>
      </c>
      <c r="O28" s="105">
        <v>0.0</v>
      </c>
      <c r="P28" s="105">
        <v>0.0</v>
      </c>
      <c r="Q28" s="105">
        <v>0.0</v>
      </c>
      <c r="R28" s="105">
        <v>0.0</v>
      </c>
      <c r="S28" s="105">
        <v>0.0</v>
      </c>
      <c r="T28" s="105">
        <v>0.0</v>
      </c>
      <c r="U28" s="105">
        <v>0.0</v>
      </c>
      <c r="V28" s="105">
        <v>0.0</v>
      </c>
      <c r="W28" s="105">
        <v>0.0</v>
      </c>
      <c r="X28" s="105">
        <v>0.0</v>
      </c>
      <c r="Y28" s="105">
        <v>0.0</v>
      </c>
      <c r="Z28" s="105">
        <v>0.0</v>
      </c>
      <c r="AA28" s="105">
        <v>0.0</v>
      </c>
      <c r="AB28" s="3">
        <f t="shared" si="4"/>
        <v>0</v>
      </c>
      <c r="AC28" s="75"/>
      <c r="AD28" s="2"/>
    </row>
    <row r="29" ht="12.75" hidden="1" customHeight="1">
      <c r="B29" s="2" t="s">
        <v>227</v>
      </c>
      <c r="C29" s="80" t="s">
        <v>211</v>
      </c>
      <c r="D29" s="105">
        <v>0.0</v>
      </c>
      <c r="E29" s="105">
        <v>0.0</v>
      </c>
      <c r="F29" s="105">
        <v>0.0</v>
      </c>
      <c r="G29" s="105">
        <v>0.0</v>
      </c>
      <c r="H29" s="105">
        <v>0.0</v>
      </c>
      <c r="I29" s="105">
        <v>0.0</v>
      </c>
      <c r="J29" s="105">
        <v>0.0</v>
      </c>
      <c r="K29" s="105">
        <v>0.0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105">
        <v>0.0</v>
      </c>
      <c r="V29" s="105">
        <v>0.0</v>
      </c>
      <c r="W29" s="105">
        <v>0.0</v>
      </c>
      <c r="X29" s="105">
        <v>0.0</v>
      </c>
      <c r="Y29" s="105">
        <v>0.0</v>
      </c>
      <c r="Z29" s="105">
        <v>0.0</v>
      </c>
      <c r="AA29" s="105">
        <v>0.0</v>
      </c>
      <c r="AB29" s="3">
        <f t="shared" si="4"/>
        <v>0</v>
      </c>
      <c r="AC29" s="75"/>
      <c r="AD29" s="2"/>
    </row>
    <row r="30" ht="12.75" customHeight="1">
      <c r="B30" s="97" t="s">
        <v>228</v>
      </c>
      <c r="C30" s="129" t="s">
        <v>213</v>
      </c>
      <c r="D30" s="105">
        <v>0.0</v>
      </c>
      <c r="E30" s="105">
        <v>0.0</v>
      </c>
      <c r="F30" s="105">
        <v>0.0</v>
      </c>
      <c r="G30" s="105">
        <v>0.0</v>
      </c>
      <c r="H30" s="105">
        <v>0.0</v>
      </c>
      <c r="I30" s="105">
        <v>0.0</v>
      </c>
      <c r="J30" s="105">
        <v>0.0</v>
      </c>
      <c r="K30" s="105">
        <v>0.0</v>
      </c>
      <c r="L30" s="105">
        <v>0.0</v>
      </c>
      <c r="M30" s="105">
        <v>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105">
        <v>0.0</v>
      </c>
      <c r="V30" s="105">
        <v>0.0</v>
      </c>
      <c r="W30" s="105">
        <v>0.0</v>
      </c>
      <c r="X30" s="105">
        <v>0.0</v>
      </c>
      <c r="Y30" s="105">
        <v>0.0</v>
      </c>
      <c r="Z30" s="128">
        <v>400000.0</v>
      </c>
      <c r="AA30" s="105">
        <v>0.0</v>
      </c>
      <c r="AB30" s="3">
        <f t="shared" si="4"/>
        <v>400000</v>
      </c>
      <c r="AC30" s="75"/>
      <c r="AD30" s="2"/>
    </row>
    <row r="31" ht="12.75" customHeight="1">
      <c r="B31" s="130" t="s">
        <v>229</v>
      </c>
      <c r="C31" s="129" t="s">
        <v>215</v>
      </c>
      <c r="D31" s="105">
        <v>0.0</v>
      </c>
      <c r="E31" s="105">
        <v>0.0</v>
      </c>
      <c r="F31" s="105">
        <v>0.0</v>
      </c>
      <c r="G31" s="105">
        <v>0.0</v>
      </c>
      <c r="H31" s="105">
        <v>0.0</v>
      </c>
      <c r="I31" s="105">
        <v>0.0</v>
      </c>
      <c r="J31" s="105">
        <v>0.0</v>
      </c>
      <c r="K31" s="105">
        <v>0.0</v>
      </c>
      <c r="L31" s="105">
        <v>0.0</v>
      </c>
      <c r="M31" s="105">
        <v>0.0</v>
      </c>
      <c r="N31" s="128">
        <v>50000.0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105">
        <v>0.0</v>
      </c>
      <c r="V31" s="128">
        <v>50000.0</v>
      </c>
      <c r="W31" s="105">
        <v>0.0</v>
      </c>
      <c r="X31" s="105">
        <v>0.0</v>
      </c>
      <c r="Y31" s="105">
        <v>0.0</v>
      </c>
      <c r="Z31" s="105">
        <v>0.0</v>
      </c>
      <c r="AA31" s="105">
        <v>0.0</v>
      </c>
      <c r="AB31" s="3">
        <f t="shared" si="4"/>
        <v>100000</v>
      </c>
      <c r="AC31" s="75"/>
      <c r="AD31" s="2"/>
    </row>
    <row r="32" ht="12.75" customHeight="1">
      <c r="B32" s="97" t="s">
        <v>230</v>
      </c>
      <c r="C32" s="129" t="s">
        <v>217</v>
      </c>
      <c r="D32" s="105">
        <v>0.0</v>
      </c>
      <c r="E32" s="105">
        <v>0.0</v>
      </c>
      <c r="F32" s="105">
        <v>0.0</v>
      </c>
      <c r="G32" s="105">
        <v>0.0</v>
      </c>
      <c r="H32" s="105">
        <v>0.0</v>
      </c>
      <c r="I32" s="105">
        <v>0.0</v>
      </c>
      <c r="J32" s="105">
        <v>0.0</v>
      </c>
      <c r="K32" s="105">
        <v>0.0</v>
      </c>
      <c r="L32" s="105">
        <v>0.0</v>
      </c>
      <c r="M32" s="105">
        <v>0.0</v>
      </c>
      <c r="N32" s="105">
        <v>0.0</v>
      </c>
      <c r="O32" s="105">
        <v>0.0</v>
      </c>
      <c r="P32" s="105">
        <v>0.0</v>
      </c>
      <c r="Q32" s="105">
        <v>0.0</v>
      </c>
      <c r="R32" s="128">
        <v>50000.0</v>
      </c>
      <c r="S32" s="105">
        <v>0.0</v>
      </c>
      <c r="T32" s="105">
        <v>0.0</v>
      </c>
      <c r="U32" s="105">
        <v>0.0</v>
      </c>
      <c r="V32" s="105">
        <v>0.0</v>
      </c>
      <c r="W32" s="105">
        <v>0.0</v>
      </c>
      <c r="X32" s="105">
        <v>0.0</v>
      </c>
      <c r="Y32" s="105">
        <v>0.0</v>
      </c>
      <c r="Z32" s="105">
        <v>0.0</v>
      </c>
      <c r="AA32" s="105">
        <v>0.0</v>
      </c>
      <c r="AB32" s="3">
        <f t="shared" si="4"/>
        <v>50000</v>
      </c>
      <c r="AC32" s="75"/>
      <c r="AD32" s="2"/>
    </row>
    <row r="33" ht="12.75" customHeight="1">
      <c r="B33" s="2"/>
      <c r="C33" s="131" t="s">
        <v>231</v>
      </c>
      <c r="D33" s="132">
        <f t="shared" ref="D33:AA33" si="5">SUM(D21:D32)</f>
        <v>450000</v>
      </c>
      <c r="E33" s="132">
        <f t="shared" si="5"/>
        <v>0</v>
      </c>
      <c r="F33" s="132">
        <f t="shared" si="5"/>
        <v>150000</v>
      </c>
      <c r="G33" s="132">
        <f t="shared" si="5"/>
        <v>0</v>
      </c>
      <c r="H33" s="132">
        <f t="shared" si="5"/>
        <v>480000</v>
      </c>
      <c r="I33" s="132">
        <f t="shared" si="5"/>
        <v>0</v>
      </c>
      <c r="J33" s="132">
        <f t="shared" si="5"/>
        <v>50000</v>
      </c>
      <c r="K33" s="132">
        <f t="shared" si="5"/>
        <v>0</v>
      </c>
      <c r="L33" s="132">
        <f t="shared" si="5"/>
        <v>380000</v>
      </c>
      <c r="M33" s="132">
        <f t="shared" si="5"/>
        <v>0</v>
      </c>
      <c r="N33" s="132">
        <f t="shared" si="5"/>
        <v>70000</v>
      </c>
      <c r="O33" s="132">
        <f t="shared" si="5"/>
        <v>0</v>
      </c>
      <c r="P33" s="132">
        <f t="shared" si="5"/>
        <v>100000</v>
      </c>
      <c r="Q33" s="132">
        <f t="shared" si="5"/>
        <v>0</v>
      </c>
      <c r="R33" s="132">
        <f t="shared" si="5"/>
        <v>50000</v>
      </c>
      <c r="S33" s="132">
        <f t="shared" si="5"/>
        <v>0</v>
      </c>
      <c r="T33" s="132">
        <f t="shared" si="5"/>
        <v>0</v>
      </c>
      <c r="U33" s="132">
        <f t="shared" si="5"/>
        <v>0</v>
      </c>
      <c r="V33" s="132">
        <f t="shared" si="5"/>
        <v>350000</v>
      </c>
      <c r="W33" s="132">
        <f t="shared" si="5"/>
        <v>0</v>
      </c>
      <c r="X33" s="132">
        <f t="shared" si="5"/>
        <v>150000</v>
      </c>
      <c r="Y33" s="132">
        <f t="shared" si="5"/>
        <v>0</v>
      </c>
      <c r="Z33" s="132">
        <f t="shared" si="5"/>
        <v>400000</v>
      </c>
      <c r="AA33" s="132">
        <f t="shared" si="5"/>
        <v>0</v>
      </c>
      <c r="AB33" s="132">
        <f t="shared" si="4"/>
        <v>2630000</v>
      </c>
      <c r="AC33" s="75"/>
      <c r="AD33" s="2"/>
    </row>
    <row r="34" ht="15.75" customHeight="1">
      <c r="AC34" s="75"/>
      <c r="AD34" s="2"/>
    </row>
    <row r="35" ht="12.75" customHeight="1">
      <c r="B35" s="2"/>
      <c r="C35" s="85" t="s">
        <v>232</v>
      </c>
      <c r="D35" s="86">
        <f t="shared" ref="D35:AB35" si="6">+D18+D33</f>
        <v>925000</v>
      </c>
      <c r="E35" s="86">
        <f t="shared" si="6"/>
        <v>0</v>
      </c>
      <c r="F35" s="86">
        <f t="shared" si="6"/>
        <v>175000</v>
      </c>
      <c r="G35" s="86">
        <f t="shared" si="6"/>
        <v>0</v>
      </c>
      <c r="H35" s="86">
        <f t="shared" si="6"/>
        <v>760000</v>
      </c>
      <c r="I35" s="86">
        <f t="shared" si="6"/>
        <v>0</v>
      </c>
      <c r="J35" s="86">
        <f t="shared" si="6"/>
        <v>80000</v>
      </c>
      <c r="K35" s="86">
        <f t="shared" si="6"/>
        <v>0</v>
      </c>
      <c r="L35" s="86">
        <f t="shared" si="6"/>
        <v>455000</v>
      </c>
      <c r="M35" s="86">
        <f t="shared" si="6"/>
        <v>0</v>
      </c>
      <c r="N35" s="86">
        <f t="shared" si="6"/>
        <v>75000</v>
      </c>
      <c r="O35" s="86">
        <f t="shared" si="6"/>
        <v>0</v>
      </c>
      <c r="P35" s="86">
        <f t="shared" si="6"/>
        <v>100000</v>
      </c>
      <c r="Q35" s="86">
        <f t="shared" si="6"/>
        <v>0</v>
      </c>
      <c r="R35" s="86">
        <f t="shared" si="6"/>
        <v>50000</v>
      </c>
      <c r="S35" s="86">
        <f t="shared" si="6"/>
        <v>0</v>
      </c>
      <c r="T35" s="86">
        <f t="shared" si="6"/>
        <v>0</v>
      </c>
      <c r="U35" s="86">
        <f t="shared" si="6"/>
        <v>0</v>
      </c>
      <c r="V35" s="86">
        <f t="shared" si="6"/>
        <v>440000</v>
      </c>
      <c r="W35" s="86">
        <f t="shared" si="6"/>
        <v>0</v>
      </c>
      <c r="X35" s="86">
        <f t="shared" si="6"/>
        <v>160000</v>
      </c>
      <c r="Y35" s="86">
        <f t="shared" si="6"/>
        <v>0</v>
      </c>
      <c r="Z35" s="86">
        <f t="shared" si="6"/>
        <v>600000</v>
      </c>
      <c r="AA35" s="86">
        <f t="shared" si="6"/>
        <v>0</v>
      </c>
      <c r="AB35" s="86">
        <f t="shared" si="6"/>
        <v>3820000</v>
      </c>
      <c r="AC35" s="75"/>
      <c r="AD35" s="2"/>
    </row>
    <row r="36" ht="12.75" customHeight="1">
      <c r="B36" s="2"/>
      <c r="C36" s="2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75"/>
      <c r="AD36" s="2"/>
    </row>
    <row r="37" ht="12.75" customHeight="1">
      <c r="B37" s="2"/>
      <c r="C37" s="126" t="s">
        <v>233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75"/>
      <c r="AD37" s="2"/>
    </row>
    <row r="38" ht="12.75" customHeight="1">
      <c r="B38" s="2" t="s">
        <v>234</v>
      </c>
      <c r="C38" s="80" t="s">
        <v>195</v>
      </c>
      <c r="D38" s="105">
        <v>0.0</v>
      </c>
      <c r="E38" s="105">
        <v>0.0</v>
      </c>
      <c r="F38" s="105">
        <v>0.0</v>
      </c>
      <c r="G38" s="105">
        <v>0.0</v>
      </c>
      <c r="H38" s="128">
        <v>400000.0</v>
      </c>
      <c r="I38" s="105">
        <v>0.0</v>
      </c>
      <c r="J38" s="128">
        <v>50000.0</v>
      </c>
      <c r="K38" s="105">
        <v>0.0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0.0</v>
      </c>
      <c r="S38" s="105">
        <v>0.0</v>
      </c>
      <c r="T38" s="105">
        <v>0.0</v>
      </c>
      <c r="U38" s="105">
        <v>0.0</v>
      </c>
      <c r="V38" s="105">
        <v>0.0</v>
      </c>
      <c r="W38" s="105">
        <v>0.0</v>
      </c>
      <c r="X38" s="128">
        <v>0.0</v>
      </c>
      <c r="Y38" s="105">
        <v>0.0</v>
      </c>
      <c r="Z38" s="105">
        <v>0.0</v>
      </c>
      <c r="AA38" s="105">
        <v>0.0</v>
      </c>
      <c r="AB38" s="3">
        <f t="shared" ref="AB38:AB49" si="7">D38+F38+H38+J38+L38+N38+P38+R38+T38+V38+X38+Z38</f>
        <v>450000</v>
      </c>
      <c r="AC38" s="75"/>
      <c r="AD38" s="2"/>
    </row>
    <row r="39" ht="12.75" customHeight="1">
      <c r="B39" s="2" t="s">
        <v>235</v>
      </c>
      <c r="C39" s="80" t="s">
        <v>197</v>
      </c>
      <c r="D39" s="128">
        <v>700000.0</v>
      </c>
      <c r="E39" s="105">
        <v>0.0</v>
      </c>
      <c r="F39" s="128">
        <v>150000.0</v>
      </c>
      <c r="G39" s="105">
        <v>0.0</v>
      </c>
      <c r="H39" s="105">
        <v>0.0</v>
      </c>
      <c r="I39" s="105">
        <v>0.0</v>
      </c>
      <c r="J39" s="105">
        <v>0.0</v>
      </c>
      <c r="K39" s="105">
        <v>0.0</v>
      </c>
      <c r="L39" s="105">
        <v>0.0</v>
      </c>
      <c r="M39" s="105">
        <v>0.0</v>
      </c>
      <c r="N39" s="105">
        <v>0.0</v>
      </c>
      <c r="O39" s="105">
        <v>0.0</v>
      </c>
      <c r="P39" s="105">
        <v>0.0</v>
      </c>
      <c r="Q39" s="105">
        <v>0.0</v>
      </c>
      <c r="R39" s="105">
        <v>0.0</v>
      </c>
      <c r="S39" s="105">
        <v>0.0</v>
      </c>
      <c r="T39" s="105">
        <v>0.0</v>
      </c>
      <c r="U39" s="105">
        <v>0.0</v>
      </c>
      <c r="V39" s="128">
        <v>0.0</v>
      </c>
      <c r="W39" s="105">
        <v>0.0</v>
      </c>
      <c r="X39" s="105">
        <v>0.0</v>
      </c>
      <c r="Y39" s="105">
        <v>0.0</v>
      </c>
      <c r="Z39" s="105">
        <v>0.0</v>
      </c>
      <c r="AA39" s="105">
        <v>0.0</v>
      </c>
      <c r="AB39" s="3">
        <f t="shared" si="7"/>
        <v>850000</v>
      </c>
      <c r="AC39" s="75"/>
      <c r="AD39" s="2"/>
    </row>
    <row r="40" ht="12.75" customHeight="1">
      <c r="B40" s="2" t="s">
        <v>236</v>
      </c>
      <c r="C40" s="80" t="s">
        <v>199</v>
      </c>
      <c r="D40" s="105">
        <v>0.0</v>
      </c>
      <c r="E40" s="105">
        <v>0.0</v>
      </c>
      <c r="F40" s="105">
        <v>0.0</v>
      </c>
      <c r="G40" s="105">
        <v>0.0</v>
      </c>
      <c r="H40" s="105">
        <v>0.0</v>
      </c>
      <c r="I40" s="105">
        <v>0.0</v>
      </c>
      <c r="J40" s="105">
        <v>0.0</v>
      </c>
      <c r="K40" s="105">
        <v>0.0</v>
      </c>
      <c r="L40" s="105">
        <v>0.0</v>
      </c>
      <c r="M40" s="105">
        <v>0.0</v>
      </c>
      <c r="N40" s="105">
        <v>0.0</v>
      </c>
      <c r="O40" s="105">
        <v>0.0</v>
      </c>
      <c r="P40" s="105">
        <v>0.0</v>
      </c>
      <c r="Q40" s="105">
        <v>0.0</v>
      </c>
      <c r="R40" s="105">
        <v>0.0</v>
      </c>
      <c r="S40" s="105">
        <v>0.0</v>
      </c>
      <c r="T40" s="128">
        <v>0.0</v>
      </c>
      <c r="U40" s="105">
        <v>0.0</v>
      </c>
      <c r="V40" s="128">
        <v>285000.0</v>
      </c>
      <c r="W40" s="105">
        <v>0.0</v>
      </c>
      <c r="X40" s="128">
        <v>15000.0</v>
      </c>
      <c r="Y40" s="105">
        <v>0.0</v>
      </c>
      <c r="Z40" s="105">
        <v>0.0</v>
      </c>
      <c r="AA40" s="105">
        <v>0.0</v>
      </c>
      <c r="AB40" s="3">
        <f t="shared" si="7"/>
        <v>300000</v>
      </c>
      <c r="AC40" s="75"/>
      <c r="AD40" s="2"/>
    </row>
    <row r="41" ht="12.75" customHeight="1">
      <c r="B41" s="2" t="s">
        <v>237</v>
      </c>
      <c r="C41" s="129" t="s">
        <v>201</v>
      </c>
      <c r="D41" s="128">
        <v>0.0</v>
      </c>
      <c r="E41" s="105">
        <v>0.0</v>
      </c>
      <c r="F41" s="128">
        <v>0.0</v>
      </c>
      <c r="G41" s="105">
        <v>0.0</v>
      </c>
      <c r="H41" s="128">
        <v>120000.0</v>
      </c>
      <c r="I41" s="105">
        <v>0.0</v>
      </c>
      <c r="J41" s="105">
        <v>0.0</v>
      </c>
      <c r="K41" s="105">
        <v>0.0</v>
      </c>
      <c r="L41" s="128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28">
        <v>0.0</v>
      </c>
      <c r="S41" s="105">
        <v>0.0</v>
      </c>
      <c r="T41" s="128">
        <v>0.0</v>
      </c>
      <c r="U41" s="105">
        <v>0.0</v>
      </c>
      <c r="V41" s="105">
        <v>0.0</v>
      </c>
      <c r="W41" s="105">
        <v>0.0</v>
      </c>
      <c r="X41" s="105">
        <v>0.0</v>
      </c>
      <c r="Y41" s="105">
        <v>0.0</v>
      </c>
      <c r="Z41" s="105">
        <v>0.0</v>
      </c>
      <c r="AA41" s="105">
        <v>0.0</v>
      </c>
      <c r="AB41" s="3">
        <f t="shared" si="7"/>
        <v>120000</v>
      </c>
      <c r="AC41" s="75"/>
      <c r="AD41" s="2"/>
    </row>
    <row r="42" ht="12.75" customHeight="1">
      <c r="B42" s="2" t="s">
        <v>238</v>
      </c>
      <c r="C42" s="80" t="s">
        <v>203</v>
      </c>
      <c r="D42" s="105">
        <v>0.0</v>
      </c>
      <c r="E42" s="105">
        <v>0.0</v>
      </c>
      <c r="F42" s="105">
        <v>0.0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28">
        <v>100000.0</v>
      </c>
      <c r="M42" s="105">
        <v>0.0</v>
      </c>
      <c r="N42" s="128">
        <v>20000.0</v>
      </c>
      <c r="O42" s="105">
        <v>0.0</v>
      </c>
      <c r="P42" s="128">
        <v>0.0</v>
      </c>
      <c r="Q42" s="105">
        <v>0.0</v>
      </c>
      <c r="R42" s="105">
        <v>0.0</v>
      </c>
      <c r="S42" s="105">
        <v>0.0</v>
      </c>
      <c r="T42" s="128">
        <v>0.0</v>
      </c>
      <c r="U42" s="105">
        <v>0.0</v>
      </c>
      <c r="V42" s="128">
        <v>0.0</v>
      </c>
      <c r="W42" s="105">
        <v>0.0</v>
      </c>
      <c r="X42" s="105">
        <v>0.0</v>
      </c>
      <c r="Y42" s="105">
        <v>0.0</v>
      </c>
      <c r="Z42" s="105">
        <v>0.0</v>
      </c>
      <c r="AA42" s="105">
        <v>0.0</v>
      </c>
      <c r="AB42" s="3">
        <f t="shared" si="7"/>
        <v>120000</v>
      </c>
      <c r="AC42" s="75"/>
      <c r="AD42" s="2"/>
    </row>
    <row r="43" ht="12.75" customHeight="1">
      <c r="B43" s="130" t="s">
        <v>239</v>
      </c>
      <c r="C43" s="80" t="s">
        <v>240</v>
      </c>
      <c r="D43" s="105">
        <v>0.0</v>
      </c>
      <c r="E43" s="105">
        <v>0.0</v>
      </c>
      <c r="F43" s="105">
        <v>0.0</v>
      </c>
      <c r="G43" s="105">
        <v>0.0</v>
      </c>
      <c r="H43" s="105">
        <v>0.0</v>
      </c>
      <c r="I43" s="105">
        <v>0.0</v>
      </c>
      <c r="J43" s="105">
        <v>0.0</v>
      </c>
      <c r="K43" s="105">
        <v>0.0</v>
      </c>
      <c r="L43" s="128">
        <v>100000.0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0.0</v>
      </c>
      <c r="S43" s="105">
        <v>0.0</v>
      </c>
      <c r="T43" s="105">
        <v>0.0</v>
      </c>
      <c r="U43" s="105">
        <v>0.0</v>
      </c>
      <c r="V43" s="105">
        <v>0.0</v>
      </c>
      <c r="W43" s="105">
        <v>0.0</v>
      </c>
      <c r="X43" s="105">
        <v>0.0</v>
      </c>
      <c r="Y43" s="105">
        <v>0.0</v>
      </c>
      <c r="Z43" s="105">
        <v>0.0</v>
      </c>
      <c r="AA43" s="105">
        <v>0.0</v>
      </c>
      <c r="AB43" s="3">
        <f t="shared" si="7"/>
        <v>100000</v>
      </c>
      <c r="AC43" s="75"/>
      <c r="AD43" s="2"/>
    </row>
    <row r="44" ht="12.75" customHeight="1">
      <c r="B44" s="2" t="s">
        <v>241</v>
      </c>
      <c r="C44" s="129" t="s">
        <v>207</v>
      </c>
      <c r="D44" s="105">
        <v>0.0</v>
      </c>
      <c r="E44" s="105">
        <v>0.0</v>
      </c>
      <c r="F44" s="128">
        <v>50000.0</v>
      </c>
      <c r="G44" s="105">
        <v>0.0</v>
      </c>
      <c r="H44" s="105">
        <v>0.0</v>
      </c>
      <c r="I44" s="105">
        <v>0.0</v>
      </c>
      <c r="J44" s="105">
        <v>0.0</v>
      </c>
      <c r="K44" s="105">
        <v>0.0</v>
      </c>
      <c r="L44" s="105">
        <v>0.0</v>
      </c>
      <c r="M44" s="105">
        <v>0.0</v>
      </c>
      <c r="N44" s="105">
        <v>0.0</v>
      </c>
      <c r="O44" s="105">
        <v>0.0</v>
      </c>
      <c r="P44" s="128">
        <v>50000.0</v>
      </c>
      <c r="Q44" s="105">
        <v>0.0</v>
      </c>
      <c r="R44" s="105">
        <v>0.0</v>
      </c>
      <c r="S44" s="105">
        <v>0.0</v>
      </c>
      <c r="T44" s="105">
        <v>0.0</v>
      </c>
      <c r="U44" s="105">
        <v>0.0</v>
      </c>
      <c r="V44" s="105">
        <v>0.0</v>
      </c>
      <c r="W44" s="105">
        <v>0.0</v>
      </c>
      <c r="X44" s="128">
        <v>50000.0</v>
      </c>
      <c r="Y44" s="105">
        <v>0.0</v>
      </c>
      <c r="Z44" s="105">
        <v>0.0</v>
      </c>
      <c r="AA44" s="105">
        <v>0.0</v>
      </c>
      <c r="AB44" s="3">
        <f t="shared" si="7"/>
        <v>150000</v>
      </c>
      <c r="AC44" s="75"/>
      <c r="AD44" s="2"/>
    </row>
    <row r="45" ht="12.75" hidden="1" customHeight="1">
      <c r="B45" s="2" t="s">
        <v>242</v>
      </c>
      <c r="C45" s="80" t="s">
        <v>209</v>
      </c>
      <c r="D45" s="105">
        <v>0.0</v>
      </c>
      <c r="E45" s="105">
        <v>0.0</v>
      </c>
      <c r="F45" s="105">
        <v>0.0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28">
        <v>0.0</v>
      </c>
      <c r="M45" s="105">
        <v>0.0</v>
      </c>
      <c r="N45" s="105">
        <v>0.0</v>
      </c>
      <c r="O45" s="105">
        <v>0.0</v>
      </c>
      <c r="P45" s="128">
        <v>0.0</v>
      </c>
      <c r="Q45" s="105">
        <v>0.0</v>
      </c>
      <c r="R45" s="105">
        <v>0.0</v>
      </c>
      <c r="S45" s="105">
        <v>0.0</v>
      </c>
      <c r="T45" s="105">
        <v>0.0</v>
      </c>
      <c r="U45" s="105">
        <v>0.0</v>
      </c>
      <c r="V45" s="105">
        <v>0.0</v>
      </c>
      <c r="W45" s="105">
        <v>0.0</v>
      </c>
      <c r="X45" s="105">
        <v>0.0</v>
      </c>
      <c r="Y45" s="105">
        <v>0.0</v>
      </c>
      <c r="Z45" s="105">
        <v>0.0</v>
      </c>
      <c r="AA45" s="105">
        <v>0.0</v>
      </c>
      <c r="AB45" s="3">
        <f t="shared" si="7"/>
        <v>0</v>
      </c>
      <c r="AC45" s="75"/>
      <c r="AD45" s="2"/>
    </row>
    <row r="46" ht="12.75" hidden="1" customHeight="1">
      <c r="B46" s="2" t="s">
        <v>243</v>
      </c>
      <c r="C46" s="80" t="s">
        <v>211</v>
      </c>
      <c r="D46" s="105">
        <v>0.0</v>
      </c>
      <c r="E46" s="105">
        <v>0.0</v>
      </c>
      <c r="F46" s="105">
        <v>0.0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105">
        <v>0.0</v>
      </c>
      <c r="V46" s="105">
        <v>0.0</v>
      </c>
      <c r="W46" s="105">
        <v>0.0</v>
      </c>
      <c r="X46" s="105">
        <v>0.0</v>
      </c>
      <c r="Y46" s="105">
        <v>0.0</v>
      </c>
      <c r="Z46" s="105">
        <v>0.0</v>
      </c>
      <c r="AA46" s="105">
        <v>0.0</v>
      </c>
      <c r="AB46" s="3">
        <f t="shared" si="7"/>
        <v>0</v>
      </c>
      <c r="AC46" s="75"/>
      <c r="AD46" s="2"/>
    </row>
    <row r="47" ht="12.75" customHeight="1">
      <c r="B47" s="97" t="s">
        <v>244</v>
      </c>
      <c r="C47" s="129" t="s">
        <v>213</v>
      </c>
      <c r="D47" s="105">
        <v>0.0</v>
      </c>
      <c r="E47" s="105">
        <v>0.0</v>
      </c>
      <c r="F47" s="105">
        <v>0.0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105">
        <v>0.0</v>
      </c>
      <c r="V47" s="105">
        <v>0.0</v>
      </c>
      <c r="W47" s="105">
        <v>0.0</v>
      </c>
      <c r="X47" s="105">
        <v>0.0</v>
      </c>
      <c r="Y47" s="105">
        <v>0.0</v>
      </c>
      <c r="Z47" s="128">
        <v>450000.0</v>
      </c>
      <c r="AA47" s="105">
        <v>0.0</v>
      </c>
      <c r="AB47" s="3">
        <f t="shared" si="7"/>
        <v>450000</v>
      </c>
      <c r="AC47" s="75"/>
      <c r="AD47" s="2"/>
    </row>
    <row r="48" ht="12.75" customHeight="1">
      <c r="B48" s="130" t="s">
        <v>245</v>
      </c>
      <c r="C48" s="129" t="s">
        <v>215</v>
      </c>
      <c r="D48" s="105">
        <v>0.0</v>
      </c>
      <c r="E48" s="105">
        <v>0.0</v>
      </c>
      <c r="F48" s="105">
        <v>0.0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28">
        <v>35000.0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105">
        <v>0.0</v>
      </c>
      <c r="V48" s="128">
        <v>35000.0</v>
      </c>
      <c r="W48" s="105">
        <v>0.0</v>
      </c>
      <c r="X48" s="105">
        <v>0.0</v>
      </c>
      <c r="Y48" s="105">
        <v>0.0</v>
      </c>
      <c r="Z48" s="105">
        <v>0.0</v>
      </c>
      <c r="AA48" s="105">
        <v>0.0</v>
      </c>
      <c r="AB48" s="3">
        <f t="shared" si="7"/>
        <v>70000</v>
      </c>
      <c r="AC48" s="75"/>
      <c r="AD48" s="2"/>
    </row>
    <row r="49" ht="12.75" customHeight="1">
      <c r="B49" s="97" t="s">
        <v>246</v>
      </c>
      <c r="C49" s="129" t="s">
        <v>217</v>
      </c>
      <c r="D49" s="105">
        <v>0.0</v>
      </c>
      <c r="E49" s="105">
        <v>0.0</v>
      </c>
      <c r="F49" s="105">
        <v>0.0</v>
      </c>
      <c r="G49" s="105">
        <v>0.0</v>
      </c>
      <c r="H49" s="105">
        <v>0.0</v>
      </c>
      <c r="I49" s="105">
        <v>0.0</v>
      </c>
      <c r="J49" s="105">
        <v>0.0</v>
      </c>
      <c r="K49" s="105">
        <v>0.0</v>
      </c>
      <c r="L49" s="105">
        <v>0.0</v>
      </c>
      <c r="M49" s="105">
        <v>0.0</v>
      </c>
      <c r="N49" s="105">
        <v>0.0</v>
      </c>
      <c r="O49" s="105">
        <v>0.0</v>
      </c>
      <c r="P49" s="105">
        <v>0.0</v>
      </c>
      <c r="Q49" s="105">
        <v>0.0</v>
      </c>
      <c r="R49" s="128">
        <v>50000.0</v>
      </c>
      <c r="S49" s="105">
        <v>0.0</v>
      </c>
      <c r="T49" s="105">
        <v>0.0</v>
      </c>
      <c r="U49" s="105">
        <v>0.0</v>
      </c>
      <c r="V49" s="105">
        <v>0.0</v>
      </c>
      <c r="W49" s="105">
        <v>0.0</v>
      </c>
      <c r="X49" s="105">
        <v>0.0</v>
      </c>
      <c r="Y49" s="105">
        <v>0.0</v>
      </c>
      <c r="Z49" s="105">
        <v>0.0</v>
      </c>
      <c r="AA49" s="105">
        <v>0.0</v>
      </c>
      <c r="AB49" s="3">
        <f t="shared" si="7"/>
        <v>50000</v>
      </c>
      <c r="AC49" s="75"/>
      <c r="AD49" s="2"/>
    </row>
    <row r="50" ht="12.75" customHeight="1">
      <c r="B50" s="2"/>
      <c r="C50" s="85" t="s">
        <v>247</v>
      </c>
      <c r="D50" s="86">
        <f t="shared" ref="D50:AB50" si="8">SUM(D38:D49)</f>
        <v>700000</v>
      </c>
      <c r="E50" s="86">
        <f t="shared" si="8"/>
        <v>0</v>
      </c>
      <c r="F50" s="86">
        <f t="shared" si="8"/>
        <v>200000</v>
      </c>
      <c r="G50" s="86">
        <f t="shared" si="8"/>
        <v>0</v>
      </c>
      <c r="H50" s="86">
        <f t="shared" si="8"/>
        <v>520000</v>
      </c>
      <c r="I50" s="86">
        <f t="shared" si="8"/>
        <v>0</v>
      </c>
      <c r="J50" s="86">
        <f t="shared" si="8"/>
        <v>50000</v>
      </c>
      <c r="K50" s="86">
        <f t="shared" si="8"/>
        <v>0</v>
      </c>
      <c r="L50" s="86">
        <f t="shared" si="8"/>
        <v>200000</v>
      </c>
      <c r="M50" s="86">
        <f t="shared" si="8"/>
        <v>0</v>
      </c>
      <c r="N50" s="86">
        <f t="shared" si="8"/>
        <v>55000</v>
      </c>
      <c r="O50" s="86">
        <f t="shared" si="8"/>
        <v>0</v>
      </c>
      <c r="P50" s="86">
        <f t="shared" si="8"/>
        <v>50000</v>
      </c>
      <c r="Q50" s="86">
        <f t="shared" si="8"/>
        <v>0</v>
      </c>
      <c r="R50" s="86">
        <f t="shared" si="8"/>
        <v>50000</v>
      </c>
      <c r="S50" s="86">
        <f t="shared" si="8"/>
        <v>0</v>
      </c>
      <c r="T50" s="86">
        <f t="shared" si="8"/>
        <v>0</v>
      </c>
      <c r="U50" s="86">
        <f t="shared" si="8"/>
        <v>0</v>
      </c>
      <c r="V50" s="86">
        <f t="shared" si="8"/>
        <v>320000</v>
      </c>
      <c r="W50" s="86">
        <f t="shared" si="8"/>
        <v>0</v>
      </c>
      <c r="X50" s="86">
        <f t="shared" si="8"/>
        <v>65000</v>
      </c>
      <c r="Y50" s="86">
        <f t="shared" si="8"/>
        <v>0</v>
      </c>
      <c r="Z50" s="86">
        <f t="shared" si="8"/>
        <v>450000</v>
      </c>
      <c r="AA50" s="86">
        <f t="shared" si="8"/>
        <v>0</v>
      </c>
      <c r="AB50" s="86">
        <f t="shared" si="8"/>
        <v>2660000</v>
      </c>
      <c r="AC50" s="75"/>
      <c r="AD50" s="2"/>
    </row>
    <row r="51" ht="15.75" customHeight="1">
      <c r="AC51" s="75"/>
      <c r="AD51" s="2"/>
    </row>
    <row r="52" ht="15.75" customHeight="1">
      <c r="AC52" s="75"/>
      <c r="AD52" s="2"/>
    </row>
    <row r="53" ht="12.75" customHeight="1">
      <c r="B53" s="2"/>
      <c r="C53" s="133" t="s">
        <v>248</v>
      </c>
      <c r="D53" s="134">
        <f t="shared" ref="D53:AB53" si="9">+D35-D50</f>
        <v>225000</v>
      </c>
      <c r="E53" s="134">
        <f t="shared" si="9"/>
        <v>0</v>
      </c>
      <c r="F53" s="134">
        <f t="shared" si="9"/>
        <v>-25000</v>
      </c>
      <c r="G53" s="134">
        <f t="shared" si="9"/>
        <v>0</v>
      </c>
      <c r="H53" s="134">
        <f t="shared" si="9"/>
        <v>240000</v>
      </c>
      <c r="I53" s="134">
        <f t="shared" si="9"/>
        <v>0</v>
      </c>
      <c r="J53" s="134">
        <f t="shared" si="9"/>
        <v>30000</v>
      </c>
      <c r="K53" s="134">
        <f t="shared" si="9"/>
        <v>0</v>
      </c>
      <c r="L53" s="134">
        <f t="shared" si="9"/>
        <v>255000</v>
      </c>
      <c r="M53" s="134">
        <f t="shared" si="9"/>
        <v>0</v>
      </c>
      <c r="N53" s="134">
        <f t="shared" si="9"/>
        <v>20000</v>
      </c>
      <c r="O53" s="134">
        <f t="shared" si="9"/>
        <v>0</v>
      </c>
      <c r="P53" s="134">
        <f t="shared" si="9"/>
        <v>50000</v>
      </c>
      <c r="Q53" s="134">
        <f t="shared" si="9"/>
        <v>0</v>
      </c>
      <c r="R53" s="134">
        <f t="shared" si="9"/>
        <v>0</v>
      </c>
      <c r="S53" s="134">
        <f t="shared" si="9"/>
        <v>0</v>
      </c>
      <c r="T53" s="134">
        <f t="shared" si="9"/>
        <v>0</v>
      </c>
      <c r="U53" s="134">
        <f t="shared" si="9"/>
        <v>0</v>
      </c>
      <c r="V53" s="134">
        <f t="shared" si="9"/>
        <v>120000</v>
      </c>
      <c r="W53" s="134">
        <f t="shared" si="9"/>
        <v>0</v>
      </c>
      <c r="X53" s="134">
        <f t="shared" si="9"/>
        <v>95000</v>
      </c>
      <c r="Y53" s="134">
        <f t="shared" si="9"/>
        <v>0</v>
      </c>
      <c r="Z53" s="134">
        <f t="shared" si="9"/>
        <v>150000</v>
      </c>
      <c r="AA53" s="134">
        <f t="shared" si="9"/>
        <v>0</v>
      </c>
      <c r="AB53" s="135">
        <f t="shared" si="9"/>
        <v>1160000</v>
      </c>
      <c r="AC53" s="101">
        <v>810000.0</v>
      </c>
      <c r="AD53" s="2"/>
    </row>
    <row r="54" ht="12.75" customHeight="1">
      <c r="B54" s="2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75"/>
      <c r="AD54" s="2"/>
    </row>
    <row r="55" ht="12.75" customHeight="1">
      <c r="B55" s="2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75"/>
      <c r="AD55" s="2"/>
    </row>
    <row r="56" ht="12.75" customHeight="1">
      <c r="B56" s="2"/>
      <c r="C56" s="106" t="s">
        <v>173</v>
      </c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75"/>
      <c r="AD56" s="2"/>
    </row>
    <row r="57" ht="15.75" customHeight="1">
      <c r="AC57" s="75"/>
      <c r="AD57" s="2"/>
    </row>
    <row r="58" ht="15.75" customHeight="1">
      <c r="AC58" s="75"/>
      <c r="AD58" s="2"/>
    </row>
    <row r="59" ht="15.75" customHeight="1">
      <c r="C59" s="111"/>
      <c r="AC59" s="75"/>
      <c r="AD59" s="2"/>
    </row>
    <row r="60" ht="15.75" customHeight="1">
      <c r="AC60" s="75"/>
      <c r="AD60" s="2"/>
    </row>
    <row r="61" ht="15.75" customHeight="1">
      <c r="AC61" s="75"/>
      <c r="AD61" s="2"/>
    </row>
    <row r="62" ht="15.75" customHeight="1">
      <c r="AC62" s="75"/>
      <c r="AD62" s="2"/>
    </row>
    <row r="63" ht="15.75" customHeight="1">
      <c r="AC63" s="75"/>
      <c r="AD63" s="2"/>
    </row>
    <row r="64" ht="15.75" customHeight="1">
      <c r="AC64" s="75"/>
      <c r="AD64" s="2"/>
    </row>
    <row r="65" ht="15.75" customHeight="1">
      <c r="AC65" s="75"/>
      <c r="AD65" s="2"/>
    </row>
    <row r="66" ht="15.75" customHeight="1">
      <c r="AC66" s="75"/>
      <c r="AD66" s="2"/>
    </row>
    <row r="67" ht="15.75" customHeight="1">
      <c r="AC67" s="75"/>
      <c r="AD67" s="2"/>
    </row>
    <row r="68" ht="15.75" customHeight="1">
      <c r="AC68" s="75"/>
      <c r="AD68" s="2"/>
    </row>
    <row r="69" ht="15.75" customHeight="1">
      <c r="AC69" s="75"/>
      <c r="AD69" s="2"/>
    </row>
    <row r="70" ht="15.75" customHeight="1">
      <c r="AC70" s="75"/>
      <c r="AD70" s="2"/>
    </row>
    <row r="71" ht="15.75" customHeight="1">
      <c r="AC71" s="75"/>
      <c r="AD71" s="2"/>
    </row>
    <row r="72" ht="15.75" customHeight="1">
      <c r="AC72" s="75"/>
      <c r="AD72" s="2"/>
    </row>
    <row r="73" ht="15.75" customHeight="1">
      <c r="AC73" s="75"/>
      <c r="AD73" s="2"/>
    </row>
    <row r="74" ht="15.75" customHeight="1">
      <c r="AC74" s="75"/>
      <c r="AD74" s="2"/>
    </row>
    <row r="75" ht="15.75" customHeight="1">
      <c r="AC75" s="75"/>
      <c r="AD75" s="2"/>
    </row>
    <row r="76" ht="15.75" customHeight="1">
      <c r="AC76" s="75"/>
      <c r="AD76" s="2"/>
    </row>
    <row r="77" ht="15.75" customHeight="1">
      <c r="AC77" s="75"/>
      <c r="AD77" s="2"/>
    </row>
    <row r="78" ht="15.75" customHeight="1">
      <c r="AC78" s="75"/>
      <c r="AD78" s="2"/>
    </row>
    <row r="79" ht="15.75" customHeight="1">
      <c r="AC79" s="75"/>
      <c r="AD79" s="2"/>
    </row>
    <row r="80" ht="15.75" customHeight="1">
      <c r="AC80" s="75"/>
      <c r="AD80" s="2"/>
    </row>
    <row r="81" ht="15.75" customHeight="1">
      <c r="AC81" s="75"/>
      <c r="AD81" s="2"/>
    </row>
    <row r="82" ht="15.75" customHeight="1">
      <c r="AC82" s="75"/>
      <c r="AD82" s="2"/>
    </row>
    <row r="83" ht="15.75" customHeight="1">
      <c r="AC83" s="75"/>
      <c r="AD83" s="2"/>
    </row>
    <row r="84" ht="15.75" customHeight="1">
      <c r="AC84" s="75"/>
      <c r="AD84" s="2"/>
    </row>
    <row r="85" ht="15.75" customHeight="1">
      <c r="AC85" s="75"/>
      <c r="AD85" s="2"/>
    </row>
    <row r="86" ht="15.75" customHeight="1">
      <c r="AC86" s="75"/>
      <c r="AD86" s="2"/>
    </row>
    <row r="87" ht="15.75" customHeight="1">
      <c r="AC87" s="75"/>
      <c r="AD87" s="2"/>
    </row>
    <row r="88" ht="15.75" customHeight="1">
      <c r="AC88" s="75"/>
      <c r="AD88" s="2"/>
    </row>
    <row r="89" ht="15.75" customHeight="1">
      <c r="AC89" s="75"/>
      <c r="AD89" s="2"/>
    </row>
    <row r="90" ht="15.75" customHeight="1">
      <c r="AC90" s="75"/>
      <c r="AD90" s="2"/>
    </row>
    <row r="91" ht="15.75" customHeight="1">
      <c r="AC91" s="75"/>
      <c r="AD91" s="2"/>
    </row>
    <row r="92" ht="15.75" customHeight="1">
      <c r="AC92" s="75"/>
      <c r="AD92" s="2"/>
    </row>
    <row r="93" ht="15.75" customHeight="1">
      <c r="AC93" s="75"/>
      <c r="AD93" s="2"/>
    </row>
    <row r="94" ht="15.75" customHeight="1">
      <c r="AC94" s="75"/>
      <c r="AD94" s="2"/>
    </row>
    <row r="95" ht="15.75" customHeight="1">
      <c r="AC95" s="75"/>
      <c r="AD95" s="2"/>
    </row>
    <row r="96" ht="15.75" customHeight="1">
      <c r="AC96" s="75"/>
      <c r="AD96" s="2"/>
    </row>
    <row r="97" ht="15.75" customHeight="1">
      <c r="AC97" s="75"/>
      <c r="AD97" s="2"/>
    </row>
    <row r="98" ht="15.75" customHeight="1">
      <c r="AC98" s="75"/>
      <c r="AD98" s="2"/>
    </row>
    <row r="99" ht="15.75" customHeight="1">
      <c r="AC99" s="75"/>
      <c r="AD99" s="2"/>
    </row>
    <row r="100" ht="15.75" customHeight="1">
      <c r="AC100" s="75"/>
      <c r="AD100" s="2"/>
    </row>
    <row r="101" ht="15.75" customHeight="1">
      <c r="AC101" s="75"/>
      <c r="AD101" s="2"/>
    </row>
    <row r="102" ht="15.75" customHeight="1">
      <c r="AC102" s="75"/>
      <c r="AD102" s="2"/>
    </row>
    <row r="103" ht="15.75" customHeight="1">
      <c r="AC103" s="75"/>
      <c r="AD103" s="2"/>
    </row>
    <row r="104" ht="15.75" customHeight="1">
      <c r="AC104" s="75"/>
      <c r="AD104" s="2"/>
    </row>
    <row r="105" ht="15.75" customHeight="1">
      <c r="AC105" s="75"/>
      <c r="AD105" s="2"/>
    </row>
    <row r="106" ht="15.75" customHeight="1">
      <c r="AC106" s="75"/>
      <c r="AD106" s="2"/>
    </row>
    <row r="107" ht="15.75" customHeight="1">
      <c r="AC107" s="75"/>
      <c r="AD107" s="2"/>
    </row>
    <row r="108" ht="15.75" customHeight="1">
      <c r="AC108" s="75"/>
      <c r="AD108" s="2"/>
    </row>
    <row r="109" ht="15.75" customHeight="1">
      <c r="AC109" s="75"/>
      <c r="AD109" s="2"/>
    </row>
    <row r="110" ht="15.75" customHeight="1">
      <c r="AC110" s="75"/>
      <c r="AD110" s="2"/>
    </row>
    <row r="111" ht="15.75" customHeight="1">
      <c r="AC111" s="75"/>
      <c r="AD111" s="2"/>
    </row>
    <row r="112" ht="15.75" customHeight="1">
      <c r="AC112" s="75"/>
      <c r="AD112" s="2"/>
    </row>
    <row r="113" ht="15.75" customHeight="1">
      <c r="AC113" s="75"/>
      <c r="AD113" s="2"/>
    </row>
    <row r="114" ht="15.75" customHeight="1">
      <c r="AC114" s="75"/>
      <c r="AD114" s="2"/>
    </row>
    <row r="115" ht="15.75" customHeight="1">
      <c r="AC115" s="75"/>
      <c r="AD115" s="2"/>
    </row>
    <row r="116" ht="15.75" customHeight="1">
      <c r="AC116" s="75"/>
      <c r="AD116" s="2"/>
    </row>
    <row r="117" ht="15.75" customHeight="1">
      <c r="AC117" s="75"/>
      <c r="AD117" s="2"/>
    </row>
    <row r="118" ht="15.75" customHeight="1">
      <c r="AC118" s="75"/>
      <c r="AD118" s="2"/>
    </row>
    <row r="119" ht="15.75" customHeight="1">
      <c r="AC119" s="75"/>
      <c r="AD119" s="2"/>
    </row>
    <row r="120" ht="15.75" customHeight="1">
      <c r="AC120" s="75"/>
      <c r="AD120" s="2"/>
    </row>
    <row r="121" ht="15.75" customHeight="1">
      <c r="AC121" s="75"/>
      <c r="AD121" s="2"/>
    </row>
    <row r="122" ht="15.75" customHeight="1">
      <c r="AC122" s="75"/>
      <c r="AD122" s="2"/>
    </row>
    <row r="123" ht="15.75" customHeight="1">
      <c r="AC123" s="75"/>
      <c r="AD123" s="2"/>
    </row>
    <row r="124" ht="15.75" customHeight="1">
      <c r="AC124" s="75"/>
      <c r="AD124" s="2"/>
    </row>
    <row r="125" ht="15.75" customHeight="1">
      <c r="AC125" s="75"/>
      <c r="AD125" s="2"/>
    </row>
    <row r="126" ht="15.75" customHeight="1">
      <c r="AC126" s="75"/>
      <c r="AD126" s="2"/>
    </row>
    <row r="127" ht="15.75" customHeight="1">
      <c r="AC127" s="75"/>
      <c r="AD127" s="2"/>
    </row>
    <row r="128" ht="15.75" customHeight="1">
      <c r="AC128" s="75"/>
      <c r="AD128" s="2"/>
    </row>
    <row r="129" ht="15.75" customHeight="1">
      <c r="AC129" s="75"/>
      <c r="AD129" s="2"/>
    </row>
    <row r="130" ht="15.75" customHeight="1">
      <c r="AC130" s="75"/>
      <c r="AD130" s="2"/>
    </row>
    <row r="131" ht="15.75" customHeight="1">
      <c r="AC131" s="75"/>
      <c r="AD131" s="2"/>
    </row>
    <row r="132" ht="15.75" customHeight="1">
      <c r="AC132" s="75"/>
      <c r="AD132" s="2"/>
    </row>
    <row r="133" ht="15.75" customHeight="1">
      <c r="AC133" s="75"/>
      <c r="AD133" s="2"/>
    </row>
    <row r="134" ht="15.75" customHeight="1">
      <c r="AC134" s="75"/>
      <c r="AD134" s="2"/>
    </row>
    <row r="135" ht="15.75" customHeight="1">
      <c r="AC135" s="75"/>
      <c r="AD135" s="2"/>
    </row>
    <row r="136" ht="15.75" customHeight="1">
      <c r="AC136" s="75"/>
      <c r="AD136" s="2"/>
    </row>
    <row r="137" ht="15.75" customHeight="1">
      <c r="AC137" s="75"/>
      <c r="AD137" s="2"/>
    </row>
    <row r="138" ht="15.75" customHeight="1">
      <c r="AC138" s="75"/>
      <c r="AD138" s="2"/>
    </row>
    <row r="139" ht="15.75" customHeight="1">
      <c r="AC139" s="75"/>
      <c r="AD139" s="2"/>
    </row>
    <row r="140" ht="15.75" customHeight="1">
      <c r="AC140" s="75"/>
      <c r="AD140" s="2"/>
    </row>
    <row r="141" ht="15.75" customHeight="1">
      <c r="AC141" s="75"/>
      <c r="AD141" s="2"/>
    </row>
    <row r="142" ht="15.75" customHeight="1">
      <c r="AC142" s="75"/>
      <c r="AD142" s="2"/>
    </row>
    <row r="143" ht="15.75" customHeight="1">
      <c r="AC143" s="75"/>
      <c r="AD143" s="2"/>
    </row>
    <row r="144" ht="15.75" customHeight="1">
      <c r="AC144" s="75"/>
      <c r="AD144" s="2"/>
    </row>
    <row r="145" ht="15.75" customHeight="1">
      <c r="AC145" s="75"/>
      <c r="AD145" s="2"/>
    </row>
    <row r="146" ht="15.75" customHeight="1">
      <c r="AC146" s="75"/>
      <c r="AD146" s="2"/>
    </row>
    <row r="147" ht="15.75" customHeight="1">
      <c r="AC147" s="75"/>
      <c r="AD147" s="2"/>
    </row>
    <row r="148" ht="15.75" customHeight="1">
      <c r="AC148" s="75"/>
      <c r="AD148" s="2"/>
    </row>
    <row r="149" ht="15.75" customHeight="1">
      <c r="AC149" s="75"/>
      <c r="AD149" s="2"/>
    </row>
    <row r="150" ht="15.75" customHeight="1">
      <c r="AC150" s="75"/>
      <c r="AD150" s="2"/>
    </row>
    <row r="151" ht="15.75" customHeight="1">
      <c r="AC151" s="75"/>
      <c r="AD151" s="2"/>
    </row>
    <row r="152" ht="15.75" customHeight="1">
      <c r="AC152" s="75"/>
      <c r="AD152" s="2"/>
    </row>
    <row r="153" ht="15.75" customHeight="1">
      <c r="AC153" s="75"/>
      <c r="AD153" s="2"/>
    </row>
    <row r="154" ht="15.75" customHeight="1">
      <c r="AC154" s="75"/>
      <c r="AD154" s="2"/>
    </row>
    <row r="155" ht="15.75" customHeight="1">
      <c r="AC155" s="75"/>
      <c r="AD155" s="2"/>
    </row>
    <row r="156" ht="15.75" customHeight="1">
      <c r="AC156" s="75"/>
      <c r="AD156" s="2"/>
    </row>
    <row r="157" ht="15.75" customHeight="1">
      <c r="AC157" s="75"/>
      <c r="AD157" s="2"/>
    </row>
    <row r="158" ht="15.75" customHeight="1">
      <c r="AC158" s="75"/>
      <c r="AD158" s="2"/>
    </row>
    <row r="159" ht="15.75" customHeight="1">
      <c r="AC159" s="75"/>
      <c r="AD159" s="2"/>
    </row>
    <row r="160" ht="15.75" customHeight="1">
      <c r="AC160" s="75"/>
      <c r="AD160" s="2"/>
    </row>
    <row r="161" ht="15.75" customHeight="1">
      <c r="AC161" s="75"/>
      <c r="AD161" s="2"/>
    </row>
    <row r="162" ht="15.75" customHeight="1">
      <c r="AC162" s="75"/>
      <c r="AD162" s="2"/>
    </row>
    <row r="163" ht="15.75" customHeight="1">
      <c r="AC163" s="75"/>
      <c r="AD163" s="2"/>
    </row>
    <row r="164" ht="15.75" customHeight="1">
      <c r="AC164" s="75"/>
      <c r="AD164" s="2"/>
    </row>
    <row r="165" ht="15.75" customHeight="1">
      <c r="AC165" s="75"/>
      <c r="AD165" s="2"/>
    </row>
    <row r="166" ht="15.75" customHeight="1">
      <c r="AC166" s="75"/>
      <c r="AD166" s="2"/>
    </row>
    <row r="167" ht="15.75" customHeight="1">
      <c r="AC167" s="75"/>
      <c r="AD167" s="2"/>
    </row>
    <row r="168" ht="15.75" customHeight="1">
      <c r="AC168" s="75"/>
      <c r="AD168" s="2"/>
    </row>
    <row r="169" ht="15.75" customHeight="1">
      <c r="AC169" s="75"/>
      <c r="AD169" s="2"/>
    </row>
    <row r="170" ht="15.75" customHeight="1">
      <c r="AC170" s="75"/>
      <c r="AD170" s="2"/>
    </row>
    <row r="171" ht="15.75" customHeight="1">
      <c r="AC171" s="75"/>
      <c r="AD171" s="2"/>
    </row>
    <row r="172" ht="15.75" customHeight="1">
      <c r="AC172" s="75"/>
      <c r="AD172" s="2"/>
    </row>
    <row r="173" ht="15.75" customHeight="1">
      <c r="AC173" s="75"/>
      <c r="AD173" s="2"/>
    </row>
    <row r="174" ht="15.75" customHeight="1">
      <c r="AC174" s="75"/>
      <c r="AD174" s="2"/>
    </row>
    <row r="175" ht="15.75" customHeight="1">
      <c r="AC175" s="75"/>
      <c r="AD175" s="2"/>
    </row>
    <row r="176" ht="15.75" customHeight="1">
      <c r="AC176" s="75"/>
      <c r="AD176" s="2"/>
    </row>
    <row r="177" ht="15.75" customHeight="1">
      <c r="AC177" s="75"/>
      <c r="AD177" s="2"/>
    </row>
    <row r="178" ht="15.75" customHeight="1">
      <c r="AC178" s="75"/>
      <c r="AD178" s="2"/>
    </row>
    <row r="179" ht="15.75" customHeight="1">
      <c r="AC179" s="75"/>
      <c r="AD179" s="2"/>
    </row>
    <row r="180" ht="15.75" customHeight="1">
      <c r="AC180" s="75"/>
      <c r="AD180" s="2"/>
    </row>
    <row r="181" ht="15.75" customHeight="1">
      <c r="AC181" s="75"/>
      <c r="AD181" s="2"/>
    </row>
    <row r="182" ht="15.75" customHeight="1">
      <c r="AC182" s="75"/>
      <c r="AD182" s="2"/>
    </row>
    <row r="183" ht="15.75" customHeight="1">
      <c r="AC183" s="75"/>
      <c r="AD183" s="2"/>
    </row>
    <row r="184" ht="15.75" customHeight="1">
      <c r="AC184" s="75"/>
      <c r="AD184" s="2"/>
    </row>
    <row r="185" ht="15.75" customHeight="1">
      <c r="AC185" s="75"/>
      <c r="AD185" s="2"/>
    </row>
    <row r="186" ht="15.75" customHeight="1">
      <c r="AC186" s="75"/>
      <c r="AD186" s="2"/>
    </row>
    <row r="187" ht="15.75" customHeight="1">
      <c r="AC187" s="75"/>
      <c r="AD187" s="2"/>
    </row>
    <row r="188" ht="15.75" customHeight="1">
      <c r="AC188" s="75"/>
      <c r="AD188" s="2"/>
    </row>
    <row r="189" ht="15.75" customHeight="1">
      <c r="AC189" s="75"/>
      <c r="AD189" s="2"/>
    </row>
    <row r="190" ht="15.75" customHeight="1">
      <c r="AC190" s="75"/>
      <c r="AD190" s="2"/>
    </row>
    <row r="191" ht="15.75" customHeight="1">
      <c r="AC191" s="75"/>
      <c r="AD191" s="2"/>
    </row>
    <row r="192" ht="15.75" customHeight="1">
      <c r="AC192" s="75"/>
      <c r="AD192" s="2"/>
    </row>
    <row r="193" ht="15.75" customHeight="1">
      <c r="AC193" s="75"/>
      <c r="AD193" s="2"/>
    </row>
    <row r="194" ht="15.75" customHeight="1">
      <c r="AC194" s="75"/>
      <c r="AD194" s="2"/>
    </row>
    <row r="195" ht="15.75" customHeight="1">
      <c r="AC195" s="75"/>
      <c r="AD195" s="2"/>
    </row>
    <row r="196" ht="15.75" customHeight="1">
      <c r="AC196" s="75"/>
      <c r="AD196" s="2"/>
    </row>
    <row r="197" ht="15.75" customHeight="1">
      <c r="AC197" s="75"/>
      <c r="AD197" s="2"/>
    </row>
    <row r="198" ht="15.75" customHeight="1">
      <c r="AC198" s="75"/>
      <c r="AD198" s="2"/>
    </row>
    <row r="199" ht="15.75" customHeight="1">
      <c r="AC199" s="75"/>
      <c r="AD199" s="2"/>
    </row>
    <row r="200" ht="15.75" customHeight="1">
      <c r="AC200" s="75"/>
      <c r="AD200" s="2"/>
    </row>
    <row r="201" ht="15.75" customHeight="1">
      <c r="AC201" s="75"/>
      <c r="AD201" s="2"/>
    </row>
    <row r="202" ht="15.75" customHeight="1">
      <c r="AC202" s="75"/>
      <c r="AD202" s="2"/>
    </row>
    <row r="203" ht="15.75" customHeight="1">
      <c r="AC203" s="75"/>
      <c r="AD203" s="2"/>
    </row>
    <row r="204" ht="15.75" customHeight="1">
      <c r="AC204" s="75"/>
      <c r="AD204" s="2"/>
    </row>
    <row r="205" ht="15.75" customHeight="1">
      <c r="AC205" s="75"/>
      <c r="AD205" s="2"/>
    </row>
    <row r="206" ht="15.75" customHeight="1">
      <c r="AC206" s="75"/>
      <c r="AD206" s="2"/>
    </row>
    <row r="207" ht="15.75" customHeight="1">
      <c r="AC207" s="75"/>
      <c r="AD207" s="2"/>
    </row>
    <row r="208" ht="15.75" customHeight="1">
      <c r="AC208" s="75"/>
      <c r="AD208" s="2"/>
    </row>
    <row r="209" ht="15.75" customHeight="1">
      <c r="AC209" s="75"/>
      <c r="AD209" s="2"/>
    </row>
    <row r="210" ht="15.75" customHeight="1">
      <c r="AC210" s="75"/>
      <c r="AD210" s="2"/>
    </row>
    <row r="211" ht="15.75" customHeight="1">
      <c r="AC211" s="75"/>
      <c r="AD211" s="2"/>
    </row>
    <row r="212" ht="15.75" customHeight="1">
      <c r="AC212" s="75"/>
      <c r="AD212" s="2"/>
    </row>
    <row r="213" ht="15.75" customHeight="1">
      <c r="AC213" s="75"/>
      <c r="AD213" s="2"/>
    </row>
    <row r="214" ht="15.75" customHeight="1">
      <c r="AC214" s="75"/>
      <c r="AD214" s="2"/>
    </row>
    <row r="215" ht="15.75" customHeight="1">
      <c r="AC215" s="75"/>
      <c r="AD215" s="2"/>
    </row>
    <row r="216" ht="15.75" customHeight="1">
      <c r="AC216" s="75"/>
      <c r="AD216" s="2"/>
    </row>
    <row r="217" ht="15.75" customHeight="1">
      <c r="AC217" s="75"/>
      <c r="AD217" s="2"/>
    </row>
    <row r="218" ht="15.75" customHeight="1">
      <c r="AC218" s="75"/>
      <c r="AD218" s="2"/>
    </row>
    <row r="219" ht="15.75" customHeight="1">
      <c r="AC219" s="75"/>
      <c r="AD219" s="2"/>
    </row>
    <row r="220" ht="15.75" customHeight="1">
      <c r="AC220" s="75"/>
      <c r="AD220" s="2"/>
    </row>
    <row r="221" ht="15.75" customHeight="1">
      <c r="AC221" s="75"/>
      <c r="AD221" s="2"/>
    </row>
    <row r="222" ht="15.75" customHeight="1">
      <c r="AC222" s="75"/>
      <c r="AD222" s="2"/>
    </row>
    <row r="223" ht="15.75" customHeight="1">
      <c r="AC223" s="75"/>
      <c r="AD223" s="2"/>
    </row>
    <row r="224" ht="15.75" customHeight="1">
      <c r="AC224" s="75"/>
      <c r="AD224" s="2"/>
    </row>
    <row r="225" ht="15.75" customHeight="1">
      <c r="AC225" s="75"/>
      <c r="AD225" s="2"/>
    </row>
    <row r="226" ht="15.75" customHeight="1">
      <c r="AC226" s="75"/>
      <c r="AD226" s="2"/>
    </row>
    <row r="227" ht="15.75" customHeight="1">
      <c r="AC227" s="75"/>
      <c r="AD227" s="2"/>
    </row>
    <row r="228" ht="15.75" customHeight="1">
      <c r="AC228" s="75"/>
      <c r="AD228" s="2"/>
    </row>
    <row r="229" ht="15.75" customHeight="1">
      <c r="AC229" s="75"/>
      <c r="AD229" s="2"/>
    </row>
    <row r="230" ht="15.75" customHeight="1">
      <c r="AC230" s="75"/>
      <c r="AD230" s="2"/>
    </row>
    <row r="231" ht="15.75" customHeight="1">
      <c r="AC231" s="75"/>
      <c r="AD231" s="2"/>
    </row>
    <row r="232" ht="15.75" customHeight="1">
      <c r="AC232" s="75"/>
      <c r="AD232" s="2"/>
    </row>
    <row r="233" ht="15.75" customHeight="1">
      <c r="AC233" s="75"/>
      <c r="AD233" s="2"/>
    </row>
    <row r="234" ht="15.75" customHeight="1">
      <c r="AC234" s="75"/>
      <c r="AD234" s="2"/>
    </row>
    <row r="235" ht="15.75" customHeight="1">
      <c r="AC235" s="75"/>
      <c r="AD235" s="2"/>
    </row>
    <row r="236" ht="15.75" customHeight="1">
      <c r="AC236" s="75"/>
      <c r="AD236" s="2"/>
    </row>
    <row r="237" ht="15.75" customHeight="1">
      <c r="AC237" s="75"/>
      <c r="AD237" s="2"/>
    </row>
    <row r="238" ht="15.75" customHeight="1">
      <c r="AC238" s="75"/>
      <c r="AD238" s="2"/>
    </row>
    <row r="239" ht="15.75" customHeight="1">
      <c r="AC239" s="75"/>
      <c r="AD239" s="2"/>
    </row>
    <row r="240" ht="15.75" customHeight="1">
      <c r="AC240" s="75"/>
      <c r="AD240" s="2"/>
    </row>
    <row r="241" ht="15.75" customHeight="1">
      <c r="AC241" s="75"/>
      <c r="AD241" s="2"/>
    </row>
    <row r="242" ht="15.75" customHeight="1">
      <c r="AC242" s="75"/>
      <c r="AD242" s="2"/>
    </row>
    <row r="243" ht="15.75" customHeight="1">
      <c r="AC243" s="75"/>
      <c r="AD243" s="2"/>
    </row>
    <row r="244" ht="15.75" customHeight="1">
      <c r="AC244" s="75"/>
      <c r="AD244" s="2"/>
    </row>
    <row r="245" ht="15.75" customHeight="1">
      <c r="AC245" s="75"/>
      <c r="AD245" s="2"/>
    </row>
    <row r="246" ht="15.75" customHeight="1">
      <c r="AC246" s="75"/>
      <c r="AD246" s="2"/>
    </row>
    <row r="247" ht="15.75" customHeight="1">
      <c r="AC247" s="75"/>
      <c r="AD247" s="2"/>
    </row>
    <row r="248" ht="15.75" customHeight="1">
      <c r="AC248" s="75"/>
      <c r="AD248" s="2"/>
    </row>
    <row r="249" ht="15.75" customHeight="1">
      <c r="AC249" s="75"/>
      <c r="AD249" s="2"/>
    </row>
    <row r="250" ht="15.75" customHeight="1">
      <c r="AC250" s="75"/>
      <c r="AD250" s="2"/>
    </row>
    <row r="251" ht="15.75" customHeight="1">
      <c r="AC251" s="75"/>
      <c r="AD251" s="2"/>
    </row>
    <row r="252" ht="15.75" customHeight="1">
      <c r="AC252" s="75"/>
      <c r="AD252" s="2"/>
    </row>
    <row r="253" ht="15.75" customHeight="1">
      <c r="AC253" s="75"/>
      <c r="AD253" s="2"/>
    </row>
    <row r="254" ht="15.75" customHeight="1">
      <c r="AC254" s="75"/>
      <c r="AD254" s="2"/>
    </row>
    <row r="255" ht="15.75" customHeight="1">
      <c r="AC255" s="75"/>
      <c r="AD255" s="2"/>
    </row>
    <row r="256" ht="15.75" customHeight="1">
      <c r="AC256" s="75"/>
      <c r="AD256" s="2"/>
    </row>
    <row r="257" ht="15.75" customHeight="1">
      <c r="AC257" s="75"/>
      <c r="AD257" s="2"/>
    </row>
    <row r="258" ht="15.75" customHeight="1">
      <c r="AC258" s="75"/>
      <c r="AD258" s="2"/>
    </row>
    <row r="259" ht="15.75" customHeight="1">
      <c r="AC259" s="75"/>
      <c r="AD259" s="2"/>
    </row>
    <row r="260" ht="15.75" customHeight="1">
      <c r="AC260" s="75"/>
      <c r="AD260" s="2"/>
    </row>
    <row r="261" ht="15.75" customHeight="1">
      <c r="AC261" s="75"/>
      <c r="AD261" s="2"/>
    </row>
    <row r="262" ht="15.75" customHeight="1">
      <c r="AC262" s="75"/>
      <c r="AD262" s="2"/>
    </row>
    <row r="263" ht="15.75" customHeight="1">
      <c r="AC263" s="75"/>
      <c r="AD263" s="2"/>
    </row>
    <row r="264" ht="15.75" customHeight="1">
      <c r="AC264" s="75"/>
      <c r="AD264" s="2"/>
    </row>
    <row r="265" ht="15.75" customHeight="1">
      <c r="AC265" s="75"/>
      <c r="AD265" s="2"/>
    </row>
    <row r="266" ht="15.75" customHeight="1">
      <c r="AC266" s="75"/>
      <c r="AD266" s="2"/>
    </row>
    <row r="267" ht="15.75" customHeight="1">
      <c r="AC267" s="75"/>
      <c r="AD267" s="2"/>
    </row>
    <row r="268" ht="15.75" customHeight="1">
      <c r="AC268" s="75"/>
      <c r="AD268" s="2"/>
    </row>
    <row r="269" ht="15.75" customHeight="1">
      <c r="AC269" s="75"/>
      <c r="AD269" s="2"/>
    </row>
    <row r="270" ht="15.75" customHeight="1">
      <c r="AC270" s="75"/>
      <c r="AD270" s="2"/>
    </row>
    <row r="271" ht="15.75" customHeight="1">
      <c r="AC271" s="75"/>
      <c r="AD271" s="2"/>
    </row>
    <row r="272" ht="15.75" customHeight="1">
      <c r="AC272" s="75"/>
      <c r="AD272" s="2"/>
    </row>
    <row r="273" ht="15.75" customHeight="1">
      <c r="AC273" s="75"/>
      <c r="AD273" s="2"/>
    </row>
    <row r="274" ht="15.75" customHeight="1">
      <c r="AC274" s="75"/>
      <c r="AD274" s="2"/>
    </row>
    <row r="275" ht="15.75" customHeight="1">
      <c r="AC275" s="75"/>
      <c r="AD275" s="2"/>
    </row>
    <row r="276" ht="15.75" customHeight="1">
      <c r="AC276" s="75"/>
      <c r="AD276" s="2"/>
    </row>
    <row r="277" ht="15.75" customHeight="1">
      <c r="AC277" s="75"/>
      <c r="AD277" s="2"/>
    </row>
    <row r="278" ht="15.75" customHeight="1">
      <c r="AC278" s="75"/>
      <c r="AD278" s="2"/>
    </row>
    <row r="279" ht="15.75" customHeight="1">
      <c r="AC279" s="75"/>
      <c r="AD279" s="2"/>
    </row>
    <row r="280" ht="15.75" customHeight="1">
      <c r="AC280" s="75"/>
      <c r="AD280" s="2"/>
    </row>
    <row r="281" ht="15.75" customHeight="1">
      <c r="AC281" s="75"/>
      <c r="AD281" s="2"/>
    </row>
    <row r="282" ht="15.75" customHeight="1">
      <c r="AC282" s="75"/>
      <c r="AD282" s="2"/>
    </row>
    <row r="283" ht="15.75" customHeight="1">
      <c r="AC283" s="75"/>
      <c r="AD283" s="2"/>
    </row>
    <row r="284" ht="15.75" customHeight="1">
      <c r="AC284" s="75"/>
      <c r="AD284" s="2"/>
    </row>
    <row r="285" ht="15.75" customHeight="1">
      <c r="AC285" s="75"/>
      <c r="AD285" s="2"/>
    </row>
    <row r="286" ht="15.75" customHeight="1">
      <c r="AC286" s="75"/>
      <c r="AD286" s="2"/>
    </row>
    <row r="287" ht="15.75" customHeight="1">
      <c r="AC287" s="75"/>
      <c r="AD287" s="2"/>
    </row>
    <row r="288" ht="15.75" customHeight="1">
      <c r="AC288" s="75"/>
      <c r="AD288" s="2"/>
    </row>
    <row r="289" ht="15.75" customHeight="1">
      <c r="AC289" s="75"/>
      <c r="AD289" s="2"/>
    </row>
    <row r="290" ht="15.75" customHeight="1">
      <c r="AC290" s="75"/>
      <c r="AD290" s="2"/>
    </row>
    <row r="291" ht="15.75" customHeight="1">
      <c r="AC291" s="75"/>
      <c r="AD291" s="2"/>
    </row>
    <row r="292" ht="15.75" customHeight="1">
      <c r="AC292" s="75"/>
      <c r="AD292" s="2"/>
    </row>
    <row r="293" ht="15.75" customHeight="1">
      <c r="AC293" s="75"/>
      <c r="AD293" s="2"/>
    </row>
    <row r="294" ht="15.75" customHeight="1">
      <c r="AC294" s="75"/>
      <c r="AD294" s="2"/>
    </row>
    <row r="295" ht="15.75" customHeight="1">
      <c r="AC295" s="75"/>
      <c r="AD295" s="2"/>
    </row>
    <row r="296" ht="15.75" customHeight="1">
      <c r="AC296" s="75"/>
      <c r="AD296" s="2"/>
    </row>
    <row r="297" ht="15.75" customHeight="1">
      <c r="AC297" s="75"/>
      <c r="AD297" s="2"/>
    </row>
    <row r="298" ht="15.75" customHeight="1">
      <c r="AC298" s="75"/>
      <c r="AD298" s="2"/>
    </row>
    <row r="299" ht="15.75" customHeight="1">
      <c r="AC299" s="75"/>
      <c r="AD299" s="2"/>
    </row>
    <row r="300" ht="15.75" customHeight="1">
      <c r="AC300" s="75"/>
      <c r="AD300" s="2"/>
    </row>
    <row r="301" ht="15.75" customHeight="1">
      <c r="AC301" s="75"/>
      <c r="AD301" s="2"/>
    </row>
    <row r="302" ht="15.75" customHeight="1">
      <c r="AC302" s="75"/>
      <c r="AD302" s="2"/>
    </row>
    <row r="303" ht="15.75" customHeight="1">
      <c r="AC303" s="75"/>
      <c r="AD303" s="2"/>
    </row>
    <row r="304" ht="15.75" customHeight="1">
      <c r="AC304" s="75"/>
      <c r="AD304" s="2"/>
    </row>
    <row r="305" ht="15.75" customHeight="1">
      <c r="AC305" s="75"/>
      <c r="AD305" s="2"/>
    </row>
    <row r="306" ht="15.75" customHeight="1">
      <c r="AC306" s="75"/>
      <c r="AD306" s="2"/>
    </row>
    <row r="307" ht="15.75" customHeight="1">
      <c r="AC307" s="75"/>
      <c r="AD307" s="2"/>
    </row>
    <row r="308" ht="15.75" customHeight="1">
      <c r="AC308" s="75"/>
      <c r="AD308" s="2"/>
    </row>
    <row r="309" ht="15.75" customHeight="1">
      <c r="AC309" s="75"/>
      <c r="AD309" s="2"/>
    </row>
    <row r="310" ht="15.75" customHeight="1">
      <c r="AC310" s="75"/>
      <c r="AD310" s="2"/>
    </row>
    <row r="311" ht="15.75" customHeight="1">
      <c r="AC311" s="75"/>
      <c r="AD311" s="2"/>
    </row>
    <row r="312" ht="15.75" customHeight="1">
      <c r="AC312" s="75"/>
      <c r="AD312" s="2"/>
    </row>
    <row r="313" ht="15.75" customHeight="1">
      <c r="AC313" s="75"/>
      <c r="AD313" s="2"/>
    </row>
    <row r="314" ht="15.75" customHeight="1">
      <c r="AC314" s="75"/>
      <c r="AD314" s="2"/>
    </row>
    <row r="315" ht="15.75" customHeight="1">
      <c r="AC315" s="75"/>
      <c r="AD315" s="2"/>
    </row>
    <row r="316" ht="15.75" customHeight="1">
      <c r="AC316" s="75"/>
      <c r="AD316" s="2"/>
    </row>
    <row r="317" ht="15.75" customHeight="1">
      <c r="AC317" s="75"/>
      <c r="AD317" s="2"/>
    </row>
    <row r="318" ht="15.75" customHeight="1">
      <c r="AC318" s="75"/>
      <c r="AD318" s="2"/>
    </row>
    <row r="319" ht="15.75" customHeight="1">
      <c r="AC319" s="75"/>
      <c r="AD319" s="2"/>
    </row>
    <row r="320" ht="15.75" customHeight="1">
      <c r="AC320" s="75"/>
      <c r="AD320" s="2"/>
    </row>
    <row r="321" ht="15.75" customHeight="1">
      <c r="AC321" s="75"/>
      <c r="AD321" s="2"/>
    </row>
    <row r="322" ht="15.75" customHeight="1">
      <c r="AC322" s="75"/>
      <c r="AD322" s="2"/>
    </row>
    <row r="323" ht="15.75" customHeight="1">
      <c r="AC323" s="75"/>
      <c r="AD323" s="2"/>
    </row>
    <row r="324" ht="15.75" customHeight="1">
      <c r="AC324" s="75"/>
      <c r="AD324" s="2"/>
    </row>
    <row r="325" ht="15.75" customHeight="1">
      <c r="AC325" s="75"/>
      <c r="AD325" s="2"/>
    </row>
    <row r="326" ht="15.75" customHeight="1">
      <c r="AC326" s="75"/>
      <c r="AD326" s="2"/>
    </row>
    <row r="327" ht="15.75" customHeight="1">
      <c r="AC327" s="75"/>
      <c r="AD327" s="2"/>
    </row>
    <row r="328" ht="15.75" customHeight="1">
      <c r="AC328" s="75"/>
      <c r="AD328" s="2"/>
    </row>
    <row r="329" ht="15.75" customHeight="1">
      <c r="AC329" s="75"/>
      <c r="AD329" s="2"/>
    </row>
    <row r="330" ht="15.75" customHeight="1">
      <c r="AC330" s="75"/>
      <c r="AD330" s="2"/>
    </row>
    <row r="331" ht="15.75" customHeight="1">
      <c r="AC331" s="75"/>
      <c r="AD331" s="2"/>
    </row>
    <row r="332" ht="15.75" customHeight="1">
      <c r="AC332" s="75"/>
      <c r="AD332" s="2"/>
    </row>
    <row r="333" ht="15.75" customHeight="1">
      <c r="AC333" s="75"/>
      <c r="AD333" s="2"/>
    </row>
    <row r="334" ht="15.75" customHeight="1">
      <c r="AC334" s="75"/>
      <c r="AD334" s="2"/>
    </row>
    <row r="335" ht="15.75" customHeight="1">
      <c r="AC335" s="75"/>
      <c r="AD335" s="2"/>
    </row>
    <row r="336" ht="15.75" customHeight="1">
      <c r="AC336" s="75"/>
      <c r="AD336" s="2"/>
    </row>
    <row r="337" ht="15.75" customHeight="1">
      <c r="AC337" s="75"/>
      <c r="AD337" s="2"/>
    </row>
    <row r="338" ht="15.75" customHeight="1">
      <c r="AC338" s="75"/>
      <c r="AD338" s="2"/>
    </row>
    <row r="339" ht="15.75" customHeight="1">
      <c r="AC339" s="75"/>
      <c r="AD339" s="2"/>
    </row>
    <row r="340" ht="15.75" customHeight="1">
      <c r="AC340" s="75"/>
      <c r="AD340" s="2"/>
    </row>
    <row r="341" ht="15.75" customHeight="1">
      <c r="AC341" s="75"/>
      <c r="AD341" s="2"/>
    </row>
    <row r="342" ht="15.75" customHeight="1">
      <c r="AC342" s="75"/>
      <c r="AD342" s="2"/>
    </row>
    <row r="343" ht="15.75" customHeight="1">
      <c r="AC343" s="75"/>
      <c r="AD343" s="2"/>
    </row>
    <row r="344" ht="15.75" customHeight="1">
      <c r="AC344" s="75"/>
      <c r="AD344" s="2"/>
    </row>
    <row r="345" ht="15.75" customHeight="1">
      <c r="AC345" s="75"/>
      <c r="AD345" s="2"/>
    </row>
    <row r="346" ht="15.75" customHeight="1">
      <c r="AC346" s="75"/>
      <c r="AD346" s="2"/>
    </row>
    <row r="347" ht="15.75" customHeight="1">
      <c r="AC347" s="75"/>
      <c r="AD347" s="2"/>
    </row>
    <row r="348" ht="15.75" customHeight="1">
      <c r="AC348" s="75"/>
      <c r="AD348" s="2"/>
    </row>
    <row r="349" ht="15.75" customHeight="1">
      <c r="AC349" s="75"/>
      <c r="AD349" s="2"/>
    </row>
    <row r="350" ht="15.75" customHeight="1">
      <c r="AC350" s="75"/>
      <c r="AD350" s="2"/>
    </row>
    <row r="351" ht="15.75" customHeight="1">
      <c r="AC351" s="75"/>
      <c r="AD351" s="2"/>
    </row>
    <row r="352" ht="15.75" customHeight="1">
      <c r="AC352" s="75"/>
      <c r="AD352" s="2"/>
    </row>
    <row r="353" ht="15.75" customHeight="1">
      <c r="AC353" s="75"/>
      <c r="AD353" s="2"/>
    </row>
    <row r="354" ht="15.75" customHeight="1">
      <c r="AC354" s="75"/>
      <c r="AD354" s="2"/>
    </row>
    <row r="355" ht="15.75" customHeight="1">
      <c r="AC355" s="75"/>
      <c r="AD355" s="2"/>
    </row>
    <row r="356" ht="15.75" customHeight="1">
      <c r="AC356" s="75"/>
      <c r="AD356" s="2"/>
    </row>
    <row r="357" ht="15.75" customHeight="1">
      <c r="AC357" s="75"/>
      <c r="AD357" s="2"/>
    </row>
    <row r="358" ht="15.75" customHeight="1">
      <c r="AC358" s="75"/>
      <c r="AD358" s="2"/>
    </row>
    <row r="359" ht="15.75" customHeight="1">
      <c r="AC359" s="75"/>
      <c r="AD359" s="2"/>
    </row>
    <row r="360" ht="15.75" customHeight="1">
      <c r="AC360" s="75"/>
      <c r="AD360" s="2"/>
    </row>
    <row r="361" ht="15.75" customHeight="1">
      <c r="AC361" s="75"/>
      <c r="AD361" s="2"/>
    </row>
    <row r="362" ht="15.75" customHeight="1">
      <c r="AC362" s="75"/>
      <c r="AD362" s="2"/>
    </row>
    <row r="363" ht="15.75" customHeight="1">
      <c r="AC363" s="75"/>
      <c r="AD363" s="2"/>
    </row>
    <row r="364" ht="15.75" customHeight="1">
      <c r="AC364" s="75"/>
      <c r="AD364" s="2"/>
    </row>
    <row r="365" ht="15.75" customHeight="1">
      <c r="AC365" s="75"/>
      <c r="AD365" s="2"/>
    </row>
    <row r="366" ht="15.75" customHeight="1">
      <c r="AC366" s="75"/>
      <c r="AD366" s="2"/>
    </row>
    <row r="367" ht="15.75" customHeight="1">
      <c r="AC367" s="75"/>
      <c r="AD367" s="2"/>
    </row>
    <row r="368" ht="15.75" customHeight="1">
      <c r="AC368" s="75"/>
      <c r="AD368" s="2"/>
    </row>
    <row r="369" ht="15.75" customHeight="1">
      <c r="AC369" s="75"/>
      <c r="AD369" s="2"/>
    </row>
    <row r="370" ht="15.75" customHeight="1">
      <c r="AC370" s="75"/>
      <c r="AD370" s="2"/>
    </row>
    <row r="371" ht="15.75" customHeight="1">
      <c r="AC371" s="75"/>
      <c r="AD371" s="2"/>
    </row>
    <row r="372" ht="15.75" customHeight="1">
      <c r="AC372" s="75"/>
      <c r="AD372" s="2"/>
    </row>
    <row r="373" ht="15.75" customHeight="1">
      <c r="AC373" s="75"/>
      <c r="AD373" s="2"/>
    </row>
    <row r="374" ht="15.75" customHeight="1">
      <c r="AC374" s="75"/>
      <c r="AD374" s="2"/>
    </row>
    <row r="375" ht="15.75" customHeight="1">
      <c r="AC375" s="75"/>
      <c r="AD375" s="2"/>
    </row>
    <row r="376" ht="15.75" customHeight="1">
      <c r="AC376" s="75"/>
      <c r="AD376" s="2"/>
    </row>
    <row r="377" ht="15.75" customHeight="1">
      <c r="AC377" s="75"/>
      <c r="AD377" s="2"/>
    </row>
    <row r="378" ht="15.75" customHeight="1">
      <c r="AC378" s="75"/>
      <c r="AD378" s="2"/>
    </row>
    <row r="379" ht="15.75" customHeight="1">
      <c r="AC379" s="75"/>
      <c r="AD379" s="2"/>
    </row>
    <row r="380" ht="15.75" customHeight="1">
      <c r="AC380" s="75"/>
      <c r="AD380" s="2"/>
    </row>
    <row r="381" ht="15.75" customHeight="1">
      <c r="AC381" s="75"/>
      <c r="AD381" s="2"/>
    </row>
    <row r="382" ht="15.75" customHeight="1">
      <c r="AC382" s="75"/>
      <c r="AD382" s="2"/>
    </row>
    <row r="383" ht="15.75" customHeight="1">
      <c r="AC383" s="75"/>
      <c r="AD383" s="2"/>
    </row>
    <row r="384" ht="15.75" customHeight="1">
      <c r="AC384" s="75"/>
      <c r="AD384" s="2"/>
    </row>
    <row r="385" ht="15.75" customHeight="1">
      <c r="AC385" s="75"/>
      <c r="AD385" s="2"/>
    </row>
    <row r="386" ht="15.75" customHeight="1">
      <c r="AC386" s="75"/>
      <c r="AD386" s="2"/>
    </row>
    <row r="387" ht="15.75" customHeight="1">
      <c r="AC387" s="75"/>
      <c r="AD387" s="2"/>
    </row>
    <row r="388" ht="15.75" customHeight="1">
      <c r="AC388" s="75"/>
      <c r="AD388" s="2"/>
    </row>
    <row r="389" ht="15.75" customHeight="1">
      <c r="AC389" s="75"/>
      <c r="AD389" s="2"/>
    </row>
    <row r="390" ht="15.75" customHeight="1">
      <c r="AC390" s="75"/>
      <c r="AD390" s="2"/>
    </row>
    <row r="391" ht="15.75" customHeight="1">
      <c r="AC391" s="75"/>
      <c r="AD391" s="2"/>
    </row>
    <row r="392" ht="15.75" customHeight="1">
      <c r="AC392" s="75"/>
      <c r="AD392" s="2"/>
    </row>
    <row r="393" ht="15.75" customHeight="1">
      <c r="AC393" s="75"/>
      <c r="AD393" s="2"/>
    </row>
    <row r="394" ht="15.75" customHeight="1">
      <c r="AC394" s="75"/>
      <c r="AD394" s="2"/>
    </row>
    <row r="395" ht="15.75" customHeight="1">
      <c r="AC395" s="75"/>
      <c r="AD395" s="2"/>
    </row>
    <row r="396" ht="15.75" customHeight="1">
      <c r="AC396" s="75"/>
      <c r="AD396" s="2"/>
    </row>
    <row r="397" ht="15.75" customHeight="1">
      <c r="AC397" s="75"/>
      <c r="AD397" s="2"/>
    </row>
    <row r="398" ht="15.75" customHeight="1">
      <c r="AC398" s="75"/>
      <c r="AD398" s="2"/>
    </row>
    <row r="399" ht="15.75" customHeight="1">
      <c r="AC399" s="75"/>
      <c r="AD399" s="2"/>
    </row>
    <row r="400" ht="15.75" customHeight="1">
      <c r="AC400" s="75"/>
      <c r="AD400" s="2"/>
    </row>
    <row r="401" ht="15.75" customHeight="1">
      <c r="AC401" s="75"/>
      <c r="AD401" s="2"/>
    </row>
    <row r="402" ht="15.75" customHeight="1">
      <c r="AC402" s="75"/>
      <c r="AD402" s="2"/>
    </row>
    <row r="403" ht="15.75" customHeight="1">
      <c r="AC403" s="75"/>
      <c r="AD403" s="2"/>
    </row>
    <row r="404" ht="15.75" customHeight="1">
      <c r="AC404" s="75"/>
      <c r="AD404" s="2"/>
    </row>
    <row r="405" ht="15.75" customHeight="1">
      <c r="AC405" s="75"/>
      <c r="AD405" s="2"/>
    </row>
    <row r="406" ht="15.75" customHeight="1">
      <c r="AC406" s="75"/>
      <c r="AD406" s="2"/>
    </row>
    <row r="407" ht="15.75" customHeight="1">
      <c r="AC407" s="75"/>
      <c r="AD407" s="2"/>
    </row>
    <row r="408" ht="15.75" customHeight="1">
      <c r="AC408" s="75"/>
      <c r="AD408" s="2"/>
    </row>
    <row r="409" ht="15.75" customHeight="1">
      <c r="AC409" s="75"/>
      <c r="AD409" s="2"/>
    </row>
    <row r="410" ht="15.75" customHeight="1">
      <c r="AC410" s="75"/>
      <c r="AD410" s="2"/>
    </row>
    <row r="411" ht="15.75" customHeight="1">
      <c r="AC411" s="75"/>
      <c r="AD411" s="2"/>
    </row>
    <row r="412" ht="15.75" customHeight="1">
      <c r="AC412" s="75"/>
      <c r="AD412" s="2"/>
    </row>
    <row r="413" ht="15.75" customHeight="1">
      <c r="AC413" s="75"/>
      <c r="AD413" s="2"/>
    </row>
    <row r="414" ht="15.75" customHeight="1">
      <c r="AC414" s="75"/>
      <c r="AD414" s="2"/>
    </row>
    <row r="415" ht="15.75" customHeight="1">
      <c r="AC415" s="75"/>
      <c r="AD415" s="2"/>
    </row>
    <row r="416" ht="15.75" customHeight="1">
      <c r="AC416" s="75"/>
      <c r="AD416" s="2"/>
    </row>
    <row r="417" ht="15.75" customHeight="1">
      <c r="AC417" s="75"/>
      <c r="AD417" s="2"/>
    </row>
    <row r="418" ht="15.75" customHeight="1">
      <c r="AC418" s="75"/>
      <c r="AD418" s="2"/>
    </row>
    <row r="419" ht="15.75" customHeight="1">
      <c r="AC419" s="75"/>
      <c r="AD419" s="2"/>
    </row>
    <row r="420" ht="15.75" customHeight="1">
      <c r="AC420" s="75"/>
      <c r="AD420" s="2"/>
    </row>
    <row r="421" ht="15.75" customHeight="1">
      <c r="AC421" s="75"/>
      <c r="AD421" s="2"/>
    </row>
    <row r="422" ht="15.75" customHeight="1">
      <c r="AC422" s="75"/>
      <c r="AD422" s="2"/>
    </row>
    <row r="423" ht="15.75" customHeight="1">
      <c r="AC423" s="75"/>
      <c r="AD423" s="2"/>
    </row>
    <row r="424" ht="15.75" customHeight="1">
      <c r="AC424" s="75"/>
      <c r="AD424" s="2"/>
    </row>
    <row r="425" ht="15.75" customHeight="1">
      <c r="AC425" s="75"/>
      <c r="AD425" s="2"/>
    </row>
    <row r="426" ht="15.75" customHeight="1">
      <c r="AC426" s="75"/>
      <c r="AD426" s="2"/>
    </row>
    <row r="427" ht="15.75" customHeight="1">
      <c r="AC427" s="75"/>
      <c r="AD427" s="2"/>
    </row>
    <row r="428" ht="15.75" customHeight="1">
      <c r="AC428" s="75"/>
      <c r="AD428" s="2"/>
    </row>
    <row r="429" ht="15.75" customHeight="1">
      <c r="AC429" s="75"/>
      <c r="AD429" s="2"/>
    </row>
    <row r="430" ht="15.75" customHeight="1">
      <c r="AC430" s="75"/>
      <c r="AD430" s="2"/>
    </row>
    <row r="431" ht="15.75" customHeight="1">
      <c r="AC431" s="75"/>
      <c r="AD431" s="2"/>
    </row>
    <row r="432" ht="15.75" customHeight="1">
      <c r="AC432" s="75"/>
      <c r="AD432" s="2"/>
    </row>
    <row r="433" ht="15.75" customHeight="1">
      <c r="AC433" s="75"/>
      <c r="AD433" s="2"/>
    </row>
    <row r="434" ht="15.75" customHeight="1">
      <c r="AC434" s="75"/>
      <c r="AD434" s="2"/>
    </row>
    <row r="435" ht="15.75" customHeight="1">
      <c r="AC435" s="75"/>
      <c r="AD435" s="2"/>
    </row>
    <row r="436" ht="15.75" customHeight="1">
      <c r="AC436" s="75"/>
      <c r="AD436" s="2"/>
    </row>
    <row r="437" ht="15.75" customHeight="1">
      <c r="AC437" s="75"/>
      <c r="AD437" s="2"/>
    </row>
    <row r="438" ht="15.75" customHeight="1">
      <c r="AC438" s="75"/>
      <c r="AD438" s="2"/>
    </row>
    <row r="439" ht="15.75" customHeight="1">
      <c r="AC439" s="75"/>
      <c r="AD439" s="2"/>
    </row>
    <row r="440" ht="15.75" customHeight="1">
      <c r="AC440" s="75"/>
      <c r="AD440" s="2"/>
    </row>
    <row r="441" ht="15.75" customHeight="1">
      <c r="AC441" s="75"/>
      <c r="AD441" s="2"/>
    </row>
    <row r="442" ht="15.75" customHeight="1">
      <c r="AC442" s="75"/>
      <c r="AD442" s="2"/>
    </row>
    <row r="443" ht="15.75" customHeight="1">
      <c r="AC443" s="75"/>
      <c r="AD443" s="2"/>
    </row>
    <row r="444" ht="15.75" customHeight="1">
      <c r="AC444" s="75"/>
      <c r="AD444" s="2"/>
    </row>
    <row r="445" ht="15.75" customHeight="1">
      <c r="AC445" s="75"/>
      <c r="AD445" s="2"/>
    </row>
    <row r="446" ht="15.75" customHeight="1">
      <c r="AC446" s="75"/>
      <c r="AD446" s="2"/>
    </row>
    <row r="447" ht="15.75" customHeight="1">
      <c r="AC447" s="75"/>
      <c r="AD447" s="2"/>
    </row>
    <row r="448" ht="15.75" customHeight="1">
      <c r="AC448" s="75"/>
      <c r="AD448" s="2"/>
    </row>
    <row r="449" ht="15.75" customHeight="1">
      <c r="AC449" s="75"/>
      <c r="AD449" s="2"/>
    </row>
    <row r="450" ht="15.75" customHeight="1">
      <c r="AC450" s="75"/>
      <c r="AD450" s="2"/>
    </row>
    <row r="451" ht="15.75" customHeight="1">
      <c r="AC451" s="75"/>
      <c r="AD451" s="2"/>
    </row>
    <row r="452" ht="15.75" customHeight="1">
      <c r="AC452" s="75"/>
      <c r="AD452" s="2"/>
    </row>
    <row r="453" ht="15.75" customHeight="1">
      <c r="AC453" s="75"/>
      <c r="AD453" s="2"/>
    </row>
    <row r="454" ht="15.75" customHeight="1">
      <c r="AC454" s="75"/>
      <c r="AD454" s="2"/>
    </row>
    <row r="455" ht="15.75" customHeight="1">
      <c r="AC455" s="75"/>
      <c r="AD455" s="2"/>
    </row>
    <row r="456" ht="15.75" customHeight="1">
      <c r="AC456" s="75"/>
      <c r="AD456" s="2"/>
    </row>
    <row r="457" ht="15.75" customHeight="1">
      <c r="AC457" s="75"/>
      <c r="AD457" s="2"/>
    </row>
    <row r="458" ht="15.75" customHeight="1">
      <c r="AC458" s="75"/>
      <c r="AD458" s="2"/>
    </row>
    <row r="459" ht="15.75" customHeight="1">
      <c r="AC459" s="75"/>
      <c r="AD459" s="2"/>
    </row>
    <row r="460" ht="15.75" customHeight="1">
      <c r="AC460" s="75"/>
      <c r="AD460" s="2"/>
    </row>
    <row r="461" ht="15.75" customHeight="1">
      <c r="AC461" s="75"/>
      <c r="AD461" s="2"/>
    </row>
    <row r="462" ht="15.75" customHeight="1">
      <c r="AC462" s="75"/>
      <c r="AD462" s="2"/>
    </row>
    <row r="463" ht="15.75" customHeight="1">
      <c r="AC463" s="75"/>
      <c r="AD463" s="2"/>
    </row>
    <row r="464" ht="15.75" customHeight="1">
      <c r="AC464" s="75"/>
      <c r="AD464" s="2"/>
    </row>
    <row r="465" ht="15.75" customHeight="1">
      <c r="AC465" s="75"/>
      <c r="AD465" s="2"/>
    </row>
    <row r="466" ht="15.75" customHeight="1">
      <c r="AC466" s="75"/>
      <c r="AD466" s="2"/>
    </row>
    <row r="467" ht="15.75" customHeight="1">
      <c r="AC467" s="75"/>
      <c r="AD467" s="2"/>
    </row>
    <row r="468" ht="15.75" customHeight="1">
      <c r="AC468" s="75"/>
      <c r="AD468" s="2"/>
    </row>
    <row r="469" ht="15.75" customHeight="1">
      <c r="AC469" s="75"/>
      <c r="AD469" s="2"/>
    </row>
    <row r="470" ht="15.75" customHeight="1">
      <c r="AC470" s="75"/>
      <c r="AD470" s="2"/>
    </row>
    <row r="471" ht="15.75" customHeight="1">
      <c r="AC471" s="75"/>
      <c r="AD471" s="2"/>
    </row>
    <row r="472" ht="15.75" customHeight="1">
      <c r="AC472" s="75"/>
      <c r="AD472" s="2"/>
    </row>
    <row r="473" ht="15.75" customHeight="1">
      <c r="AC473" s="75"/>
      <c r="AD473" s="2"/>
    </row>
    <row r="474" ht="15.75" customHeight="1">
      <c r="AC474" s="75"/>
      <c r="AD474" s="2"/>
    </row>
    <row r="475" ht="15.75" customHeight="1">
      <c r="AC475" s="75"/>
      <c r="AD475" s="2"/>
    </row>
    <row r="476" ht="15.75" customHeight="1">
      <c r="AC476" s="75"/>
      <c r="AD476" s="2"/>
    </row>
    <row r="477" ht="15.75" customHeight="1">
      <c r="AC477" s="75"/>
      <c r="AD477" s="2"/>
    </row>
    <row r="478" ht="15.75" customHeight="1">
      <c r="AC478" s="75"/>
      <c r="AD478" s="2"/>
    </row>
    <row r="479" ht="15.75" customHeight="1">
      <c r="AC479" s="75"/>
      <c r="AD479" s="2"/>
    </row>
    <row r="480" ht="15.75" customHeight="1">
      <c r="AC480" s="75"/>
      <c r="AD480" s="2"/>
    </row>
    <row r="481" ht="15.75" customHeight="1">
      <c r="AC481" s="75"/>
      <c r="AD481" s="2"/>
    </row>
    <row r="482" ht="15.75" customHeight="1">
      <c r="AC482" s="75"/>
      <c r="AD482" s="2"/>
    </row>
    <row r="483" ht="15.75" customHeight="1">
      <c r="AC483" s="75"/>
      <c r="AD483" s="2"/>
    </row>
    <row r="484" ht="15.75" customHeight="1">
      <c r="AC484" s="75"/>
      <c r="AD484" s="2"/>
    </row>
    <row r="485" ht="15.75" customHeight="1">
      <c r="AC485" s="75"/>
      <c r="AD485" s="2"/>
    </row>
    <row r="486" ht="15.75" customHeight="1">
      <c r="AC486" s="75"/>
      <c r="AD486" s="2"/>
    </row>
    <row r="487" ht="15.75" customHeight="1">
      <c r="AC487" s="75"/>
      <c r="AD487" s="2"/>
    </row>
    <row r="488" ht="15.75" customHeight="1">
      <c r="AC488" s="75"/>
      <c r="AD488" s="2"/>
    </row>
    <row r="489" ht="15.75" customHeight="1">
      <c r="AC489" s="75"/>
      <c r="AD489" s="2"/>
    </row>
    <row r="490" ht="15.75" customHeight="1">
      <c r="AC490" s="75"/>
      <c r="AD490" s="2"/>
    </row>
    <row r="491" ht="15.75" customHeight="1">
      <c r="AC491" s="75"/>
      <c r="AD491" s="2"/>
    </row>
    <row r="492" ht="15.75" customHeight="1">
      <c r="AC492" s="75"/>
      <c r="AD492" s="2"/>
    </row>
    <row r="493" ht="15.75" customHeight="1">
      <c r="AC493" s="75"/>
      <c r="AD493" s="2"/>
    </row>
    <row r="494" ht="15.75" customHeight="1">
      <c r="AC494" s="75"/>
      <c r="AD494" s="2"/>
    </row>
    <row r="495" ht="15.75" customHeight="1">
      <c r="AC495" s="75"/>
      <c r="AD495" s="2"/>
    </row>
    <row r="496" ht="15.75" customHeight="1">
      <c r="AC496" s="75"/>
      <c r="AD496" s="2"/>
    </row>
    <row r="497" ht="15.75" customHeight="1">
      <c r="AC497" s="75"/>
      <c r="AD497" s="2"/>
    </row>
    <row r="498" ht="15.75" customHeight="1">
      <c r="AC498" s="75"/>
      <c r="AD498" s="2"/>
    </row>
    <row r="499" ht="15.75" customHeight="1">
      <c r="AC499" s="75"/>
      <c r="AD499" s="2"/>
    </row>
    <row r="500" ht="15.75" customHeight="1">
      <c r="AC500" s="75"/>
      <c r="AD500" s="2"/>
    </row>
    <row r="501" ht="15.75" customHeight="1">
      <c r="AC501" s="75"/>
      <c r="AD501" s="2"/>
    </row>
    <row r="502" ht="15.75" customHeight="1">
      <c r="AC502" s="75"/>
      <c r="AD502" s="2"/>
    </row>
    <row r="503" ht="15.75" customHeight="1">
      <c r="AC503" s="75"/>
      <c r="AD503" s="2"/>
    </row>
    <row r="504" ht="15.75" customHeight="1">
      <c r="AC504" s="75"/>
      <c r="AD504" s="2"/>
    </row>
    <row r="505" ht="15.75" customHeight="1">
      <c r="AC505" s="75"/>
      <c r="AD505" s="2"/>
    </row>
    <row r="506" ht="15.75" customHeight="1">
      <c r="AC506" s="75"/>
      <c r="AD506" s="2"/>
    </row>
    <row r="507" ht="15.75" customHeight="1">
      <c r="AC507" s="75"/>
      <c r="AD507" s="2"/>
    </row>
    <row r="508" ht="15.75" customHeight="1">
      <c r="AC508" s="75"/>
      <c r="AD508" s="2"/>
    </row>
    <row r="509" ht="15.75" customHeight="1">
      <c r="AC509" s="75"/>
      <c r="AD509" s="2"/>
    </row>
    <row r="510" ht="15.75" customHeight="1">
      <c r="AC510" s="75"/>
      <c r="AD510" s="2"/>
    </row>
    <row r="511" ht="15.75" customHeight="1">
      <c r="AC511" s="75"/>
      <c r="AD511" s="2"/>
    </row>
    <row r="512" ht="15.75" customHeight="1">
      <c r="AC512" s="75"/>
      <c r="AD512" s="2"/>
    </row>
    <row r="513" ht="15.75" customHeight="1">
      <c r="AC513" s="75"/>
      <c r="AD513" s="2"/>
    </row>
    <row r="514" ht="15.75" customHeight="1">
      <c r="AC514" s="75"/>
      <c r="AD514" s="2"/>
    </row>
    <row r="515" ht="15.75" customHeight="1">
      <c r="AC515" s="75"/>
      <c r="AD515" s="2"/>
    </row>
    <row r="516" ht="15.75" customHeight="1">
      <c r="AC516" s="75"/>
      <c r="AD516" s="2"/>
    </row>
    <row r="517" ht="15.75" customHeight="1">
      <c r="AC517" s="75"/>
      <c r="AD517" s="2"/>
    </row>
    <row r="518" ht="15.75" customHeight="1">
      <c r="AC518" s="75"/>
      <c r="AD518" s="2"/>
    </row>
    <row r="519" ht="15.75" customHeight="1">
      <c r="AC519" s="75"/>
      <c r="AD519" s="2"/>
    </row>
    <row r="520" ht="15.75" customHeight="1">
      <c r="AC520" s="75"/>
      <c r="AD520" s="2"/>
    </row>
    <row r="521" ht="15.75" customHeight="1">
      <c r="AC521" s="75"/>
      <c r="AD521" s="2"/>
    </row>
    <row r="522" ht="15.75" customHeight="1">
      <c r="AC522" s="75"/>
      <c r="AD522" s="2"/>
    </row>
    <row r="523" ht="15.75" customHeight="1">
      <c r="AC523" s="75"/>
      <c r="AD523" s="2"/>
    </row>
    <row r="524" ht="15.75" customHeight="1">
      <c r="AC524" s="75"/>
      <c r="AD524" s="2"/>
    </row>
    <row r="525" ht="15.75" customHeight="1">
      <c r="AC525" s="75"/>
      <c r="AD525" s="2"/>
    </row>
    <row r="526" ht="15.75" customHeight="1">
      <c r="AC526" s="75"/>
      <c r="AD526" s="2"/>
    </row>
    <row r="527" ht="15.75" customHeight="1">
      <c r="AC527" s="75"/>
      <c r="AD527" s="2"/>
    </row>
    <row r="528" ht="15.75" customHeight="1">
      <c r="AC528" s="75"/>
      <c r="AD528" s="2"/>
    </row>
    <row r="529" ht="15.75" customHeight="1">
      <c r="AC529" s="75"/>
      <c r="AD529" s="2"/>
    </row>
    <row r="530" ht="15.75" customHeight="1">
      <c r="AC530" s="75"/>
      <c r="AD530" s="2"/>
    </row>
    <row r="531" ht="15.75" customHeight="1">
      <c r="AC531" s="75"/>
      <c r="AD531" s="2"/>
    </row>
    <row r="532" ht="15.75" customHeight="1">
      <c r="AC532" s="75"/>
      <c r="AD532" s="2"/>
    </row>
    <row r="533" ht="15.75" customHeight="1">
      <c r="AC533" s="75"/>
      <c r="AD533" s="2"/>
    </row>
    <row r="534" ht="15.75" customHeight="1">
      <c r="AC534" s="75"/>
      <c r="AD534" s="2"/>
    </row>
    <row r="535" ht="15.75" customHeight="1">
      <c r="AC535" s="75"/>
      <c r="AD535" s="2"/>
    </row>
    <row r="536" ht="15.75" customHeight="1">
      <c r="AC536" s="75"/>
      <c r="AD536" s="2"/>
    </row>
    <row r="537" ht="15.75" customHeight="1">
      <c r="AC537" s="75"/>
      <c r="AD537" s="2"/>
    </row>
    <row r="538" ht="15.75" customHeight="1">
      <c r="AC538" s="75"/>
      <c r="AD538" s="2"/>
    </row>
    <row r="539" ht="15.75" customHeight="1">
      <c r="AC539" s="75"/>
      <c r="AD539" s="2"/>
    </row>
    <row r="540" ht="15.75" customHeight="1">
      <c r="AC540" s="75"/>
      <c r="AD540" s="2"/>
    </row>
    <row r="541" ht="15.75" customHeight="1">
      <c r="AC541" s="75"/>
      <c r="AD541" s="2"/>
    </row>
    <row r="542" ht="15.75" customHeight="1">
      <c r="AC542" s="75"/>
      <c r="AD542" s="2"/>
    </row>
    <row r="543" ht="15.75" customHeight="1">
      <c r="AC543" s="75"/>
      <c r="AD543" s="2"/>
    </row>
    <row r="544" ht="15.75" customHeight="1">
      <c r="AC544" s="75"/>
      <c r="AD544" s="2"/>
    </row>
    <row r="545" ht="15.75" customHeight="1">
      <c r="AC545" s="75"/>
      <c r="AD545" s="2"/>
    </row>
    <row r="546" ht="15.75" customHeight="1">
      <c r="AC546" s="75"/>
      <c r="AD546" s="2"/>
    </row>
    <row r="547" ht="15.75" customHeight="1">
      <c r="AC547" s="75"/>
      <c r="AD547" s="2"/>
    </row>
    <row r="548" ht="15.75" customHeight="1">
      <c r="AC548" s="75"/>
      <c r="AD548" s="2"/>
    </row>
    <row r="549" ht="15.75" customHeight="1">
      <c r="AC549" s="75"/>
      <c r="AD549" s="2"/>
    </row>
    <row r="550" ht="15.75" customHeight="1">
      <c r="AC550" s="75"/>
      <c r="AD550" s="2"/>
    </row>
    <row r="551" ht="15.75" customHeight="1">
      <c r="AC551" s="75"/>
      <c r="AD551" s="2"/>
    </row>
    <row r="552" ht="15.75" customHeight="1">
      <c r="AC552" s="75"/>
      <c r="AD552" s="2"/>
    </row>
    <row r="553" ht="15.75" customHeight="1">
      <c r="AC553" s="75"/>
      <c r="AD553" s="2"/>
    </row>
    <row r="554" ht="15.75" customHeight="1">
      <c r="AC554" s="75"/>
      <c r="AD554" s="2"/>
    </row>
    <row r="555" ht="15.75" customHeight="1">
      <c r="AC555" s="75"/>
      <c r="AD555" s="2"/>
    </row>
    <row r="556" ht="15.75" customHeight="1">
      <c r="AC556" s="75"/>
      <c r="AD556" s="2"/>
    </row>
    <row r="557" ht="15.75" customHeight="1">
      <c r="AC557" s="75"/>
      <c r="AD557" s="2"/>
    </row>
    <row r="558" ht="15.75" customHeight="1">
      <c r="AC558" s="75"/>
      <c r="AD558" s="2"/>
    </row>
    <row r="559" ht="15.75" customHeight="1">
      <c r="AC559" s="75"/>
      <c r="AD559" s="2"/>
    </row>
    <row r="560" ht="15.75" customHeight="1">
      <c r="AC560" s="75"/>
      <c r="AD560" s="2"/>
    </row>
    <row r="561" ht="15.75" customHeight="1">
      <c r="AC561" s="75"/>
      <c r="AD561" s="2"/>
    </row>
    <row r="562" ht="15.75" customHeight="1">
      <c r="AC562" s="75"/>
      <c r="AD562" s="2"/>
    </row>
    <row r="563" ht="15.75" customHeight="1">
      <c r="AC563" s="75"/>
      <c r="AD563" s="2"/>
    </row>
    <row r="564" ht="15.75" customHeight="1">
      <c r="AC564" s="75"/>
      <c r="AD564" s="2"/>
    </row>
    <row r="565" ht="15.75" customHeight="1">
      <c r="AC565" s="75"/>
      <c r="AD565" s="2"/>
    </row>
    <row r="566" ht="15.75" customHeight="1">
      <c r="AC566" s="75"/>
      <c r="AD566" s="2"/>
    </row>
    <row r="567" ht="15.75" customHeight="1">
      <c r="AC567" s="75"/>
      <c r="AD567" s="2"/>
    </row>
    <row r="568" ht="15.75" customHeight="1">
      <c r="AC568" s="75"/>
      <c r="AD568" s="2"/>
    </row>
    <row r="569" ht="15.75" customHeight="1">
      <c r="AC569" s="75"/>
      <c r="AD569" s="2"/>
    </row>
    <row r="570" ht="15.75" customHeight="1">
      <c r="AC570" s="75"/>
      <c r="AD570" s="2"/>
    </row>
    <row r="571" ht="15.75" customHeight="1">
      <c r="AC571" s="75"/>
      <c r="AD571" s="2"/>
    </row>
    <row r="572" ht="15.75" customHeight="1">
      <c r="AC572" s="75"/>
      <c r="AD572" s="2"/>
    </row>
    <row r="573" ht="15.75" customHeight="1">
      <c r="AC573" s="75"/>
      <c r="AD573" s="2"/>
    </row>
    <row r="574" ht="15.75" customHeight="1">
      <c r="AC574" s="75"/>
      <c r="AD574" s="2"/>
    </row>
    <row r="575" ht="15.75" customHeight="1">
      <c r="AC575" s="75"/>
      <c r="AD575" s="2"/>
    </row>
    <row r="576" ht="15.75" customHeight="1">
      <c r="AC576" s="75"/>
      <c r="AD576" s="2"/>
    </row>
    <row r="577" ht="15.75" customHeight="1">
      <c r="AC577" s="75"/>
      <c r="AD577" s="2"/>
    </row>
    <row r="578" ht="15.75" customHeight="1">
      <c r="AC578" s="75"/>
      <c r="AD578" s="2"/>
    </row>
    <row r="579" ht="15.75" customHeight="1">
      <c r="AC579" s="75"/>
      <c r="AD579" s="2"/>
    </row>
    <row r="580" ht="15.75" customHeight="1">
      <c r="AC580" s="75"/>
      <c r="AD580" s="2"/>
    </row>
    <row r="581" ht="15.75" customHeight="1">
      <c r="AC581" s="75"/>
      <c r="AD581" s="2"/>
    </row>
    <row r="582" ht="15.75" customHeight="1">
      <c r="AC582" s="75"/>
      <c r="AD582" s="2"/>
    </row>
    <row r="583" ht="15.75" customHeight="1">
      <c r="AC583" s="75"/>
      <c r="AD583" s="2"/>
    </row>
    <row r="584" ht="15.75" customHeight="1">
      <c r="AC584" s="75"/>
      <c r="AD584" s="2"/>
    </row>
    <row r="585" ht="15.75" customHeight="1">
      <c r="AC585" s="75"/>
      <c r="AD585" s="2"/>
    </row>
    <row r="586" ht="15.75" customHeight="1">
      <c r="AC586" s="75"/>
      <c r="AD586" s="2"/>
    </row>
    <row r="587" ht="15.75" customHeight="1">
      <c r="AC587" s="75"/>
      <c r="AD587" s="2"/>
    </row>
    <row r="588" ht="15.75" customHeight="1">
      <c r="AC588" s="75"/>
      <c r="AD588" s="2"/>
    </row>
    <row r="589" ht="15.75" customHeight="1">
      <c r="AC589" s="75"/>
      <c r="AD589" s="2"/>
    </row>
    <row r="590" ht="15.75" customHeight="1">
      <c r="AC590" s="75"/>
      <c r="AD590" s="2"/>
    </row>
    <row r="591" ht="15.75" customHeight="1">
      <c r="AC591" s="75"/>
      <c r="AD591" s="2"/>
    </row>
    <row r="592" ht="15.75" customHeight="1">
      <c r="AC592" s="75"/>
      <c r="AD592" s="2"/>
    </row>
    <row r="593" ht="15.75" customHeight="1">
      <c r="AC593" s="75"/>
      <c r="AD593" s="2"/>
    </row>
    <row r="594" ht="15.75" customHeight="1">
      <c r="AC594" s="75"/>
      <c r="AD594" s="2"/>
    </row>
    <row r="595" ht="15.75" customHeight="1">
      <c r="AC595" s="75"/>
      <c r="AD595" s="2"/>
    </row>
    <row r="596" ht="15.75" customHeight="1">
      <c r="AC596" s="75"/>
      <c r="AD596" s="2"/>
    </row>
    <row r="597" ht="15.75" customHeight="1">
      <c r="AC597" s="75"/>
      <c r="AD597" s="2"/>
    </row>
    <row r="598" ht="15.75" customHeight="1">
      <c r="AC598" s="75"/>
      <c r="AD598" s="2"/>
    </row>
    <row r="599" ht="15.75" customHeight="1">
      <c r="AC599" s="75"/>
      <c r="AD599" s="2"/>
    </row>
    <row r="600" ht="15.75" customHeight="1">
      <c r="AC600" s="75"/>
      <c r="AD600" s="2"/>
    </row>
    <row r="601" ht="15.75" customHeight="1">
      <c r="AC601" s="75"/>
      <c r="AD601" s="2"/>
    </row>
    <row r="602" ht="15.75" customHeight="1">
      <c r="AC602" s="75"/>
      <c r="AD602" s="2"/>
    </row>
    <row r="603" ht="15.75" customHeight="1">
      <c r="AC603" s="75"/>
      <c r="AD603" s="2"/>
    </row>
    <row r="604" ht="15.75" customHeight="1">
      <c r="AC604" s="75"/>
      <c r="AD604" s="2"/>
    </row>
    <row r="605" ht="15.75" customHeight="1">
      <c r="AC605" s="75"/>
      <c r="AD605" s="2"/>
    </row>
    <row r="606" ht="15.75" customHeight="1">
      <c r="AC606" s="75"/>
      <c r="AD606" s="2"/>
    </row>
    <row r="607" ht="15.75" customHeight="1">
      <c r="AC607" s="75"/>
      <c r="AD607" s="2"/>
    </row>
    <row r="608" ht="15.75" customHeight="1">
      <c r="AC608" s="75"/>
      <c r="AD608" s="2"/>
    </row>
    <row r="609" ht="15.75" customHeight="1">
      <c r="AC609" s="75"/>
      <c r="AD609" s="2"/>
    </row>
    <row r="610" ht="15.75" customHeight="1">
      <c r="AC610" s="75"/>
      <c r="AD610" s="2"/>
    </row>
    <row r="611" ht="15.75" customHeight="1">
      <c r="AC611" s="75"/>
      <c r="AD611" s="2"/>
    </row>
    <row r="612" ht="15.75" customHeight="1">
      <c r="AC612" s="75"/>
      <c r="AD612" s="2"/>
    </row>
    <row r="613" ht="15.75" customHeight="1">
      <c r="AC613" s="75"/>
      <c r="AD613" s="2"/>
    </row>
    <row r="614" ht="15.75" customHeight="1">
      <c r="AC614" s="75"/>
      <c r="AD614" s="2"/>
    </row>
    <row r="615" ht="15.75" customHeight="1">
      <c r="AC615" s="75"/>
      <c r="AD615" s="2"/>
    </row>
    <row r="616" ht="15.75" customHeight="1">
      <c r="AC616" s="75"/>
      <c r="AD616" s="2"/>
    </row>
    <row r="617" ht="15.75" customHeight="1">
      <c r="AC617" s="75"/>
      <c r="AD617" s="2"/>
    </row>
    <row r="618" ht="15.75" customHeight="1">
      <c r="AC618" s="75"/>
      <c r="AD618" s="2"/>
    </row>
    <row r="619" ht="15.75" customHeight="1">
      <c r="AC619" s="75"/>
      <c r="AD619" s="2"/>
    </row>
    <row r="620" ht="15.75" customHeight="1">
      <c r="AC620" s="75"/>
      <c r="AD620" s="2"/>
    </row>
    <row r="621" ht="15.75" customHeight="1">
      <c r="AC621" s="75"/>
      <c r="AD621" s="2"/>
    </row>
    <row r="622" ht="15.75" customHeight="1">
      <c r="AC622" s="75"/>
      <c r="AD622" s="2"/>
    </row>
    <row r="623" ht="15.75" customHeight="1">
      <c r="AC623" s="75"/>
      <c r="AD623" s="2"/>
    </row>
    <row r="624" ht="15.75" customHeight="1">
      <c r="AC624" s="75"/>
      <c r="AD624" s="2"/>
    </row>
    <row r="625" ht="15.75" customHeight="1">
      <c r="AC625" s="75"/>
      <c r="AD625" s="2"/>
    </row>
    <row r="626" ht="15.75" customHeight="1">
      <c r="AC626" s="75"/>
      <c r="AD626" s="2"/>
    </row>
    <row r="627" ht="15.75" customHeight="1">
      <c r="AC627" s="75"/>
      <c r="AD627" s="2"/>
    </row>
    <row r="628" ht="15.75" customHeight="1">
      <c r="AC628" s="75"/>
      <c r="AD628" s="2"/>
    </row>
    <row r="629" ht="15.75" customHeight="1">
      <c r="AC629" s="75"/>
      <c r="AD629" s="2"/>
    </row>
    <row r="630" ht="15.75" customHeight="1">
      <c r="AC630" s="75"/>
      <c r="AD630" s="2"/>
    </row>
    <row r="631" ht="15.75" customHeight="1">
      <c r="AC631" s="75"/>
      <c r="AD631" s="2"/>
    </row>
    <row r="632" ht="15.75" customHeight="1">
      <c r="AC632" s="75"/>
      <c r="AD632" s="2"/>
    </row>
    <row r="633" ht="15.75" customHeight="1">
      <c r="AC633" s="75"/>
      <c r="AD633" s="2"/>
    </row>
    <row r="634" ht="15.75" customHeight="1">
      <c r="AC634" s="75"/>
      <c r="AD634" s="2"/>
    </row>
    <row r="635" ht="15.75" customHeight="1">
      <c r="AC635" s="75"/>
      <c r="AD635" s="2"/>
    </row>
    <row r="636" ht="15.75" customHeight="1">
      <c r="AC636" s="75"/>
      <c r="AD636" s="2"/>
    </row>
    <row r="637" ht="15.75" customHeight="1">
      <c r="AC637" s="75"/>
      <c r="AD637" s="2"/>
    </row>
    <row r="638" ht="15.75" customHeight="1">
      <c r="AC638" s="75"/>
      <c r="AD638" s="2"/>
    </row>
    <row r="639" ht="15.75" customHeight="1">
      <c r="AC639" s="75"/>
      <c r="AD639" s="2"/>
    </row>
    <row r="640" ht="15.75" customHeight="1">
      <c r="AC640" s="75"/>
      <c r="AD640" s="2"/>
    </row>
    <row r="641" ht="15.75" customHeight="1">
      <c r="AC641" s="75"/>
      <c r="AD641" s="2"/>
    </row>
    <row r="642" ht="15.75" customHeight="1">
      <c r="AC642" s="75"/>
      <c r="AD642" s="2"/>
    </row>
    <row r="643" ht="15.75" customHeight="1">
      <c r="AC643" s="75"/>
      <c r="AD643" s="2"/>
    </row>
    <row r="644" ht="15.75" customHeight="1">
      <c r="AC644" s="75"/>
      <c r="AD644" s="2"/>
    </row>
    <row r="645" ht="15.75" customHeight="1">
      <c r="AC645" s="75"/>
      <c r="AD645" s="2"/>
    </row>
    <row r="646" ht="15.75" customHeight="1">
      <c r="AC646" s="75"/>
      <c r="AD646" s="2"/>
    </row>
    <row r="647" ht="15.75" customHeight="1">
      <c r="AC647" s="75"/>
      <c r="AD647" s="2"/>
    </row>
    <row r="648" ht="15.75" customHeight="1">
      <c r="AC648" s="75"/>
      <c r="AD648" s="2"/>
    </row>
    <row r="649" ht="15.75" customHeight="1">
      <c r="AC649" s="75"/>
      <c r="AD649" s="2"/>
    </row>
    <row r="650" ht="15.75" customHeight="1">
      <c r="AC650" s="75"/>
      <c r="AD650" s="2"/>
    </row>
    <row r="651" ht="15.75" customHeight="1">
      <c r="AC651" s="75"/>
      <c r="AD651" s="2"/>
    </row>
    <row r="652" ht="15.75" customHeight="1">
      <c r="AC652" s="75"/>
      <c r="AD652" s="2"/>
    </row>
    <row r="653" ht="15.75" customHeight="1">
      <c r="AC653" s="75"/>
      <c r="AD653" s="2"/>
    </row>
    <row r="654" ht="15.75" customHeight="1">
      <c r="AC654" s="75"/>
      <c r="AD654" s="2"/>
    </row>
    <row r="655" ht="15.75" customHeight="1">
      <c r="AC655" s="75"/>
      <c r="AD655" s="2"/>
    </row>
    <row r="656" ht="15.75" customHeight="1">
      <c r="AC656" s="75"/>
      <c r="AD656" s="2"/>
    </row>
    <row r="657" ht="15.75" customHeight="1">
      <c r="AC657" s="75"/>
      <c r="AD657" s="2"/>
    </row>
    <row r="658" ht="15.75" customHeight="1">
      <c r="AC658" s="75"/>
      <c r="AD658" s="2"/>
    </row>
    <row r="659" ht="15.75" customHeight="1">
      <c r="AC659" s="75"/>
      <c r="AD659" s="2"/>
    </row>
    <row r="660" ht="15.75" customHeight="1">
      <c r="AC660" s="75"/>
      <c r="AD660" s="2"/>
    </row>
    <row r="661" ht="15.75" customHeight="1">
      <c r="AC661" s="75"/>
      <c r="AD661" s="2"/>
    </row>
    <row r="662" ht="15.75" customHeight="1">
      <c r="AC662" s="75"/>
      <c r="AD662" s="2"/>
    </row>
    <row r="663" ht="15.75" customHeight="1">
      <c r="AC663" s="75"/>
      <c r="AD663" s="2"/>
    </row>
    <row r="664" ht="15.75" customHeight="1">
      <c r="AC664" s="75"/>
      <c r="AD664" s="2"/>
    </row>
    <row r="665" ht="15.75" customHeight="1">
      <c r="AC665" s="75"/>
      <c r="AD665" s="2"/>
    </row>
    <row r="666" ht="15.75" customHeight="1">
      <c r="AC666" s="75"/>
      <c r="AD666" s="2"/>
    </row>
    <row r="667" ht="15.75" customHeight="1">
      <c r="AC667" s="75"/>
      <c r="AD667" s="2"/>
    </row>
    <row r="668" ht="15.75" customHeight="1">
      <c r="AC668" s="75"/>
      <c r="AD668" s="2"/>
    </row>
    <row r="669" ht="15.75" customHeight="1">
      <c r="AC669" s="75"/>
      <c r="AD669" s="2"/>
    </row>
    <row r="670" ht="15.75" customHeight="1">
      <c r="AC670" s="75"/>
      <c r="AD670" s="2"/>
    </row>
    <row r="671" ht="15.75" customHeight="1">
      <c r="AC671" s="75"/>
      <c r="AD671" s="2"/>
    </row>
    <row r="672" ht="15.75" customHeight="1">
      <c r="AC672" s="75"/>
      <c r="AD672" s="2"/>
    </row>
    <row r="673" ht="15.75" customHeight="1">
      <c r="AC673" s="75"/>
      <c r="AD673" s="2"/>
    </row>
    <row r="674" ht="15.75" customHeight="1">
      <c r="AC674" s="75"/>
      <c r="AD674" s="2"/>
    </row>
    <row r="675" ht="15.75" customHeight="1">
      <c r="AC675" s="75"/>
      <c r="AD675" s="2"/>
    </row>
    <row r="676" ht="15.75" customHeight="1">
      <c r="AC676" s="75"/>
      <c r="AD676" s="2"/>
    </row>
    <row r="677" ht="15.75" customHeight="1">
      <c r="AC677" s="75"/>
      <c r="AD677" s="2"/>
    </row>
    <row r="678" ht="15.75" customHeight="1">
      <c r="AC678" s="75"/>
      <c r="AD678" s="2"/>
    </row>
    <row r="679" ht="15.75" customHeight="1">
      <c r="AC679" s="75"/>
      <c r="AD679" s="2"/>
    </row>
    <row r="680" ht="15.75" customHeight="1">
      <c r="AC680" s="75"/>
      <c r="AD680" s="2"/>
    </row>
    <row r="681" ht="15.75" customHeight="1">
      <c r="AC681" s="75"/>
      <c r="AD681" s="2"/>
    </row>
    <row r="682" ht="15.75" customHeight="1">
      <c r="AC682" s="75"/>
      <c r="AD682" s="2"/>
    </row>
    <row r="683" ht="15.75" customHeight="1">
      <c r="AC683" s="75"/>
      <c r="AD683" s="2"/>
    </row>
    <row r="684" ht="15.75" customHeight="1">
      <c r="AC684" s="75"/>
      <c r="AD684" s="2"/>
    </row>
    <row r="685" ht="15.75" customHeight="1">
      <c r="AC685" s="75"/>
      <c r="AD685" s="2"/>
    </row>
    <row r="686" ht="15.75" customHeight="1">
      <c r="AC686" s="75"/>
      <c r="AD686" s="2"/>
    </row>
    <row r="687" ht="15.75" customHeight="1">
      <c r="AC687" s="75"/>
      <c r="AD687" s="2"/>
    </row>
    <row r="688" ht="15.75" customHeight="1">
      <c r="AC688" s="75"/>
      <c r="AD688" s="2"/>
    </row>
    <row r="689" ht="15.75" customHeight="1">
      <c r="AC689" s="75"/>
      <c r="AD689" s="2"/>
    </row>
    <row r="690" ht="15.75" customHeight="1">
      <c r="AC690" s="75"/>
      <c r="AD690" s="2"/>
    </row>
    <row r="691" ht="15.75" customHeight="1">
      <c r="AC691" s="75"/>
      <c r="AD691" s="2"/>
    </row>
    <row r="692" ht="15.75" customHeight="1">
      <c r="AC692" s="75"/>
      <c r="AD692" s="2"/>
    </row>
    <row r="693" ht="15.75" customHeight="1">
      <c r="AC693" s="75"/>
      <c r="AD693" s="2"/>
    </row>
    <row r="694" ht="15.75" customHeight="1">
      <c r="AC694" s="75"/>
      <c r="AD694" s="2"/>
    </row>
    <row r="695" ht="15.75" customHeight="1">
      <c r="AC695" s="75"/>
      <c r="AD695" s="2"/>
    </row>
    <row r="696" ht="15.75" customHeight="1">
      <c r="AC696" s="75"/>
      <c r="AD696" s="2"/>
    </row>
    <row r="697" ht="15.75" customHeight="1">
      <c r="AC697" s="75"/>
      <c r="AD697" s="2"/>
    </row>
    <row r="698" ht="15.75" customHeight="1">
      <c r="AC698" s="75"/>
      <c r="AD698" s="2"/>
    </row>
    <row r="699" ht="15.75" customHeight="1">
      <c r="AC699" s="75"/>
      <c r="AD699" s="2"/>
    </row>
    <row r="700" ht="15.75" customHeight="1">
      <c r="AC700" s="75"/>
      <c r="AD700" s="2"/>
    </row>
    <row r="701" ht="15.75" customHeight="1">
      <c r="AC701" s="75"/>
      <c r="AD701" s="2"/>
    </row>
    <row r="702" ht="15.75" customHeight="1">
      <c r="AC702" s="75"/>
      <c r="AD702" s="2"/>
    </row>
    <row r="703" ht="15.75" customHeight="1">
      <c r="AC703" s="75"/>
      <c r="AD703" s="2"/>
    </row>
    <row r="704" ht="15.75" customHeight="1">
      <c r="AC704" s="75"/>
      <c r="AD704" s="2"/>
    </row>
    <row r="705" ht="15.75" customHeight="1">
      <c r="AC705" s="75"/>
      <c r="AD705" s="2"/>
    </row>
    <row r="706" ht="15.75" customHeight="1">
      <c r="AC706" s="75"/>
      <c r="AD706" s="2"/>
    </row>
    <row r="707" ht="15.75" customHeight="1">
      <c r="AC707" s="75"/>
      <c r="AD707" s="2"/>
    </row>
    <row r="708" ht="15.75" customHeight="1">
      <c r="AC708" s="75"/>
      <c r="AD708" s="2"/>
    </row>
    <row r="709" ht="15.75" customHeight="1">
      <c r="AC709" s="75"/>
      <c r="AD709" s="2"/>
    </row>
    <row r="710" ht="15.75" customHeight="1">
      <c r="AC710" s="75"/>
      <c r="AD710" s="2"/>
    </row>
    <row r="711" ht="15.75" customHeight="1">
      <c r="AC711" s="75"/>
      <c r="AD711" s="2"/>
    </row>
    <row r="712" ht="15.75" customHeight="1">
      <c r="AC712" s="75"/>
      <c r="AD712" s="2"/>
    </row>
    <row r="713" ht="15.75" customHeight="1">
      <c r="AC713" s="75"/>
      <c r="AD713" s="2"/>
    </row>
    <row r="714" ht="15.75" customHeight="1">
      <c r="AC714" s="75"/>
      <c r="AD714" s="2"/>
    </row>
    <row r="715" ht="15.75" customHeight="1">
      <c r="AC715" s="75"/>
      <c r="AD715" s="2"/>
    </row>
    <row r="716" ht="15.75" customHeight="1">
      <c r="AC716" s="75"/>
      <c r="AD716" s="2"/>
    </row>
    <row r="717" ht="15.75" customHeight="1">
      <c r="AC717" s="75"/>
      <c r="AD717" s="2"/>
    </row>
    <row r="718" ht="15.75" customHeight="1">
      <c r="AC718" s="75"/>
      <c r="AD718" s="2"/>
    </row>
    <row r="719" ht="15.75" customHeight="1">
      <c r="AC719" s="75"/>
      <c r="AD719" s="2"/>
    </row>
    <row r="720" ht="15.75" customHeight="1">
      <c r="AC720" s="75"/>
      <c r="AD720" s="2"/>
    </row>
    <row r="721" ht="15.75" customHeight="1">
      <c r="AC721" s="75"/>
      <c r="AD721" s="2"/>
    </row>
    <row r="722" ht="15.75" customHeight="1">
      <c r="AC722" s="75"/>
      <c r="AD722" s="2"/>
    </row>
    <row r="723" ht="15.75" customHeight="1">
      <c r="AC723" s="75"/>
      <c r="AD723" s="2"/>
    </row>
    <row r="724" ht="15.75" customHeight="1">
      <c r="AC724" s="75"/>
      <c r="AD724" s="2"/>
    </row>
    <row r="725" ht="15.75" customHeight="1">
      <c r="AC725" s="75"/>
      <c r="AD725" s="2"/>
    </row>
    <row r="726" ht="15.75" customHeight="1">
      <c r="AC726" s="75"/>
      <c r="AD726" s="2"/>
    </row>
    <row r="727" ht="15.75" customHeight="1">
      <c r="AC727" s="75"/>
      <c r="AD727" s="2"/>
    </row>
    <row r="728" ht="15.75" customHeight="1">
      <c r="AC728" s="75"/>
      <c r="AD728" s="2"/>
    </row>
    <row r="729" ht="15.75" customHeight="1">
      <c r="AC729" s="75"/>
      <c r="AD729" s="2"/>
    </row>
    <row r="730" ht="15.75" customHeight="1">
      <c r="AC730" s="75"/>
      <c r="AD730" s="2"/>
    </row>
    <row r="731" ht="15.75" customHeight="1">
      <c r="AC731" s="75"/>
      <c r="AD731" s="2"/>
    </row>
    <row r="732" ht="15.75" customHeight="1">
      <c r="AC732" s="75"/>
      <c r="AD732" s="2"/>
    </row>
    <row r="733" ht="15.75" customHeight="1">
      <c r="AC733" s="75"/>
      <c r="AD733" s="2"/>
    </row>
    <row r="734" ht="15.75" customHeight="1">
      <c r="AC734" s="75"/>
      <c r="AD734" s="2"/>
    </row>
    <row r="735" ht="15.75" customHeight="1">
      <c r="AC735" s="75"/>
      <c r="AD735" s="2"/>
    </row>
    <row r="736" ht="15.75" customHeight="1">
      <c r="AC736" s="75"/>
      <c r="AD736" s="2"/>
    </row>
    <row r="737" ht="15.75" customHeight="1">
      <c r="AC737" s="75"/>
      <c r="AD737" s="2"/>
    </row>
    <row r="738" ht="15.75" customHeight="1">
      <c r="AC738" s="75"/>
      <c r="AD738" s="2"/>
    </row>
    <row r="739" ht="15.75" customHeight="1">
      <c r="AC739" s="75"/>
      <c r="AD739" s="2"/>
    </row>
    <row r="740" ht="15.75" customHeight="1">
      <c r="AC740" s="75"/>
      <c r="AD740" s="2"/>
    </row>
    <row r="741" ht="15.75" customHeight="1">
      <c r="AC741" s="75"/>
      <c r="AD741" s="2"/>
    </row>
    <row r="742" ht="15.75" customHeight="1">
      <c r="AC742" s="75"/>
      <c r="AD742" s="2"/>
    </row>
    <row r="743" ht="15.75" customHeight="1">
      <c r="AC743" s="75"/>
      <c r="AD743" s="2"/>
    </row>
    <row r="744" ht="15.75" customHeight="1">
      <c r="AC744" s="75"/>
      <c r="AD744" s="2"/>
    </row>
    <row r="745" ht="15.75" customHeight="1">
      <c r="AC745" s="75"/>
      <c r="AD745" s="2"/>
    </row>
    <row r="746" ht="15.75" customHeight="1">
      <c r="AC746" s="75"/>
      <c r="AD746" s="2"/>
    </row>
    <row r="747" ht="15.75" customHeight="1">
      <c r="AC747" s="75"/>
      <c r="AD747" s="2"/>
    </row>
    <row r="748" ht="15.75" customHeight="1">
      <c r="AC748" s="75"/>
      <c r="AD748" s="2"/>
    </row>
    <row r="749" ht="15.75" customHeight="1">
      <c r="AC749" s="75"/>
      <c r="AD749" s="2"/>
    </row>
    <row r="750" ht="15.75" customHeight="1">
      <c r="AC750" s="75"/>
      <c r="AD750" s="2"/>
    </row>
    <row r="751" ht="15.75" customHeight="1">
      <c r="AC751" s="75"/>
      <c r="AD751" s="2"/>
    </row>
    <row r="752" ht="15.75" customHeight="1">
      <c r="AC752" s="75"/>
      <c r="AD752" s="2"/>
    </row>
    <row r="753" ht="15.75" customHeight="1">
      <c r="AC753" s="75"/>
      <c r="AD753" s="2"/>
    </row>
    <row r="754" ht="15.75" customHeight="1">
      <c r="AC754" s="75"/>
      <c r="AD754" s="2"/>
    </row>
    <row r="755" ht="15.75" customHeight="1">
      <c r="AC755" s="75"/>
      <c r="AD755" s="2"/>
    </row>
    <row r="756" ht="15.75" customHeight="1">
      <c r="AC756" s="75"/>
      <c r="AD756" s="2"/>
    </row>
    <row r="757" ht="15.75" customHeight="1">
      <c r="AC757" s="75"/>
      <c r="AD757" s="2"/>
    </row>
    <row r="758" ht="15.75" customHeight="1">
      <c r="AC758" s="75"/>
      <c r="AD758" s="2"/>
    </row>
    <row r="759" ht="15.75" customHeight="1">
      <c r="AC759" s="75"/>
      <c r="AD759" s="2"/>
    </row>
    <row r="760" ht="15.75" customHeight="1">
      <c r="AC760" s="75"/>
      <c r="AD760" s="2"/>
    </row>
    <row r="761" ht="15.75" customHeight="1">
      <c r="AC761" s="75"/>
      <c r="AD761" s="2"/>
    </row>
    <row r="762" ht="15.75" customHeight="1">
      <c r="AC762" s="75"/>
      <c r="AD762" s="2"/>
    </row>
    <row r="763" ht="15.75" customHeight="1">
      <c r="AC763" s="75"/>
      <c r="AD763" s="2"/>
    </row>
    <row r="764" ht="15.75" customHeight="1">
      <c r="AC764" s="75"/>
      <c r="AD764" s="2"/>
    </row>
    <row r="765" ht="15.75" customHeight="1">
      <c r="AC765" s="75"/>
      <c r="AD765" s="2"/>
    </row>
    <row r="766" ht="15.75" customHeight="1">
      <c r="AC766" s="75"/>
      <c r="AD766" s="2"/>
    </row>
    <row r="767" ht="15.75" customHeight="1">
      <c r="AC767" s="75"/>
      <c r="AD767" s="2"/>
    </row>
    <row r="768" ht="15.75" customHeight="1">
      <c r="AC768" s="75"/>
      <c r="AD768" s="2"/>
    </row>
    <row r="769" ht="15.75" customHeight="1">
      <c r="AC769" s="75"/>
      <c r="AD769" s="2"/>
    </row>
    <row r="770" ht="15.75" customHeight="1">
      <c r="AC770" s="75"/>
      <c r="AD770" s="2"/>
    </row>
    <row r="771" ht="15.75" customHeight="1">
      <c r="AC771" s="75"/>
      <c r="AD771" s="2"/>
    </row>
    <row r="772" ht="15.75" customHeight="1">
      <c r="AC772" s="75"/>
      <c r="AD772" s="2"/>
    </row>
    <row r="773" ht="15.75" customHeight="1">
      <c r="AC773" s="75"/>
      <c r="AD773" s="2"/>
    </row>
    <row r="774" ht="15.75" customHeight="1">
      <c r="AC774" s="75"/>
      <c r="AD774" s="2"/>
    </row>
    <row r="775" ht="15.75" customHeight="1">
      <c r="AC775" s="75"/>
      <c r="AD775" s="2"/>
    </row>
    <row r="776" ht="15.75" customHeight="1">
      <c r="AC776" s="75"/>
      <c r="AD776" s="2"/>
    </row>
    <row r="777" ht="15.75" customHeight="1">
      <c r="AC777" s="75"/>
      <c r="AD777" s="2"/>
    </row>
    <row r="778" ht="15.75" customHeight="1">
      <c r="AC778" s="75"/>
      <c r="AD778" s="2"/>
    </row>
    <row r="779" ht="15.75" customHeight="1">
      <c r="AC779" s="75"/>
      <c r="AD779" s="2"/>
    </row>
    <row r="780" ht="15.75" customHeight="1">
      <c r="AC780" s="75"/>
      <c r="AD780" s="2"/>
    </row>
    <row r="781" ht="15.75" customHeight="1">
      <c r="AC781" s="75"/>
      <c r="AD781" s="2"/>
    </row>
    <row r="782" ht="15.75" customHeight="1">
      <c r="AC782" s="75"/>
      <c r="AD782" s="2"/>
    </row>
    <row r="783" ht="15.75" customHeight="1">
      <c r="AC783" s="75"/>
      <c r="AD783" s="2"/>
    </row>
    <row r="784" ht="15.75" customHeight="1">
      <c r="AC784" s="75"/>
      <c r="AD784" s="2"/>
    </row>
    <row r="785" ht="15.75" customHeight="1">
      <c r="AC785" s="75"/>
      <c r="AD785" s="2"/>
    </row>
    <row r="786" ht="15.75" customHeight="1">
      <c r="AC786" s="75"/>
      <c r="AD786" s="2"/>
    </row>
    <row r="787" ht="15.75" customHeight="1">
      <c r="AC787" s="75"/>
      <c r="AD787" s="2"/>
    </row>
    <row r="788" ht="15.75" customHeight="1">
      <c r="AC788" s="75"/>
      <c r="AD788" s="2"/>
    </row>
    <row r="789" ht="15.75" customHeight="1">
      <c r="AC789" s="75"/>
      <c r="AD789" s="2"/>
    </row>
    <row r="790" ht="15.75" customHeight="1">
      <c r="AC790" s="75"/>
      <c r="AD790" s="2"/>
    </row>
    <row r="791" ht="15.75" customHeight="1">
      <c r="AC791" s="75"/>
      <c r="AD791" s="2"/>
    </row>
    <row r="792" ht="15.75" customHeight="1">
      <c r="AC792" s="75"/>
      <c r="AD792" s="2"/>
    </row>
    <row r="793" ht="15.75" customHeight="1">
      <c r="AC793" s="75"/>
      <c r="AD793" s="2"/>
    </row>
    <row r="794" ht="15.75" customHeight="1">
      <c r="AC794" s="75"/>
      <c r="AD794" s="2"/>
    </row>
    <row r="795" ht="15.75" customHeight="1">
      <c r="AC795" s="75"/>
      <c r="AD795" s="2"/>
    </row>
    <row r="796" ht="15.75" customHeight="1">
      <c r="AC796" s="75"/>
      <c r="AD796" s="2"/>
    </row>
    <row r="797" ht="15.75" customHeight="1">
      <c r="AC797" s="75"/>
      <c r="AD797" s="2"/>
    </row>
    <row r="798" ht="15.75" customHeight="1">
      <c r="AC798" s="75"/>
      <c r="AD798" s="2"/>
    </row>
    <row r="799" ht="15.75" customHeight="1">
      <c r="AC799" s="75"/>
      <c r="AD799" s="2"/>
    </row>
    <row r="800" ht="15.75" customHeight="1">
      <c r="AC800" s="75"/>
      <c r="AD800" s="2"/>
    </row>
    <row r="801" ht="15.75" customHeight="1">
      <c r="AC801" s="75"/>
      <c r="AD801" s="2"/>
    </row>
    <row r="802" ht="15.75" customHeight="1">
      <c r="AC802" s="75"/>
      <c r="AD802" s="2"/>
    </row>
    <row r="803" ht="15.75" customHeight="1">
      <c r="AC803" s="75"/>
      <c r="AD803" s="2"/>
    </row>
    <row r="804" ht="15.75" customHeight="1">
      <c r="AC804" s="75"/>
      <c r="AD804" s="2"/>
    </row>
    <row r="805" ht="15.75" customHeight="1">
      <c r="AC805" s="75"/>
      <c r="AD805" s="2"/>
    </row>
    <row r="806" ht="15.75" customHeight="1">
      <c r="AC806" s="75"/>
      <c r="AD806" s="2"/>
    </row>
    <row r="807" ht="15.75" customHeight="1">
      <c r="AC807" s="75"/>
      <c r="AD807" s="2"/>
    </row>
    <row r="808" ht="15.75" customHeight="1">
      <c r="AC808" s="75"/>
      <c r="AD808" s="2"/>
    </row>
    <row r="809" ht="15.75" customHeight="1">
      <c r="AC809" s="75"/>
      <c r="AD809" s="2"/>
    </row>
    <row r="810" ht="15.75" customHeight="1">
      <c r="AC810" s="75"/>
      <c r="AD810" s="2"/>
    </row>
    <row r="811" ht="15.75" customHeight="1">
      <c r="AC811" s="75"/>
      <c r="AD811" s="2"/>
    </row>
    <row r="812" ht="15.75" customHeight="1">
      <c r="AC812" s="75"/>
      <c r="AD812" s="2"/>
    </row>
    <row r="813" ht="15.75" customHeight="1">
      <c r="AC813" s="75"/>
      <c r="AD813" s="2"/>
    </row>
    <row r="814" ht="15.75" customHeight="1">
      <c r="AC814" s="75"/>
      <c r="AD814" s="2"/>
    </row>
    <row r="815" ht="15.75" customHeight="1">
      <c r="AC815" s="75"/>
      <c r="AD815" s="2"/>
    </row>
    <row r="816" ht="15.75" customHeight="1">
      <c r="AC816" s="75"/>
      <c r="AD816" s="2"/>
    </row>
    <row r="817" ht="15.75" customHeight="1">
      <c r="AC817" s="75"/>
      <c r="AD817" s="2"/>
    </row>
    <row r="818" ht="15.75" customHeight="1">
      <c r="AC818" s="75"/>
      <c r="AD818" s="2"/>
    </row>
    <row r="819" ht="15.75" customHeight="1">
      <c r="AC819" s="75"/>
      <c r="AD819" s="2"/>
    </row>
    <row r="820" ht="15.75" customHeight="1">
      <c r="AC820" s="75"/>
      <c r="AD820" s="2"/>
    </row>
    <row r="821" ht="15.75" customHeight="1">
      <c r="AC821" s="75"/>
      <c r="AD821" s="2"/>
    </row>
    <row r="822" ht="15.75" customHeight="1">
      <c r="AC822" s="75"/>
      <c r="AD822" s="2"/>
    </row>
    <row r="823" ht="15.75" customHeight="1">
      <c r="AC823" s="75"/>
      <c r="AD823" s="2"/>
    </row>
    <row r="824" ht="15.75" customHeight="1">
      <c r="AC824" s="75"/>
      <c r="AD824" s="2"/>
    </row>
    <row r="825" ht="15.75" customHeight="1">
      <c r="AC825" s="75"/>
      <c r="AD825" s="2"/>
    </row>
    <row r="826" ht="15.75" customHeight="1">
      <c r="AC826" s="75"/>
      <c r="AD826" s="2"/>
    </row>
    <row r="827" ht="15.75" customHeight="1">
      <c r="AC827" s="75"/>
      <c r="AD827" s="2"/>
    </row>
    <row r="828" ht="15.75" customHeight="1">
      <c r="AC828" s="75"/>
      <c r="AD828" s="2"/>
    </row>
    <row r="829" ht="15.75" customHeight="1">
      <c r="AC829" s="75"/>
      <c r="AD829" s="2"/>
    </row>
    <row r="830" ht="15.75" customHeight="1">
      <c r="AC830" s="75"/>
      <c r="AD830" s="2"/>
    </row>
    <row r="831" ht="15.75" customHeight="1">
      <c r="AC831" s="75"/>
      <c r="AD831" s="2"/>
    </row>
    <row r="832" ht="15.75" customHeight="1">
      <c r="AC832" s="75"/>
      <c r="AD832" s="2"/>
    </row>
    <row r="833" ht="15.75" customHeight="1">
      <c r="AC833" s="75"/>
      <c r="AD833" s="2"/>
    </row>
    <row r="834" ht="15.75" customHeight="1">
      <c r="AC834" s="75"/>
      <c r="AD834" s="2"/>
    </row>
    <row r="835" ht="15.75" customHeight="1">
      <c r="AC835" s="75"/>
      <c r="AD835" s="2"/>
    </row>
    <row r="836" ht="15.75" customHeight="1">
      <c r="AC836" s="75"/>
      <c r="AD836" s="2"/>
    </row>
    <row r="837" ht="15.75" customHeight="1">
      <c r="AC837" s="75"/>
      <c r="AD837" s="2"/>
    </row>
    <row r="838" ht="15.75" customHeight="1">
      <c r="AC838" s="75"/>
      <c r="AD838" s="2"/>
    </row>
    <row r="839" ht="15.75" customHeight="1">
      <c r="AC839" s="75"/>
      <c r="AD839" s="2"/>
    </row>
    <row r="840" ht="15.75" customHeight="1">
      <c r="AC840" s="75"/>
      <c r="AD840" s="2"/>
    </row>
    <row r="841" ht="15.75" customHeight="1">
      <c r="AC841" s="75"/>
      <c r="AD841" s="2"/>
    </row>
    <row r="842" ht="15.75" customHeight="1">
      <c r="AC842" s="75"/>
      <c r="AD842" s="2"/>
    </row>
    <row r="843" ht="15.75" customHeight="1">
      <c r="AC843" s="75"/>
      <c r="AD843" s="2"/>
    </row>
    <row r="844" ht="15.75" customHeight="1">
      <c r="AC844" s="75"/>
      <c r="AD844" s="2"/>
    </row>
    <row r="845" ht="15.75" customHeight="1">
      <c r="AC845" s="75"/>
      <c r="AD845" s="2"/>
    </row>
    <row r="846" ht="15.75" customHeight="1">
      <c r="AC846" s="75"/>
      <c r="AD846" s="2"/>
    </row>
    <row r="847" ht="15.75" customHeight="1">
      <c r="AC847" s="75"/>
      <c r="AD847" s="2"/>
    </row>
    <row r="848" ht="15.75" customHeight="1">
      <c r="AC848" s="75"/>
      <c r="AD848" s="2"/>
    </row>
    <row r="849" ht="15.75" customHeight="1">
      <c r="AC849" s="75"/>
      <c r="AD849" s="2"/>
    </row>
    <row r="850" ht="15.75" customHeight="1">
      <c r="AC850" s="75"/>
      <c r="AD850" s="2"/>
    </row>
    <row r="851" ht="15.75" customHeight="1">
      <c r="AC851" s="75"/>
      <c r="AD851" s="2"/>
    </row>
    <row r="852" ht="15.75" customHeight="1">
      <c r="AC852" s="75"/>
      <c r="AD852" s="2"/>
    </row>
    <row r="853" ht="15.75" customHeight="1">
      <c r="AC853" s="75"/>
      <c r="AD853" s="2"/>
    </row>
    <row r="854" ht="15.75" customHeight="1">
      <c r="AC854" s="75"/>
      <c r="AD854" s="2"/>
    </row>
    <row r="855" ht="15.75" customHeight="1">
      <c r="AC855" s="75"/>
      <c r="AD855" s="2"/>
    </row>
    <row r="856" ht="15.75" customHeight="1">
      <c r="AC856" s="75"/>
      <c r="AD856" s="2"/>
    </row>
    <row r="857" ht="15.75" customHeight="1">
      <c r="AC857" s="75"/>
      <c r="AD857" s="2"/>
    </row>
    <row r="858" ht="15.75" customHeight="1">
      <c r="AC858" s="75"/>
      <c r="AD858" s="2"/>
    </row>
    <row r="859" ht="15.75" customHeight="1">
      <c r="AC859" s="75"/>
      <c r="AD859" s="2"/>
    </row>
    <row r="860" ht="15.75" customHeight="1">
      <c r="AC860" s="75"/>
      <c r="AD860" s="2"/>
    </row>
    <row r="861" ht="15.75" customHeight="1">
      <c r="AC861" s="75"/>
      <c r="AD861" s="2"/>
    </row>
    <row r="862" ht="15.75" customHeight="1">
      <c r="AC862" s="75"/>
      <c r="AD862" s="2"/>
    </row>
    <row r="863" ht="15.75" customHeight="1">
      <c r="AC863" s="75"/>
      <c r="AD863" s="2"/>
    </row>
    <row r="864" ht="15.75" customHeight="1">
      <c r="AC864" s="75"/>
      <c r="AD864" s="2"/>
    </row>
    <row r="865" ht="15.75" customHeight="1">
      <c r="AC865" s="75"/>
      <c r="AD865" s="2"/>
    </row>
    <row r="866" ht="15.75" customHeight="1">
      <c r="AC866" s="75"/>
      <c r="AD866" s="2"/>
    </row>
    <row r="867" ht="15.75" customHeight="1">
      <c r="AC867" s="75"/>
      <c r="AD867" s="2"/>
    </row>
    <row r="868" ht="15.75" customHeight="1">
      <c r="AC868" s="75"/>
      <c r="AD868" s="2"/>
    </row>
    <row r="869" ht="15.75" customHeight="1">
      <c r="AC869" s="75"/>
      <c r="AD869" s="2"/>
    </row>
    <row r="870" ht="15.75" customHeight="1">
      <c r="AC870" s="75"/>
      <c r="AD870" s="2"/>
    </row>
    <row r="871" ht="15.75" customHeight="1">
      <c r="AC871" s="75"/>
      <c r="AD871" s="2"/>
    </row>
    <row r="872" ht="15.75" customHeight="1">
      <c r="AC872" s="75"/>
      <c r="AD872" s="2"/>
    </row>
    <row r="873" ht="15.75" customHeight="1">
      <c r="AC873" s="75"/>
      <c r="AD873" s="2"/>
    </row>
    <row r="874" ht="15.75" customHeight="1">
      <c r="AC874" s="75"/>
      <c r="AD874" s="2"/>
    </row>
    <row r="875" ht="15.75" customHeight="1">
      <c r="AC875" s="75"/>
      <c r="AD875" s="2"/>
    </row>
    <row r="876" ht="15.75" customHeight="1">
      <c r="AC876" s="75"/>
      <c r="AD876" s="2"/>
    </row>
    <row r="877" ht="15.75" customHeight="1">
      <c r="AC877" s="75"/>
      <c r="AD877" s="2"/>
    </row>
    <row r="878" ht="15.75" customHeight="1">
      <c r="AC878" s="75"/>
      <c r="AD878" s="2"/>
    </row>
    <row r="879" ht="15.75" customHeight="1">
      <c r="AC879" s="75"/>
      <c r="AD879" s="2"/>
    </row>
    <row r="880" ht="15.75" customHeight="1">
      <c r="AC880" s="75"/>
      <c r="AD880" s="2"/>
    </row>
    <row r="881" ht="15.75" customHeight="1">
      <c r="AC881" s="75"/>
      <c r="AD881" s="2"/>
    </row>
    <row r="882" ht="15.75" customHeight="1">
      <c r="AC882" s="75"/>
      <c r="AD882" s="2"/>
    </row>
    <row r="883" ht="15.75" customHeight="1">
      <c r="AC883" s="75"/>
      <c r="AD883" s="2"/>
    </row>
    <row r="884" ht="15.75" customHeight="1">
      <c r="AC884" s="75"/>
      <c r="AD884" s="2"/>
    </row>
    <row r="885" ht="15.75" customHeight="1">
      <c r="AC885" s="75"/>
      <c r="AD885" s="2"/>
    </row>
    <row r="886" ht="15.75" customHeight="1">
      <c r="AC886" s="75"/>
      <c r="AD886" s="2"/>
    </row>
    <row r="887" ht="15.75" customHeight="1">
      <c r="AC887" s="75"/>
      <c r="AD887" s="2"/>
    </row>
    <row r="888" ht="15.75" customHeight="1">
      <c r="AC888" s="75"/>
      <c r="AD888" s="2"/>
    </row>
    <row r="889" ht="15.75" customHeight="1">
      <c r="AC889" s="75"/>
      <c r="AD889" s="2"/>
    </row>
    <row r="890" ht="15.75" customHeight="1">
      <c r="AC890" s="75"/>
      <c r="AD890" s="2"/>
    </row>
    <row r="891" ht="15.75" customHeight="1">
      <c r="AC891" s="75"/>
      <c r="AD891" s="2"/>
    </row>
    <row r="892" ht="15.75" customHeight="1">
      <c r="AC892" s="75"/>
      <c r="AD892" s="2"/>
    </row>
    <row r="893" ht="15.75" customHeight="1">
      <c r="AC893" s="75"/>
      <c r="AD893" s="2"/>
    </row>
    <row r="894" ht="15.75" customHeight="1">
      <c r="AC894" s="75"/>
      <c r="AD894" s="2"/>
    </row>
    <row r="895" ht="15.75" customHeight="1">
      <c r="AC895" s="75"/>
      <c r="AD895" s="2"/>
    </row>
    <row r="896" ht="15.75" customHeight="1">
      <c r="AC896" s="75"/>
      <c r="AD896" s="2"/>
    </row>
    <row r="897" ht="15.75" customHeight="1">
      <c r="AC897" s="75"/>
      <c r="AD897" s="2"/>
    </row>
    <row r="898" ht="15.75" customHeight="1">
      <c r="AC898" s="75"/>
      <c r="AD898" s="2"/>
    </row>
    <row r="899" ht="15.75" customHeight="1">
      <c r="AC899" s="75"/>
      <c r="AD899" s="2"/>
    </row>
    <row r="900" ht="15.75" customHeight="1">
      <c r="AC900" s="75"/>
      <c r="AD900" s="2"/>
    </row>
    <row r="901" ht="15.75" customHeight="1">
      <c r="AC901" s="75"/>
      <c r="AD901" s="2"/>
    </row>
    <row r="902" ht="15.75" customHeight="1">
      <c r="AC902" s="75"/>
      <c r="AD902" s="2"/>
    </row>
    <row r="903" ht="15.75" customHeight="1">
      <c r="AC903" s="75"/>
      <c r="AD903" s="2"/>
    </row>
    <row r="904" ht="15.75" customHeight="1">
      <c r="AC904" s="75"/>
      <c r="AD904" s="2"/>
    </row>
    <row r="905" ht="15.75" customHeight="1">
      <c r="AC905" s="75"/>
      <c r="AD905" s="2"/>
    </row>
    <row r="906" ht="15.75" customHeight="1">
      <c r="AC906" s="75"/>
      <c r="AD906" s="2"/>
    </row>
    <row r="907" ht="15.75" customHeight="1">
      <c r="AC907" s="75"/>
      <c r="AD907" s="2"/>
    </row>
    <row r="908" ht="15.75" customHeight="1">
      <c r="AC908" s="75"/>
      <c r="AD908" s="2"/>
    </row>
    <row r="909" ht="15.75" customHeight="1">
      <c r="AC909" s="75"/>
      <c r="AD909" s="2"/>
    </row>
    <row r="910" ht="15.75" customHeight="1">
      <c r="AC910" s="75"/>
      <c r="AD910" s="2"/>
    </row>
    <row r="911" ht="15.75" customHeight="1">
      <c r="AC911" s="75"/>
      <c r="AD911" s="2"/>
    </row>
    <row r="912" ht="15.75" customHeight="1">
      <c r="AC912" s="75"/>
      <c r="AD912" s="2"/>
    </row>
    <row r="913" ht="15.75" customHeight="1">
      <c r="AC913" s="75"/>
      <c r="AD913" s="2"/>
    </row>
    <row r="914" ht="15.75" customHeight="1">
      <c r="AC914" s="75"/>
      <c r="AD914" s="2"/>
    </row>
    <row r="915" ht="15.75" customHeight="1">
      <c r="AC915" s="75"/>
      <c r="AD915" s="2"/>
    </row>
    <row r="916" ht="15.75" customHeight="1">
      <c r="AC916" s="75"/>
      <c r="AD916" s="2"/>
    </row>
    <row r="917" ht="15.75" customHeight="1">
      <c r="AC917" s="75"/>
      <c r="AD917" s="2"/>
    </row>
    <row r="918" ht="15.75" customHeight="1">
      <c r="AC918" s="75"/>
      <c r="AD918" s="2"/>
    </row>
    <row r="919" ht="15.75" customHeight="1">
      <c r="AC919" s="75"/>
      <c r="AD919" s="2"/>
    </row>
    <row r="920" ht="15.75" customHeight="1">
      <c r="AC920" s="75"/>
      <c r="AD920" s="2"/>
    </row>
    <row r="921" ht="15.75" customHeight="1">
      <c r="AC921" s="75"/>
      <c r="AD921" s="2"/>
    </row>
    <row r="922" ht="15.75" customHeight="1">
      <c r="AC922" s="75"/>
      <c r="AD922" s="2"/>
    </row>
    <row r="923" ht="15.75" customHeight="1">
      <c r="AC923" s="75"/>
      <c r="AD923" s="2"/>
    </row>
    <row r="924" ht="15.75" customHeight="1">
      <c r="AC924" s="75"/>
      <c r="AD924" s="2"/>
    </row>
    <row r="925" ht="15.75" customHeight="1">
      <c r="AC925" s="75"/>
      <c r="AD925" s="2"/>
    </row>
    <row r="926" ht="15.75" customHeight="1">
      <c r="AC926" s="75"/>
      <c r="AD926" s="2"/>
    </row>
    <row r="927" ht="15.75" customHeight="1">
      <c r="AC927" s="75"/>
      <c r="AD927" s="2"/>
    </row>
    <row r="928" ht="15.75" customHeight="1">
      <c r="AC928" s="75"/>
      <c r="AD928" s="2"/>
    </row>
    <row r="929" ht="15.75" customHeight="1">
      <c r="AC929" s="75"/>
      <c r="AD929" s="2"/>
    </row>
    <row r="930" ht="15.75" customHeight="1">
      <c r="AC930" s="75"/>
      <c r="AD930" s="2"/>
    </row>
    <row r="931" ht="15.75" customHeight="1">
      <c r="AC931" s="75"/>
      <c r="AD931" s="2"/>
    </row>
    <row r="932" ht="15.75" customHeight="1">
      <c r="AC932" s="75"/>
      <c r="AD932" s="2"/>
    </row>
    <row r="933" ht="15.75" customHeight="1">
      <c r="AC933" s="75"/>
      <c r="AD933" s="2"/>
    </row>
    <row r="934" ht="15.75" customHeight="1">
      <c r="AC934" s="75"/>
      <c r="AD934" s="2"/>
    </row>
    <row r="935" ht="15.75" customHeight="1">
      <c r="AC935" s="75"/>
      <c r="AD935" s="2"/>
    </row>
    <row r="936" ht="15.75" customHeight="1">
      <c r="AC936" s="75"/>
      <c r="AD936" s="2"/>
    </row>
    <row r="937" ht="15.75" customHeight="1">
      <c r="AC937" s="75"/>
      <c r="AD937" s="2"/>
    </row>
    <row r="938" ht="15.75" customHeight="1">
      <c r="AC938" s="75"/>
      <c r="AD938" s="2"/>
    </row>
    <row r="939" ht="15.75" customHeight="1">
      <c r="AC939" s="75"/>
      <c r="AD939" s="2"/>
    </row>
    <row r="940" ht="15.75" customHeight="1">
      <c r="AC940" s="75"/>
      <c r="AD940" s="2"/>
    </row>
    <row r="941" ht="15.75" customHeight="1">
      <c r="AC941" s="75"/>
      <c r="AD941" s="2"/>
    </row>
    <row r="942" ht="15.75" customHeight="1">
      <c r="AC942" s="75"/>
      <c r="AD942" s="2"/>
    </row>
    <row r="943" ht="15.75" customHeight="1">
      <c r="AC943" s="75"/>
      <c r="AD943" s="2"/>
    </row>
    <row r="944" ht="15.75" customHeight="1">
      <c r="AC944" s="75"/>
      <c r="AD944" s="2"/>
    </row>
    <row r="945" ht="15.75" customHeight="1">
      <c r="AC945" s="75"/>
      <c r="AD945" s="2"/>
    </row>
    <row r="946" ht="15.75" customHeight="1">
      <c r="AC946" s="75"/>
      <c r="AD946" s="2"/>
    </row>
    <row r="947" ht="15.75" customHeight="1">
      <c r="AC947" s="75"/>
      <c r="AD947" s="2"/>
    </row>
    <row r="948" ht="15.75" customHeight="1">
      <c r="AC948" s="75"/>
      <c r="AD948" s="2"/>
    </row>
    <row r="949" ht="15.75" customHeight="1">
      <c r="AC949" s="75"/>
      <c r="AD949" s="2"/>
    </row>
    <row r="950" ht="15.75" customHeight="1">
      <c r="AC950" s="75"/>
      <c r="AD950" s="2"/>
    </row>
    <row r="951" ht="15.75" customHeight="1">
      <c r="AC951" s="75"/>
      <c r="AD951" s="2"/>
    </row>
    <row r="952" ht="15.75" customHeight="1">
      <c r="AC952" s="75"/>
      <c r="AD952" s="2"/>
    </row>
    <row r="953" ht="15.75" customHeight="1">
      <c r="AC953" s="75"/>
      <c r="AD953" s="2"/>
    </row>
    <row r="954" ht="15.75" customHeight="1">
      <c r="AC954" s="75"/>
      <c r="AD954" s="2"/>
    </row>
    <row r="955" ht="15.75" customHeight="1">
      <c r="AC955" s="75"/>
      <c r="AD955" s="2"/>
    </row>
    <row r="956" ht="15.75" customHeight="1">
      <c r="AC956" s="75"/>
      <c r="AD956" s="2"/>
    </row>
    <row r="957" ht="15.75" customHeight="1">
      <c r="AC957" s="75"/>
      <c r="AD957" s="2"/>
    </row>
    <row r="958" ht="15.75" customHeight="1">
      <c r="AC958" s="75"/>
      <c r="AD958" s="2"/>
    </row>
    <row r="959" ht="15.75" customHeight="1">
      <c r="AC959" s="75"/>
      <c r="AD959" s="2"/>
    </row>
    <row r="960" ht="15.75" customHeight="1">
      <c r="AC960" s="75"/>
      <c r="AD960" s="2"/>
    </row>
    <row r="961" ht="15.75" customHeight="1">
      <c r="AC961" s="75"/>
      <c r="AD961" s="2"/>
    </row>
    <row r="962" ht="15.75" customHeight="1">
      <c r="AC962" s="75"/>
      <c r="AD962" s="2"/>
    </row>
    <row r="963" ht="15.75" customHeight="1">
      <c r="AC963" s="75"/>
      <c r="AD963" s="2"/>
    </row>
    <row r="964" ht="15.75" customHeight="1">
      <c r="AC964" s="75"/>
      <c r="AD964" s="2"/>
    </row>
    <row r="965" ht="15.75" customHeight="1">
      <c r="AC965" s="75"/>
      <c r="AD965" s="2"/>
    </row>
    <row r="966" ht="15.75" customHeight="1">
      <c r="AC966" s="75"/>
      <c r="AD966" s="2"/>
    </row>
    <row r="967" ht="15.75" customHeight="1">
      <c r="AC967" s="75"/>
      <c r="AD967" s="2"/>
    </row>
    <row r="968" ht="15.75" customHeight="1">
      <c r="AC968" s="75"/>
      <c r="AD968" s="2"/>
    </row>
    <row r="969" ht="15.75" customHeight="1">
      <c r="AC969" s="75"/>
      <c r="AD969" s="2"/>
    </row>
    <row r="970" ht="15.75" customHeight="1">
      <c r="AC970" s="75"/>
      <c r="AD970" s="2"/>
    </row>
    <row r="971" ht="15.75" customHeight="1">
      <c r="AC971" s="75"/>
      <c r="AD971" s="2"/>
    </row>
    <row r="972" ht="15.75" customHeight="1">
      <c r="AC972" s="75"/>
      <c r="AD972" s="2"/>
    </row>
    <row r="973" ht="15.75" customHeight="1">
      <c r="AC973" s="75"/>
      <c r="AD973" s="2"/>
    </row>
    <row r="974" ht="15.75" customHeight="1">
      <c r="AC974" s="75"/>
      <c r="AD974" s="2"/>
    </row>
    <row r="975" ht="15.75" customHeight="1">
      <c r="AC975" s="75"/>
      <c r="AD975" s="2"/>
    </row>
    <row r="976" ht="15.75" customHeight="1">
      <c r="AC976" s="75"/>
      <c r="AD976" s="2"/>
    </row>
    <row r="977" ht="15.75" customHeight="1">
      <c r="AC977" s="75"/>
      <c r="AD977" s="2"/>
    </row>
    <row r="978" ht="15.75" customHeight="1">
      <c r="AC978" s="75"/>
      <c r="AD978" s="2"/>
    </row>
    <row r="979" ht="15.75" customHeight="1">
      <c r="AC979" s="75"/>
      <c r="AD979" s="2"/>
    </row>
    <row r="980" ht="15.75" customHeight="1">
      <c r="AC980" s="75"/>
      <c r="AD980" s="2"/>
    </row>
    <row r="981" ht="15.75" customHeight="1">
      <c r="AC981" s="75"/>
      <c r="AD981" s="2"/>
    </row>
    <row r="982" ht="15.75" customHeight="1">
      <c r="AC982" s="75"/>
      <c r="AD982" s="2"/>
    </row>
    <row r="983" ht="15.75" customHeight="1">
      <c r="AC983" s="75"/>
      <c r="AD983" s="2"/>
    </row>
    <row r="984" ht="15.75" customHeight="1">
      <c r="AC984" s="75"/>
      <c r="AD984" s="2"/>
    </row>
    <row r="985" ht="15.75" customHeight="1">
      <c r="AC985" s="75"/>
      <c r="AD985" s="2"/>
    </row>
    <row r="986" ht="15.75" customHeight="1">
      <c r="AC986" s="75"/>
      <c r="AD986" s="2"/>
    </row>
    <row r="987" ht="15.75" customHeight="1">
      <c r="AC987" s="75"/>
      <c r="AD987" s="2"/>
    </row>
    <row r="988" ht="15.75" customHeight="1">
      <c r="AD988" s="2"/>
    </row>
    <row r="989" ht="15.75" customHeight="1">
      <c r="AD989" s="2"/>
    </row>
    <row r="990" ht="15.75" customHeight="1">
      <c r="AD990" s="2"/>
    </row>
    <row r="991" ht="15.75" customHeight="1">
      <c r="AD991" s="2"/>
    </row>
    <row r="992" ht="15.75" customHeight="1">
      <c r="AD992" s="2"/>
    </row>
    <row r="993" ht="15.75" customHeight="1">
      <c r="AD993" s="2"/>
    </row>
    <row r="994" ht="15.75" customHeight="1">
      <c r="AD994" s="2"/>
    </row>
    <row r="995" ht="15.75" customHeight="1">
      <c r="AD995" s="2"/>
    </row>
    <row r="996" ht="15.75" customHeight="1">
      <c r="AD996" s="2"/>
    </row>
    <row r="997" ht="15.75" customHeight="1">
      <c r="AD997" s="2"/>
    </row>
    <row r="998" ht="15.75" customHeight="1">
      <c r="AD998" s="2"/>
    </row>
    <row r="999" ht="15.75" customHeight="1">
      <c r="AD999" s="2"/>
    </row>
    <row r="1000" ht="15.75" customHeight="1">
      <c r="AD1000" s="2"/>
    </row>
    <row r="1001" ht="15.75" customHeight="1">
      <c r="AD1001" s="2"/>
    </row>
    <row r="1002" ht="15.75" customHeight="1">
      <c r="AD1002" s="2"/>
    </row>
    <row r="1003" ht="15.75" customHeight="1">
      <c r="AD1003" s="2"/>
    </row>
    <row r="1004" ht="15.75" customHeight="1">
      <c r="AD1004" s="2"/>
    </row>
  </sheetData>
  <printOptions/>
  <pageMargins bottom="0.7480314960629921" footer="0.0" header="0.0" left="0.0" right="0.7086614173228347" top="0.7480314960629921"/>
  <pageSetup scale="75"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/>
  <cols>
    <col customWidth="1" min="1" max="1" width="1.75"/>
    <col customWidth="1" hidden="1" min="2" max="2" width="12.0"/>
    <col customWidth="1" min="3" max="3" width="34.88"/>
    <col customWidth="1" min="4" max="4" width="6.75"/>
    <col customWidth="1" hidden="1" min="5" max="5" width="6.13"/>
    <col customWidth="1" min="6" max="6" width="6.75"/>
    <col customWidth="1" hidden="1" min="7" max="7" width="5.63"/>
    <col customWidth="1" min="8" max="8" width="6.75"/>
    <col customWidth="1" hidden="1" min="9" max="9" width="6.25"/>
    <col customWidth="1" min="10" max="10" width="6.75"/>
    <col customWidth="1" hidden="1" min="11" max="11" width="5.75"/>
    <col customWidth="1" min="12" max="12" width="6.75"/>
    <col customWidth="1" hidden="1" min="13" max="13" width="6.5"/>
    <col customWidth="1" min="14" max="14" width="6.75"/>
    <col customWidth="1" hidden="1" min="15" max="15" width="5.63"/>
    <col customWidth="1" min="16" max="16" width="6.75"/>
    <col customWidth="1" hidden="1" min="17" max="17" width="5.13"/>
    <col customWidth="1" min="18" max="18" width="6.75"/>
    <col customWidth="1" hidden="1" min="19" max="19" width="6.13"/>
    <col customWidth="1" min="20" max="20" width="6.75"/>
    <col customWidth="1" hidden="1" min="21" max="21" width="5.88"/>
    <col customWidth="1" min="22" max="22" width="6.75"/>
    <col customWidth="1" hidden="1" min="23" max="23" width="5.5"/>
    <col customWidth="1" min="24" max="24" width="6.75"/>
    <col customWidth="1" hidden="1" min="25" max="25" width="6.0"/>
    <col customWidth="1" min="26" max="26" width="6.75"/>
    <col customWidth="1" hidden="1" min="27" max="27" width="5.5"/>
    <col customWidth="1" min="28" max="28" width="7.63"/>
    <col customWidth="1" hidden="1" min="29" max="32" width="0.13"/>
  </cols>
  <sheetData>
    <row r="1" ht="15.0" customHeight="1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01"/>
      <c r="AD1" s="123"/>
      <c r="AE1" s="111"/>
      <c r="AF1" s="111"/>
      <c r="AG1" s="111"/>
      <c r="AH1" s="111"/>
      <c r="AI1" s="111"/>
    </row>
    <row r="2">
      <c r="A2" s="123"/>
      <c r="B2" s="52"/>
      <c r="C2" s="124" t="s">
        <v>249</v>
      </c>
      <c r="D2" s="77">
        <v>46023.0</v>
      </c>
      <c r="E2" s="78">
        <v>46023.0</v>
      </c>
      <c r="F2" s="77">
        <v>46054.0</v>
      </c>
      <c r="G2" s="78">
        <v>46054.0</v>
      </c>
      <c r="H2" s="77">
        <v>46082.0</v>
      </c>
      <c r="I2" s="78">
        <v>46082.0</v>
      </c>
      <c r="J2" s="77">
        <v>46113.0</v>
      </c>
      <c r="K2" s="78">
        <v>46113.0</v>
      </c>
      <c r="L2" s="77">
        <v>46143.0</v>
      </c>
      <c r="M2" s="78">
        <v>46143.0</v>
      </c>
      <c r="N2" s="77">
        <v>46174.0</v>
      </c>
      <c r="O2" s="78">
        <v>46174.0</v>
      </c>
      <c r="P2" s="77">
        <v>46204.0</v>
      </c>
      <c r="Q2" s="78">
        <v>46204.0</v>
      </c>
      <c r="R2" s="77">
        <v>46235.0</v>
      </c>
      <c r="S2" s="78">
        <v>46235.0</v>
      </c>
      <c r="T2" s="77">
        <v>46266.0</v>
      </c>
      <c r="U2" s="78">
        <v>46266.0</v>
      </c>
      <c r="V2" s="77">
        <v>46296.0</v>
      </c>
      <c r="W2" s="78">
        <v>46296.0</v>
      </c>
      <c r="X2" s="77">
        <v>46327.0</v>
      </c>
      <c r="Y2" s="78">
        <v>46327.0</v>
      </c>
      <c r="Z2" s="77">
        <v>46357.0</v>
      </c>
      <c r="AA2" s="78">
        <v>46357.0</v>
      </c>
      <c r="AB2" s="79">
        <v>2026.0</v>
      </c>
      <c r="AC2" s="137"/>
      <c r="AD2" s="123"/>
      <c r="AE2" s="123" t="s">
        <v>250</v>
      </c>
      <c r="AF2" s="123"/>
      <c r="AG2" s="123"/>
      <c r="AH2" s="123"/>
      <c r="AI2" s="123"/>
    </row>
    <row r="3" ht="12.75" customHeight="1">
      <c r="A3" s="111"/>
      <c r="B3" s="2"/>
      <c r="C3" s="126" t="s">
        <v>251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101"/>
      <c r="AD3" s="123"/>
      <c r="AE3" s="122" t="s">
        <v>252</v>
      </c>
      <c r="AF3" s="111"/>
      <c r="AG3" s="111"/>
      <c r="AH3" s="111"/>
      <c r="AI3" s="111"/>
    </row>
    <row r="4" ht="12.75" customHeight="1">
      <c r="A4" s="111"/>
      <c r="B4" s="2" t="s">
        <v>253</v>
      </c>
      <c r="C4" s="3" t="s">
        <v>254</v>
      </c>
      <c r="D4" s="105">
        <v>82530.0</v>
      </c>
      <c r="E4" s="105">
        <v>0.0</v>
      </c>
      <c r="F4" s="105">
        <v>55020.0</v>
      </c>
      <c r="G4" s="105">
        <v>0.0</v>
      </c>
      <c r="H4" s="105">
        <v>82530.0</v>
      </c>
      <c r="I4" s="105">
        <v>0.0</v>
      </c>
      <c r="J4" s="105">
        <v>82530.0</v>
      </c>
      <c r="K4" s="105">
        <v>0.0</v>
      </c>
      <c r="L4" s="105">
        <v>55020.0</v>
      </c>
      <c r="M4" s="105">
        <v>0.0</v>
      </c>
      <c r="N4" s="105">
        <v>55020.0</v>
      </c>
      <c r="O4" s="105">
        <v>0.0</v>
      </c>
      <c r="P4" s="105">
        <v>55020.0</v>
      </c>
      <c r="Q4" s="105">
        <v>0.0</v>
      </c>
      <c r="R4" s="105">
        <v>16275.0</v>
      </c>
      <c r="S4" s="105">
        <v>0.0</v>
      </c>
      <c r="T4" s="105">
        <v>81375.0</v>
      </c>
      <c r="U4" s="105">
        <v>0.0</v>
      </c>
      <c r="V4" s="105">
        <v>49632.345</v>
      </c>
      <c r="W4" s="105">
        <v>0.0</v>
      </c>
      <c r="X4" s="105">
        <v>49632.345</v>
      </c>
      <c r="Y4" s="105">
        <v>0.0</v>
      </c>
      <c r="Z4" s="105">
        <v>49632.345</v>
      </c>
      <c r="AA4" s="105">
        <v>0.0</v>
      </c>
      <c r="AB4" s="3">
        <f>D4+F4+H4+J4+L4+N4+P4+R4+T4+V4+X4+Z4</f>
        <v>714217.035</v>
      </c>
      <c r="AC4" s="101">
        <v>598000.0</v>
      </c>
      <c r="AD4" s="138">
        <f>AB4/AC4-1</f>
        <v>0.1943428679</v>
      </c>
      <c r="AE4" s="111" t="s">
        <v>255</v>
      </c>
      <c r="AF4" s="139">
        <v>312000.0</v>
      </c>
      <c r="AG4" s="111"/>
      <c r="AH4" s="111"/>
      <c r="AI4" s="111"/>
    </row>
    <row r="5" ht="12.75" customHeight="1">
      <c r="A5" s="111"/>
      <c r="B5" s="2"/>
      <c r="C5" s="85" t="s">
        <v>256</v>
      </c>
      <c r="D5" s="140">
        <f t="shared" ref="D5:AB5" si="1">SUM(D4)</f>
        <v>82530</v>
      </c>
      <c r="E5" s="140">
        <f t="shared" si="1"/>
        <v>0</v>
      </c>
      <c r="F5" s="140">
        <f t="shared" si="1"/>
        <v>55020</v>
      </c>
      <c r="G5" s="140">
        <f t="shared" si="1"/>
        <v>0</v>
      </c>
      <c r="H5" s="140">
        <f t="shared" si="1"/>
        <v>82530</v>
      </c>
      <c r="I5" s="140">
        <f t="shared" si="1"/>
        <v>0</v>
      </c>
      <c r="J5" s="140">
        <f t="shared" si="1"/>
        <v>82530</v>
      </c>
      <c r="K5" s="140">
        <f t="shared" si="1"/>
        <v>0</v>
      </c>
      <c r="L5" s="140">
        <f t="shared" si="1"/>
        <v>55020</v>
      </c>
      <c r="M5" s="140">
        <f t="shared" si="1"/>
        <v>0</v>
      </c>
      <c r="N5" s="140">
        <f t="shared" si="1"/>
        <v>55020</v>
      </c>
      <c r="O5" s="140">
        <f t="shared" si="1"/>
        <v>0</v>
      </c>
      <c r="P5" s="140">
        <f t="shared" si="1"/>
        <v>55020</v>
      </c>
      <c r="Q5" s="140">
        <f t="shared" si="1"/>
        <v>0</v>
      </c>
      <c r="R5" s="140">
        <f t="shared" si="1"/>
        <v>16275</v>
      </c>
      <c r="S5" s="140">
        <f t="shared" si="1"/>
        <v>0</v>
      </c>
      <c r="T5" s="140">
        <f t="shared" si="1"/>
        <v>81375</v>
      </c>
      <c r="U5" s="140">
        <f t="shared" si="1"/>
        <v>0</v>
      </c>
      <c r="V5" s="140">
        <f t="shared" si="1"/>
        <v>49632.345</v>
      </c>
      <c r="W5" s="140">
        <f t="shared" si="1"/>
        <v>0</v>
      </c>
      <c r="X5" s="140">
        <f t="shared" si="1"/>
        <v>49632.345</v>
      </c>
      <c r="Y5" s="140">
        <f t="shared" si="1"/>
        <v>0</v>
      </c>
      <c r="Z5" s="140">
        <f t="shared" si="1"/>
        <v>49632.345</v>
      </c>
      <c r="AA5" s="140">
        <f t="shared" si="1"/>
        <v>0</v>
      </c>
      <c r="AB5" s="140">
        <f t="shared" si="1"/>
        <v>714217.035</v>
      </c>
      <c r="AC5" s="101"/>
      <c r="AD5" s="123"/>
      <c r="AE5" s="111" t="s">
        <v>255</v>
      </c>
      <c r="AF5" s="141">
        <v>156000.0</v>
      </c>
      <c r="AG5" s="111"/>
      <c r="AH5" s="111"/>
      <c r="AI5" s="111"/>
    </row>
    <row r="6" ht="12.75" customHeight="1">
      <c r="A6" s="111"/>
      <c r="B6" s="2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01"/>
      <c r="AD6" s="123"/>
      <c r="AE6" s="111"/>
      <c r="AF6" s="139">
        <f>AF4-AF5</f>
        <v>156000</v>
      </c>
      <c r="AG6" s="111"/>
      <c r="AH6" s="111"/>
      <c r="AI6" s="111"/>
    </row>
    <row r="7" ht="12.75" customHeight="1">
      <c r="A7" s="111"/>
      <c r="B7" s="2"/>
      <c r="C7" s="142" t="s">
        <v>257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101"/>
      <c r="AD7" s="123"/>
      <c r="AE7" s="111"/>
      <c r="AF7" s="111"/>
      <c r="AG7" s="111"/>
      <c r="AH7" s="111"/>
      <c r="AI7" s="111"/>
    </row>
    <row r="8" ht="12.75" customHeight="1">
      <c r="A8" s="111"/>
      <c r="B8" s="2" t="s">
        <v>258</v>
      </c>
      <c r="C8" s="2" t="s">
        <v>254</v>
      </c>
      <c r="D8" s="105">
        <f t="shared" ref="D8:AA8" si="2">D4*0.5</f>
        <v>41265</v>
      </c>
      <c r="E8" s="105">
        <f t="shared" si="2"/>
        <v>0</v>
      </c>
      <c r="F8" s="105">
        <f t="shared" si="2"/>
        <v>27510</v>
      </c>
      <c r="G8" s="105">
        <f t="shared" si="2"/>
        <v>0</v>
      </c>
      <c r="H8" s="105">
        <f t="shared" si="2"/>
        <v>41265</v>
      </c>
      <c r="I8" s="105">
        <f t="shared" si="2"/>
        <v>0</v>
      </c>
      <c r="J8" s="105">
        <f t="shared" si="2"/>
        <v>41265</v>
      </c>
      <c r="K8" s="105">
        <f t="shared" si="2"/>
        <v>0</v>
      </c>
      <c r="L8" s="105">
        <f t="shared" si="2"/>
        <v>27510</v>
      </c>
      <c r="M8" s="105">
        <f t="shared" si="2"/>
        <v>0</v>
      </c>
      <c r="N8" s="105">
        <f t="shared" si="2"/>
        <v>27510</v>
      </c>
      <c r="O8" s="105">
        <f t="shared" si="2"/>
        <v>0</v>
      </c>
      <c r="P8" s="105">
        <f t="shared" si="2"/>
        <v>27510</v>
      </c>
      <c r="Q8" s="105">
        <f t="shared" si="2"/>
        <v>0</v>
      </c>
      <c r="R8" s="105">
        <f t="shared" si="2"/>
        <v>8137.5</v>
      </c>
      <c r="S8" s="105">
        <f t="shared" si="2"/>
        <v>0</v>
      </c>
      <c r="T8" s="105">
        <f t="shared" si="2"/>
        <v>40687.5</v>
      </c>
      <c r="U8" s="105">
        <f t="shared" si="2"/>
        <v>0</v>
      </c>
      <c r="V8" s="105">
        <f t="shared" si="2"/>
        <v>24816.1725</v>
      </c>
      <c r="W8" s="105">
        <f t="shared" si="2"/>
        <v>0</v>
      </c>
      <c r="X8" s="105">
        <f t="shared" si="2"/>
        <v>24816.1725</v>
      </c>
      <c r="Y8" s="105">
        <f t="shared" si="2"/>
        <v>0</v>
      </c>
      <c r="Z8" s="105">
        <f t="shared" si="2"/>
        <v>24816.1725</v>
      </c>
      <c r="AA8" s="105">
        <f t="shared" si="2"/>
        <v>0</v>
      </c>
      <c r="AB8" s="3">
        <f>D8+F8+H8+J8+L8+N8+P8+R8+T8+V8+X8+Z8</f>
        <v>357108.5175</v>
      </c>
      <c r="AC8" s="101">
        <v>299000.0</v>
      </c>
      <c r="AD8" s="138">
        <f>AB8/AC8-1</f>
        <v>0.1943428679</v>
      </c>
      <c r="AE8" s="111"/>
      <c r="AF8" s="111"/>
      <c r="AG8" s="111"/>
      <c r="AH8" s="111"/>
      <c r="AI8" s="111"/>
    </row>
    <row r="9" ht="12.75" customHeight="1">
      <c r="A9" s="111"/>
      <c r="B9" s="2"/>
      <c r="C9" s="143" t="s">
        <v>259</v>
      </c>
      <c r="D9" s="144">
        <f t="shared" ref="D9:AB9" si="3">SUM(D8)</f>
        <v>41265</v>
      </c>
      <c r="E9" s="144">
        <f t="shared" si="3"/>
        <v>0</v>
      </c>
      <c r="F9" s="144">
        <f t="shared" si="3"/>
        <v>27510</v>
      </c>
      <c r="G9" s="144">
        <f t="shared" si="3"/>
        <v>0</v>
      </c>
      <c r="H9" s="144">
        <f t="shared" si="3"/>
        <v>41265</v>
      </c>
      <c r="I9" s="144">
        <f t="shared" si="3"/>
        <v>0</v>
      </c>
      <c r="J9" s="144">
        <f t="shared" si="3"/>
        <v>41265</v>
      </c>
      <c r="K9" s="144">
        <f t="shared" si="3"/>
        <v>0</v>
      </c>
      <c r="L9" s="144">
        <f t="shared" si="3"/>
        <v>27510</v>
      </c>
      <c r="M9" s="144">
        <f t="shared" si="3"/>
        <v>0</v>
      </c>
      <c r="N9" s="144">
        <f t="shared" si="3"/>
        <v>27510</v>
      </c>
      <c r="O9" s="144">
        <f t="shared" si="3"/>
        <v>0</v>
      </c>
      <c r="P9" s="144">
        <f t="shared" si="3"/>
        <v>27510</v>
      </c>
      <c r="Q9" s="144">
        <f t="shared" si="3"/>
        <v>0</v>
      </c>
      <c r="R9" s="144">
        <f t="shared" si="3"/>
        <v>8137.5</v>
      </c>
      <c r="S9" s="144">
        <f t="shared" si="3"/>
        <v>0</v>
      </c>
      <c r="T9" s="144">
        <f t="shared" si="3"/>
        <v>40687.5</v>
      </c>
      <c r="U9" s="144">
        <f t="shared" si="3"/>
        <v>0</v>
      </c>
      <c r="V9" s="144">
        <f t="shared" si="3"/>
        <v>24816.1725</v>
      </c>
      <c r="W9" s="144">
        <f t="shared" si="3"/>
        <v>0</v>
      </c>
      <c r="X9" s="144">
        <f t="shared" si="3"/>
        <v>24816.1725</v>
      </c>
      <c r="Y9" s="144">
        <f t="shared" si="3"/>
        <v>0</v>
      </c>
      <c r="Z9" s="144">
        <f t="shared" si="3"/>
        <v>24816.1725</v>
      </c>
      <c r="AA9" s="144">
        <f t="shared" si="3"/>
        <v>0</v>
      </c>
      <c r="AB9" s="144">
        <f t="shared" si="3"/>
        <v>357108.5175</v>
      </c>
      <c r="AC9" s="101"/>
      <c r="AD9" s="123"/>
      <c r="AE9" s="111"/>
      <c r="AF9" s="111"/>
      <c r="AG9" s="111"/>
      <c r="AH9" s="111"/>
      <c r="AI9" s="111"/>
    </row>
    <row r="10" ht="12.75" customHeight="1">
      <c r="A10" s="111"/>
      <c r="B10" s="2"/>
      <c r="C10" s="145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01"/>
      <c r="AD10" s="123"/>
      <c r="AE10" s="111"/>
      <c r="AF10" s="111"/>
      <c r="AG10" s="111"/>
      <c r="AH10" s="111"/>
      <c r="AI10" s="111"/>
    </row>
    <row r="11" ht="12.75" customHeight="1">
      <c r="A11" s="111"/>
      <c r="B11" s="2"/>
      <c r="C11" s="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101"/>
      <c r="AD11" s="123"/>
      <c r="AE11" s="111"/>
      <c r="AF11" s="111"/>
      <c r="AG11" s="111"/>
      <c r="AH11" s="111"/>
      <c r="AI11" s="111"/>
    </row>
    <row r="12" ht="12.75" customHeight="1">
      <c r="A12" s="111"/>
      <c r="B12" s="2"/>
      <c r="C12" s="88" t="s">
        <v>260</v>
      </c>
      <c r="D12" s="89">
        <f t="shared" ref="D12:AB12" si="4">D5-D9</f>
        <v>41265</v>
      </c>
      <c r="E12" s="89">
        <f t="shared" si="4"/>
        <v>0</v>
      </c>
      <c r="F12" s="89">
        <f t="shared" si="4"/>
        <v>27510</v>
      </c>
      <c r="G12" s="89">
        <f t="shared" si="4"/>
        <v>0</v>
      </c>
      <c r="H12" s="89">
        <f t="shared" si="4"/>
        <v>41265</v>
      </c>
      <c r="I12" s="89">
        <f t="shared" si="4"/>
        <v>0</v>
      </c>
      <c r="J12" s="89">
        <f t="shared" si="4"/>
        <v>41265</v>
      </c>
      <c r="K12" s="89">
        <f t="shared" si="4"/>
        <v>0</v>
      </c>
      <c r="L12" s="89">
        <f t="shared" si="4"/>
        <v>27510</v>
      </c>
      <c r="M12" s="89">
        <f t="shared" si="4"/>
        <v>0</v>
      </c>
      <c r="N12" s="89">
        <f t="shared" si="4"/>
        <v>27510</v>
      </c>
      <c r="O12" s="89">
        <f t="shared" si="4"/>
        <v>0</v>
      </c>
      <c r="P12" s="89">
        <f t="shared" si="4"/>
        <v>27510</v>
      </c>
      <c r="Q12" s="89">
        <f t="shared" si="4"/>
        <v>0</v>
      </c>
      <c r="R12" s="89">
        <f t="shared" si="4"/>
        <v>8137.5</v>
      </c>
      <c r="S12" s="89">
        <f t="shared" si="4"/>
        <v>0</v>
      </c>
      <c r="T12" s="89">
        <f t="shared" si="4"/>
        <v>40687.5</v>
      </c>
      <c r="U12" s="89">
        <f t="shared" si="4"/>
        <v>0</v>
      </c>
      <c r="V12" s="89">
        <f t="shared" si="4"/>
        <v>24816.1725</v>
      </c>
      <c r="W12" s="89">
        <f t="shared" si="4"/>
        <v>0</v>
      </c>
      <c r="X12" s="89">
        <f t="shared" si="4"/>
        <v>24816.1725</v>
      </c>
      <c r="Y12" s="89">
        <f t="shared" si="4"/>
        <v>0</v>
      </c>
      <c r="Z12" s="89">
        <f t="shared" si="4"/>
        <v>24816.1725</v>
      </c>
      <c r="AA12" s="89">
        <f t="shared" si="4"/>
        <v>0</v>
      </c>
      <c r="AB12" s="90">
        <f t="shared" si="4"/>
        <v>357108.5175</v>
      </c>
      <c r="AC12" s="101">
        <v>455000.0</v>
      </c>
      <c r="AD12" s="123"/>
      <c r="AE12" s="111"/>
      <c r="AF12" s="111"/>
      <c r="AG12" s="111"/>
      <c r="AH12" s="111"/>
      <c r="AI12" s="111"/>
    </row>
    <row r="13" ht="15.75" customHeight="1">
      <c r="A13" s="111"/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01"/>
      <c r="AD13" s="123"/>
      <c r="AE13" s="111"/>
      <c r="AF13" s="111"/>
      <c r="AG13" s="111"/>
      <c r="AH13" s="111"/>
      <c r="AI13" s="111"/>
    </row>
    <row r="14" ht="15.75" customHeight="1">
      <c r="A14" s="111"/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01"/>
      <c r="AD14" s="123"/>
      <c r="AE14" s="111"/>
      <c r="AF14" s="111"/>
      <c r="AG14" s="111"/>
      <c r="AH14" s="111"/>
      <c r="AI14" s="111"/>
    </row>
    <row r="15" ht="15.75" customHeight="1">
      <c r="A15" s="111"/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01"/>
      <c r="AD15" s="123"/>
      <c r="AE15" s="111"/>
      <c r="AF15" s="111"/>
      <c r="AG15" s="111"/>
      <c r="AH15" s="111"/>
      <c r="AI15" s="111"/>
    </row>
    <row r="16" ht="15.75" customHeight="1">
      <c r="A16" s="111"/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01"/>
      <c r="AD16" s="123"/>
      <c r="AE16" s="111"/>
      <c r="AF16" s="111"/>
      <c r="AG16" s="111"/>
      <c r="AH16" s="111"/>
      <c r="AI16" s="111"/>
    </row>
    <row r="17" ht="15.75" customHeight="1">
      <c r="A17" s="111"/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01"/>
      <c r="AD17" s="123"/>
      <c r="AE17" s="111"/>
      <c r="AF17" s="111"/>
      <c r="AG17" s="111"/>
      <c r="AH17" s="111"/>
      <c r="AI17" s="111"/>
    </row>
    <row r="18" ht="15.75" customHeight="1">
      <c r="A18" s="111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01"/>
      <c r="AD18" s="123"/>
      <c r="AE18" s="111"/>
      <c r="AF18" s="111"/>
      <c r="AG18" s="111"/>
      <c r="AH18" s="111"/>
      <c r="AI18" s="111"/>
    </row>
    <row r="19" ht="15.75" customHeight="1">
      <c r="A19" s="111"/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01"/>
      <c r="AD19" s="123"/>
      <c r="AE19" s="111"/>
      <c r="AF19" s="111"/>
      <c r="AG19" s="111"/>
      <c r="AH19" s="111"/>
      <c r="AI19" s="111"/>
    </row>
    <row r="20" ht="15.75" customHeight="1">
      <c r="A20" s="111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01"/>
      <c r="AD20" s="123"/>
      <c r="AE20" s="111"/>
      <c r="AF20" s="111"/>
      <c r="AG20" s="111"/>
      <c r="AH20" s="111"/>
      <c r="AI20" s="111"/>
    </row>
    <row r="21" ht="15.75" customHeight="1">
      <c r="A21" s="111"/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01"/>
      <c r="AD21" s="123"/>
      <c r="AE21" s="111"/>
      <c r="AF21" s="111"/>
      <c r="AG21" s="111"/>
      <c r="AH21" s="111"/>
      <c r="AI21" s="111"/>
    </row>
    <row r="22" ht="15.75" customHeight="1">
      <c r="A22" s="111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01"/>
      <c r="AD22" s="123"/>
      <c r="AE22" s="111"/>
      <c r="AF22" s="111"/>
      <c r="AG22" s="111"/>
      <c r="AH22" s="111"/>
      <c r="AI22" s="111"/>
    </row>
    <row r="23" ht="15.75" customHeight="1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01"/>
      <c r="AD23" s="123"/>
      <c r="AE23" s="111"/>
      <c r="AF23" s="111"/>
      <c r="AG23" s="111"/>
      <c r="AH23" s="111"/>
      <c r="AI23" s="111"/>
    </row>
    <row r="24" ht="15.75" customHeight="1">
      <c r="A24" s="111"/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01"/>
      <c r="AD24" s="123"/>
      <c r="AE24" s="111"/>
      <c r="AF24" s="111"/>
      <c r="AG24" s="111"/>
      <c r="AH24" s="111"/>
      <c r="AI24" s="111"/>
    </row>
    <row r="25" ht="15.75" customHeight="1">
      <c r="A25" s="111"/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01"/>
      <c r="AD25" s="123"/>
      <c r="AE25" s="111"/>
      <c r="AF25" s="111"/>
      <c r="AG25" s="111"/>
      <c r="AH25" s="111"/>
      <c r="AI25" s="111"/>
    </row>
    <row r="26" ht="15.75" customHeight="1">
      <c r="A26" s="111"/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01"/>
      <c r="AD26" s="123"/>
      <c r="AE26" s="111"/>
      <c r="AF26" s="111"/>
      <c r="AG26" s="111"/>
      <c r="AH26" s="111"/>
      <c r="AI26" s="111"/>
    </row>
    <row r="27" ht="15.75" customHeight="1">
      <c r="A27" s="111"/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01"/>
      <c r="AD27" s="123"/>
      <c r="AE27" s="111"/>
      <c r="AF27" s="111"/>
      <c r="AG27" s="111"/>
      <c r="AH27" s="111"/>
      <c r="AI27" s="111"/>
    </row>
    <row r="28" ht="15.75" customHeight="1">
      <c r="A28" s="111"/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01"/>
      <c r="AD28" s="123"/>
      <c r="AE28" s="111"/>
      <c r="AF28" s="111"/>
      <c r="AG28" s="111"/>
      <c r="AH28" s="111"/>
      <c r="AI28" s="111"/>
    </row>
    <row r="29" ht="15.75" customHeight="1">
      <c r="A29" s="111"/>
      <c r="B29" s="111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01"/>
      <c r="AD29" s="123"/>
      <c r="AE29" s="111"/>
      <c r="AF29" s="111"/>
      <c r="AG29" s="111"/>
      <c r="AH29" s="111"/>
      <c r="AI29" s="111"/>
    </row>
    <row r="30" ht="15.75" customHeight="1">
      <c r="A30" s="111"/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01"/>
      <c r="AD30" s="123"/>
      <c r="AE30" s="111"/>
      <c r="AF30" s="111"/>
      <c r="AG30" s="111"/>
      <c r="AH30" s="111"/>
      <c r="AI30" s="111"/>
    </row>
    <row r="31" ht="15.75" customHeight="1">
      <c r="A31" s="111"/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01"/>
      <c r="AD31" s="123"/>
      <c r="AE31" s="111"/>
      <c r="AF31" s="111"/>
      <c r="AG31" s="111"/>
      <c r="AH31" s="111"/>
      <c r="AI31" s="111"/>
    </row>
    <row r="32" ht="15.75" customHeight="1">
      <c r="A32" s="111"/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01"/>
      <c r="AD32" s="123"/>
      <c r="AE32" s="111"/>
      <c r="AF32" s="111"/>
      <c r="AG32" s="111"/>
      <c r="AH32" s="111"/>
      <c r="AI32" s="111"/>
    </row>
    <row r="33" ht="15.75" customHeight="1">
      <c r="A33" s="111"/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01"/>
      <c r="AD33" s="123"/>
      <c r="AE33" s="111"/>
      <c r="AF33" s="111"/>
      <c r="AG33" s="111"/>
      <c r="AH33" s="111"/>
      <c r="AI33" s="111"/>
    </row>
    <row r="34" ht="15.75" customHeight="1">
      <c r="A34" s="111"/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01"/>
      <c r="AD34" s="123"/>
      <c r="AE34" s="111"/>
      <c r="AF34" s="111"/>
      <c r="AG34" s="111"/>
      <c r="AH34" s="111"/>
      <c r="AI34" s="111"/>
    </row>
    <row r="35" ht="15.75" customHeight="1">
      <c r="A35" s="111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01"/>
      <c r="AD35" s="123"/>
      <c r="AE35" s="111"/>
      <c r="AF35" s="111"/>
      <c r="AG35" s="111"/>
      <c r="AH35" s="111"/>
      <c r="AI35" s="111"/>
    </row>
    <row r="36" ht="15.75" customHeight="1">
      <c r="A36" s="111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01"/>
      <c r="AD36" s="123"/>
      <c r="AE36" s="111"/>
      <c r="AF36" s="111"/>
      <c r="AG36" s="111"/>
      <c r="AH36" s="111"/>
      <c r="AI36" s="111"/>
    </row>
    <row r="37" ht="15.75" customHeight="1">
      <c r="A37" s="111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01"/>
      <c r="AD37" s="123"/>
      <c r="AE37" s="111"/>
      <c r="AF37" s="111"/>
      <c r="AG37" s="111"/>
      <c r="AH37" s="111"/>
      <c r="AI37" s="111"/>
    </row>
    <row r="38" ht="15.75" customHeight="1">
      <c r="A38" s="111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01"/>
      <c r="AD38" s="123"/>
      <c r="AE38" s="111"/>
      <c r="AF38" s="111"/>
      <c r="AG38" s="111"/>
      <c r="AH38" s="111"/>
      <c r="AI38" s="111"/>
    </row>
    <row r="39" ht="15.75" customHeight="1">
      <c r="A39" s="111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01"/>
      <c r="AD39" s="123"/>
      <c r="AE39" s="111"/>
      <c r="AF39" s="111"/>
      <c r="AG39" s="111"/>
      <c r="AH39" s="111"/>
      <c r="AI39" s="111"/>
    </row>
    <row r="40" ht="15.75" customHeight="1">
      <c r="A40" s="111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01"/>
      <c r="AD40" s="123"/>
      <c r="AE40" s="111"/>
      <c r="AF40" s="111"/>
      <c r="AG40" s="111"/>
      <c r="AH40" s="111"/>
      <c r="AI40" s="111"/>
    </row>
    <row r="41" ht="15.75" customHeight="1">
      <c r="A41" s="111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01"/>
      <c r="AD41" s="123"/>
      <c r="AE41" s="111"/>
      <c r="AF41" s="111"/>
      <c r="AG41" s="111"/>
      <c r="AH41" s="111"/>
      <c r="AI41" s="111"/>
    </row>
    <row r="42" ht="15.75" customHeight="1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01"/>
      <c r="AD42" s="123"/>
      <c r="AE42" s="111"/>
      <c r="AF42" s="111"/>
      <c r="AG42" s="111"/>
      <c r="AH42" s="111"/>
      <c r="AI42" s="111"/>
    </row>
    <row r="43" ht="15.75" customHeight="1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01"/>
      <c r="AD43" s="123"/>
      <c r="AE43" s="111"/>
      <c r="AF43" s="111"/>
      <c r="AG43" s="111"/>
      <c r="AH43" s="111"/>
      <c r="AI43" s="111"/>
    </row>
    <row r="44" ht="15.75" customHeight="1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01"/>
      <c r="AD44" s="123"/>
      <c r="AE44" s="111"/>
      <c r="AF44" s="111"/>
      <c r="AG44" s="111"/>
      <c r="AH44" s="111"/>
      <c r="AI44" s="111"/>
    </row>
    <row r="45" ht="15.75" customHeight="1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01"/>
      <c r="AD45" s="123"/>
      <c r="AE45" s="111"/>
      <c r="AF45" s="111"/>
      <c r="AG45" s="111"/>
      <c r="AH45" s="111"/>
      <c r="AI45" s="111"/>
    </row>
    <row r="46" ht="15.75" customHeight="1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01"/>
      <c r="AD46" s="123"/>
      <c r="AE46" s="111"/>
      <c r="AF46" s="111"/>
      <c r="AG46" s="111"/>
      <c r="AH46" s="111"/>
      <c r="AI46" s="111"/>
    </row>
    <row r="47" ht="15.75" customHeight="1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01"/>
      <c r="AD47" s="123"/>
      <c r="AE47" s="111"/>
      <c r="AF47" s="111"/>
      <c r="AG47" s="111"/>
      <c r="AH47" s="111"/>
      <c r="AI47" s="111"/>
    </row>
    <row r="48" ht="15.75" customHeight="1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01"/>
      <c r="AD48" s="123"/>
      <c r="AE48" s="111"/>
      <c r="AF48" s="111"/>
      <c r="AG48" s="111"/>
      <c r="AH48" s="111"/>
      <c r="AI48" s="111"/>
    </row>
    <row r="49" ht="15.75" customHeight="1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01"/>
      <c r="AD49" s="123"/>
      <c r="AE49" s="111"/>
      <c r="AF49" s="111"/>
      <c r="AG49" s="111"/>
      <c r="AH49" s="111"/>
      <c r="AI49" s="111"/>
    </row>
    <row r="50" ht="15.75" customHeight="1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01"/>
      <c r="AD50" s="123"/>
      <c r="AE50" s="111"/>
      <c r="AF50" s="111"/>
      <c r="AG50" s="111"/>
      <c r="AH50" s="111"/>
      <c r="AI50" s="111"/>
    </row>
    <row r="51" ht="15.75" customHeight="1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01"/>
      <c r="AD51" s="123"/>
      <c r="AE51" s="111"/>
      <c r="AF51" s="111"/>
      <c r="AG51" s="111"/>
      <c r="AH51" s="111"/>
      <c r="AI51" s="111"/>
    </row>
    <row r="52" ht="15.75" customHeight="1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01"/>
      <c r="AD52" s="123"/>
      <c r="AE52" s="111"/>
      <c r="AF52" s="111"/>
      <c r="AG52" s="111"/>
      <c r="AH52" s="111"/>
      <c r="AI52" s="111"/>
    </row>
    <row r="53" ht="15.75" customHeight="1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01"/>
      <c r="AD53" s="123"/>
      <c r="AE53" s="111"/>
      <c r="AF53" s="111"/>
      <c r="AG53" s="111"/>
      <c r="AH53" s="111"/>
      <c r="AI53" s="111"/>
    </row>
    <row r="54" ht="15.75" customHeight="1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01"/>
      <c r="AD54" s="123"/>
      <c r="AE54" s="111"/>
      <c r="AF54" s="111"/>
      <c r="AG54" s="111"/>
      <c r="AH54" s="111"/>
      <c r="AI54" s="111"/>
    </row>
    <row r="55" ht="15.75" customHeight="1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01"/>
      <c r="AD55" s="123"/>
      <c r="AE55" s="111"/>
      <c r="AF55" s="111"/>
      <c r="AG55" s="111"/>
      <c r="AH55" s="111"/>
      <c r="AI55" s="111"/>
    </row>
    <row r="56" ht="15.75" customHeight="1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01"/>
      <c r="AD56" s="123"/>
      <c r="AE56" s="111"/>
      <c r="AF56" s="111"/>
      <c r="AG56" s="111"/>
      <c r="AH56" s="111"/>
      <c r="AI56" s="111"/>
    </row>
    <row r="57" ht="15.75" customHeight="1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01"/>
      <c r="AD57" s="123"/>
      <c r="AE57" s="111"/>
      <c r="AF57" s="111"/>
      <c r="AG57" s="111"/>
      <c r="AH57" s="111"/>
      <c r="AI57" s="111"/>
    </row>
    <row r="58" ht="15.75" customHeight="1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01"/>
      <c r="AD58" s="123"/>
      <c r="AE58" s="111"/>
      <c r="AF58" s="111"/>
      <c r="AG58" s="111"/>
      <c r="AH58" s="111"/>
      <c r="AI58" s="111"/>
    </row>
    <row r="59" ht="15.75" customHeight="1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01"/>
      <c r="AD59" s="123"/>
      <c r="AE59" s="111"/>
      <c r="AF59" s="111"/>
      <c r="AG59" s="111"/>
      <c r="AH59" s="111"/>
      <c r="AI59" s="111"/>
    </row>
    <row r="60" ht="15.75" customHeight="1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01"/>
      <c r="AD60" s="123"/>
      <c r="AE60" s="111"/>
      <c r="AF60" s="111"/>
      <c r="AG60" s="111"/>
      <c r="AH60" s="111"/>
      <c r="AI60" s="111"/>
    </row>
    <row r="61" ht="15.75" customHeight="1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01"/>
      <c r="AD61" s="123"/>
      <c r="AE61" s="111"/>
      <c r="AF61" s="111"/>
      <c r="AG61" s="111"/>
      <c r="AH61" s="111"/>
      <c r="AI61" s="111"/>
    </row>
    <row r="62" ht="15.75" customHeight="1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01"/>
      <c r="AD62" s="123"/>
      <c r="AE62" s="111"/>
      <c r="AF62" s="111"/>
      <c r="AG62" s="111"/>
      <c r="AH62" s="111"/>
      <c r="AI62" s="111"/>
    </row>
    <row r="63" ht="15.75" customHeight="1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01"/>
      <c r="AD63" s="123"/>
      <c r="AE63" s="111"/>
      <c r="AF63" s="111"/>
      <c r="AG63" s="111"/>
      <c r="AH63" s="111"/>
      <c r="AI63" s="111"/>
    </row>
    <row r="64" ht="15.75" customHeight="1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01"/>
      <c r="AD64" s="123"/>
      <c r="AE64" s="111"/>
      <c r="AF64" s="111"/>
      <c r="AG64" s="111"/>
      <c r="AH64" s="111"/>
      <c r="AI64" s="111"/>
    </row>
    <row r="65" ht="15.75" customHeight="1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01"/>
      <c r="AD65" s="123"/>
      <c r="AE65" s="111"/>
      <c r="AF65" s="111"/>
      <c r="AG65" s="111"/>
      <c r="AH65" s="111"/>
      <c r="AI65" s="111"/>
    </row>
    <row r="66" ht="15.75" customHeight="1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01"/>
      <c r="AD66" s="123"/>
      <c r="AE66" s="111"/>
      <c r="AF66" s="111"/>
      <c r="AG66" s="111"/>
      <c r="AH66" s="111"/>
      <c r="AI66" s="111"/>
    </row>
    <row r="67" ht="15.75" customHeight="1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01"/>
      <c r="AD67" s="123"/>
      <c r="AE67" s="111"/>
      <c r="AF67" s="111"/>
      <c r="AG67" s="111"/>
      <c r="AH67" s="111"/>
      <c r="AI67" s="111"/>
    </row>
    <row r="68" ht="15.75" customHeight="1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01"/>
      <c r="AD68" s="123"/>
      <c r="AE68" s="111"/>
      <c r="AF68" s="111"/>
      <c r="AG68" s="111"/>
      <c r="AH68" s="111"/>
      <c r="AI68" s="111"/>
    </row>
    <row r="69" ht="15.75" customHeight="1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01"/>
      <c r="AD69" s="123"/>
      <c r="AE69" s="111"/>
      <c r="AF69" s="111"/>
      <c r="AG69" s="111"/>
      <c r="AH69" s="111"/>
      <c r="AI69" s="111"/>
    </row>
    <row r="70" ht="15.75" customHeight="1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01"/>
      <c r="AD70" s="123"/>
      <c r="AE70" s="111"/>
      <c r="AF70" s="111"/>
      <c r="AG70" s="111"/>
      <c r="AH70" s="111"/>
      <c r="AI70" s="111"/>
    </row>
    <row r="71" ht="15.75" customHeight="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01"/>
      <c r="AD71" s="123"/>
      <c r="AE71" s="111"/>
      <c r="AF71" s="111"/>
      <c r="AG71" s="111"/>
      <c r="AH71" s="111"/>
      <c r="AI71" s="111"/>
    </row>
    <row r="72" ht="15.75" customHeight="1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01"/>
      <c r="AD72" s="123"/>
      <c r="AE72" s="111"/>
      <c r="AF72" s="111"/>
      <c r="AG72" s="111"/>
      <c r="AH72" s="111"/>
      <c r="AI72" s="111"/>
    </row>
    <row r="73" ht="15.75" customHeight="1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01"/>
      <c r="AD73" s="123"/>
      <c r="AE73" s="111"/>
      <c r="AF73" s="111"/>
      <c r="AG73" s="111"/>
      <c r="AH73" s="111"/>
      <c r="AI73" s="111"/>
    </row>
    <row r="74" ht="15.75" customHeight="1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01"/>
      <c r="AD74" s="123"/>
      <c r="AE74" s="111"/>
      <c r="AF74" s="111"/>
      <c r="AG74" s="111"/>
      <c r="AH74" s="111"/>
      <c r="AI74" s="111"/>
    </row>
    <row r="75" ht="15.75" customHeight="1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01"/>
      <c r="AD75" s="123"/>
      <c r="AE75" s="111"/>
      <c r="AF75" s="111"/>
      <c r="AG75" s="111"/>
      <c r="AH75" s="111"/>
      <c r="AI75" s="111"/>
    </row>
    <row r="76" ht="15.75" customHeight="1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01"/>
      <c r="AD76" s="123"/>
      <c r="AE76" s="111"/>
      <c r="AF76" s="111"/>
      <c r="AG76" s="111"/>
      <c r="AH76" s="111"/>
      <c r="AI76" s="111"/>
    </row>
    <row r="77" ht="15.75" customHeight="1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01"/>
      <c r="AD77" s="123"/>
      <c r="AE77" s="111"/>
      <c r="AF77" s="111"/>
      <c r="AG77" s="111"/>
      <c r="AH77" s="111"/>
      <c r="AI77" s="111"/>
    </row>
    <row r="78" ht="15.75" customHeight="1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01"/>
      <c r="AD78" s="123"/>
      <c r="AE78" s="111"/>
      <c r="AF78" s="111"/>
      <c r="AG78" s="111"/>
      <c r="AH78" s="111"/>
      <c r="AI78" s="111"/>
    </row>
    <row r="79" ht="15.75" customHeight="1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01"/>
      <c r="AD79" s="123"/>
      <c r="AE79" s="111"/>
      <c r="AF79" s="111"/>
      <c r="AG79" s="111"/>
      <c r="AH79" s="111"/>
      <c r="AI79" s="111"/>
    </row>
    <row r="80" ht="15.75" customHeight="1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01"/>
      <c r="AD80" s="123"/>
      <c r="AE80" s="111"/>
      <c r="AF80" s="111"/>
      <c r="AG80" s="111"/>
      <c r="AH80" s="111"/>
      <c r="AI80" s="111"/>
    </row>
    <row r="81" ht="15.75" customHeight="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01"/>
      <c r="AD81" s="123"/>
      <c r="AE81" s="111"/>
      <c r="AF81" s="111"/>
      <c r="AG81" s="111"/>
      <c r="AH81" s="111"/>
      <c r="AI81" s="111"/>
    </row>
    <row r="82" ht="15.75" customHeight="1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01"/>
      <c r="AD82" s="123"/>
      <c r="AE82" s="111"/>
      <c r="AF82" s="111"/>
      <c r="AG82" s="111"/>
      <c r="AH82" s="111"/>
      <c r="AI82" s="111"/>
    </row>
    <row r="83" ht="15.75" customHeight="1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01"/>
      <c r="AD83" s="123"/>
      <c r="AE83" s="111"/>
      <c r="AF83" s="111"/>
      <c r="AG83" s="111"/>
      <c r="AH83" s="111"/>
      <c r="AI83" s="111"/>
    </row>
    <row r="84" ht="15.75" customHeight="1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01"/>
      <c r="AD84" s="123"/>
      <c r="AE84" s="111"/>
      <c r="AF84" s="111"/>
      <c r="AG84" s="111"/>
      <c r="AH84" s="111"/>
      <c r="AI84" s="111"/>
    </row>
    <row r="85" ht="15.75" customHeight="1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01"/>
      <c r="AD85" s="123"/>
      <c r="AE85" s="111"/>
      <c r="AF85" s="111"/>
      <c r="AG85" s="111"/>
      <c r="AH85" s="111"/>
      <c r="AI85" s="111"/>
    </row>
    <row r="86" ht="15.75" customHeight="1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01"/>
      <c r="AD86" s="123"/>
      <c r="AE86" s="111"/>
      <c r="AF86" s="111"/>
      <c r="AG86" s="111"/>
      <c r="AH86" s="111"/>
      <c r="AI86" s="111"/>
    </row>
    <row r="87" ht="15.75" customHeight="1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01"/>
      <c r="AD87" s="123"/>
      <c r="AE87" s="111"/>
      <c r="AF87" s="111"/>
      <c r="AG87" s="111"/>
      <c r="AH87" s="111"/>
      <c r="AI87" s="111"/>
    </row>
    <row r="88" ht="15.75" customHeight="1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01"/>
      <c r="AD88" s="123"/>
      <c r="AE88" s="111"/>
      <c r="AF88" s="111"/>
      <c r="AG88" s="111"/>
      <c r="AH88" s="111"/>
      <c r="AI88" s="111"/>
    </row>
    <row r="89" ht="15.75" customHeight="1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01"/>
      <c r="AD89" s="123"/>
      <c r="AE89" s="111"/>
      <c r="AF89" s="111"/>
      <c r="AG89" s="111"/>
      <c r="AH89" s="111"/>
      <c r="AI89" s="111"/>
    </row>
    <row r="90" ht="15.75" customHeight="1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01"/>
      <c r="AD90" s="123"/>
      <c r="AE90" s="111"/>
      <c r="AF90" s="111"/>
      <c r="AG90" s="111"/>
      <c r="AH90" s="111"/>
      <c r="AI90" s="111"/>
    </row>
    <row r="91" ht="15.75" customHeight="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01"/>
      <c r="AD91" s="123"/>
      <c r="AE91" s="111"/>
      <c r="AF91" s="111"/>
      <c r="AG91" s="111"/>
      <c r="AH91" s="111"/>
      <c r="AI91" s="111"/>
    </row>
    <row r="92" ht="15.75" customHeight="1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01"/>
      <c r="AD92" s="123"/>
      <c r="AE92" s="111"/>
      <c r="AF92" s="111"/>
      <c r="AG92" s="111"/>
      <c r="AH92" s="111"/>
      <c r="AI92" s="111"/>
    </row>
    <row r="93" ht="15.75" customHeight="1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01"/>
      <c r="AD93" s="123"/>
      <c r="AE93" s="111"/>
      <c r="AF93" s="111"/>
      <c r="AG93" s="111"/>
      <c r="AH93" s="111"/>
      <c r="AI93" s="111"/>
    </row>
    <row r="94" ht="15.75" customHeight="1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01"/>
      <c r="AD94" s="123"/>
      <c r="AE94" s="111"/>
      <c r="AF94" s="111"/>
      <c r="AG94" s="111"/>
      <c r="AH94" s="111"/>
      <c r="AI94" s="111"/>
    </row>
    <row r="95" ht="15.75" customHeight="1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01"/>
      <c r="AD95" s="123"/>
      <c r="AE95" s="111"/>
      <c r="AF95" s="111"/>
      <c r="AG95" s="111"/>
      <c r="AH95" s="111"/>
      <c r="AI95" s="111"/>
    </row>
    <row r="96" ht="15.75" customHeight="1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01"/>
      <c r="AD96" s="123"/>
      <c r="AE96" s="111"/>
      <c r="AF96" s="111"/>
      <c r="AG96" s="111"/>
      <c r="AH96" s="111"/>
      <c r="AI96" s="111"/>
    </row>
    <row r="97" ht="15.75" customHeight="1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01"/>
      <c r="AD97" s="123"/>
      <c r="AE97" s="111"/>
      <c r="AF97" s="111"/>
      <c r="AG97" s="111"/>
      <c r="AH97" s="111"/>
      <c r="AI97" s="111"/>
    </row>
    <row r="98" ht="15.75" customHeight="1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01"/>
      <c r="AD98" s="123"/>
      <c r="AE98" s="111"/>
      <c r="AF98" s="111"/>
      <c r="AG98" s="111"/>
      <c r="AH98" s="111"/>
      <c r="AI98" s="111"/>
    </row>
    <row r="99" ht="15.75" customHeight="1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01"/>
      <c r="AD99" s="123"/>
      <c r="AE99" s="111"/>
      <c r="AF99" s="111"/>
      <c r="AG99" s="111"/>
      <c r="AH99" s="111"/>
      <c r="AI99" s="111"/>
    </row>
    <row r="100" ht="15.75" customHeight="1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01"/>
      <c r="AD100" s="123"/>
      <c r="AE100" s="111"/>
      <c r="AF100" s="111"/>
      <c r="AG100" s="111"/>
      <c r="AH100" s="111"/>
      <c r="AI100" s="111"/>
    </row>
    <row r="101" ht="15.75" customHeight="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01"/>
      <c r="AD101" s="123"/>
      <c r="AE101" s="111"/>
      <c r="AF101" s="111"/>
      <c r="AG101" s="111"/>
      <c r="AH101" s="111"/>
      <c r="AI101" s="111"/>
    </row>
    <row r="102" ht="15.75" customHeight="1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01"/>
      <c r="AD102" s="123"/>
      <c r="AE102" s="111"/>
      <c r="AF102" s="111"/>
      <c r="AG102" s="111"/>
      <c r="AH102" s="111"/>
      <c r="AI102" s="111"/>
    </row>
    <row r="103" ht="15.75" customHeight="1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01"/>
      <c r="AD103" s="123"/>
      <c r="AE103" s="111"/>
      <c r="AF103" s="111"/>
      <c r="AG103" s="111"/>
      <c r="AH103" s="111"/>
      <c r="AI103" s="111"/>
    </row>
    <row r="104" ht="15.75" customHeight="1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01"/>
      <c r="AD104" s="123"/>
      <c r="AE104" s="111"/>
      <c r="AF104" s="111"/>
      <c r="AG104" s="111"/>
      <c r="AH104" s="111"/>
      <c r="AI104" s="111"/>
    </row>
    <row r="105" ht="15.75" customHeight="1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01"/>
      <c r="AD105" s="123"/>
      <c r="AE105" s="111"/>
      <c r="AF105" s="111"/>
      <c r="AG105" s="111"/>
      <c r="AH105" s="111"/>
      <c r="AI105" s="111"/>
    </row>
    <row r="106" ht="15.75" customHeight="1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01"/>
      <c r="AD106" s="123"/>
      <c r="AE106" s="111"/>
      <c r="AF106" s="111"/>
      <c r="AG106" s="111"/>
      <c r="AH106" s="111"/>
      <c r="AI106" s="111"/>
    </row>
    <row r="107" ht="15.75" customHeight="1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01"/>
      <c r="AD107" s="123"/>
      <c r="AE107" s="111"/>
      <c r="AF107" s="111"/>
      <c r="AG107" s="111"/>
      <c r="AH107" s="111"/>
      <c r="AI107" s="111"/>
    </row>
    <row r="108" ht="15.75" customHeight="1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01"/>
      <c r="AD108" s="123"/>
      <c r="AE108" s="111"/>
      <c r="AF108" s="111"/>
      <c r="AG108" s="111"/>
      <c r="AH108" s="111"/>
      <c r="AI108" s="111"/>
    </row>
    <row r="109" ht="15.75" customHeight="1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01"/>
      <c r="AD109" s="123"/>
      <c r="AE109" s="111"/>
      <c r="AF109" s="111"/>
      <c r="AG109" s="111"/>
      <c r="AH109" s="111"/>
      <c r="AI109" s="111"/>
    </row>
    <row r="110" ht="15.75" customHeight="1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01"/>
      <c r="AD110" s="123"/>
      <c r="AE110" s="111"/>
      <c r="AF110" s="111"/>
      <c r="AG110" s="111"/>
      <c r="AH110" s="111"/>
      <c r="AI110" s="111"/>
    </row>
    <row r="111" ht="15.75" customHeight="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01"/>
      <c r="AD111" s="123"/>
      <c r="AE111" s="111"/>
      <c r="AF111" s="111"/>
      <c r="AG111" s="111"/>
      <c r="AH111" s="111"/>
      <c r="AI111" s="111"/>
    </row>
    <row r="112" ht="15.75" customHeight="1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01"/>
      <c r="AD112" s="123"/>
      <c r="AE112" s="111"/>
      <c r="AF112" s="111"/>
      <c r="AG112" s="111"/>
      <c r="AH112" s="111"/>
      <c r="AI112" s="111"/>
    </row>
    <row r="113" ht="15.75" customHeight="1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01"/>
      <c r="AD113" s="123"/>
      <c r="AE113" s="111"/>
      <c r="AF113" s="111"/>
      <c r="AG113" s="111"/>
      <c r="AH113" s="111"/>
      <c r="AI113" s="111"/>
    </row>
    <row r="114" ht="15.75" customHeight="1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01"/>
      <c r="AD114" s="123"/>
      <c r="AE114" s="111"/>
      <c r="AF114" s="111"/>
      <c r="AG114" s="111"/>
      <c r="AH114" s="111"/>
      <c r="AI114" s="111"/>
    </row>
    <row r="115" ht="15.75" customHeight="1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01"/>
      <c r="AD115" s="123"/>
      <c r="AE115" s="111"/>
      <c r="AF115" s="111"/>
      <c r="AG115" s="111"/>
      <c r="AH115" s="111"/>
      <c r="AI115" s="111"/>
    </row>
    <row r="116" ht="15.75" customHeight="1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01"/>
      <c r="AD116" s="123"/>
      <c r="AE116" s="111"/>
      <c r="AF116" s="111"/>
      <c r="AG116" s="111"/>
      <c r="AH116" s="111"/>
      <c r="AI116" s="111"/>
    </row>
    <row r="117" ht="15.75" customHeight="1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01"/>
      <c r="AD117" s="123"/>
      <c r="AE117" s="111"/>
      <c r="AF117" s="111"/>
      <c r="AG117" s="111"/>
      <c r="AH117" s="111"/>
      <c r="AI117" s="111"/>
    </row>
    <row r="118" ht="15.75" customHeight="1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01"/>
      <c r="AD118" s="123"/>
      <c r="AE118" s="111"/>
      <c r="AF118" s="111"/>
      <c r="AG118" s="111"/>
      <c r="AH118" s="111"/>
      <c r="AI118" s="111"/>
    </row>
    <row r="119" ht="15.75" customHeight="1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01"/>
      <c r="AD119" s="123"/>
      <c r="AE119" s="111"/>
      <c r="AF119" s="111"/>
      <c r="AG119" s="111"/>
      <c r="AH119" s="111"/>
      <c r="AI119" s="111"/>
    </row>
    <row r="120" ht="15.75" customHeight="1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01"/>
      <c r="AD120" s="123"/>
      <c r="AE120" s="111"/>
      <c r="AF120" s="111"/>
      <c r="AG120" s="111"/>
      <c r="AH120" s="111"/>
      <c r="AI120" s="111"/>
    </row>
    <row r="121" ht="15.75" customHeight="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01"/>
      <c r="AD121" s="123"/>
      <c r="AE121" s="111"/>
      <c r="AF121" s="111"/>
      <c r="AG121" s="111"/>
      <c r="AH121" s="111"/>
      <c r="AI121" s="111"/>
    </row>
    <row r="122" ht="15.75" customHeight="1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01"/>
      <c r="AD122" s="123"/>
      <c r="AE122" s="111"/>
      <c r="AF122" s="111"/>
      <c r="AG122" s="111"/>
      <c r="AH122" s="111"/>
      <c r="AI122" s="111"/>
    </row>
    <row r="123" ht="15.75" customHeight="1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01"/>
      <c r="AD123" s="123"/>
      <c r="AE123" s="111"/>
      <c r="AF123" s="111"/>
      <c r="AG123" s="111"/>
      <c r="AH123" s="111"/>
      <c r="AI123" s="111"/>
    </row>
    <row r="124" ht="15.75" customHeight="1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01"/>
      <c r="AD124" s="123"/>
      <c r="AE124" s="111"/>
      <c r="AF124" s="111"/>
      <c r="AG124" s="111"/>
      <c r="AH124" s="111"/>
      <c r="AI124" s="111"/>
    </row>
    <row r="125" ht="15.75" customHeight="1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01"/>
      <c r="AD125" s="123"/>
      <c r="AE125" s="111"/>
      <c r="AF125" s="111"/>
      <c r="AG125" s="111"/>
      <c r="AH125" s="111"/>
      <c r="AI125" s="111"/>
    </row>
    <row r="126" ht="15.75" customHeight="1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01"/>
      <c r="AD126" s="123"/>
      <c r="AE126" s="111"/>
      <c r="AF126" s="111"/>
      <c r="AG126" s="111"/>
      <c r="AH126" s="111"/>
      <c r="AI126" s="111"/>
    </row>
    <row r="127" ht="15.75" customHeight="1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01"/>
      <c r="AD127" s="123"/>
      <c r="AE127" s="111"/>
      <c r="AF127" s="111"/>
      <c r="AG127" s="111"/>
      <c r="AH127" s="111"/>
      <c r="AI127" s="111"/>
    </row>
    <row r="128" ht="15.75" customHeight="1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01"/>
      <c r="AD128" s="123"/>
      <c r="AE128" s="111"/>
      <c r="AF128" s="111"/>
      <c r="AG128" s="111"/>
      <c r="AH128" s="111"/>
      <c r="AI128" s="111"/>
    </row>
    <row r="129" ht="15.75" customHeight="1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01"/>
      <c r="AD129" s="123"/>
      <c r="AE129" s="111"/>
      <c r="AF129" s="111"/>
      <c r="AG129" s="111"/>
      <c r="AH129" s="111"/>
      <c r="AI129" s="111"/>
    </row>
    <row r="130" ht="15.75" customHeight="1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01"/>
      <c r="AD130" s="123"/>
      <c r="AE130" s="111"/>
      <c r="AF130" s="111"/>
      <c r="AG130" s="111"/>
      <c r="AH130" s="111"/>
      <c r="AI130" s="111"/>
    </row>
    <row r="131" ht="15.75" customHeight="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01"/>
      <c r="AD131" s="123"/>
      <c r="AE131" s="111"/>
      <c r="AF131" s="111"/>
      <c r="AG131" s="111"/>
      <c r="AH131" s="111"/>
      <c r="AI131" s="111"/>
    </row>
    <row r="132" ht="15.75" customHeight="1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01"/>
      <c r="AD132" s="123"/>
      <c r="AE132" s="111"/>
      <c r="AF132" s="111"/>
      <c r="AG132" s="111"/>
      <c r="AH132" s="111"/>
      <c r="AI132" s="111"/>
    </row>
    <row r="133" ht="15.75" customHeight="1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01"/>
      <c r="AD133" s="123"/>
      <c r="AE133" s="111"/>
      <c r="AF133" s="111"/>
      <c r="AG133" s="111"/>
      <c r="AH133" s="111"/>
      <c r="AI133" s="111"/>
    </row>
    <row r="134" ht="15.75" customHeight="1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01"/>
      <c r="AD134" s="123"/>
      <c r="AE134" s="111"/>
      <c r="AF134" s="111"/>
      <c r="AG134" s="111"/>
      <c r="AH134" s="111"/>
      <c r="AI134" s="111"/>
    </row>
    <row r="135" ht="15.75" customHeight="1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01"/>
      <c r="AD135" s="123"/>
      <c r="AE135" s="111"/>
      <c r="AF135" s="111"/>
      <c r="AG135" s="111"/>
      <c r="AH135" s="111"/>
      <c r="AI135" s="111"/>
    </row>
    <row r="136" ht="15.75" customHeight="1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01"/>
      <c r="AD136" s="123"/>
      <c r="AE136" s="111"/>
      <c r="AF136" s="111"/>
      <c r="AG136" s="111"/>
      <c r="AH136" s="111"/>
      <c r="AI136" s="111"/>
    </row>
    <row r="137" ht="15.75" customHeight="1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01"/>
      <c r="AD137" s="123"/>
      <c r="AE137" s="111"/>
      <c r="AF137" s="111"/>
      <c r="AG137" s="111"/>
      <c r="AH137" s="111"/>
      <c r="AI137" s="111"/>
    </row>
    <row r="138" ht="15.75" customHeight="1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01"/>
      <c r="AD138" s="123"/>
      <c r="AE138" s="111"/>
      <c r="AF138" s="111"/>
      <c r="AG138" s="111"/>
      <c r="AH138" s="111"/>
      <c r="AI138" s="111"/>
    </row>
    <row r="139" ht="15.75" customHeight="1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01"/>
      <c r="AD139" s="123"/>
      <c r="AE139" s="111"/>
      <c r="AF139" s="111"/>
      <c r="AG139" s="111"/>
      <c r="AH139" s="111"/>
      <c r="AI139" s="111"/>
    </row>
    <row r="140" ht="15.75" customHeight="1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01"/>
      <c r="AD140" s="123"/>
      <c r="AE140" s="111"/>
      <c r="AF140" s="111"/>
      <c r="AG140" s="111"/>
      <c r="AH140" s="111"/>
      <c r="AI140" s="111"/>
    </row>
    <row r="141" ht="15.75" customHeight="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01"/>
      <c r="AD141" s="123"/>
      <c r="AE141" s="111"/>
      <c r="AF141" s="111"/>
      <c r="AG141" s="111"/>
      <c r="AH141" s="111"/>
      <c r="AI141" s="111"/>
    </row>
    <row r="142" ht="15.75" customHeight="1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01"/>
      <c r="AD142" s="123"/>
      <c r="AE142" s="111"/>
      <c r="AF142" s="111"/>
      <c r="AG142" s="111"/>
      <c r="AH142" s="111"/>
      <c r="AI142" s="111"/>
    </row>
    <row r="143" ht="15.75" customHeight="1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01"/>
      <c r="AD143" s="123"/>
      <c r="AE143" s="111"/>
      <c r="AF143" s="111"/>
      <c r="AG143" s="111"/>
      <c r="AH143" s="111"/>
      <c r="AI143" s="111"/>
    </row>
    <row r="144" ht="15.75" customHeight="1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01"/>
      <c r="AD144" s="123"/>
      <c r="AE144" s="111"/>
      <c r="AF144" s="111"/>
      <c r="AG144" s="111"/>
      <c r="AH144" s="111"/>
      <c r="AI144" s="111"/>
    </row>
    <row r="145" ht="15.75" customHeight="1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01"/>
      <c r="AD145" s="123"/>
      <c r="AE145" s="111"/>
      <c r="AF145" s="111"/>
      <c r="AG145" s="111"/>
      <c r="AH145" s="111"/>
      <c r="AI145" s="111"/>
    </row>
    <row r="146" ht="15.75" customHeight="1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01"/>
      <c r="AD146" s="123"/>
      <c r="AE146" s="111"/>
      <c r="AF146" s="111"/>
      <c r="AG146" s="111"/>
      <c r="AH146" s="111"/>
      <c r="AI146" s="111"/>
    </row>
    <row r="147" ht="15.75" customHeight="1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01"/>
      <c r="AD147" s="123"/>
      <c r="AE147" s="111"/>
      <c r="AF147" s="111"/>
      <c r="AG147" s="111"/>
      <c r="AH147" s="111"/>
      <c r="AI147" s="111"/>
    </row>
    <row r="148" ht="15.75" customHeight="1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01"/>
      <c r="AD148" s="123"/>
      <c r="AE148" s="111"/>
      <c r="AF148" s="111"/>
      <c r="AG148" s="111"/>
      <c r="AH148" s="111"/>
      <c r="AI148" s="111"/>
    </row>
    <row r="149" ht="15.75" customHeight="1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01"/>
      <c r="AD149" s="123"/>
      <c r="AE149" s="111"/>
      <c r="AF149" s="111"/>
      <c r="AG149" s="111"/>
      <c r="AH149" s="111"/>
      <c r="AI149" s="111"/>
    </row>
    <row r="150" ht="15.75" customHeight="1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01"/>
      <c r="AD150" s="123"/>
      <c r="AE150" s="111"/>
      <c r="AF150" s="111"/>
      <c r="AG150" s="111"/>
      <c r="AH150" s="111"/>
      <c r="AI150" s="111"/>
    </row>
    <row r="151" ht="15.75" customHeight="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01"/>
      <c r="AD151" s="123"/>
      <c r="AE151" s="111"/>
      <c r="AF151" s="111"/>
      <c r="AG151" s="111"/>
      <c r="AH151" s="111"/>
      <c r="AI151" s="111"/>
    </row>
    <row r="152" ht="15.75" customHeight="1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01"/>
      <c r="AD152" s="123"/>
      <c r="AE152" s="111"/>
      <c r="AF152" s="111"/>
      <c r="AG152" s="111"/>
      <c r="AH152" s="111"/>
      <c r="AI152" s="111"/>
    </row>
    <row r="153" ht="15.75" customHeight="1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01"/>
      <c r="AD153" s="123"/>
      <c r="AE153" s="111"/>
      <c r="AF153" s="111"/>
      <c r="AG153" s="111"/>
      <c r="AH153" s="111"/>
      <c r="AI153" s="111"/>
    </row>
    <row r="154" ht="15.75" customHeight="1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01"/>
      <c r="AD154" s="123"/>
      <c r="AE154" s="111"/>
      <c r="AF154" s="111"/>
      <c r="AG154" s="111"/>
      <c r="AH154" s="111"/>
      <c r="AI154" s="111"/>
    </row>
    <row r="155" ht="15.75" customHeight="1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01"/>
      <c r="AD155" s="123"/>
      <c r="AE155" s="111"/>
      <c r="AF155" s="111"/>
      <c r="AG155" s="111"/>
      <c r="AH155" s="111"/>
      <c r="AI155" s="111"/>
    </row>
    <row r="156" ht="15.75" customHeight="1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01"/>
      <c r="AD156" s="123"/>
      <c r="AE156" s="111"/>
      <c r="AF156" s="111"/>
      <c r="AG156" s="111"/>
      <c r="AH156" s="111"/>
      <c r="AI156" s="111"/>
    </row>
    <row r="157" ht="15.75" customHeight="1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01"/>
      <c r="AD157" s="123"/>
      <c r="AE157" s="111"/>
      <c r="AF157" s="111"/>
      <c r="AG157" s="111"/>
      <c r="AH157" s="111"/>
      <c r="AI157" s="111"/>
    </row>
    <row r="158" ht="15.75" customHeight="1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01"/>
      <c r="AD158" s="123"/>
      <c r="AE158" s="111"/>
      <c r="AF158" s="111"/>
      <c r="AG158" s="111"/>
      <c r="AH158" s="111"/>
      <c r="AI158" s="111"/>
    </row>
    <row r="159" ht="15.75" customHeight="1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01"/>
      <c r="AD159" s="123"/>
      <c r="AE159" s="111"/>
      <c r="AF159" s="111"/>
      <c r="AG159" s="111"/>
      <c r="AH159" s="111"/>
      <c r="AI159" s="111"/>
    </row>
    <row r="160" ht="15.75" customHeight="1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01"/>
      <c r="AD160" s="123"/>
      <c r="AE160" s="111"/>
      <c r="AF160" s="111"/>
      <c r="AG160" s="111"/>
      <c r="AH160" s="111"/>
      <c r="AI160" s="111"/>
    </row>
    <row r="161" ht="15.75" customHeight="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01"/>
      <c r="AD161" s="123"/>
      <c r="AE161" s="111"/>
      <c r="AF161" s="111"/>
      <c r="AG161" s="111"/>
      <c r="AH161" s="111"/>
      <c r="AI161" s="111"/>
    </row>
    <row r="162" ht="15.75" customHeight="1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01"/>
      <c r="AD162" s="123"/>
      <c r="AE162" s="111"/>
      <c r="AF162" s="111"/>
      <c r="AG162" s="111"/>
      <c r="AH162" s="111"/>
      <c r="AI162" s="111"/>
    </row>
    <row r="163" ht="15.75" customHeight="1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01"/>
      <c r="AD163" s="123"/>
      <c r="AE163" s="111"/>
      <c r="AF163" s="111"/>
      <c r="AG163" s="111"/>
      <c r="AH163" s="111"/>
      <c r="AI163" s="111"/>
    </row>
    <row r="164" ht="15.75" customHeight="1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01"/>
      <c r="AD164" s="123"/>
      <c r="AE164" s="111"/>
      <c r="AF164" s="111"/>
      <c r="AG164" s="111"/>
      <c r="AH164" s="111"/>
      <c r="AI164" s="111"/>
    </row>
    <row r="165" ht="15.75" customHeight="1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01"/>
      <c r="AD165" s="123"/>
      <c r="AE165" s="111"/>
      <c r="AF165" s="111"/>
      <c r="AG165" s="111"/>
      <c r="AH165" s="111"/>
      <c r="AI165" s="111"/>
    </row>
    <row r="166" ht="15.75" customHeight="1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01"/>
      <c r="AD166" s="123"/>
      <c r="AE166" s="111"/>
      <c r="AF166" s="111"/>
      <c r="AG166" s="111"/>
      <c r="AH166" s="111"/>
      <c r="AI166" s="111"/>
    </row>
    <row r="167" ht="15.75" customHeight="1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01"/>
      <c r="AD167" s="123"/>
      <c r="AE167" s="111"/>
      <c r="AF167" s="111"/>
      <c r="AG167" s="111"/>
      <c r="AH167" s="111"/>
      <c r="AI167" s="111"/>
    </row>
    <row r="168" ht="15.75" customHeight="1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01"/>
      <c r="AD168" s="123"/>
      <c r="AE168" s="111"/>
      <c r="AF168" s="111"/>
      <c r="AG168" s="111"/>
      <c r="AH168" s="111"/>
      <c r="AI168" s="111"/>
    </row>
    <row r="169" ht="15.75" customHeight="1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01"/>
      <c r="AD169" s="123"/>
      <c r="AE169" s="111"/>
      <c r="AF169" s="111"/>
      <c r="AG169" s="111"/>
      <c r="AH169" s="111"/>
      <c r="AI169" s="111"/>
    </row>
    <row r="170" ht="15.75" customHeight="1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01"/>
      <c r="AD170" s="123"/>
      <c r="AE170" s="111"/>
      <c r="AF170" s="111"/>
      <c r="AG170" s="111"/>
      <c r="AH170" s="111"/>
      <c r="AI170" s="111"/>
    </row>
    <row r="171" ht="15.75" customHeight="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01"/>
      <c r="AD171" s="123"/>
      <c r="AE171" s="111"/>
      <c r="AF171" s="111"/>
      <c r="AG171" s="111"/>
      <c r="AH171" s="111"/>
      <c r="AI171" s="111"/>
    </row>
    <row r="172" ht="15.75" customHeight="1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01"/>
      <c r="AD172" s="123"/>
      <c r="AE172" s="111"/>
      <c r="AF172" s="111"/>
      <c r="AG172" s="111"/>
      <c r="AH172" s="111"/>
      <c r="AI172" s="111"/>
    </row>
    <row r="173" ht="15.75" customHeight="1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01"/>
      <c r="AD173" s="123"/>
      <c r="AE173" s="111"/>
      <c r="AF173" s="111"/>
      <c r="AG173" s="111"/>
      <c r="AH173" s="111"/>
      <c r="AI173" s="111"/>
    </row>
    <row r="174" ht="15.75" customHeight="1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01"/>
      <c r="AD174" s="123"/>
      <c r="AE174" s="111"/>
      <c r="AF174" s="111"/>
      <c r="AG174" s="111"/>
      <c r="AH174" s="111"/>
      <c r="AI174" s="111"/>
    </row>
    <row r="175" ht="15.75" customHeight="1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01"/>
      <c r="AD175" s="123"/>
      <c r="AE175" s="111"/>
      <c r="AF175" s="111"/>
      <c r="AG175" s="111"/>
      <c r="AH175" s="111"/>
      <c r="AI175" s="111"/>
    </row>
    <row r="176" ht="15.75" customHeight="1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01"/>
      <c r="AD176" s="123"/>
      <c r="AE176" s="111"/>
      <c r="AF176" s="111"/>
      <c r="AG176" s="111"/>
      <c r="AH176" s="111"/>
      <c r="AI176" s="111"/>
    </row>
    <row r="177" ht="15.75" customHeight="1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01"/>
      <c r="AD177" s="123"/>
      <c r="AE177" s="111"/>
      <c r="AF177" s="111"/>
      <c r="AG177" s="111"/>
      <c r="AH177" s="111"/>
      <c r="AI177" s="111"/>
    </row>
    <row r="178" ht="15.75" customHeight="1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01"/>
      <c r="AD178" s="123"/>
      <c r="AE178" s="111"/>
      <c r="AF178" s="111"/>
      <c r="AG178" s="111"/>
      <c r="AH178" s="111"/>
      <c r="AI178" s="111"/>
    </row>
    <row r="179" ht="15.75" customHeight="1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01"/>
      <c r="AD179" s="123"/>
      <c r="AE179" s="111"/>
      <c r="AF179" s="111"/>
      <c r="AG179" s="111"/>
      <c r="AH179" s="111"/>
      <c r="AI179" s="111"/>
    </row>
    <row r="180" ht="15.75" customHeight="1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01"/>
      <c r="AD180" s="123"/>
      <c r="AE180" s="111"/>
      <c r="AF180" s="111"/>
      <c r="AG180" s="111"/>
      <c r="AH180" s="111"/>
      <c r="AI180" s="111"/>
    </row>
    <row r="181" ht="15.75" customHeight="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01"/>
      <c r="AD181" s="123"/>
      <c r="AE181" s="111"/>
      <c r="AF181" s="111"/>
      <c r="AG181" s="111"/>
      <c r="AH181" s="111"/>
      <c r="AI181" s="111"/>
    </row>
    <row r="182" ht="15.75" customHeight="1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01"/>
      <c r="AD182" s="123"/>
      <c r="AE182" s="111"/>
      <c r="AF182" s="111"/>
      <c r="AG182" s="111"/>
      <c r="AH182" s="111"/>
      <c r="AI182" s="111"/>
    </row>
    <row r="183" ht="15.75" customHeight="1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01"/>
      <c r="AD183" s="123"/>
      <c r="AE183" s="111"/>
      <c r="AF183" s="111"/>
      <c r="AG183" s="111"/>
      <c r="AH183" s="111"/>
      <c r="AI183" s="111"/>
    </row>
    <row r="184" ht="15.75" customHeight="1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01"/>
      <c r="AD184" s="123"/>
      <c r="AE184" s="111"/>
      <c r="AF184" s="111"/>
      <c r="AG184" s="111"/>
      <c r="AH184" s="111"/>
      <c r="AI184" s="111"/>
    </row>
    <row r="185" ht="15.75" customHeight="1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01"/>
      <c r="AD185" s="123"/>
      <c r="AE185" s="111"/>
      <c r="AF185" s="111"/>
      <c r="AG185" s="111"/>
      <c r="AH185" s="111"/>
      <c r="AI185" s="111"/>
    </row>
    <row r="186" ht="15.75" customHeight="1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01"/>
      <c r="AD186" s="123"/>
      <c r="AE186" s="111"/>
      <c r="AF186" s="111"/>
      <c r="AG186" s="111"/>
      <c r="AH186" s="111"/>
      <c r="AI186" s="111"/>
    </row>
    <row r="187" ht="15.75" customHeight="1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01"/>
      <c r="AD187" s="123"/>
      <c r="AE187" s="111"/>
      <c r="AF187" s="111"/>
      <c r="AG187" s="111"/>
      <c r="AH187" s="111"/>
      <c r="AI187" s="111"/>
    </row>
    <row r="188" ht="15.75" customHeight="1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01"/>
      <c r="AD188" s="123"/>
      <c r="AE188" s="111"/>
      <c r="AF188" s="111"/>
      <c r="AG188" s="111"/>
      <c r="AH188" s="111"/>
      <c r="AI188" s="111"/>
    </row>
    <row r="189" ht="15.75" customHeight="1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01"/>
      <c r="AD189" s="123"/>
      <c r="AE189" s="111"/>
      <c r="AF189" s="111"/>
      <c r="AG189" s="111"/>
      <c r="AH189" s="111"/>
      <c r="AI189" s="111"/>
    </row>
    <row r="190" ht="15.75" customHeight="1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01"/>
      <c r="AD190" s="123"/>
      <c r="AE190" s="111"/>
      <c r="AF190" s="111"/>
      <c r="AG190" s="111"/>
      <c r="AH190" s="111"/>
      <c r="AI190" s="111"/>
    </row>
    <row r="191" ht="15.75" customHeight="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01"/>
      <c r="AD191" s="123"/>
      <c r="AE191" s="111"/>
      <c r="AF191" s="111"/>
      <c r="AG191" s="111"/>
      <c r="AH191" s="111"/>
      <c r="AI191" s="111"/>
    </row>
    <row r="192" ht="15.75" customHeight="1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01"/>
      <c r="AD192" s="123"/>
      <c r="AE192" s="111"/>
      <c r="AF192" s="111"/>
      <c r="AG192" s="111"/>
      <c r="AH192" s="111"/>
      <c r="AI192" s="111"/>
    </row>
    <row r="193" ht="15.75" customHeight="1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01"/>
      <c r="AD193" s="123"/>
      <c r="AE193" s="111"/>
      <c r="AF193" s="111"/>
      <c r="AG193" s="111"/>
      <c r="AH193" s="111"/>
      <c r="AI193" s="111"/>
    </row>
    <row r="194" ht="15.75" customHeight="1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01"/>
      <c r="AD194" s="123"/>
      <c r="AE194" s="111"/>
      <c r="AF194" s="111"/>
      <c r="AG194" s="111"/>
      <c r="AH194" s="111"/>
      <c r="AI194" s="111"/>
    </row>
    <row r="195" ht="15.75" customHeight="1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01"/>
      <c r="AD195" s="123"/>
      <c r="AE195" s="111"/>
      <c r="AF195" s="111"/>
      <c r="AG195" s="111"/>
      <c r="AH195" s="111"/>
      <c r="AI195" s="111"/>
    </row>
    <row r="196" ht="15.75" customHeight="1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01"/>
      <c r="AD196" s="123"/>
      <c r="AE196" s="111"/>
      <c r="AF196" s="111"/>
      <c r="AG196" s="111"/>
      <c r="AH196" s="111"/>
      <c r="AI196" s="111"/>
    </row>
    <row r="197" ht="15.75" customHeight="1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01"/>
      <c r="AD197" s="123"/>
      <c r="AE197" s="111"/>
      <c r="AF197" s="111"/>
      <c r="AG197" s="111"/>
      <c r="AH197" s="111"/>
      <c r="AI197" s="111"/>
    </row>
    <row r="198" ht="15.75" customHeight="1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01"/>
      <c r="AD198" s="123"/>
      <c r="AE198" s="111"/>
      <c r="AF198" s="111"/>
      <c r="AG198" s="111"/>
      <c r="AH198" s="111"/>
      <c r="AI198" s="111"/>
    </row>
    <row r="199" ht="15.75" customHeight="1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01"/>
      <c r="AD199" s="123"/>
      <c r="AE199" s="111"/>
      <c r="AF199" s="111"/>
      <c r="AG199" s="111"/>
      <c r="AH199" s="111"/>
      <c r="AI199" s="111"/>
    </row>
    <row r="200" ht="15.75" customHeight="1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01"/>
      <c r="AD200" s="123"/>
      <c r="AE200" s="111"/>
      <c r="AF200" s="111"/>
      <c r="AG200" s="111"/>
      <c r="AH200" s="111"/>
      <c r="AI200" s="111"/>
    </row>
    <row r="201" ht="15.75" customHeight="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01"/>
      <c r="AD201" s="123"/>
      <c r="AE201" s="111"/>
      <c r="AF201" s="111"/>
      <c r="AG201" s="111"/>
      <c r="AH201" s="111"/>
      <c r="AI201" s="111"/>
    </row>
    <row r="202" ht="15.75" customHeight="1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01"/>
      <c r="AD202" s="123"/>
      <c r="AE202" s="111"/>
      <c r="AF202" s="111"/>
      <c r="AG202" s="111"/>
      <c r="AH202" s="111"/>
      <c r="AI202" s="111"/>
    </row>
    <row r="203" ht="15.75" customHeight="1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01"/>
      <c r="AD203" s="123"/>
      <c r="AE203" s="111"/>
      <c r="AF203" s="111"/>
      <c r="AG203" s="111"/>
      <c r="AH203" s="111"/>
      <c r="AI203" s="111"/>
    </row>
    <row r="204" ht="15.75" customHeight="1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01"/>
      <c r="AD204" s="123"/>
      <c r="AE204" s="111"/>
      <c r="AF204" s="111"/>
      <c r="AG204" s="111"/>
      <c r="AH204" s="111"/>
      <c r="AI204" s="111"/>
    </row>
    <row r="205" ht="15.75" customHeight="1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01"/>
      <c r="AD205" s="123"/>
      <c r="AE205" s="111"/>
      <c r="AF205" s="111"/>
      <c r="AG205" s="111"/>
      <c r="AH205" s="111"/>
      <c r="AI205" s="111"/>
    </row>
    <row r="206" ht="15.75" customHeight="1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01"/>
      <c r="AD206" s="123"/>
      <c r="AE206" s="111"/>
      <c r="AF206" s="111"/>
      <c r="AG206" s="111"/>
      <c r="AH206" s="111"/>
      <c r="AI206" s="111"/>
    </row>
    <row r="207" ht="15.75" customHeight="1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01"/>
      <c r="AD207" s="123"/>
      <c r="AE207" s="111"/>
      <c r="AF207" s="111"/>
      <c r="AG207" s="111"/>
      <c r="AH207" s="111"/>
      <c r="AI207" s="111"/>
    </row>
    <row r="208" ht="15.75" customHeight="1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01"/>
      <c r="AD208" s="123"/>
      <c r="AE208" s="111"/>
      <c r="AF208" s="111"/>
      <c r="AG208" s="111"/>
      <c r="AH208" s="111"/>
      <c r="AI208" s="111"/>
    </row>
    <row r="209" ht="15.75" customHeight="1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01"/>
      <c r="AD209" s="123"/>
      <c r="AE209" s="111"/>
      <c r="AF209" s="111"/>
      <c r="AG209" s="111"/>
      <c r="AH209" s="111"/>
      <c r="AI209" s="111"/>
    </row>
    <row r="210" ht="15.75" customHeight="1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01"/>
      <c r="AD210" s="123"/>
      <c r="AE210" s="111"/>
      <c r="AF210" s="111"/>
      <c r="AG210" s="111"/>
      <c r="AH210" s="111"/>
      <c r="AI210" s="111"/>
    </row>
    <row r="211" ht="15.75" customHeight="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01"/>
      <c r="AD211" s="123"/>
      <c r="AE211" s="111"/>
      <c r="AF211" s="111"/>
      <c r="AG211" s="111"/>
      <c r="AH211" s="111"/>
      <c r="AI211" s="111"/>
    </row>
    <row r="212" ht="15.75" customHeight="1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01"/>
      <c r="AD212" s="123"/>
      <c r="AE212" s="111"/>
      <c r="AF212" s="111"/>
      <c r="AG212" s="111"/>
      <c r="AH212" s="111"/>
      <c r="AI212" s="111"/>
    </row>
    <row r="213" ht="15.75" customHeight="1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01"/>
      <c r="AD213" s="123"/>
      <c r="AE213" s="111"/>
      <c r="AF213" s="111"/>
      <c r="AG213" s="111"/>
      <c r="AH213" s="111"/>
      <c r="AI213" s="111"/>
    </row>
    <row r="214" ht="15.75" customHeight="1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01"/>
      <c r="AD214" s="123"/>
      <c r="AE214" s="111"/>
      <c r="AF214" s="111"/>
      <c r="AG214" s="111"/>
      <c r="AH214" s="111"/>
      <c r="AI214" s="111"/>
    </row>
    <row r="215" ht="15.75" customHeight="1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01"/>
      <c r="AD215" s="123"/>
      <c r="AE215" s="111"/>
      <c r="AF215" s="111"/>
      <c r="AG215" s="111"/>
      <c r="AH215" s="111"/>
      <c r="AI215" s="111"/>
    </row>
    <row r="216" ht="15.75" customHeight="1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01"/>
      <c r="AD216" s="123"/>
      <c r="AE216" s="111"/>
      <c r="AF216" s="111"/>
      <c r="AG216" s="111"/>
      <c r="AH216" s="111"/>
      <c r="AI216" s="111"/>
    </row>
    <row r="217" ht="15.75" customHeight="1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01"/>
      <c r="AD217" s="123"/>
      <c r="AE217" s="111"/>
      <c r="AF217" s="111"/>
      <c r="AG217" s="111"/>
      <c r="AH217" s="111"/>
      <c r="AI217" s="111"/>
    </row>
    <row r="218" ht="15.75" customHeight="1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01"/>
      <c r="AD218" s="123"/>
      <c r="AE218" s="111"/>
      <c r="AF218" s="111"/>
      <c r="AG218" s="111"/>
      <c r="AH218" s="111"/>
      <c r="AI218" s="111"/>
    </row>
    <row r="219" ht="15.75" customHeight="1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01"/>
      <c r="AD219" s="123"/>
      <c r="AE219" s="111"/>
      <c r="AF219" s="111"/>
      <c r="AG219" s="111"/>
      <c r="AH219" s="111"/>
      <c r="AI219" s="111"/>
    </row>
    <row r="220" ht="15.75" customHeight="1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01"/>
      <c r="AD220" s="123"/>
      <c r="AE220" s="111"/>
      <c r="AF220" s="111"/>
      <c r="AG220" s="111"/>
      <c r="AH220" s="111"/>
      <c r="AI220" s="111"/>
    </row>
    <row r="221" ht="15.75" customHeight="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39"/>
      <c r="AD221" s="123"/>
      <c r="AE221" s="111"/>
      <c r="AF221" s="111"/>
      <c r="AG221" s="111"/>
      <c r="AH221" s="111"/>
      <c r="AI221" s="111"/>
    </row>
    <row r="222" ht="15.75" customHeight="1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39"/>
      <c r="AD222" s="123"/>
      <c r="AE222" s="111"/>
      <c r="AF222" s="111"/>
      <c r="AG222" s="111"/>
      <c r="AH222" s="111"/>
      <c r="AI222" s="111"/>
    </row>
    <row r="223" ht="15.75" customHeight="1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39"/>
      <c r="AD223" s="123"/>
      <c r="AE223" s="111"/>
      <c r="AF223" s="111"/>
      <c r="AG223" s="111"/>
      <c r="AH223" s="111"/>
      <c r="AI223" s="111"/>
    </row>
    <row r="224" ht="15.75" customHeight="1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39"/>
      <c r="AD224" s="123"/>
      <c r="AE224" s="111"/>
      <c r="AF224" s="111"/>
      <c r="AG224" s="111"/>
      <c r="AH224" s="111"/>
      <c r="AI224" s="111"/>
    </row>
    <row r="225" ht="15.75" customHeight="1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39"/>
      <c r="AD225" s="123"/>
      <c r="AE225" s="111"/>
      <c r="AF225" s="111"/>
      <c r="AG225" s="111"/>
      <c r="AH225" s="111"/>
      <c r="AI225" s="111"/>
    </row>
    <row r="226" ht="15.75" customHeight="1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39"/>
      <c r="AD226" s="123"/>
      <c r="AE226" s="111"/>
      <c r="AF226" s="111"/>
      <c r="AG226" s="111"/>
      <c r="AH226" s="111"/>
      <c r="AI226" s="111"/>
    </row>
    <row r="227" ht="15.75" customHeight="1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39"/>
      <c r="AD227" s="123"/>
      <c r="AE227" s="111"/>
      <c r="AF227" s="111"/>
      <c r="AG227" s="111"/>
      <c r="AH227" s="111"/>
      <c r="AI227" s="111"/>
    </row>
    <row r="228" ht="15.75" customHeight="1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39"/>
      <c r="AD228" s="123"/>
      <c r="AE228" s="111"/>
      <c r="AF228" s="111"/>
      <c r="AG228" s="111"/>
      <c r="AH228" s="111"/>
      <c r="AI228" s="111"/>
    </row>
    <row r="229" ht="15.75" customHeight="1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39"/>
      <c r="AD229" s="123"/>
      <c r="AE229" s="111"/>
      <c r="AF229" s="111"/>
      <c r="AG229" s="111"/>
      <c r="AH229" s="111"/>
      <c r="AI229" s="111"/>
    </row>
    <row r="230" ht="15.75" customHeight="1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39"/>
      <c r="AD230" s="123"/>
      <c r="AE230" s="111"/>
      <c r="AF230" s="111"/>
      <c r="AG230" s="111"/>
      <c r="AH230" s="111"/>
      <c r="AI230" s="111"/>
    </row>
    <row r="231" ht="15.75" customHeight="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39"/>
      <c r="AD231" s="123"/>
      <c r="AE231" s="111"/>
      <c r="AF231" s="111"/>
      <c r="AG231" s="111"/>
      <c r="AH231" s="111"/>
      <c r="AI231" s="111"/>
    </row>
    <row r="232" ht="15.75" customHeight="1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39"/>
      <c r="AD232" s="123"/>
      <c r="AE232" s="111"/>
      <c r="AF232" s="111"/>
      <c r="AG232" s="111"/>
      <c r="AH232" s="111"/>
      <c r="AI232" s="111"/>
    </row>
    <row r="233" ht="15.75" customHeight="1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39"/>
      <c r="AD233" s="123"/>
      <c r="AE233" s="111"/>
      <c r="AF233" s="111"/>
      <c r="AG233" s="111"/>
      <c r="AH233" s="111"/>
      <c r="AI233" s="111"/>
    </row>
    <row r="234" ht="15.75" customHeight="1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39"/>
      <c r="AD234" s="123"/>
      <c r="AE234" s="111"/>
      <c r="AF234" s="111"/>
      <c r="AG234" s="111"/>
      <c r="AH234" s="111"/>
      <c r="AI234" s="111"/>
    </row>
    <row r="235" ht="15.75" customHeight="1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39"/>
      <c r="AD235" s="123"/>
      <c r="AE235" s="111"/>
      <c r="AF235" s="111"/>
      <c r="AG235" s="111"/>
      <c r="AH235" s="111"/>
      <c r="AI235" s="111"/>
    </row>
    <row r="236" ht="15.75" customHeight="1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39"/>
      <c r="AD236" s="123"/>
      <c r="AE236" s="111"/>
      <c r="AF236" s="111"/>
      <c r="AG236" s="111"/>
      <c r="AH236" s="111"/>
      <c r="AI236" s="111"/>
    </row>
    <row r="237" ht="15.75" customHeight="1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39"/>
      <c r="AD237" s="123"/>
      <c r="AE237" s="111"/>
      <c r="AF237" s="111"/>
      <c r="AG237" s="111"/>
      <c r="AH237" s="111"/>
      <c r="AI237" s="111"/>
    </row>
    <row r="238" ht="15.75" customHeight="1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39"/>
      <c r="AD238" s="123"/>
      <c r="AE238" s="111"/>
      <c r="AF238" s="111"/>
      <c r="AG238" s="111"/>
      <c r="AH238" s="111"/>
      <c r="AI238" s="111"/>
    </row>
    <row r="239" ht="15.75" customHeight="1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39"/>
      <c r="AD239" s="123"/>
      <c r="AE239" s="111"/>
      <c r="AF239" s="111"/>
      <c r="AG239" s="111"/>
      <c r="AH239" s="111"/>
      <c r="AI239" s="111"/>
    </row>
    <row r="240" ht="15.75" customHeight="1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39"/>
      <c r="AD240" s="123"/>
      <c r="AE240" s="111"/>
      <c r="AF240" s="111"/>
      <c r="AG240" s="111"/>
      <c r="AH240" s="111"/>
      <c r="AI240" s="111"/>
    </row>
    <row r="241" ht="15.75" customHeight="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39"/>
      <c r="AD241" s="123"/>
      <c r="AE241" s="111"/>
      <c r="AF241" s="111"/>
      <c r="AG241" s="111"/>
      <c r="AH241" s="111"/>
      <c r="AI241" s="111"/>
    </row>
    <row r="242" ht="15.75" customHeight="1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39"/>
      <c r="AD242" s="123"/>
      <c r="AE242" s="111"/>
      <c r="AF242" s="111"/>
      <c r="AG242" s="111"/>
      <c r="AH242" s="111"/>
      <c r="AI242" s="111"/>
    </row>
    <row r="243" ht="15.75" customHeight="1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39"/>
      <c r="AD243" s="123"/>
      <c r="AE243" s="111"/>
      <c r="AF243" s="111"/>
      <c r="AG243" s="111"/>
      <c r="AH243" s="111"/>
      <c r="AI243" s="111"/>
    </row>
    <row r="244" ht="15.75" customHeight="1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39"/>
      <c r="AD244" s="123"/>
      <c r="AE244" s="111"/>
      <c r="AF244" s="111"/>
      <c r="AG244" s="111"/>
      <c r="AH244" s="111"/>
      <c r="AI244" s="111"/>
    </row>
    <row r="245" ht="15.75" customHeight="1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39"/>
      <c r="AD245" s="123"/>
      <c r="AE245" s="111"/>
      <c r="AF245" s="111"/>
      <c r="AG245" s="111"/>
      <c r="AH245" s="111"/>
      <c r="AI245" s="111"/>
    </row>
    <row r="246" ht="15.75" customHeight="1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39"/>
      <c r="AD246" s="123"/>
      <c r="AE246" s="111"/>
      <c r="AF246" s="111"/>
      <c r="AG246" s="111"/>
      <c r="AH246" s="111"/>
      <c r="AI246" s="111"/>
    </row>
    <row r="247" ht="15.75" customHeight="1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39"/>
      <c r="AD247" s="123"/>
      <c r="AE247" s="111"/>
      <c r="AF247" s="111"/>
      <c r="AG247" s="111"/>
      <c r="AH247" s="111"/>
      <c r="AI247" s="111"/>
    </row>
    <row r="248" ht="15.75" customHeight="1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39"/>
      <c r="AD248" s="123"/>
      <c r="AE248" s="111"/>
      <c r="AF248" s="111"/>
      <c r="AG248" s="111"/>
      <c r="AH248" s="111"/>
      <c r="AI248" s="111"/>
    </row>
    <row r="249" ht="15.75" customHeight="1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39"/>
      <c r="AD249" s="123"/>
      <c r="AE249" s="111"/>
      <c r="AF249" s="111"/>
      <c r="AG249" s="111"/>
      <c r="AH249" s="111"/>
      <c r="AI249" s="111"/>
    </row>
    <row r="250" ht="15.75" customHeight="1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39"/>
      <c r="AD250" s="123"/>
      <c r="AE250" s="111"/>
      <c r="AF250" s="111"/>
      <c r="AG250" s="111"/>
      <c r="AH250" s="111"/>
      <c r="AI250" s="111"/>
    </row>
    <row r="251" ht="15.75" customHeight="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39"/>
      <c r="AD251" s="123"/>
      <c r="AE251" s="111"/>
      <c r="AF251" s="111"/>
      <c r="AG251" s="111"/>
      <c r="AH251" s="111"/>
      <c r="AI251" s="111"/>
    </row>
    <row r="252" ht="15.75" customHeight="1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39"/>
      <c r="AD252" s="123"/>
      <c r="AE252" s="111"/>
      <c r="AF252" s="111"/>
      <c r="AG252" s="111"/>
      <c r="AH252" s="111"/>
      <c r="AI252" s="111"/>
    </row>
    <row r="253" ht="15.75" customHeight="1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39"/>
      <c r="AD253" s="123"/>
      <c r="AE253" s="111"/>
      <c r="AF253" s="111"/>
      <c r="AG253" s="111"/>
      <c r="AH253" s="111"/>
      <c r="AI253" s="111"/>
    </row>
    <row r="254" ht="15.75" customHeight="1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39"/>
      <c r="AD254" s="123"/>
      <c r="AE254" s="111"/>
      <c r="AF254" s="111"/>
      <c r="AG254" s="111"/>
      <c r="AH254" s="111"/>
      <c r="AI254" s="111"/>
    </row>
    <row r="255" ht="15.75" customHeight="1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39"/>
      <c r="AD255" s="123"/>
      <c r="AE255" s="111"/>
      <c r="AF255" s="111"/>
      <c r="AG255" s="111"/>
      <c r="AH255" s="111"/>
      <c r="AI255" s="111"/>
    </row>
    <row r="256" ht="15.75" customHeight="1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39"/>
      <c r="AD256" s="123"/>
      <c r="AE256" s="111"/>
      <c r="AF256" s="111"/>
      <c r="AG256" s="111"/>
      <c r="AH256" s="111"/>
      <c r="AI256" s="111"/>
    </row>
    <row r="257" ht="15.75" customHeight="1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39"/>
      <c r="AD257" s="123"/>
      <c r="AE257" s="111"/>
      <c r="AF257" s="111"/>
      <c r="AG257" s="111"/>
      <c r="AH257" s="111"/>
      <c r="AI257" s="111"/>
    </row>
    <row r="258" ht="15.75" customHeight="1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39"/>
      <c r="AD258" s="123"/>
      <c r="AE258" s="111"/>
      <c r="AF258" s="111"/>
      <c r="AG258" s="111"/>
      <c r="AH258" s="111"/>
      <c r="AI258" s="111"/>
    </row>
    <row r="259" ht="15.75" customHeight="1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39"/>
      <c r="AD259" s="123"/>
      <c r="AE259" s="111"/>
      <c r="AF259" s="111"/>
      <c r="AG259" s="111"/>
      <c r="AH259" s="111"/>
      <c r="AI259" s="111"/>
    </row>
    <row r="260" ht="15.75" customHeight="1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39"/>
      <c r="AD260" s="123"/>
      <c r="AE260" s="111"/>
      <c r="AF260" s="111"/>
      <c r="AG260" s="111"/>
      <c r="AH260" s="111"/>
      <c r="AI260" s="111"/>
    </row>
    <row r="261" ht="15.75" customHeight="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39"/>
      <c r="AD261" s="123"/>
      <c r="AE261" s="111"/>
      <c r="AF261" s="111"/>
      <c r="AG261" s="111"/>
      <c r="AH261" s="111"/>
      <c r="AI261" s="111"/>
    </row>
    <row r="262" ht="15.75" customHeight="1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39"/>
      <c r="AD262" s="123"/>
      <c r="AE262" s="111"/>
      <c r="AF262" s="111"/>
      <c r="AG262" s="111"/>
      <c r="AH262" s="111"/>
      <c r="AI262" s="111"/>
    </row>
    <row r="263" ht="15.75" customHeight="1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39"/>
      <c r="AD263" s="123"/>
      <c r="AE263" s="111"/>
      <c r="AF263" s="111"/>
      <c r="AG263" s="111"/>
      <c r="AH263" s="111"/>
      <c r="AI263" s="111"/>
    </row>
    <row r="264" ht="15.75" customHeight="1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39"/>
      <c r="AD264" s="123"/>
      <c r="AE264" s="111"/>
      <c r="AF264" s="111"/>
      <c r="AG264" s="111"/>
      <c r="AH264" s="111"/>
      <c r="AI264" s="111"/>
    </row>
    <row r="265" ht="15.75" customHeight="1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39"/>
      <c r="AD265" s="123"/>
      <c r="AE265" s="111"/>
      <c r="AF265" s="111"/>
      <c r="AG265" s="111"/>
      <c r="AH265" s="111"/>
      <c r="AI265" s="111"/>
    </row>
    <row r="266" ht="15.75" customHeight="1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39"/>
      <c r="AD266" s="123"/>
      <c r="AE266" s="111"/>
      <c r="AF266" s="111"/>
      <c r="AG266" s="111"/>
      <c r="AH266" s="111"/>
      <c r="AI266" s="111"/>
    </row>
    <row r="267" ht="15.75" customHeight="1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39"/>
      <c r="AD267" s="123"/>
      <c r="AE267" s="111"/>
      <c r="AF267" s="111"/>
      <c r="AG267" s="111"/>
      <c r="AH267" s="111"/>
      <c r="AI267" s="111"/>
    </row>
    <row r="268" ht="15.75" customHeight="1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39"/>
      <c r="AD268" s="123"/>
      <c r="AE268" s="111"/>
      <c r="AF268" s="111"/>
      <c r="AG268" s="111"/>
      <c r="AH268" s="111"/>
      <c r="AI268" s="111"/>
    </row>
    <row r="269" ht="15.75" customHeight="1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39"/>
      <c r="AD269" s="123"/>
      <c r="AE269" s="111"/>
      <c r="AF269" s="111"/>
      <c r="AG269" s="111"/>
      <c r="AH269" s="111"/>
      <c r="AI269" s="111"/>
    </row>
    <row r="270" ht="15.75" customHeight="1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39"/>
      <c r="AD270" s="123"/>
      <c r="AE270" s="111"/>
      <c r="AF270" s="111"/>
      <c r="AG270" s="111"/>
      <c r="AH270" s="111"/>
      <c r="AI270" s="111"/>
    </row>
    <row r="271" ht="15.75" customHeight="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39"/>
      <c r="AD271" s="123"/>
      <c r="AE271" s="111"/>
      <c r="AF271" s="111"/>
      <c r="AG271" s="111"/>
      <c r="AH271" s="111"/>
      <c r="AI271" s="111"/>
    </row>
    <row r="272" ht="15.75" customHeight="1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39"/>
      <c r="AD272" s="123"/>
      <c r="AE272" s="111"/>
      <c r="AF272" s="111"/>
      <c r="AG272" s="111"/>
      <c r="AH272" s="111"/>
      <c r="AI272" s="111"/>
    </row>
    <row r="273" ht="15.75" customHeight="1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39"/>
      <c r="AD273" s="123"/>
      <c r="AE273" s="111"/>
      <c r="AF273" s="111"/>
      <c r="AG273" s="111"/>
      <c r="AH273" s="111"/>
      <c r="AI273" s="111"/>
    </row>
    <row r="274" ht="15.75" customHeight="1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39"/>
      <c r="AD274" s="123"/>
      <c r="AE274" s="111"/>
      <c r="AF274" s="111"/>
      <c r="AG274" s="111"/>
      <c r="AH274" s="111"/>
      <c r="AI274" s="111"/>
    </row>
    <row r="275" ht="15.75" customHeight="1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39"/>
      <c r="AD275" s="123"/>
      <c r="AE275" s="111"/>
      <c r="AF275" s="111"/>
      <c r="AG275" s="111"/>
      <c r="AH275" s="111"/>
      <c r="AI275" s="111"/>
    </row>
    <row r="276" ht="15.75" customHeight="1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39"/>
      <c r="AD276" s="123"/>
      <c r="AE276" s="111"/>
      <c r="AF276" s="111"/>
      <c r="AG276" s="111"/>
      <c r="AH276" s="111"/>
      <c r="AI276" s="111"/>
    </row>
    <row r="277" ht="15.75" customHeight="1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39"/>
      <c r="AD277" s="123"/>
      <c r="AE277" s="111"/>
      <c r="AF277" s="111"/>
      <c r="AG277" s="111"/>
      <c r="AH277" s="111"/>
      <c r="AI277" s="111"/>
    </row>
    <row r="278" ht="15.75" customHeight="1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39"/>
      <c r="AD278" s="123"/>
      <c r="AE278" s="111"/>
      <c r="AF278" s="111"/>
      <c r="AG278" s="111"/>
      <c r="AH278" s="111"/>
      <c r="AI278" s="111"/>
    </row>
    <row r="279" ht="15.75" customHeight="1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39"/>
      <c r="AD279" s="123"/>
      <c r="AE279" s="111"/>
      <c r="AF279" s="111"/>
      <c r="AG279" s="111"/>
      <c r="AH279" s="111"/>
      <c r="AI279" s="111"/>
    </row>
    <row r="280" ht="15.75" customHeight="1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39"/>
      <c r="AD280" s="123"/>
      <c r="AE280" s="111"/>
      <c r="AF280" s="111"/>
      <c r="AG280" s="111"/>
      <c r="AH280" s="111"/>
      <c r="AI280" s="111"/>
    </row>
    <row r="281" ht="15.75" customHeight="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39"/>
      <c r="AD281" s="123"/>
      <c r="AE281" s="111"/>
      <c r="AF281" s="111"/>
      <c r="AG281" s="111"/>
      <c r="AH281" s="111"/>
      <c r="AI281" s="111"/>
    </row>
    <row r="282" ht="15.75" customHeight="1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39"/>
      <c r="AD282" s="123"/>
      <c r="AE282" s="111"/>
      <c r="AF282" s="111"/>
      <c r="AG282" s="111"/>
      <c r="AH282" s="111"/>
      <c r="AI282" s="111"/>
    </row>
    <row r="283" ht="15.75" customHeight="1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39"/>
      <c r="AD283" s="123"/>
      <c r="AE283" s="111"/>
      <c r="AF283" s="111"/>
      <c r="AG283" s="111"/>
      <c r="AH283" s="111"/>
      <c r="AI283" s="111"/>
    </row>
    <row r="284" ht="15.75" customHeight="1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39"/>
      <c r="AD284" s="123"/>
      <c r="AE284" s="111"/>
      <c r="AF284" s="111"/>
      <c r="AG284" s="111"/>
      <c r="AH284" s="111"/>
      <c r="AI284" s="111"/>
    </row>
    <row r="285" ht="15.75" customHeight="1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39"/>
      <c r="AD285" s="123"/>
      <c r="AE285" s="111"/>
      <c r="AF285" s="111"/>
      <c r="AG285" s="111"/>
      <c r="AH285" s="111"/>
      <c r="AI285" s="111"/>
    </row>
    <row r="286" ht="15.75" customHeight="1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39"/>
      <c r="AD286" s="123"/>
      <c r="AE286" s="111"/>
      <c r="AF286" s="111"/>
      <c r="AG286" s="111"/>
      <c r="AH286" s="111"/>
      <c r="AI286" s="111"/>
    </row>
    <row r="287" ht="15.75" customHeight="1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39"/>
      <c r="AD287" s="123"/>
      <c r="AE287" s="111"/>
      <c r="AF287" s="111"/>
      <c r="AG287" s="111"/>
      <c r="AH287" s="111"/>
      <c r="AI287" s="111"/>
    </row>
    <row r="288" ht="15.75" customHeight="1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39"/>
      <c r="AD288" s="123"/>
      <c r="AE288" s="111"/>
      <c r="AF288" s="111"/>
      <c r="AG288" s="111"/>
      <c r="AH288" s="111"/>
      <c r="AI288" s="111"/>
    </row>
    <row r="289" ht="15.75" customHeight="1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39"/>
      <c r="AD289" s="123"/>
      <c r="AE289" s="111"/>
      <c r="AF289" s="111"/>
      <c r="AG289" s="111"/>
      <c r="AH289" s="111"/>
      <c r="AI289" s="111"/>
    </row>
    <row r="290" ht="15.75" customHeight="1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39"/>
      <c r="AD290" s="123"/>
      <c r="AE290" s="111"/>
      <c r="AF290" s="111"/>
      <c r="AG290" s="111"/>
      <c r="AH290" s="111"/>
      <c r="AI290" s="111"/>
    </row>
    <row r="291" ht="15.75" customHeight="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39"/>
      <c r="AD291" s="123"/>
      <c r="AE291" s="111"/>
      <c r="AF291" s="111"/>
      <c r="AG291" s="111"/>
      <c r="AH291" s="111"/>
      <c r="AI291" s="111"/>
    </row>
    <row r="292" ht="15.75" customHeight="1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39"/>
      <c r="AD292" s="123"/>
      <c r="AE292" s="111"/>
      <c r="AF292" s="111"/>
      <c r="AG292" s="111"/>
      <c r="AH292" s="111"/>
      <c r="AI292" s="111"/>
    </row>
    <row r="293" ht="15.75" customHeight="1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39"/>
      <c r="AD293" s="123"/>
      <c r="AE293" s="111"/>
      <c r="AF293" s="111"/>
      <c r="AG293" s="111"/>
      <c r="AH293" s="111"/>
      <c r="AI293" s="111"/>
    </row>
    <row r="294" ht="15.75" customHeight="1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39"/>
      <c r="AD294" s="123"/>
      <c r="AE294" s="111"/>
      <c r="AF294" s="111"/>
      <c r="AG294" s="111"/>
      <c r="AH294" s="111"/>
      <c r="AI294" s="111"/>
    </row>
    <row r="295" ht="15.75" customHeight="1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39"/>
      <c r="AD295" s="123"/>
      <c r="AE295" s="111"/>
      <c r="AF295" s="111"/>
      <c r="AG295" s="111"/>
      <c r="AH295" s="111"/>
      <c r="AI295" s="111"/>
    </row>
    <row r="296" ht="15.75" customHeight="1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39"/>
      <c r="AD296" s="123"/>
      <c r="AE296" s="111"/>
      <c r="AF296" s="111"/>
      <c r="AG296" s="111"/>
      <c r="AH296" s="111"/>
      <c r="AI296" s="111"/>
    </row>
    <row r="297" ht="15.75" customHeight="1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39"/>
      <c r="AD297" s="123"/>
      <c r="AE297" s="111"/>
      <c r="AF297" s="111"/>
      <c r="AG297" s="111"/>
      <c r="AH297" s="111"/>
      <c r="AI297" s="111"/>
    </row>
    <row r="298" ht="15.75" customHeight="1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39"/>
      <c r="AD298" s="123"/>
      <c r="AE298" s="111"/>
      <c r="AF298" s="111"/>
      <c r="AG298" s="111"/>
      <c r="AH298" s="111"/>
      <c r="AI298" s="111"/>
    </row>
    <row r="299" ht="15.75" customHeight="1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39"/>
      <c r="AD299" s="123"/>
      <c r="AE299" s="111"/>
      <c r="AF299" s="111"/>
      <c r="AG299" s="111"/>
      <c r="AH299" s="111"/>
      <c r="AI299" s="111"/>
    </row>
    <row r="300" ht="15.75" customHeight="1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39"/>
      <c r="AD300" s="123"/>
      <c r="AE300" s="111"/>
      <c r="AF300" s="111"/>
      <c r="AG300" s="111"/>
      <c r="AH300" s="111"/>
      <c r="AI300" s="111"/>
    </row>
    <row r="301" ht="15.75" customHeight="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39"/>
      <c r="AD301" s="123"/>
      <c r="AE301" s="111"/>
      <c r="AF301" s="111"/>
      <c r="AG301" s="111"/>
      <c r="AH301" s="111"/>
      <c r="AI301" s="111"/>
    </row>
    <row r="302" ht="15.75" customHeight="1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39"/>
      <c r="AD302" s="123"/>
      <c r="AE302" s="111"/>
      <c r="AF302" s="111"/>
      <c r="AG302" s="111"/>
      <c r="AH302" s="111"/>
      <c r="AI302" s="111"/>
    </row>
    <row r="303" ht="15.75" customHeight="1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39"/>
      <c r="AD303" s="123"/>
      <c r="AE303" s="111"/>
      <c r="AF303" s="111"/>
      <c r="AG303" s="111"/>
      <c r="AH303" s="111"/>
      <c r="AI303" s="111"/>
    </row>
    <row r="304" ht="15.75" customHeight="1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39"/>
      <c r="AD304" s="123"/>
      <c r="AE304" s="111"/>
      <c r="AF304" s="111"/>
      <c r="AG304" s="111"/>
      <c r="AH304" s="111"/>
      <c r="AI304" s="111"/>
    </row>
    <row r="305" ht="15.75" customHeight="1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39"/>
      <c r="AD305" s="123"/>
      <c r="AE305" s="111"/>
      <c r="AF305" s="111"/>
      <c r="AG305" s="111"/>
      <c r="AH305" s="111"/>
      <c r="AI305" s="111"/>
    </row>
    <row r="306" ht="15.75" customHeight="1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39"/>
      <c r="AD306" s="123"/>
      <c r="AE306" s="111"/>
      <c r="AF306" s="111"/>
      <c r="AG306" s="111"/>
      <c r="AH306" s="111"/>
      <c r="AI306" s="111"/>
    </row>
    <row r="307" ht="15.75" customHeight="1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39"/>
      <c r="AD307" s="123"/>
      <c r="AE307" s="111"/>
      <c r="AF307" s="111"/>
      <c r="AG307" s="111"/>
      <c r="AH307" s="111"/>
      <c r="AI307" s="111"/>
    </row>
    <row r="308" ht="15.75" customHeight="1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39"/>
      <c r="AD308" s="123"/>
      <c r="AE308" s="111"/>
      <c r="AF308" s="111"/>
      <c r="AG308" s="111"/>
      <c r="AH308" s="111"/>
      <c r="AI308" s="111"/>
    </row>
    <row r="309" ht="15.75" customHeight="1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39"/>
      <c r="AD309" s="123"/>
      <c r="AE309" s="111"/>
      <c r="AF309" s="111"/>
      <c r="AG309" s="111"/>
      <c r="AH309" s="111"/>
      <c r="AI309" s="111"/>
    </row>
    <row r="310" ht="15.75" customHeight="1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39"/>
      <c r="AD310" s="123"/>
      <c r="AE310" s="111"/>
      <c r="AF310" s="111"/>
      <c r="AG310" s="111"/>
      <c r="AH310" s="111"/>
      <c r="AI310" s="111"/>
    </row>
    <row r="311" ht="15.75" customHeight="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39"/>
      <c r="AD311" s="123"/>
      <c r="AE311" s="111"/>
      <c r="AF311" s="111"/>
      <c r="AG311" s="111"/>
      <c r="AH311" s="111"/>
      <c r="AI311" s="111"/>
    </row>
    <row r="312" ht="15.75" customHeight="1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39"/>
      <c r="AD312" s="123"/>
      <c r="AE312" s="111"/>
      <c r="AF312" s="111"/>
      <c r="AG312" s="111"/>
      <c r="AH312" s="111"/>
      <c r="AI312" s="111"/>
    </row>
    <row r="313" ht="15.75" customHeight="1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39"/>
      <c r="AD313" s="123"/>
      <c r="AE313" s="111"/>
      <c r="AF313" s="111"/>
      <c r="AG313" s="111"/>
      <c r="AH313" s="111"/>
      <c r="AI313" s="111"/>
    </row>
    <row r="314" ht="15.75" customHeight="1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39"/>
      <c r="AD314" s="123"/>
      <c r="AE314" s="111"/>
      <c r="AF314" s="111"/>
      <c r="AG314" s="111"/>
      <c r="AH314" s="111"/>
      <c r="AI314" s="111"/>
    </row>
    <row r="315" ht="15.75" customHeight="1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39"/>
      <c r="AD315" s="123"/>
      <c r="AE315" s="111"/>
      <c r="AF315" s="111"/>
      <c r="AG315" s="111"/>
      <c r="AH315" s="111"/>
      <c r="AI315" s="111"/>
    </row>
    <row r="316" ht="15.75" customHeight="1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39"/>
      <c r="AD316" s="123"/>
      <c r="AE316" s="111"/>
      <c r="AF316" s="111"/>
      <c r="AG316" s="111"/>
      <c r="AH316" s="111"/>
      <c r="AI316" s="111"/>
    </row>
    <row r="317" ht="15.75" customHeight="1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39"/>
      <c r="AD317" s="123"/>
      <c r="AE317" s="111"/>
      <c r="AF317" s="111"/>
      <c r="AG317" s="111"/>
      <c r="AH317" s="111"/>
      <c r="AI317" s="111"/>
    </row>
    <row r="318" ht="15.75" customHeight="1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39"/>
      <c r="AD318" s="123"/>
      <c r="AE318" s="111"/>
      <c r="AF318" s="111"/>
      <c r="AG318" s="111"/>
      <c r="AH318" s="111"/>
      <c r="AI318" s="111"/>
    </row>
    <row r="319" ht="15.75" customHeight="1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39"/>
      <c r="AD319" s="123"/>
      <c r="AE319" s="111"/>
      <c r="AF319" s="111"/>
      <c r="AG319" s="111"/>
      <c r="AH319" s="111"/>
      <c r="AI319" s="111"/>
    </row>
    <row r="320" ht="15.75" customHeight="1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39"/>
      <c r="AD320" s="123"/>
      <c r="AE320" s="111"/>
      <c r="AF320" s="111"/>
      <c r="AG320" s="111"/>
      <c r="AH320" s="111"/>
      <c r="AI320" s="111"/>
    </row>
    <row r="321" ht="15.75" customHeight="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39"/>
      <c r="AD321" s="123"/>
      <c r="AE321" s="111"/>
      <c r="AF321" s="111"/>
      <c r="AG321" s="111"/>
      <c r="AH321" s="111"/>
      <c r="AI321" s="111"/>
    </row>
    <row r="322" ht="15.75" customHeight="1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39"/>
      <c r="AD322" s="123"/>
      <c r="AE322" s="111"/>
      <c r="AF322" s="111"/>
      <c r="AG322" s="111"/>
      <c r="AH322" s="111"/>
      <c r="AI322" s="111"/>
    </row>
    <row r="323" ht="15.75" customHeight="1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39"/>
      <c r="AD323" s="123"/>
      <c r="AE323" s="111"/>
      <c r="AF323" s="111"/>
      <c r="AG323" s="111"/>
      <c r="AH323" s="111"/>
      <c r="AI323" s="111"/>
    </row>
    <row r="324" ht="15.75" customHeight="1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39"/>
      <c r="AD324" s="123"/>
      <c r="AE324" s="111"/>
      <c r="AF324" s="111"/>
      <c r="AG324" s="111"/>
      <c r="AH324" s="111"/>
      <c r="AI324" s="111"/>
    </row>
    <row r="325" ht="15.75" customHeight="1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39"/>
      <c r="AD325" s="123"/>
      <c r="AE325" s="111"/>
      <c r="AF325" s="111"/>
      <c r="AG325" s="111"/>
      <c r="AH325" s="111"/>
      <c r="AI325" s="111"/>
    </row>
    <row r="326" ht="15.75" customHeight="1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39"/>
      <c r="AD326" s="123"/>
      <c r="AE326" s="111"/>
      <c r="AF326" s="111"/>
      <c r="AG326" s="111"/>
      <c r="AH326" s="111"/>
      <c r="AI326" s="111"/>
    </row>
    <row r="327" ht="15.75" customHeight="1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39"/>
      <c r="AD327" s="123"/>
      <c r="AE327" s="111"/>
      <c r="AF327" s="111"/>
      <c r="AG327" s="111"/>
      <c r="AH327" s="111"/>
      <c r="AI327" s="111"/>
    </row>
    <row r="328" ht="15.75" customHeight="1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39"/>
      <c r="AD328" s="123"/>
      <c r="AE328" s="111"/>
      <c r="AF328" s="111"/>
      <c r="AG328" s="111"/>
      <c r="AH328" s="111"/>
      <c r="AI328" s="111"/>
    </row>
    <row r="329" ht="15.75" customHeight="1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39"/>
      <c r="AD329" s="123"/>
      <c r="AE329" s="111"/>
      <c r="AF329" s="111"/>
      <c r="AG329" s="111"/>
      <c r="AH329" s="111"/>
      <c r="AI329" s="111"/>
    </row>
    <row r="330" ht="15.75" customHeight="1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39"/>
      <c r="AD330" s="123"/>
      <c r="AE330" s="111"/>
      <c r="AF330" s="111"/>
      <c r="AG330" s="111"/>
      <c r="AH330" s="111"/>
      <c r="AI330" s="111"/>
    </row>
    <row r="331" ht="15.75" customHeight="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39"/>
      <c r="AD331" s="123"/>
      <c r="AE331" s="111"/>
      <c r="AF331" s="111"/>
      <c r="AG331" s="111"/>
      <c r="AH331" s="111"/>
      <c r="AI331" s="111"/>
    </row>
    <row r="332" ht="15.75" customHeight="1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39"/>
      <c r="AD332" s="123"/>
      <c r="AE332" s="111"/>
      <c r="AF332" s="111"/>
      <c r="AG332" s="111"/>
      <c r="AH332" s="111"/>
      <c r="AI332" s="111"/>
    </row>
    <row r="333" ht="15.75" customHeight="1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39"/>
      <c r="AD333" s="123"/>
      <c r="AE333" s="111"/>
      <c r="AF333" s="111"/>
      <c r="AG333" s="111"/>
      <c r="AH333" s="111"/>
      <c r="AI333" s="111"/>
    </row>
    <row r="334" ht="15.75" customHeight="1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39"/>
      <c r="AD334" s="123"/>
      <c r="AE334" s="111"/>
      <c r="AF334" s="111"/>
      <c r="AG334" s="111"/>
      <c r="AH334" s="111"/>
      <c r="AI334" s="111"/>
    </row>
    <row r="335" ht="15.75" customHeight="1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39"/>
      <c r="AD335" s="123"/>
      <c r="AE335" s="111"/>
      <c r="AF335" s="111"/>
      <c r="AG335" s="111"/>
      <c r="AH335" s="111"/>
      <c r="AI335" s="111"/>
    </row>
    <row r="336" ht="15.75" customHeight="1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39"/>
      <c r="AD336" s="123"/>
      <c r="AE336" s="111"/>
      <c r="AF336" s="111"/>
      <c r="AG336" s="111"/>
      <c r="AH336" s="111"/>
      <c r="AI336" s="111"/>
    </row>
    <row r="337" ht="15.75" customHeight="1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39"/>
      <c r="AD337" s="123"/>
      <c r="AE337" s="111"/>
      <c r="AF337" s="111"/>
      <c r="AG337" s="111"/>
      <c r="AH337" s="111"/>
      <c r="AI337" s="111"/>
    </row>
    <row r="338" ht="15.75" customHeight="1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39"/>
      <c r="AD338" s="123"/>
      <c r="AE338" s="111"/>
      <c r="AF338" s="111"/>
      <c r="AG338" s="111"/>
      <c r="AH338" s="111"/>
      <c r="AI338" s="111"/>
    </row>
    <row r="339" ht="15.75" customHeight="1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39"/>
      <c r="AD339" s="123"/>
      <c r="AE339" s="111"/>
      <c r="AF339" s="111"/>
      <c r="AG339" s="111"/>
      <c r="AH339" s="111"/>
      <c r="AI339" s="111"/>
    </row>
    <row r="340" ht="15.75" customHeight="1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39"/>
      <c r="AD340" s="123"/>
      <c r="AE340" s="111"/>
      <c r="AF340" s="111"/>
      <c r="AG340" s="111"/>
      <c r="AH340" s="111"/>
      <c r="AI340" s="111"/>
    </row>
    <row r="341" ht="15.75" customHeight="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39"/>
      <c r="AD341" s="123"/>
      <c r="AE341" s="111"/>
      <c r="AF341" s="111"/>
      <c r="AG341" s="111"/>
      <c r="AH341" s="111"/>
      <c r="AI341" s="111"/>
    </row>
    <row r="342" ht="15.75" customHeight="1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39"/>
      <c r="AD342" s="123"/>
      <c r="AE342" s="111"/>
      <c r="AF342" s="111"/>
      <c r="AG342" s="111"/>
      <c r="AH342" s="111"/>
      <c r="AI342" s="111"/>
    </row>
    <row r="343" ht="15.75" customHeight="1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39"/>
      <c r="AD343" s="123"/>
      <c r="AE343" s="111"/>
      <c r="AF343" s="111"/>
      <c r="AG343" s="111"/>
      <c r="AH343" s="111"/>
      <c r="AI343" s="111"/>
    </row>
    <row r="344" ht="15.75" customHeight="1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39"/>
      <c r="AD344" s="123"/>
      <c r="AE344" s="111"/>
      <c r="AF344" s="111"/>
      <c r="AG344" s="111"/>
      <c r="AH344" s="111"/>
      <c r="AI344" s="111"/>
    </row>
    <row r="345" ht="15.75" customHeight="1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39"/>
      <c r="AD345" s="123"/>
      <c r="AE345" s="111"/>
      <c r="AF345" s="111"/>
      <c r="AG345" s="111"/>
      <c r="AH345" s="111"/>
      <c r="AI345" s="111"/>
    </row>
    <row r="346" ht="15.75" customHeight="1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39"/>
      <c r="AD346" s="123"/>
      <c r="AE346" s="111"/>
      <c r="AF346" s="111"/>
      <c r="AG346" s="111"/>
      <c r="AH346" s="111"/>
      <c r="AI346" s="111"/>
    </row>
    <row r="347" ht="15.75" customHeight="1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39"/>
      <c r="AD347" s="123"/>
      <c r="AE347" s="111"/>
      <c r="AF347" s="111"/>
      <c r="AG347" s="111"/>
      <c r="AH347" s="111"/>
      <c r="AI347" s="111"/>
    </row>
    <row r="348" ht="15.75" customHeight="1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39"/>
      <c r="AD348" s="123"/>
      <c r="AE348" s="111"/>
      <c r="AF348" s="111"/>
      <c r="AG348" s="111"/>
      <c r="AH348" s="111"/>
      <c r="AI348" s="111"/>
    </row>
    <row r="349" ht="15.75" customHeight="1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39"/>
      <c r="AD349" s="123"/>
      <c r="AE349" s="111"/>
      <c r="AF349" s="111"/>
      <c r="AG349" s="111"/>
      <c r="AH349" s="111"/>
      <c r="AI349" s="111"/>
    </row>
    <row r="350" ht="15.75" customHeight="1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39"/>
      <c r="AD350" s="123"/>
      <c r="AE350" s="111"/>
      <c r="AF350" s="111"/>
      <c r="AG350" s="111"/>
      <c r="AH350" s="111"/>
      <c r="AI350" s="111"/>
    </row>
    <row r="351" ht="15.75" customHeight="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39"/>
      <c r="AD351" s="123"/>
      <c r="AE351" s="111"/>
      <c r="AF351" s="111"/>
      <c r="AG351" s="111"/>
      <c r="AH351" s="111"/>
      <c r="AI351" s="111"/>
    </row>
    <row r="352" ht="15.75" customHeight="1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39"/>
      <c r="AD352" s="123"/>
      <c r="AE352" s="111"/>
      <c r="AF352" s="111"/>
      <c r="AG352" s="111"/>
      <c r="AH352" s="111"/>
      <c r="AI352" s="111"/>
    </row>
    <row r="353" ht="15.75" customHeight="1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39"/>
      <c r="AD353" s="123"/>
      <c r="AE353" s="111"/>
      <c r="AF353" s="111"/>
      <c r="AG353" s="111"/>
      <c r="AH353" s="111"/>
      <c r="AI353" s="111"/>
    </row>
    <row r="354" ht="15.75" customHeight="1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39"/>
      <c r="AD354" s="123"/>
      <c r="AE354" s="111"/>
      <c r="AF354" s="111"/>
      <c r="AG354" s="111"/>
      <c r="AH354" s="111"/>
      <c r="AI354" s="111"/>
    </row>
    <row r="355" ht="15.75" customHeight="1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39"/>
      <c r="AD355" s="123"/>
      <c r="AE355" s="111"/>
      <c r="AF355" s="111"/>
      <c r="AG355" s="111"/>
      <c r="AH355" s="111"/>
      <c r="AI355" s="111"/>
    </row>
    <row r="356" ht="15.75" customHeight="1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39"/>
      <c r="AD356" s="123"/>
      <c r="AE356" s="111"/>
      <c r="AF356" s="111"/>
      <c r="AG356" s="111"/>
      <c r="AH356" s="111"/>
      <c r="AI356" s="111"/>
    </row>
    <row r="357" ht="15.75" customHeight="1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39"/>
      <c r="AD357" s="123"/>
      <c r="AE357" s="111"/>
      <c r="AF357" s="111"/>
      <c r="AG357" s="111"/>
      <c r="AH357" s="111"/>
      <c r="AI357" s="111"/>
    </row>
    <row r="358" ht="15.75" customHeight="1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39"/>
      <c r="AD358" s="123"/>
      <c r="AE358" s="111"/>
      <c r="AF358" s="111"/>
      <c r="AG358" s="111"/>
      <c r="AH358" s="111"/>
      <c r="AI358" s="111"/>
    </row>
    <row r="359" ht="15.75" customHeight="1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39"/>
      <c r="AD359" s="123"/>
      <c r="AE359" s="111"/>
      <c r="AF359" s="111"/>
      <c r="AG359" s="111"/>
      <c r="AH359" s="111"/>
      <c r="AI359" s="111"/>
    </row>
    <row r="360" ht="15.75" customHeight="1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39"/>
      <c r="AD360" s="123"/>
      <c r="AE360" s="111"/>
      <c r="AF360" s="111"/>
      <c r="AG360" s="111"/>
      <c r="AH360" s="111"/>
      <c r="AI360" s="111"/>
    </row>
    <row r="361" ht="15.75" customHeight="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39"/>
      <c r="AD361" s="123"/>
      <c r="AE361" s="111"/>
      <c r="AF361" s="111"/>
      <c r="AG361" s="111"/>
      <c r="AH361" s="111"/>
      <c r="AI361" s="111"/>
    </row>
    <row r="362" ht="15.75" customHeight="1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39"/>
      <c r="AD362" s="123"/>
      <c r="AE362" s="111"/>
      <c r="AF362" s="111"/>
      <c r="AG362" s="111"/>
      <c r="AH362" s="111"/>
      <c r="AI362" s="111"/>
    </row>
    <row r="363" ht="15.75" customHeight="1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39"/>
      <c r="AD363" s="123"/>
      <c r="AE363" s="111"/>
      <c r="AF363" s="111"/>
      <c r="AG363" s="111"/>
      <c r="AH363" s="111"/>
      <c r="AI363" s="111"/>
    </row>
    <row r="364" ht="15.75" customHeight="1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39"/>
      <c r="AD364" s="123"/>
      <c r="AE364" s="111"/>
      <c r="AF364" s="111"/>
      <c r="AG364" s="111"/>
      <c r="AH364" s="111"/>
      <c r="AI364" s="111"/>
    </row>
    <row r="365" ht="15.75" customHeight="1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39"/>
      <c r="AD365" s="123"/>
      <c r="AE365" s="111"/>
      <c r="AF365" s="111"/>
      <c r="AG365" s="111"/>
      <c r="AH365" s="111"/>
      <c r="AI365" s="111"/>
    </row>
    <row r="366" ht="15.75" customHeight="1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39"/>
      <c r="AD366" s="123"/>
      <c r="AE366" s="111"/>
      <c r="AF366" s="111"/>
      <c r="AG366" s="111"/>
      <c r="AH366" s="111"/>
      <c r="AI366" s="111"/>
    </row>
    <row r="367" ht="15.75" customHeight="1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39"/>
      <c r="AD367" s="123"/>
      <c r="AE367" s="111"/>
      <c r="AF367" s="111"/>
      <c r="AG367" s="111"/>
      <c r="AH367" s="111"/>
      <c r="AI367" s="111"/>
    </row>
    <row r="368" ht="15.75" customHeight="1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39"/>
      <c r="AD368" s="123"/>
      <c r="AE368" s="111"/>
      <c r="AF368" s="111"/>
      <c r="AG368" s="111"/>
      <c r="AH368" s="111"/>
      <c r="AI368" s="111"/>
    </row>
    <row r="369" ht="15.75" customHeight="1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39"/>
      <c r="AD369" s="123"/>
      <c r="AE369" s="111"/>
      <c r="AF369" s="111"/>
      <c r="AG369" s="111"/>
      <c r="AH369" s="111"/>
      <c r="AI369" s="111"/>
    </row>
    <row r="370" ht="15.75" customHeight="1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39"/>
      <c r="AD370" s="123"/>
      <c r="AE370" s="111"/>
      <c r="AF370" s="111"/>
      <c r="AG370" s="111"/>
      <c r="AH370" s="111"/>
      <c r="AI370" s="111"/>
    </row>
    <row r="371" ht="15.75" customHeight="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39"/>
      <c r="AD371" s="123"/>
      <c r="AE371" s="111"/>
      <c r="AF371" s="111"/>
      <c r="AG371" s="111"/>
      <c r="AH371" s="111"/>
      <c r="AI371" s="111"/>
    </row>
    <row r="372" ht="15.75" customHeight="1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39"/>
      <c r="AD372" s="123"/>
      <c r="AE372" s="111"/>
      <c r="AF372" s="111"/>
      <c r="AG372" s="111"/>
      <c r="AH372" s="111"/>
      <c r="AI372" s="111"/>
    </row>
    <row r="373" ht="15.75" customHeight="1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39"/>
      <c r="AD373" s="123"/>
      <c r="AE373" s="111"/>
      <c r="AF373" s="111"/>
      <c r="AG373" s="111"/>
      <c r="AH373" s="111"/>
      <c r="AI373" s="111"/>
    </row>
    <row r="374" ht="15.75" customHeight="1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39"/>
      <c r="AD374" s="123"/>
      <c r="AE374" s="111"/>
      <c r="AF374" s="111"/>
      <c r="AG374" s="111"/>
      <c r="AH374" s="111"/>
      <c r="AI374" s="111"/>
    </row>
    <row r="375" ht="15.75" customHeight="1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39"/>
      <c r="AD375" s="123"/>
      <c r="AE375" s="111"/>
      <c r="AF375" s="111"/>
      <c r="AG375" s="111"/>
      <c r="AH375" s="111"/>
      <c r="AI375" s="111"/>
    </row>
    <row r="376" ht="15.75" customHeight="1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39"/>
      <c r="AD376" s="123"/>
      <c r="AE376" s="111"/>
      <c r="AF376" s="111"/>
      <c r="AG376" s="111"/>
      <c r="AH376" s="111"/>
      <c r="AI376" s="111"/>
    </row>
    <row r="377" ht="15.75" customHeight="1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39"/>
      <c r="AD377" s="123"/>
      <c r="AE377" s="111"/>
      <c r="AF377" s="111"/>
      <c r="AG377" s="111"/>
      <c r="AH377" s="111"/>
      <c r="AI377" s="111"/>
    </row>
    <row r="378" ht="15.75" customHeight="1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39"/>
      <c r="AD378" s="123"/>
      <c r="AE378" s="111"/>
      <c r="AF378" s="111"/>
      <c r="AG378" s="111"/>
      <c r="AH378" s="111"/>
      <c r="AI378" s="111"/>
    </row>
    <row r="379" ht="15.75" customHeight="1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39"/>
      <c r="AD379" s="123"/>
      <c r="AE379" s="111"/>
      <c r="AF379" s="111"/>
      <c r="AG379" s="111"/>
      <c r="AH379" s="111"/>
      <c r="AI379" s="111"/>
    </row>
    <row r="380" ht="15.75" customHeight="1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39"/>
      <c r="AD380" s="123"/>
      <c r="AE380" s="111"/>
      <c r="AF380" s="111"/>
      <c r="AG380" s="111"/>
      <c r="AH380" s="111"/>
      <c r="AI380" s="111"/>
    </row>
    <row r="381" ht="15.75" customHeight="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39"/>
      <c r="AD381" s="123"/>
      <c r="AE381" s="111"/>
      <c r="AF381" s="111"/>
      <c r="AG381" s="111"/>
      <c r="AH381" s="111"/>
      <c r="AI381" s="111"/>
    </row>
    <row r="382" ht="15.75" customHeight="1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39"/>
      <c r="AD382" s="123"/>
      <c r="AE382" s="111"/>
      <c r="AF382" s="111"/>
      <c r="AG382" s="111"/>
      <c r="AH382" s="111"/>
      <c r="AI382" s="111"/>
    </row>
    <row r="383" ht="15.75" customHeight="1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39"/>
      <c r="AD383" s="123"/>
      <c r="AE383" s="111"/>
      <c r="AF383" s="111"/>
      <c r="AG383" s="111"/>
      <c r="AH383" s="111"/>
      <c r="AI383" s="111"/>
    </row>
    <row r="384" ht="15.75" customHeight="1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39"/>
      <c r="AD384" s="123"/>
      <c r="AE384" s="111"/>
      <c r="AF384" s="111"/>
      <c r="AG384" s="111"/>
      <c r="AH384" s="111"/>
      <c r="AI384" s="111"/>
    </row>
    <row r="385" ht="15.75" customHeight="1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39"/>
      <c r="AD385" s="123"/>
      <c r="AE385" s="111"/>
      <c r="AF385" s="111"/>
      <c r="AG385" s="111"/>
      <c r="AH385" s="111"/>
      <c r="AI385" s="111"/>
    </row>
    <row r="386" ht="15.75" customHeight="1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39"/>
      <c r="AD386" s="123"/>
      <c r="AE386" s="111"/>
      <c r="AF386" s="111"/>
      <c r="AG386" s="111"/>
      <c r="AH386" s="111"/>
      <c r="AI386" s="111"/>
    </row>
    <row r="387" ht="15.75" customHeight="1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39"/>
      <c r="AD387" s="123"/>
      <c r="AE387" s="111"/>
      <c r="AF387" s="111"/>
      <c r="AG387" s="111"/>
      <c r="AH387" s="111"/>
      <c r="AI387" s="111"/>
    </row>
    <row r="388" ht="15.75" customHeight="1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39"/>
      <c r="AD388" s="123"/>
      <c r="AE388" s="111"/>
      <c r="AF388" s="111"/>
      <c r="AG388" s="111"/>
      <c r="AH388" s="111"/>
      <c r="AI388" s="111"/>
    </row>
    <row r="389" ht="15.75" customHeight="1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39"/>
      <c r="AD389" s="123"/>
      <c r="AE389" s="111"/>
      <c r="AF389" s="111"/>
      <c r="AG389" s="111"/>
      <c r="AH389" s="111"/>
      <c r="AI389" s="111"/>
    </row>
    <row r="390" ht="15.75" customHeight="1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39"/>
      <c r="AD390" s="123"/>
      <c r="AE390" s="111"/>
      <c r="AF390" s="111"/>
      <c r="AG390" s="111"/>
      <c r="AH390" s="111"/>
      <c r="AI390" s="111"/>
    </row>
    <row r="391" ht="15.75" customHeight="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39"/>
      <c r="AD391" s="123"/>
      <c r="AE391" s="111"/>
      <c r="AF391" s="111"/>
      <c r="AG391" s="111"/>
      <c r="AH391" s="111"/>
      <c r="AI391" s="111"/>
    </row>
    <row r="392" ht="15.75" customHeight="1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39"/>
      <c r="AD392" s="123"/>
      <c r="AE392" s="111"/>
      <c r="AF392" s="111"/>
      <c r="AG392" s="111"/>
      <c r="AH392" s="111"/>
      <c r="AI392" s="111"/>
    </row>
    <row r="393" ht="15.75" customHeight="1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39"/>
      <c r="AD393" s="123"/>
      <c r="AE393" s="111"/>
      <c r="AF393" s="111"/>
      <c r="AG393" s="111"/>
      <c r="AH393" s="111"/>
      <c r="AI393" s="111"/>
    </row>
    <row r="394" ht="15.75" customHeight="1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39"/>
      <c r="AD394" s="123"/>
      <c r="AE394" s="111"/>
      <c r="AF394" s="111"/>
      <c r="AG394" s="111"/>
      <c r="AH394" s="111"/>
      <c r="AI394" s="111"/>
    </row>
    <row r="395" ht="15.75" customHeight="1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39"/>
      <c r="AD395" s="123"/>
      <c r="AE395" s="111"/>
      <c r="AF395" s="111"/>
      <c r="AG395" s="111"/>
      <c r="AH395" s="111"/>
      <c r="AI395" s="111"/>
    </row>
    <row r="396" ht="15.75" customHeight="1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39"/>
      <c r="AD396" s="123"/>
      <c r="AE396" s="111"/>
      <c r="AF396" s="111"/>
      <c r="AG396" s="111"/>
      <c r="AH396" s="111"/>
      <c r="AI396" s="111"/>
    </row>
    <row r="397" ht="15.75" customHeight="1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39"/>
      <c r="AD397" s="123"/>
      <c r="AE397" s="111"/>
      <c r="AF397" s="111"/>
      <c r="AG397" s="111"/>
      <c r="AH397" s="111"/>
      <c r="AI397" s="111"/>
    </row>
    <row r="398" ht="15.75" customHeight="1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39"/>
      <c r="AD398" s="123"/>
      <c r="AE398" s="111"/>
      <c r="AF398" s="111"/>
      <c r="AG398" s="111"/>
      <c r="AH398" s="111"/>
      <c r="AI398" s="111"/>
    </row>
    <row r="399" ht="15.75" customHeight="1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39"/>
      <c r="AD399" s="123"/>
      <c r="AE399" s="111"/>
      <c r="AF399" s="111"/>
      <c r="AG399" s="111"/>
      <c r="AH399" s="111"/>
      <c r="AI399" s="111"/>
    </row>
    <row r="400" ht="15.75" customHeight="1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39"/>
      <c r="AD400" s="123"/>
      <c r="AE400" s="111"/>
      <c r="AF400" s="111"/>
      <c r="AG400" s="111"/>
      <c r="AH400" s="111"/>
      <c r="AI400" s="111"/>
    </row>
    <row r="401" ht="15.75" customHeight="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39"/>
      <c r="AD401" s="123"/>
      <c r="AE401" s="111"/>
      <c r="AF401" s="111"/>
      <c r="AG401" s="111"/>
      <c r="AH401" s="111"/>
      <c r="AI401" s="111"/>
    </row>
    <row r="402" ht="15.75" customHeight="1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39"/>
      <c r="AD402" s="123"/>
      <c r="AE402" s="111"/>
      <c r="AF402" s="111"/>
      <c r="AG402" s="111"/>
      <c r="AH402" s="111"/>
      <c r="AI402" s="111"/>
    </row>
    <row r="403" ht="15.75" customHeight="1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39"/>
      <c r="AD403" s="123"/>
      <c r="AE403" s="111"/>
      <c r="AF403" s="111"/>
      <c r="AG403" s="111"/>
      <c r="AH403" s="111"/>
      <c r="AI403" s="111"/>
    </row>
    <row r="404" ht="15.75" customHeight="1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39"/>
      <c r="AD404" s="123"/>
      <c r="AE404" s="111"/>
      <c r="AF404" s="111"/>
      <c r="AG404" s="111"/>
      <c r="AH404" s="111"/>
      <c r="AI404" s="111"/>
    </row>
    <row r="405" ht="15.75" customHeight="1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39"/>
      <c r="AD405" s="123"/>
      <c r="AE405" s="111"/>
      <c r="AF405" s="111"/>
      <c r="AG405" s="111"/>
      <c r="AH405" s="111"/>
      <c r="AI405" s="111"/>
    </row>
    <row r="406" ht="15.75" customHeight="1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39"/>
      <c r="AD406" s="123"/>
      <c r="AE406" s="111"/>
      <c r="AF406" s="111"/>
      <c r="AG406" s="111"/>
      <c r="AH406" s="111"/>
      <c r="AI406" s="111"/>
    </row>
    <row r="407" ht="15.75" customHeight="1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39"/>
      <c r="AD407" s="123"/>
      <c r="AE407" s="111"/>
      <c r="AF407" s="111"/>
      <c r="AG407" s="111"/>
      <c r="AH407" s="111"/>
      <c r="AI407" s="111"/>
    </row>
    <row r="408" ht="15.75" customHeight="1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39"/>
      <c r="AD408" s="123"/>
      <c r="AE408" s="111"/>
      <c r="AF408" s="111"/>
      <c r="AG408" s="111"/>
      <c r="AH408" s="111"/>
      <c r="AI408" s="111"/>
    </row>
    <row r="409" ht="15.75" customHeight="1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39"/>
      <c r="AD409" s="123"/>
      <c r="AE409" s="111"/>
      <c r="AF409" s="111"/>
      <c r="AG409" s="111"/>
      <c r="AH409" s="111"/>
      <c r="AI409" s="111"/>
    </row>
    <row r="410" ht="15.75" customHeight="1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39"/>
      <c r="AD410" s="123"/>
      <c r="AE410" s="111"/>
      <c r="AF410" s="111"/>
      <c r="AG410" s="111"/>
      <c r="AH410" s="111"/>
      <c r="AI410" s="111"/>
    </row>
    <row r="411" ht="15.75" customHeight="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39"/>
      <c r="AD411" s="123"/>
      <c r="AE411" s="111"/>
      <c r="AF411" s="111"/>
      <c r="AG411" s="111"/>
      <c r="AH411" s="111"/>
      <c r="AI411" s="111"/>
    </row>
    <row r="412" ht="15.75" customHeight="1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39"/>
      <c r="AD412" s="123"/>
      <c r="AE412" s="111"/>
      <c r="AF412" s="111"/>
      <c r="AG412" s="111"/>
      <c r="AH412" s="111"/>
      <c r="AI412" s="111"/>
    </row>
    <row r="413" ht="15.75" customHeight="1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39"/>
      <c r="AD413" s="123"/>
      <c r="AE413" s="111"/>
      <c r="AF413" s="111"/>
      <c r="AG413" s="111"/>
      <c r="AH413" s="111"/>
      <c r="AI413" s="111"/>
    </row>
    <row r="414" ht="15.75" customHeight="1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39"/>
      <c r="AD414" s="123"/>
      <c r="AE414" s="111"/>
      <c r="AF414" s="111"/>
      <c r="AG414" s="111"/>
      <c r="AH414" s="111"/>
      <c r="AI414" s="111"/>
    </row>
    <row r="415" ht="15.75" customHeight="1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39"/>
      <c r="AD415" s="123"/>
      <c r="AE415" s="111"/>
      <c r="AF415" s="111"/>
      <c r="AG415" s="111"/>
      <c r="AH415" s="111"/>
      <c r="AI415" s="111"/>
    </row>
    <row r="416" ht="15.75" customHeight="1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39"/>
      <c r="AD416" s="123"/>
      <c r="AE416" s="111"/>
      <c r="AF416" s="111"/>
      <c r="AG416" s="111"/>
      <c r="AH416" s="111"/>
      <c r="AI416" s="111"/>
    </row>
    <row r="417" ht="15.75" customHeight="1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39"/>
      <c r="AD417" s="123"/>
      <c r="AE417" s="111"/>
      <c r="AF417" s="111"/>
      <c r="AG417" s="111"/>
      <c r="AH417" s="111"/>
      <c r="AI417" s="111"/>
    </row>
    <row r="418" ht="15.75" customHeight="1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39"/>
      <c r="AD418" s="123"/>
      <c r="AE418" s="111"/>
      <c r="AF418" s="111"/>
      <c r="AG418" s="111"/>
      <c r="AH418" s="111"/>
      <c r="AI418" s="111"/>
    </row>
    <row r="419" ht="15.75" customHeight="1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39"/>
      <c r="AD419" s="123"/>
      <c r="AE419" s="111"/>
      <c r="AF419" s="111"/>
      <c r="AG419" s="111"/>
      <c r="AH419" s="111"/>
      <c r="AI419" s="111"/>
    </row>
    <row r="420" ht="15.75" customHeight="1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39"/>
      <c r="AD420" s="123"/>
      <c r="AE420" s="111"/>
      <c r="AF420" s="111"/>
      <c r="AG420" s="111"/>
      <c r="AH420" s="111"/>
      <c r="AI420" s="111"/>
    </row>
    <row r="421" ht="15.75" customHeight="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39"/>
      <c r="AD421" s="123"/>
      <c r="AE421" s="111"/>
      <c r="AF421" s="111"/>
      <c r="AG421" s="111"/>
      <c r="AH421" s="111"/>
      <c r="AI421" s="111"/>
    </row>
    <row r="422" ht="15.75" customHeight="1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39"/>
      <c r="AD422" s="123"/>
      <c r="AE422" s="111"/>
      <c r="AF422" s="111"/>
      <c r="AG422" s="111"/>
      <c r="AH422" s="111"/>
      <c r="AI422" s="111"/>
    </row>
    <row r="423" ht="15.75" customHeight="1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39"/>
      <c r="AD423" s="123"/>
      <c r="AE423" s="111"/>
      <c r="AF423" s="111"/>
      <c r="AG423" s="111"/>
      <c r="AH423" s="111"/>
      <c r="AI423" s="111"/>
    </row>
    <row r="424" ht="15.75" customHeight="1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39"/>
      <c r="AD424" s="123"/>
      <c r="AE424" s="111"/>
      <c r="AF424" s="111"/>
      <c r="AG424" s="111"/>
      <c r="AH424" s="111"/>
      <c r="AI424" s="111"/>
    </row>
    <row r="425" ht="15.75" customHeight="1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39"/>
      <c r="AD425" s="123"/>
      <c r="AE425" s="111"/>
      <c r="AF425" s="111"/>
      <c r="AG425" s="111"/>
      <c r="AH425" s="111"/>
      <c r="AI425" s="111"/>
    </row>
    <row r="426" ht="15.75" customHeight="1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39"/>
      <c r="AD426" s="123"/>
      <c r="AE426" s="111"/>
      <c r="AF426" s="111"/>
      <c r="AG426" s="111"/>
      <c r="AH426" s="111"/>
      <c r="AI426" s="111"/>
    </row>
    <row r="427" ht="15.75" customHeight="1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39"/>
      <c r="AD427" s="123"/>
      <c r="AE427" s="111"/>
      <c r="AF427" s="111"/>
      <c r="AG427" s="111"/>
      <c r="AH427" s="111"/>
      <c r="AI427" s="111"/>
    </row>
    <row r="428" ht="15.75" customHeight="1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39"/>
      <c r="AD428" s="123"/>
      <c r="AE428" s="111"/>
      <c r="AF428" s="111"/>
      <c r="AG428" s="111"/>
      <c r="AH428" s="111"/>
      <c r="AI428" s="111"/>
    </row>
    <row r="429" ht="15.75" customHeight="1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39"/>
      <c r="AD429" s="123"/>
      <c r="AE429" s="111"/>
      <c r="AF429" s="111"/>
      <c r="AG429" s="111"/>
      <c r="AH429" s="111"/>
      <c r="AI429" s="111"/>
    </row>
    <row r="430" ht="15.75" customHeight="1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39"/>
      <c r="AD430" s="123"/>
      <c r="AE430" s="111"/>
      <c r="AF430" s="111"/>
      <c r="AG430" s="111"/>
      <c r="AH430" s="111"/>
      <c r="AI430" s="111"/>
    </row>
    <row r="431" ht="15.75" customHeight="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39"/>
      <c r="AD431" s="123"/>
      <c r="AE431" s="111"/>
      <c r="AF431" s="111"/>
      <c r="AG431" s="111"/>
      <c r="AH431" s="111"/>
      <c r="AI431" s="111"/>
    </row>
    <row r="432" ht="15.75" customHeight="1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39"/>
      <c r="AD432" s="123"/>
      <c r="AE432" s="111"/>
      <c r="AF432" s="111"/>
      <c r="AG432" s="111"/>
      <c r="AH432" s="111"/>
      <c r="AI432" s="111"/>
    </row>
    <row r="433" ht="15.75" customHeight="1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39"/>
      <c r="AD433" s="123"/>
      <c r="AE433" s="111"/>
      <c r="AF433" s="111"/>
      <c r="AG433" s="111"/>
      <c r="AH433" s="111"/>
      <c r="AI433" s="111"/>
    </row>
    <row r="434" ht="15.75" customHeight="1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39"/>
      <c r="AD434" s="123"/>
      <c r="AE434" s="111"/>
      <c r="AF434" s="111"/>
      <c r="AG434" s="111"/>
      <c r="AH434" s="111"/>
      <c r="AI434" s="111"/>
    </row>
    <row r="435" ht="15.75" customHeight="1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39"/>
      <c r="AD435" s="123"/>
      <c r="AE435" s="111"/>
      <c r="AF435" s="111"/>
      <c r="AG435" s="111"/>
      <c r="AH435" s="111"/>
      <c r="AI435" s="111"/>
    </row>
    <row r="436" ht="15.75" customHeight="1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39"/>
      <c r="AD436" s="123"/>
      <c r="AE436" s="111"/>
      <c r="AF436" s="111"/>
      <c r="AG436" s="111"/>
      <c r="AH436" s="111"/>
      <c r="AI436" s="111"/>
    </row>
    <row r="437" ht="15.75" customHeight="1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39"/>
      <c r="AD437" s="123"/>
      <c r="AE437" s="111"/>
      <c r="AF437" s="111"/>
      <c r="AG437" s="111"/>
      <c r="AH437" s="111"/>
      <c r="AI437" s="111"/>
    </row>
    <row r="438" ht="15.75" customHeight="1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39"/>
      <c r="AD438" s="123"/>
      <c r="AE438" s="111"/>
      <c r="AF438" s="111"/>
      <c r="AG438" s="111"/>
      <c r="AH438" s="111"/>
      <c r="AI438" s="111"/>
    </row>
    <row r="439" ht="15.75" customHeight="1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39"/>
      <c r="AD439" s="123"/>
      <c r="AE439" s="111"/>
      <c r="AF439" s="111"/>
      <c r="AG439" s="111"/>
      <c r="AH439" s="111"/>
      <c r="AI439" s="111"/>
    </row>
    <row r="440" ht="15.75" customHeight="1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39"/>
      <c r="AD440" s="123"/>
      <c r="AE440" s="111"/>
      <c r="AF440" s="111"/>
      <c r="AG440" s="111"/>
      <c r="AH440" s="111"/>
      <c r="AI440" s="111"/>
    </row>
    <row r="441" ht="15.75" customHeight="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39"/>
      <c r="AD441" s="123"/>
      <c r="AE441" s="111"/>
      <c r="AF441" s="111"/>
      <c r="AG441" s="111"/>
      <c r="AH441" s="111"/>
      <c r="AI441" s="111"/>
    </row>
    <row r="442" ht="15.75" customHeight="1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39"/>
      <c r="AD442" s="123"/>
      <c r="AE442" s="111"/>
      <c r="AF442" s="111"/>
      <c r="AG442" s="111"/>
      <c r="AH442" s="111"/>
      <c r="AI442" s="111"/>
    </row>
    <row r="443" ht="15.75" customHeight="1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39"/>
      <c r="AD443" s="123"/>
      <c r="AE443" s="111"/>
      <c r="AF443" s="111"/>
      <c r="AG443" s="111"/>
      <c r="AH443" s="111"/>
      <c r="AI443" s="111"/>
    </row>
    <row r="444" ht="15.75" customHeight="1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39"/>
      <c r="AD444" s="123"/>
      <c r="AE444" s="111"/>
      <c r="AF444" s="111"/>
      <c r="AG444" s="111"/>
      <c r="AH444" s="111"/>
      <c r="AI444" s="111"/>
    </row>
    <row r="445" ht="15.75" customHeight="1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39"/>
      <c r="AD445" s="123"/>
      <c r="AE445" s="111"/>
      <c r="AF445" s="111"/>
      <c r="AG445" s="111"/>
      <c r="AH445" s="111"/>
      <c r="AI445" s="111"/>
    </row>
    <row r="446" ht="15.75" customHeight="1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39"/>
      <c r="AD446" s="123"/>
      <c r="AE446" s="111"/>
      <c r="AF446" s="111"/>
      <c r="AG446" s="111"/>
      <c r="AH446" s="111"/>
      <c r="AI446" s="111"/>
    </row>
    <row r="447" ht="15.75" customHeight="1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39"/>
      <c r="AD447" s="123"/>
      <c r="AE447" s="111"/>
      <c r="AF447" s="111"/>
      <c r="AG447" s="111"/>
      <c r="AH447" s="111"/>
      <c r="AI447" s="111"/>
    </row>
    <row r="448" ht="15.75" customHeight="1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39"/>
      <c r="AD448" s="123"/>
      <c r="AE448" s="111"/>
      <c r="AF448" s="111"/>
      <c r="AG448" s="111"/>
      <c r="AH448" s="111"/>
      <c r="AI448" s="111"/>
    </row>
    <row r="449" ht="15.75" customHeight="1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39"/>
      <c r="AD449" s="123"/>
      <c r="AE449" s="111"/>
      <c r="AF449" s="111"/>
      <c r="AG449" s="111"/>
      <c r="AH449" s="111"/>
      <c r="AI449" s="111"/>
    </row>
    <row r="450" ht="15.75" customHeight="1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39"/>
      <c r="AD450" s="123"/>
      <c r="AE450" s="111"/>
      <c r="AF450" s="111"/>
      <c r="AG450" s="111"/>
      <c r="AH450" s="111"/>
      <c r="AI450" s="111"/>
    </row>
    <row r="451" ht="15.75" customHeight="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39"/>
      <c r="AD451" s="123"/>
      <c r="AE451" s="111"/>
      <c r="AF451" s="111"/>
      <c r="AG451" s="111"/>
      <c r="AH451" s="111"/>
      <c r="AI451" s="111"/>
    </row>
    <row r="452" ht="15.75" customHeight="1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39"/>
      <c r="AD452" s="123"/>
      <c r="AE452" s="111"/>
      <c r="AF452" s="111"/>
      <c r="AG452" s="111"/>
      <c r="AH452" s="111"/>
      <c r="AI452" s="111"/>
    </row>
    <row r="453" ht="15.75" customHeight="1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39"/>
      <c r="AD453" s="123"/>
      <c r="AE453" s="111"/>
      <c r="AF453" s="111"/>
      <c r="AG453" s="111"/>
      <c r="AH453" s="111"/>
      <c r="AI453" s="111"/>
    </row>
    <row r="454" ht="15.75" customHeight="1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39"/>
      <c r="AD454" s="123"/>
      <c r="AE454" s="111"/>
      <c r="AF454" s="111"/>
      <c r="AG454" s="111"/>
      <c r="AH454" s="111"/>
      <c r="AI454" s="111"/>
    </row>
    <row r="455" ht="15.75" customHeight="1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39"/>
      <c r="AD455" s="123"/>
      <c r="AE455" s="111"/>
      <c r="AF455" s="111"/>
      <c r="AG455" s="111"/>
      <c r="AH455" s="111"/>
      <c r="AI455" s="111"/>
    </row>
    <row r="456" ht="15.75" customHeight="1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39"/>
      <c r="AD456" s="123"/>
      <c r="AE456" s="111"/>
      <c r="AF456" s="111"/>
      <c r="AG456" s="111"/>
      <c r="AH456" s="111"/>
      <c r="AI456" s="111"/>
    </row>
    <row r="457" ht="15.75" customHeight="1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39"/>
      <c r="AD457" s="123"/>
      <c r="AE457" s="111"/>
      <c r="AF457" s="111"/>
      <c r="AG457" s="111"/>
      <c r="AH457" s="111"/>
      <c r="AI457" s="111"/>
    </row>
    <row r="458" ht="15.75" customHeight="1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39"/>
      <c r="AD458" s="123"/>
      <c r="AE458" s="111"/>
      <c r="AF458" s="111"/>
      <c r="AG458" s="111"/>
      <c r="AH458" s="111"/>
      <c r="AI458" s="111"/>
    </row>
    <row r="459" ht="15.75" customHeight="1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39"/>
      <c r="AD459" s="123"/>
      <c r="AE459" s="111"/>
      <c r="AF459" s="111"/>
      <c r="AG459" s="111"/>
      <c r="AH459" s="111"/>
      <c r="AI459" s="111"/>
    </row>
    <row r="460" ht="15.75" customHeight="1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39"/>
      <c r="AD460" s="123"/>
      <c r="AE460" s="111"/>
      <c r="AF460" s="111"/>
      <c r="AG460" s="111"/>
      <c r="AH460" s="111"/>
      <c r="AI460" s="111"/>
    </row>
    <row r="461" ht="15.75" customHeight="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39"/>
      <c r="AD461" s="123"/>
      <c r="AE461" s="111"/>
      <c r="AF461" s="111"/>
      <c r="AG461" s="111"/>
      <c r="AH461" s="111"/>
      <c r="AI461" s="111"/>
    </row>
    <row r="462" ht="15.75" customHeight="1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39"/>
      <c r="AD462" s="123"/>
      <c r="AE462" s="111"/>
      <c r="AF462" s="111"/>
      <c r="AG462" s="111"/>
      <c r="AH462" s="111"/>
      <c r="AI462" s="111"/>
    </row>
    <row r="463" ht="15.75" customHeight="1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39"/>
      <c r="AD463" s="123"/>
      <c r="AE463" s="111"/>
      <c r="AF463" s="111"/>
      <c r="AG463" s="111"/>
      <c r="AH463" s="111"/>
      <c r="AI463" s="111"/>
    </row>
    <row r="464" ht="15.75" customHeight="1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39"/>
      <c r="AD464" s="123"/>
      <c r="AE464" s="111"/>
      <c r="AF464" s="111"/>
      <c r="AG464" s="111"/>
      <c r="AH464" s="111"/>
      <c r="AI464" s="111"/>
    </row>
    <row r="465" ht="15.75" customHeight="1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39"/>
      <c r="AD465" s="123"/>
      <c r="AE465" s="111"/>
      <c r="AF465" s="111"/>
      <c r="AG465" s="111"/>
      <c r="AH465" s="111"/>
      <c r="AI465" s="111"/>
    </row>
    <row r="466" ht="15.75" customHeight="1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39"/>
      <c r="AD466" s="123"/>
      <c r="AE466" s="111"/>
      <c r="AF466" s="111"/>
      <c r="AG466" s="111"/>
      <c r="AH466" s="111"/>
      <c r="AI466" s="111"/>
    </row>
    <row r="467" ht="15.75" customHeight="1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39"/>
      <c r="AD467" s="123"/>
      <c r="AE467" s="111"/>
      <c r="AF467" s="111"/>
      <c r="AG467" s="111"/>
      <c r="AH467" s="111"/>
      <c r="AI467" s="111"/>
    </row>
    <row r="468" ht="15.75" customHeight="1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39"/>
      <c r="AD468" s="123"/>
      <c r="AE468" s="111"/>
      <c r="AF468" s="111"/>
      <c r="AG468" s="111"/>
      <c r="AH468" s="111"/>
      <c r="AI468" s="111"/>
    </row>
    <row r="469" ht="15.75" customHeight="1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39"/>
      <c r="AD469" s="123"/>
      <c r="AE469" s="111"/>
      <c r="AF469" s="111"/>
      <c r="AG469" s="111"/>
      <c r="AH469" s="111"/>
      <c r="AI469" s="111"/>
    </row>
    <row r="470" ht="15.75" customHeight="1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39"/>
      <c r="AD470" s="123"/>
      <c r="AE470" s="111"/>
      <c r="AF470" s="111"/>
      <c r="AG470" s="111"/>
      <c r="AH470" s="111"/>
      <c r="AI470" s="111"/>
    </row>
    <row r="471" ht="15.75" customHeight="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39"/>
      <c r="AD471" s="123"/>
      <c r="AE471" s="111"/>
      <c r="AF471" s="111"/>
      <c r="AG471" s="111"/>
      <c r="AH471" s="111"/>
      <c r="AI471" s="111"/>
    </row>
    <row r="472" ht="15.75" customHeight="1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39"/>
      <c r="AD472" s="123"/>
      <c r="AE472" s="111"/>
      <c r="AF472" s="111"/>
      <c r="AG472" s="111"/>
      <c r="AH472" s="111"/>
      <c r="AI472" s="111"/>
    </row>
    <row r="473" ht="15.75" customHeight="1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39"/>
      <c r="AD473" s="123"/>
      <c r="AE473" s="111"/>
      <c r="AF473" s="111"/>
      <c r="AG473" s="111"/>
      <c r="AH473" s="111"/>
      <c r="AI473" s="111"/>
    </row>
    <row r="474" ht="15.75" customHeight="1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39"/>
      <c r="AD474" s="123"/>
      <c r="AE474" s="111"/>
      <c r="AF474" s="111"/>
      <c r="AG474" s="111"/>
      <c r="AH474" s="111"/>
      <c r="AI474" s="111"/>
    </row>
    <row r="475" ht="15.75" customHeight="1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39"/>
      <c r="AD475" s="123"/>
      <c r="AE475" s="111"/>
      <c r="AF475" s="111"/>
      <c r="AG475" s="111"/>
      <c r="AH475" s="111"/>
      <c r="AI475" s="111"/>
    </row>
    <row r="476" ht="15.75" customHeight="1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39"/>
      <c r="AD476" s="123"/>
      <c r="AE476" s="111"/>
      <c r="AF476" s="111"/>
      <c r="AG476" s="111"/>
      <c r="AH476" s="111"/>
      <c r="AI476" s="111"/>
    </row>
    <row r="477" ht="15.75" customHeight="1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39"/>
      <c r="AD477" s="123"/>
      <c r="AE477" s="111"/>
      <c r="AF477" s="111"/>
      <c r="AG477" s="111"/>
      <c r="AH477" s="111"/>
      <c r="AI477" s="111"/>
    </row>
    <row r="478" ht="15.75" customHeight="1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39"/>
      <c r="AD478" s="123"/>
      <c r="AE478" s="111"/>
      <c r="AF478" s="111"/>
      <c r="AG478" s="111"/>
      <c r="AH478" s="111"/>
      <c r="AI478" s="111"/>
    </row>
    <row r="479" ht="15.75" customHeight="1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39"/>
      <c r="AD479" s="123"/>
      <c r="AE479" s="111"/>
      <c r="AF479" s="111"/>
      <c r="AG479" s="111"/>
      <c r="AH479" s="111"/>
      <c r="AI479" s="111"/>
    </row>
    <row r="480" ht="15.75" customHeight="1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39"/>
      <c r="AD480" s="123"/>
      <c r="AE480" s="111"/>
      <c r="AF480" s="111"/>
      <c r="AG480" s="111"/>
      <c r="AH480" s="111"/>
      <c r="AI480" s="111"/>
    </row>
    <row r="481" ht="15.75" customHeight="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39"/>
      <c r="AD481" s="123"/>
      <c r="AE481" s="111"/>
      <c r="AF481" s="111"/>
      <c r="AG481" s="111"/>
      <c r="AH481" s="111"/>
      <c r="AI481" s="111"/>
    </row>
    <row r="482" ht="15.75" customHeight="1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39"/>
      <c r="AD482" s="123"/>
      <c r="AE482" s="111"/>
      <c r="AF482" s="111"/>
      <c r="AG482" s="111"/>
      <c r="AH482" s="111"/>
      <c r="AI482" s="111"/>
    </row>
    <row r="483" ht="15.75" customHeight="1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39"/>
      <c r="AD483" s="123"/>
      <c r="AE483" s="111"/>
      <c r="AF483" s="111"/>
      <c r="AG483" s="111"/>
      <c r="AH483" s="111"/>
      <c r="AI483" s="111"/>
    </row>
    <row r="484" ht="15.75" customHeight="1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39"/>
      <c r="AD484" s="123"/>
      <c r="AE484" s="111"/>
      <c r="AF484" s="111"/>
      <c r="AG484" s="111"/>
      <c r="AH484" s="111"/>
      <c r="AI484" s="111"/>
    </row>
    <row r="485" ht="15.75" customHeight="1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39"/>
      <c r="AD485" s="123"/>
      <c r="AE485" s="111"/>
      <c r="AF485" s="111"/>
      <c r="AG485" s="111"/>
      <c r="AH485" s="111"/>
      <c r="AI485" s="111"/>
    </row>
    <row r="486" ht="15.75" customHeight="1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39"/>
      <c r="AD486" s="123"/>
      <c r="AE486" s="111"/>
      <c r="AF486" s="111"/>
      <c r="AG486" s="111"/>
      <c r="AH486" s="111"/>
      <c r="AI486" s="111"/>
    </row>
    <row r="487" ht="15.75" customHeight="1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39"/>
      <c r="AD487" s="123"/>
      <c r="AE487" s="111"/>
      <c r="AF487" s="111"/>
      <c r="AG487" s="111"/>
      <c r="AH487" s="111"/>
      <c r="AI487" s="111"/>
    </row>
    <row r="488" ht="15.75" customHeight="1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39"/>
      <c r="AD488" s="123"/>
      <c r="AE488" s="111"/>
      <c r="AF488" s="111"/>
      <c r="AG488" s="111"/>
      <c r="AH488" s="111"/>
      <c r="AI488" s="111"/>
    </row>
    <row r="489" ht="15.75" customHeight="1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39"/>
      <c r="AD489" s="123"/>
      <c r="AE489" s="111"/>
      <c r="AF489" s="111"/>
      <c r="AG489" s="111"/>
      <c r="AH489" s="111"/>
      <c r="AI489" s="111"/>
    </row>
    <row r="490" ht="15.75" customHeight="1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39"/>
      <c r="AD490" s="123"/>
      <c r="AE490" s="111"/>
      <c r="AF490" s="111"/>
      <c r="AG490" s="111"/>
      <c r="AH490" s="111"/>
      <c r="AI490" s="111"/>
    </row>
    <row r="491" ht="15.75" customHeight="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39"/>
      <c r="AD491" s="123"/>
      <c r="AE491" s="111"/>
      <c r="AF491" s="111"/>
      <c r="AG491" s="111"/>
      <c r="AH491" s="111"/>
      <c r="AI491" s="111"/>
    </row>
    <row r="492" ht="15.75" customHeight="1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39"/>
      <c r="AD492" s="123"/>
      <c r="AE492" s="111"/>
      <c r="AF492" s="111"/>
      <c r="AG492" s="111"/>
      <c r="AH492" s="111"/>
      <c r="AI492" s="111"/>
    </row>
    <row r="493" ht="15.75" customHeight="1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39"/>
      <c r="AD493" s="123"/>
      <c r="AE493" s="111"/>
      <c r="AF493" s="111"/>
      <c r="AG493" s="111"/>
      <c r="AH493" s="111"/>
      <c r="AI493" s="111"/>
    </row>
    <row r="494" ht="15.75" customHeight="1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39"/>
      <c r="AD494" s="123"/>
      <c r="AE494" s="111"/>
      <c r="AF494" s="111"/>
      <c r="AG494" s="111"/>
      <c r="AH494" s="111"/>
      <c r="AI494" s="111"/>
    </row>
    <row r="495" ht="15.75" customHeight="1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39"/>
      <c r="AD495" s="123"/>
      <c r="AE495" s="111"/>
      <c r="AF495" s="111"/>
      <c r="AG495" s="111"/>
      <c r="AH495" s="111"/>
      <c r="AI495" s="111"/>
    </row>
    <row r="496" ht="15.75" customHeight="1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39"/>
      <c r="AD496" s="123"/>
      <c r="AE496" s="111"/>
      <c r="AF496" s="111"/>
      <c r="AG496" s="111"/>
      <c r="AH496" s="111"/>
      <c r="AI496" s="111"/>
    </row>
    <row r="497" ht="15.75" customHeight="1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39"/>
      <c r="AD497" s="123"/>
      <c r="AE497" s="111"/>
      <c r="AF497" s="111"/>
      <c r="AG497" s="111"/>
      <c r="AH497" s="111"/>
      <c r="AI497" s="111"/>
    </row>
    <row r="498" ht="15.75" customHeight="1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39"/>
      <c r="AD498" s="123"/>
      <c r="AE498" s="111"/>
      <c r="AF498" s="111"/>
      <c r="AG498" s="111"/>
      <c r="AH498" s="111"/>
      <c r="AI498" s="111"/>
    </row>
    <row r="499" ht="15.75" customHeight="1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39"/>
      <c r="AD499" s="123"/>
      <c r="AE499" s="111"/>
      <c r="AF499" s="111"/>
      <c r="AG499" s="111"/>
      <c r="AH499" s="111"/>
      <c r="AI499" s="111"/>
    </row>
    <row r="500" ht="15.75" customHeight="1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39"/>
      <c r="AD500" s="123"/>
      <c r="AE500" s="111"/>
      <c r="AF500" s="111"/>
      <c r="AG500" s="111"/>
      <c r="AH500" s="111"/>
      <c r="AI500" s="111"/>
    </row>
    <row r="501" ht="15.75" customHeight="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39"/>
      <c r="AD501" s="123"/>
      <c r="AE501" s="111"/>
      <c r="AF501" s="111"/>
      <c r="AG501" s="111"/>
      <c r="AH501" s="111"/>
      <c r="AI501" s="111"/>
    </row>
    <row r="502" ht="15.75" customHeight="1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39"/>
      <c r="AD502" s="123"/>
      <c r="AE502" s="111"/>
      <c r="AF502" s="111"/>
      <c r="AG502" s="111"/>
      <c r="AH502" s="111"/>
      <c r="AI502" s="111"/>
    </row>
    <row r="503" ht="15.75" customHeight="1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39"/>
      <c r="AD503" s="123"/>
      <c r="AE503" s="111"/>
      <c r="AF503" s="111"/>
      <c r="AG503" s="111"/>
      <c r="AH503" s="111"/>
      <c r="AI503" s="111"/>
    </row>
    <row r="504" ht="15.75" customHeight="1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39"/>
      <c r="AD504" s="123"/>
      <c r="AE504" s="111"/>
      <c r="AF504" s="111"/>
      <c r="AG504" s="111"/>
      <c r="AH504" s="111"/>
      <c r="AI504" s="111"/>
    </row>
    <row r="505" ht="15.75" customHeight="1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39"/>
      <c r="AD505" s="123"/>
      <c r="AE505" s="111"/>
      <c r="AF505" s="111"/>
      <c r="AG505" s="111"/>
      <c r="AH505" s="111"/>
      <c r="AI505" s="111"/>
    </row>
    <row r="506" ht="15.75" customHeight="1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39"/>
      <c r="AD506" s="123"/>
      <c r="AE506" s="111"/>
      <c r="AF506" s="111"/>
      <c r="AG506" s="111"/>
      <c r="AH506" s="111"/>
      <c r="AI506" s="111"/>
    </row>
    <row r="507" ht="15.75" customHeight="1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39"/>
      <c r="AD507" s="123"/>
      <c r="AE507" s="111"/>
      <c r="AF507" s="111"/>
      <c r="AG507" s="111"/>
      <c r="AH507" s="111"/>
      <c r="AI507" s="111"/>
    </row>
    <row r="508" ht="15.75" customHeight="1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39"/>
      <c r="AD508" s="123"/>
      <c r="AE508" s="111"/>
      <c r="AF508" s="111"/>
      <c r="AG508" s="111"/>
      <c r="AH508" s="111"/>
      <c r="AI508" s="111"/>
    </row>
    <row r="509" ht="15.75" customHeight="1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39"/>
      <c r="AD509" s="123"/>
      <c r="AE509" s="111"/>
      <c r="AF509" s="111"/>
      <c r="AG509" s="111"/>
      <c r="AH509" s="111"/>
      <c r="AI509" s="111"/>
    </row>
    <row r="510" ht="15.75" customHeight="1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39"/>
      <c r="AD510" s="123"/>
      <c r="AE510" s="111"/>
      <c r="AF510" s="111"/>
      <c r="AG510" s="111"/>
      <c r="AH510" s="111"/>
      <c r="AI510" s="111"/>
    </row>
    <row r="511" ht="15.75" customHeight="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39"/>
      <c r="AD511" s="123"/>
      <c r="AE511" s="111"/>
      <c r="AF511" s="111"/>
      <c r="AG511" s="111"/>
      <c r="AH511" s="111"/>
      <c r="AI511" s="111"/>
    </row>
    <row r="512" ht="15.75" customHeight="1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39"/>
      <c r="AD512" s="123"/>
      <c r="AE512" s="111"/>
      <c r="AF512" s="111"/>
      <c r="AG512" s="111"/>
      <c r="AH512" s="111"/>
      <c r="AI512" s="111"/>
    </row>
    <row r="513" ht="15.75" customHeight="1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39"/>
      <c r="AD513" s="123"/>
      <c r="AE513" s="111"/>
      <c r="AF513" s="111"/>
      <c r="AG513" s="111"/>
      <c r="AH513" s="111"/>
      <c r="AI513" s="111"/>
    </row>
    <row r="514" ht="15.75" customHeight="1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39"/>
      <c r="AD514" s="123"/>
      <c r="AE514" s="111"/>
      <c r="AF514" s="111"/>
      <c r="AG514" s="111"/>
      <c r="AH514" s="111"/>
      <c r="AI514" s="111"/>
    </row>
    <row r="515" ht="15.75" customHeight="1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39"/>
      <c r="AD515" s="123"/>
      <c r="AE515" s="111"/>
      <c r="AF515" s="111"/>
      <c r="AG515" s="111"/>
      <c r="AH515" s="111"/>
      <c r="AI515" s="111"/>
    </row>
    <row r="516" ht="15.75" customHeight="1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39"/>
      <c r="AD516" s="123"/>
      <c r="AE516" s="111"/>
      <c r="AF516" s="111"/>
      <c r="AG516" s="111"/>
      <c r="AH516" s="111"/>
      <c r="AI516" s="111"/>
    </row>
    <row r="517" ht="15.75" customHeight="1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39"/>
      <c r="AD517" s="123"/>
      <c r="AE517" s="111"/>
      <c r="AF517" s="111"/>
      <c r="AG517" s="111"/>
      <c r="AH517" s="111"/>
      <c r="AI517" s="111"/>
    </row>
    <row r="518" ht="15.75" customHeight="1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39"/>
      <c r="AD518" s="123"/>
      <c r="AE518" s="111"/>
      <c r="AF518" s="111"/>
      <c r="AG518" s="111"/>
      <c r="AH518" s="111"/>
      <c r="AI518" s="111"/>
    </row>
    <row r="519" ht="15.75" customHeight="1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39"/>
      <c r="AD519" s="123"/>
      <c r="AE519" s="111"/>
      <c r="AF519" s="111"/>
      <c r="AG519" s="111"/>
      <c r="AH519" s="111"/>
      <c r="AI519" s="111"/>
    </row>
    <row r="520" ht="15.75" customHeight="1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39"/>
      <c r="AD520" s="123"/>
      <c r="AE520" s="111"/>
      <c r="AF520" s="111"/>
      <c r="AG520" s="111"/>
      <c r="AH520" s="111"/>
      <c r="AI520" s="111"/>
    </row>
    <row r="521" ht="15.75" customHeight="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39"/>
      <c r="AD521" s="123"/>
      <c r="AE521" s="111"/>
      <c r="AF521" s="111"/>
      <c r="AG521" s="111"/>
      <c r="AH521" s="111"/>
      <c r="AI521" s="111"/>
    </row>
    <row r="522" ht="15.75" customHeight="1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39"/>
      <c r="AD522" s="123"/>
      <c r="AE522" s="111"/>
      <c r="AF522" s="111"/>
      <c r="AG522" s="111"/>
      <c r="AH522" s="111"/>
      <c r="AI522" s="111"/>
    </row>
    <row r="523" ht="15.75" customHeight="1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39"/>
      <c r="AD523" s="123"/>
      <c r="AE523" s="111"/>
      <c r="AF523" s="111"/>
      <c r="AG523" s="111"/>
      <c r="AH523" s="111"/>
      <c r="AI523" s="111"/>
    </row>
    <row r="524" ht="15.75" customHeight="1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39"/>
      <c r="AD524" s="123"/>
      <c r="AE524" s="111"/>
      <c r="AF524" s="111"/>
      <c r="AG524" s="111"/>
      <c r="AH524" s="111"/>
      <c r="AI524" s="111"/>
    </row>
    <row r="525" ht="15.75" customHeight="1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39"/>
      <c r="AD525" s="123"/>
      <c r="AE525" s="111"/>
      <c r="AF525" s="111"/>
      <c r="AG525" s="111"/>
      <c r="AH525" s="111"/>
      <c r="AI525" s="111"/>
    </row>
    <row r="526" ht="15.75" customHeight="1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39"/>
      <c r="AD526" s="123"/>
      <c r="AE526" s="111"/>
      <c r="AF526" s="111"/>
      <c r="AG526" s="111"/>
      <c r="AH526" s="111"/>
      <c r="AI526" s="111"/>
    </row>
    <row r="527" ht="15.75" customHeight="1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39"/>
      <c r="AD527" s="123"/>
      <c r="AE527" s="111"/>
      <c r="AF527" s="111"/>
      <c r="AG527" s="111"/>
      <c r="AH527" s="111"/>
      <c r="AI527" s="111"/>
    </row>
    <row r="528" ht="15.75" customHeight="1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39"/>
      <c r="AD528" s="123"/>
      <c r="AE528" s="111"/>
      <c r="AF528" s="111"/>
      <c r="AG528" s="111"/>
      <c r="AH528" s="111"/>
      <c r="AI528" s="111"/>
    </row>
    <row r="529" ht="15.75" customHeight="1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39"/>
      <c r="AD529" s="123"/>
      <c r="AE529" s="111"/>
      <c r="AF529" s="111"/>
      <c r="AG529" s="111"/>
      <c r="AH529" s="111"/>
      <c r="AI529" s="111"/>
    </row>
    <row r="530" ht="15.75" customHeight="1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39"/>
      <c r="AD530" s="123"/>
      <c r="AE530" s="111"/>
      <c r="AF530" s="111"/>
      <c r="AG530" s="111"/>
      <c r="AH530" s="111"/>
      <c r="AI530" s="111"/>
    </row>
    <row r="531" ht="15.75" customHeight="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39"/>
      <c r="AD531" s="123"/>
      <c r="AE531" s="111"/>
      <c r="AF531" s="111"/>
      <c r="AG531" s="111"/>
      <c r="AH531" s="111"/>
      <c r="AI531" s="111"/>
    </row>
    <row r="532" ht="15.75" customHeight="1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39"/>
      <c r="AD532" s="123"/>
      <c r="AE532" s="111"/>
      <c r="AF532" s="111"/>
      <c r="AG532" s="111"/>
      <c r="AH532" s="111"/>
      <c r="AI532" s="111"/>
    </row>
    <row r="533" ht="15.75" customHeight="1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39"/>
      <c r="AD533" s="123"/>
      <c r="AE533" s="111"/>
      <c r="AF533" s="111"/>
      <c r="AG533" s="111"/>
      <c r="AH533" s="111"/>
      <c r="AI533" s="111"/>
    </row>
    <row r="534" ht="15.75" customHeight="1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39"/>
      <c r="AD534" s="123"/>
      <c r="AE534" s="111"/>
      <c r="AF534" s="111"/>
      <c r="AG534" s="111"/>
      <c r="AH534" s="111"/>
      <c r="AI534" s="111"/>
    </row>
    <row r="535" ht="15.75" customHeight="1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39"/>
      <c r="AD535" s="123"/>
      <c r="AE535" s="111"/>
      <c r="AF535" s="111"/>
      <c r="AG535" s="111"/>
      <c r="AH535" s="111"/>
      <c r="AI535" s="111"/>
    </row>
    <row r="536" ht="15.75" customHeight="1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39"/>
      <c r="AD536" s="123"/>
      <c r="AE536" s="111"/>
      <c r="AF536" s="111"/>
      <c r="AG536" s="111"/>
      <c r="AH536" s="111"/>
      <c r="AI536" s="111"/>
    </row>
    <row r="537" ht="15.75" customHeight="1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39"/>
      <c r="AD537" s="123"/>
      <c r="AE537" s="111"/>
      <c r="AF537" s="111"/>
      <c r="AG537" s="111"/>
      <c r="AH537" s="111"/>
      <c r="AI537" s="111"/>
    </row>
    <row r="538" ht="15.75" customHeight="1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39"/>
      <c r="AD538" s="123"/>
      <c r="AE538" s="111"/>
      <c r="AF538" s="111"/>
      <c r="AG538" s="111"/>
      <c r="AH538" s="111"/>
      <c r="AI538" s="111"/>
    </row>
    <row r="539" ht="15.75" customHeight="1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39"/>
      <c r="AD539" s="123"/>
      <c r="AE539" s="111"/>
      <c r="AF539" s="111"/>
      <c r="AG539" s="111"/>
      <c r="AH539" s="111"/>
      <c r="AI539" s="111"/>
    </row>
    <row r="540" ht="15.75" customHeight="1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39"/>
      <c r="AD540" s="123"/>
      <c r="AE540" s="111"/>
      <c r="AF540" s="111"/>
      <c r="AG540" s="111"/>
      <c r="AH540" s="111"/>
      <c r="AI540" s="111"/>
    </row>
    <row r="541" ht="15.75" customHeight="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39"/>
      <c r="AD541" s="123"/>
      <c r="AE541" s="111"/>
      <c r="AF541" s="111"/>
      <c r="AG541" s="111"/>
      <c r="AH541" s="111"/>
      <c r="AI541" s="111"/>
    </row>
    <row r="542" ht="15.75" customHeight="1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39"/>
      <c r="AD542" s="123"/>
      <c r="AE542" s="111"/>
      <c r="AF542" s="111"/>
      <c r="AG542" s="111"/>
      <c r="AH542" s="111"/>
      <c r="AI542" s="111"/>
    </row>
    <row r="543" ht="15.75" customHeight="1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39"/>
      <c r="AD543" s="123"/>
      <c r="AE543" s="111"/>
      <c r="AF543" s="111"/>
      <c r="AG543" s="111"/>
      <c r="AH543" s="111"/>
      <c r="AI543" s="111"/>
    </row>
    <row r="544" ht="15.75" customHeight="1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39"/>
      <c r="AD544" s="123"/>
      <c r="AE544" s="111"/>
      <c r="AF544" s="111"/>
      <c r="AG544" s="111"/>
      <c r="AH544" s="111"/>
      <c r="AI544" s="111"/>
    </row>
    <row r="545" ht="15.75" customHeight="1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39"/>
      <c r="AD545" s="123"/>
      <c r="AE545" s="111"/>
      <c r="AF545" s="111"/>
      <c r="AG545" s="111"/>
      <c r="AH545" s="111"/>
      <c r="AI545" s="111"/>
    </row>
    <row r="546" ht="15.75" customHeight="1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39"/>
      <c r="AD546" s="123"/>
      <c r="AE546" s="111"/>
      <c r="AF546" s="111"/>
      <c r="AG546" s="111"/>
      <c r="AH546" s="111"/>
      <c r="AI546" s="111"/>
    </row>
    <row r="547" ht="15.75" customHeight="1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39"/>
      <c r="AD547" s="123"/>
      <c r="AE547" s="111"/>
      <c r="AF547" s="111"/>
      <c r="AG547" s="111"/>
      <c r="AH547" s="111"/>
      <c r="AI547" s="111"/>
    </row>
    <row r="548" ht="15.75" customHeight="1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39"/>
      <c r="AD548" s="123"/>
      <c r="AE548" s="111"/>
      <c r="AF548" s="111"/>
      <c r="AG548" s="111"/>
      <c r="AH548" s="111"/>
      <c r="AI548" s="111"/>
    </row>
    <row r="549" ht="15.75" customHeight="1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39"/>
      <c r="AD549" s="123"/>
      <c r="AE549" s="111"/>
      <c r="AF549" s="111"/>
      <c r="AG549" s="111"/>
      <c r="AH549" s="111"/>
      <c r="AI549" s="111"/>
    </row>
    <row r="550" ht="15.75" customHeight="1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39"/>
      <c r="AD550" s="123"/>
      <c r="AE550" s="111"/>
      <c r="AF550" s="111"/>
      <c r="AG550" s="111"/>
      <c r="AH550" s="111"/>
      <c r="AI550" s="111"/>
    </row>
    <row r="551" ht="15.75" customHeight="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39"/>
      <c r="AD551" s="123"/>
      <c r="AE551" s="111"/>
      <c r="AF551" s="111"/>
      <c r="AG551" s="111"/>
      <c r="AH551" s="111"/>
      <c r="AI551" s="111"/>
    </row>
    <row r="552" ht="15.75" customHeight="1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39"/>
      <c r="AD552" s="123"/>
      <c r="AE552" s="111"/>
      <c r="AF552" s="111"/>
      <c r="AG552" s="111"/>
      <c r="AH552" s="111"/>
      <c r="AI552" s="111"/>
    </row>
    <row r="553" ht="15.75" customHeight="1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39"/>
      <c r="AD553" s="123"/>
      <c r="AE553" s="111"/>
      <c r="AF553" s="111"/>
      <c r="AG553" s="111"/>
      <c r="AH553" s="111"/>
      <c r="AI553" s="111"/>
    </row>
    <row r="554" ht="15.75" customHeight="1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39"/>
      <c r="AD554" s="123"/>
      <c r="AE554" s="111"/>
      <c r="AF554" s="111"/>
      <c r="AG554" s="111"/>
      <c r="AH554" s="111"/>
      <c r="AI554" s="111"/>
    </row>
    <row r="555" ht="15.75" customHeight="1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39"/>
      <c r="AD555" s="123"/>
      <c r="AE555" s="111"/>
      <c r="AF555" s="111"/>
      <c r="AG555" s="111"/>
      <c r="AH555" s="111"/>
      <c r="AI555" s="111"/>
    </row>
    <row r="556" ht="15.75" customHeight="1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39"/>
      <c r="AD556" s="123"/>
      <c r="AE556" s="111"/>
      <c r="AF556" s="111"/>
      <c r="AG556" s="111"/>
      <c r="AH556" s="111"/>
      <c r="AI556" s="111"/>
    </row>
    <row r="557" ht="15.75" customHeight="1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39"/>
      <c r="AD557" s="123"/>
      <c r="AE557" s="111"/>
      <c r="AF557" s="111"/>
      <c r="AG557" s="111"/>
      <c r="AH557" s="111"/>
      <c r="AI557" s="111"/>
    </row>
    <row r="558" ht="15.75" customHeight="1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39"/>
      <c r="AD558" s="123"/>
      <c r="AE558" s="111"/>
      <c r="AF558" s="111"/>
      <c r="AG558" s="111"/>
      <c r="AH558" s="111"/>
      <c r="AI558" s="111"/>
    </row>
    <row r="559" ht="15.75" customHeight="1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39"/>
      <c r="AD559" s="123"/>
      <c r="AE559" s="111"/>
      <c r="AF559" s="111"/>
      <c r="AG559" s="111"/>
      <c r="AH559" s="111"/>
      <c r="AI559" s="111"/>
    </row>
    <row r="560" ht="15.75" customHeight="1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39"/>
      <c r="AD560" s="123"/>
      <c r="AE560" s="111"/>
      <c r="AF560" s="111"/>
      <c r="AG560" s="111"/>
      <c r="AH560" s="111"/>
      <c r="AI560" s="111"/>
    </row>
    <row r="561" ht="15.75" customHeight="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39"/>
      <c r="AD561" s="123"/>
      <c r="AE561" s="111"/>
      <c r="AF561" s="111"/>
      <c r="AG561" s="111"/>
      <c r="AH561" s="111"/>
      <c r="AI561" s="111"/>
    </row>
    <row r="562" ht="15.75" customHeight="1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39"/>
      <c r="AD562" s="123"/>
      <c r="AE562" s="111"/>
      <c r="AF562" s="111"/>
      <c r="AG562" s="111"/>
      <c r="AH562" s="111"/>
      <c r="AI562" s="111"/>
    </row>
    <row r="563" ht="15.75" customHeight="1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39"/>
      <c r="AD563" s="123"/>
      <c r="AE563" s="111"/>
      <c r="AF563" s="111"/>
      <c r="AG563" s="111"/>
      <c r="AH563" s="111"/>
      <c r="AI563" s="111"/>
    </row>
    <row r="564" ht="15.75" customHeight="1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39"/>
      <c r="AD564" s="123"/>
      <c r="AE564" s="111"/>
      <c r="AF564" s="111"/>
      <c r="AG564" s="111"/>
      <c r="AH564" s="111"/>
      <c r="AI564" s="111"/>
    </row>
    <row r="565" ht="15.75" customHeight="1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39"/>
      <c r="AD565" s="123"/>
      <c r="AE565" s="111"/>
      <c r="AF565" s="111"/>
      <c r="AG565" s="111"/>
      <c r="AH565" s="111"/>
      <c r="AI565" s="111"/>
    </row>
    <row r="566" ht="15.75" customHeight="1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39"/>
      <c r="AD566" s="123"/>
      <c r="AE566" s="111"/>
      <c r="AF566" s="111"/>
      <c r="AG566" s="111"/>
      <c r="AH566" s="111"/>
      <c r="AI566" s="111"/>
    </row>
    <row r="567" ht="15.75" customHeight="1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39"/>
      <c r="AD567" s="123"/>
      <c r="AE567" s="111"/>
      <c r="AF567" s="111"/>
      <c r="AG567" s="111"/>
      <c r="AH567" s="111"/>
      <c r="AI567" s="111"/>
    </row>
    <row r="568" ht="15.75" customHeight="1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39"/>
      <c r="AD568" s="123"/>
      <c r="AE568" s="111"/>
      <c r="AF568" s="111"/>
      <c r="AG568" s="111"/>
      <c r="AH568" s="111"/>
      <c r="AI568" s="111"/>
    </row>
    <row r="569" ht="15.75" customHeight="1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39"/>
      <c r="AD569" s="123"/>
      <c r="AE569" s="111"/>
      <c r="AF569" s="111"/>
      <c r="AG569" s="111"/>
      <c r="AH569" s="111"/>
      <c r="AI569" s="111"/>
    </row>
    <row r="570" ht="15.75" customHeight="1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39"/>
      <c r="AD570" s="123"/>
      <c r="AE570" s="111"/>
      <c r="AF570" s="111"/>
      <c r="AG570" s="111"/>
      <c r="AH570" s="111"/>
      <c r="AI570" s="111"/>
    </row>
    <row r="571" ht="15.75" customHeight="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39"/>
      <c r="AD571" s="123"/>
      <c r="AE571" s="111"/>
      <c r="AF571" s="111"/>
      <c r="AG571" s="111"/>
      <c r="AH571" s="111"/>
      <c r="AI571" s="111"/>
    </row>
    <row r="572" ht="15.75" customHeight="1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39"/>
      <c r="AD572" s="123"/>
      <c r="AE572" s="111"/>
      <c r="AF572" s="111"/>
      <c r="AG572" s="111"/>
      <c r="AH572" s="111"/>
      <c r="AI572" s="111"/>
    </row>
    <row r="573" ht="15.75" customHeight="1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39"/>
      <c r="AD573" s="123"/>
      <c r="AE573" s="111"/>
      <c r="AF573" s="111"/>
      <c r="AG573" s="111"/>
      <c r="AH573" s="111"/>
      <c r="AI573" s="111"/>
    </row>
    <row r="574" ht="15.75" customHeight="1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39"/>
      <c r="AD574" s="123"/>
      <c r="AE574" s="111"/>
      <c r="AF574" s="111"/>
      <c r="AG574" s="111"/>
      <c r="AH574" s="111"/>
      <c r="AI574" s="111"/>
    </row>
    <row r="575" ht="15.75" customHeight="1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39"/>
      <c r="AD575" s="123"/>
      <c r="AE575" s="111"/>
      <c r="AF575" s="111"/>
      <c r="AG575" s="111"/>
      <c r="AH575" s="111"/>
      <c r="AI575" s="111"/>
    </row>
    <row r="576" ht="15.75" customHeight="1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39"/>
      <c r="AD576" s="123"/>
      <c r="AE576" s="111"/>
      <c r="AF576" s="111"/>
      <c r="AG576" s="111"/>
      <c r="AH576" s="111"/>
      <c r="AI576" s="111"/>
    </row>
    <row r="577" ht="15.75" customHeight="1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39"/>
      <c r="AD577" s="123"/>
      <c r="AE577" s="111"/>
      <c r="AF577" s="111"/>
      <c r="AG577" s="111"/>
      <c r="AH577" s="111"/>
      <c r="AI577" s="111"/>
    </row>
    <row r="578" ht="15.75" customHeight="1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39"/>
      <c r="AD578" s="123"/>
      <c r="AE578" s="111"/>
      <c r="AF578" s="111"/>
      <c r="AG578" s="111"/>
      <c r="AH578" s="111"/>
      <c r="AI578" s="111"/>
    </row>
    <row r="579" ht="15.75" customHeight="1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39"/>
      <c r="AD579" s="123"/>
      <c r="AE579" s="111"/>
      <c r="AF579" s="111"/>
      <c r="AG579" s="111"/>
      <c r="AH579" s="111"/>
      <c r="AI579" s="111"/>
    </row>
    <row r="580" ht="15.75" customHeight="1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39"/>
      <c r="AD580" s="123"/>
      <c r="AE580" s="111"/>
      <c r="AF580" s="111"/>
      <c r="AG580" s="111"/>
      <c r="AH580" s="111"/>
      <c r="AI580" s="111"/>
    </row>
    <row r="581" ht="15.75" customHeight="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39"/>
      <c r="AD581" s="123"/>
      <c r="AE581" s="111"/>
      <c r="AF581" s="111"/>
      <c r="AG581" s="111"/>
      <c r="AH581" s="111"/>
      <c r="AI581" s="111"/>
    </row>
    <row r="582" ht="15.75" customHeight="1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39"/>
      <c r="AD582" s="123"/>
      <c r="AE582" s="111"/>
      <c r="AF582" s="111"/>
      <c r="AG582" s="111"/>
      <c r="AH582" s="111"/>
      <c r="AI582" s="111"/>
    </row>
    <row r="583" ht="15.75" customHeight="1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39"/>
      <c r="AD583" s="123"/>
      <c r="AE583" s="111"/>
      <c r="AF583" s="111"/>
      <c r="AG583" s="111"/>
      <c r="AH583" s="111"/>
      <c r="AI583" s="111"/>
    </row>
    <row r="584" ht="15.75" customHeight="1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39"/>
      <c r="AD584" s="123"/>
      <c r="AE584" s="111"/>
      <c r="AF584" s="111"/>
      <c r="AG584" s="111"/>
      <c r="AH584" s="111"/>
      <c r="AI584" s="111"/>
    </row>
    <row r="585" ht="15.75" customHeight="1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39"/>
      <c r="AD585" s="123"/>
      <c r="AE585" s="111"/>
      <c r="AF585" s="111"/>
      <c r="AG585" s="111"/>
      <c r="AH585" s="111"/>
      <c r="AI585" s="111"/>
    </row>
    <row r="586" ht="15.75" customHeight="1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39"/>
      <c r="AD586" s="123"/>
      <c r="AE586" s="111"/>
      <c r="AF586" s="111"/>
      <c r="AG586" s="111"/>
      <c r="AH586" s="111"/>
      <c r="AI586" s="111"/>
    </row>
    <row r="587" ht="15.75" customHeight="1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39"/>
      <c r="AD587" s="123"/>
      <c r="AE587" s="111"/>
      <c r="AF587" s="111"/>
      <c r="AG587" s="111"/>
      <c r="AH587" s="111"/>
      <c r="AI587" s="111"/>
    </row>
    <row r="588" ht="15.75" customHeight="1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39"/>
      <c r="AD588" s="123"/>
      <c r="AE588" s="111"/>
      <c r="AF588" s="111"/>
      <c r="AG588" s="111"/>
      <c r="AH588" s="111"/>
      <c r="AI588" s="111"/>
    </row>
    <row r="589" ht="15.75" customHeight="1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39"/>
      <c r="AD589" s="123"/>
      <c r="AE589" s="111"/>
      <c r="AF589" s="111"/>
      <c r="AG589" s="111"/>
      <c r="AH589" s="111"/>
      <c r="AI589" s="111"/>
    </row>
    <row r="590" ht="15.75" customHeight="1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39"/>
      <c r="AD590" s="123"/>
      <c r="AE590" s="111"/>
      <c r="AF590" s="111"/>
      <c r="AG590" s="111"/>
      <c r="AH590" s="111"/>
      <c r="AI590" s="111"/>
    </row>
    <row r="591" ht="15.75" customHeight="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39"/>
      <c r="AD591" s="123"/>
      <c r="AE591" s="111"/>
      <c r="AF591" s="111"/>
      <c r="AG591" s="111"/>
      <c r="AH591" s="111"/>
      <c r="AI591" s="111"/>
    </row>
    <row r="592" ht="15.75" customHeight="1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39"/>
      <c r="AD592" s="123"/>
      <c r="AE592" s="111"/>
      <c r="AF592" s="111"/>
      <c r="AG592" s="111"/>
      <c r="AH592" s="111"/>
      <c r="AI592" s="111"/>
    </row>
    <row r="593" ht="15.75" customHeight="1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39"/>
      <c r="AD593" s="123"/>
      <c r="AE593" s="111"/>
      <c r="AF593" s="111"/>
      <c r="AG593" s="111"/>
      <c r="AH593" s="111"/>
      <c r="AI593" s="111"/>
    </row>
    <row r="594" ht="15.75" customHeight="1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39"/>
      <c r="AD594" s="123"/>
      <c r="AE594" s="111"/>
      <c r="AF594" s="111"/>
      <c r="AG594" s="111"/>
      <c r="AH594" s="111"/>
      <c r="AI594" s="111"/>
    </row>
    <row r="595" ht="15.75" customHeight="1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39"/>
      <c r="AD595" s="123"/>
      <c r="AE595" s="111"/>
      <c r="AF595" s="111"/>
      <c r="AG595" s="111"/>
      <c r="AH595" s="111"/>
      <c r="AI595" s="111"/>
    </row>
    <row r="596" ht="15.75" customHeight="1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39"/>
      <c r="AD596" s="123"/>
      <c r="AE596" s="111"/>
      <c r="AF596" s="111"/>
      <c r="AG596" s="111"/>
      <c r="AH596" s="111"/>
      <c r="AI596" s="111"/>
    </row>
    <row r="597" ht="15.75" customHeight="1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39"/>
      <c r="AD597" s="123"/>
      <c r="AE597" s="111"/>
      <c r="AF597" s="111"/>
      <c r="AG597" s="111"/>
      <c r="AH597" s="111"/>
      <c r="AI597" s="111"/>
    </row>
    <row r="598" ht="15.75" customHeight="1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39"/>
      <c r="AD598" s="123"/>
      <c r="AE598" s="111"/>
      <c r="AF598" s="111"/>
      <c r="AG598" s="111"/>
      <c r="AH598" s="111"/>
      <c r="AI598" s="111"/>
    </row>
    <row r="599" ht="15.75" customHeight="1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39"/>
      <c r="AD599" s="123"/>
      <c r="AE599" s="111"/>
      <c r="AF599" s="111"/>
      <c r="AG599" s="111"/>
      <c r="AH599" s="111"/>
      <c r="AI599" s="111"/>
    </row>
    <row r="600" ht="15.75" customHeight="1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39"/>
      <c r="AD600" s="123"/>
      <c r="AE600" s="111"/>
      <c r="AF600" s="111"/>
      <c r="AG600" s="111"/>
      <c r="AH600" s="111"/>
      <c r="AI600" s="111"/>
    </row>
    <row r="601" ht="15.75" customHeight="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39"/>
      <c r="AD601" s="123"/>
      <c r="AE601" s="111"/>
      <c r="AF601" s="111"/>
      <c r="AG601" s="111"/>
      <c r="AH601" s="111"/>
      <c r="AI601" s="111"/>
    </row>
    <row r="602" ht="15.75" customHeight="1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39"/>
      <c r="AD602" s="123"/>
      <c r="AE602" s="111"/>
      <c r="AF602" s="111"/>
      <c r="AG602" s="111"/>
      <c r="AH602" s="111"/>
      <c r="AI602" s="111"/>
    </row>
    <row r="603" ht="15.75" customHeight="1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39"/>
      <c r="AD603" s="123"/>
      <c r="AE603" s="111"/>
      <c r="AF603" s="111"/>
      <c r="AG603" s="111"/>
      <c r="AH603" s="111"/>
      <c r="AI603" s="111"/>
    </row>
    <row r="604" ht="15.75" customHeight="1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39"/>
      <c r="AD604" s="123"/>
      <c r="AE604" s="111"/>
      <c r="AF604" s="111"/>
      <c r="AG604" s="111"/>
      <c r="AH604" s="111"/>
      <c r="AI604" s="111"/>
    </row>
    <row r="605" ht="15.75" customHeight="1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39"/>
      <c r="AD605" s="123"/>
      <c r="AE605" s="111"/>
      <c r="AF605" s="111"/>
      <c r="AG605" s="111"/>
      <c r="AH605" s="111"/>
      <c r="AI605" s="111"/>
    </row>
    <row r="606" ht="15.75" customHeight="1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39"/>
      <c r="AD606" s="123"/>
      <c r="AE606" s="111"/>
      <c r="AF606" s="111"/>
      <c r="AG606" s="111"/>
      <c r="AH606" s="111"/>
      <c r="AI606" s="111"/>
    </row>
    <row r="607" ht="15.75" customHeight="1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39"/>
      <c r="AD607" s="123"/>
      <c r="AE607" s="111"/>
      <c r="AF607" s="111"/>
      <c r="AG607" s="111"/>
      <c r="AH607" s="111"/>
      <c r="AI607" s="111"/>
    </row>
    <row r="608" ht="15.75" customHeight="1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39"/>
      <c r="AD608" s="123"/>
      <c r="AE608" s="111"/>
      <c r="AF608" s="111"/>
      <c r="AG608" s="111"/>
      <c r="AH608" s="111"/>
      <c r="AI608" s="111"/>
    </row>
    <row r="609" ht="15.75" customHeight="1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39"/>
      <c r="AD609" s="123"/>
      <c r="AE609" s="111"/>
      <c r="AF609" s="111"/>
      <c r="AG609" s="111"/>
      <c r="AH609" s="111"/>
      <c r="AI609" s="111"/>
    </row>
    <row r="610" ht="15.75" customHeight="1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39"/>
      <c r="AD610" s="123"/>
      <c r="AE610" s="111"/>
      <c r="AF610" s="111"/>
      <c r="AG610" s="111"/>
      <c r="AH610" s="111"/>
      <c r="AI610" s="111"/>
    </row>
    <row r="611" ht="15.75" customHeight="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39"/>
      <c r="AD611" s="123"/>
      <c r="AE611" s="111"/>
      <c r="AF611" s="111"/>
      <c r="AG611" s="111"/>
      <c r="AH611" s="111"/>
      <c r="AI611" s="111"/>
    </row>
    <row r="612" ht="15.75" customHeight="1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39"/>
      <c r="AD612" s="123"/>
      <c r="AE612" s="111"/>
      <c r="AF612" s="111"/>
      <c r="AG612" s="111"/>
      <c r="AH612" s="111"/>
      <c r="AI612" s="111"/>
    </row>
    <row r="613" ht="15.75" customHeight="1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39"/>
      <c r="AD613" s="123"/>
      <c r="AE613" s="111"/>
      <c r="AF613" s="111"/>
      <c r="AG613" s="111"/>
      <c r="AH613" s="111"/>
      <c r="AI613" s="111"/>
    </row>
    <row r="614" ht="15.75" customHeight="1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39"/>
      <c r="AD614" s="123"/>
      <c r="AE614" s="111"/>
      <c r="AF614" s="111"/>
      <c r="AG614" s="111"/>
      <c r="AH614" s="111"/>
      <c r="AI614" s="111"/>
    </row>
    <row r="615" ht="15.75" customHeight="1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39"/>
      <c r="AD615" s="123"/>
      <c r="AE615" s="111"/>
      <c r="AF615" s="111"/>
      <c r="AG615" s="111"/>
      <c r="AH615" s="111"/>
      <c r="AI615" s="111"/>
    </row>
    <row r="616" ht="15.75" customHeight="1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39"/>
      <c r="AD616" s="123"/>
      <c r="AE616" s="111"/>
      <c r="AF616" s="111"/>
      <c r="AG616" s="111"/>
      <c r="AH616" s="111"/>
      <c r="AI616" s="111"/>
    </row>
    <row r="617" ht="15.75" customHeight="1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39"/>
      <c r="AD617" s="123"/>
      <c r="AE617" s="111"/>
      <c r="AF617" s="111"/>
      <c r="AG617" s="111"/>
      <c r="AH617" s="111"/>
      <c r="AI617" s="111"/>
    </row>
    <row r="618" ht="15.75" customHeight="1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39"/>
      <c r="AD618" s="123"/>
      <c r="AE618" s="111"/>
      <c r="AF618" s="111"/>
      <c r="AG618" s="111"/>
      <c r="AH618" s="111"/>
      <c r="AI618" s="111"/>
    </row>
    <row r="619" ht="15.75" customHeight="1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39"/>
      <c r="AD619" s="123"/>
      <c r="AE619" s="111"/>
      <c r="AF619" s="111"/>
      <c r="AG619" s="111"/>
      <c r="AH619" s="111"/>
      <c r="AI619" s="111"/>
    </row>
    <row r="620" ht="15.75" customHeight="1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39"/>
      <c r="AD620" s="123"/>
      <c r="AE620" s="111"/>
      <c r="AF620" s="111"/>
      <c r="AG620" s="111"/>
      <c r="AH620" s="111"/>
      <c r="AI620" s="111"/>
    </row>
    <row r="621" ht="15.75" customHeight="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39"/>
      <c r="AD621" s="123"/>
      <c r="AE621" s="111"/>
      <c r="AF621" s="111"/>
      <c r="AG621" s="111"/>
      <c r="AH621" s="111"/>
      <c r="AI621" s="111"/>
    </row>
    <row r="622" ht="15.75" customHeight="1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39"/>
      <c r="AD622" s="123"/>
      <c r="AE622" s="111"/>
      <c r="AF622" s="111"/>
      <c r="AG622" s="111"/>
      <c r="AH622" s="111"/>
      <c r="AI622" s="111"/>
    </row>
    <row r="623" ht="15.75" customHeight="1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39"/>
      <c r="AD623" s="123"/>
      <c r="AE623" s="111"/>
      <c r="AF623" s="111"/>
      <c r="AG623" s="111"/>
      <c r="AH623" s="111"/>
      <c r="AI623" s="111"/>
    </row>
    <row r="624" ht="15.75" customHeight="1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39"/>
      <c r="AD624" s="123"/>
      <c r="AE624" s="111"/>
      <c r="AF624" s="111"/>
      <c r="AG624" s="111"/>
      <c r="AH624" s="111"/>
      <c r="AI624" s="111"/>
    </row>
    <row r="625" ht="15.75" customHeight="1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39"/>
      <c r="AD625" s="123"/>
      <c r="AE625" s="111"/>
      <c r="AF625" s="111"/>
      <c r="AG625" s="111"/>
      <c r="AH625" s="111"/>
      <c r="AI625" s="111"/>
    </row>
    <row r="626" ht="15.75" customHeight="1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39"/>
      <c r="AD626" s="123"/>
      <c r="AE626" s="111"/>
      <c r="AF626" s="111"/>
      <c r="AG626" s="111"/>
      <c r="AH626" s="111"/>
      <c r="AI626" s="111"/>
    </row>
    <row r="627" ht="15.75" customHeight="1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39"/>
      <c r="AD627" s="123"/>
      <c r="AE627" s="111"/>
      <c r="AF627" s="111"/>
      <c r="AG627" s="111"/>
      <c r="AH627" s="111"/>
      <c r="AI627" s="111"/>
    </row>
    <row r="628" ht="15.75" customHeight="1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39"/>
      <c r="AD628" s="123"/>
      <c r="AE628" s="111"/>
      <c r="AF628" s="111"/>
      <c r="AG628" s="111"/>
      <c r="AH628" s="111"/>
      <c r="AI628" s="111"/>
    </row>
    <row r="629" ht="15.75" customHeight="1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39"/>
      <c r="AD629" s="123"/>
      <c r="AE629" s="111"/>
      <c r="AF629" s="111"/>
      <c r="AG629" s="111"/>
      <c r="AH629" s="111"/>
      <c r="AI629" s="111"/>
    </row>
    <row r="630" ht="15.75" customHeight="1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39"/>
      <c r="AD630" s="123"/>
      <c r="AE630" s="111"/>
      <c r="AF630" s="111"/>
      <c r="AG630" s="111"/>
      <c r="AH630" s="111"/>
      <c r="AI630" s="111"/>
    </row>
    <row r="631" ht="15.75" customHeight="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39"/>
      <c r="AD631" s="123"/>
      <c r="AE631" s="111"/>
      <c r="AF631" s="111"/>
      <c r="AG631" s="111"/>
      <c r="AH631" s="111"/>
      <c r="AI631" s="111"/>
    </row>
    <row r="632" ht="15.75" customHeight="1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39"/>
      <c r="AD632" s="123"/>
      <c r="AE632" s="111"/>
      <c r="AF632" s="111"/>
      <c r="AG632" s="111"/>
      <c r="AH632" s="111"/>
      <c r="AI632" s="111"/>
    </row>
    <row r="633" ht="15.75" customHeight="1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39"/>
      <c r="AD633" s="123"/>
      <c r="AE633" s="111"/>
      <c r="AF633" s="111"/>
      <c r="AG633" s="111"/>
      <c r="AH633" s="111"/>
      <c r="AI633" s="111"/>
    </row>
    <row r="634" ht="15.75" customHeight="1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39"/>
      <c r="AD634" s="123"/>
      <c r="AE634" s="111"/>
      <c r="AF634" s="111"/>
      <c r="AG634" s="111"/>
      <c r="AH634" s="111"/>
      <c r="AI634" s="111"/>
    </row>
    <row r="635" ht="15.75" customHeight="1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39"/>
      <c r="AD635" s="123"/>
      <c r="AE635" s="111"/>
      <c r="AF635" s="111"/>
      <c r="AG635" s="111"/>
      <c r="AH635" s="111"/>
      <c r="AI635" s="111"/>
    </row>
    <row r="636" ht="15.75" customHeight="1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39"/>
      <c r="AD636" s="123"/>
      <c r="AE636" s="111"/>
      <c r="AF636" s="111"/>
      <c r="AG636" s="111"/>
      <c r="AH636" s="111"/>
      <c r="AI636" s="111"/>
    </row>
    <row r="637" ht="15.75" customHeight="1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39"/>
      <c r="AD637" s="123"/>
      <c r="AE637" s="111"/>
      <c r="AF637" s="111"/>
      <c r="AG637" s="111"/>
      <c r="AH637" s="111"/>
      <c r="AI637" s="111"/>
    </row>
    <row r="638" ht="15.75" customHeight="1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39"/>
      <c r="AD638" s="123"/>
      <c r="AE638" s="111"/>
      <c r="AF638" s="111"/>
      <c r="AG638" s="111"/>
      <c r="AH638" s="111"/>
      <c r="AI638" s="111"/>
    </row>
    <row r="639" ht="15.75" customHeight="1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39"/>
      <c r="AD639" s="123"/>
      <c r="AE639" s="111"/>
      <c r="AF639" s="111"/>
      <c r="AG639" s="111"/>
      <c r="AH639" s="111"/>
      <c r="AI639" s="111"/>
    </row>
    <row r="640" ht="15.75" customHeight="1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39"/>
      <c r="AD640" s="123"/>
      <c r="AE640" s="111"/>
      <c r="AF640" s="111"/>
      <c r="AG640" s="111"/>
      <c r="AH640" s="111"/>
      <c r="AI640" s="111"/>
    </row>
    <row r="641" ht="15.75" customHeight="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39"/>
      <c r="AD641" s="123"/>
      <c r="AE641" s="111"/>
      <c r="AF641" s="111"/>
      <c r="AG641" s="111"/>
      <c r="AH641" s="111"/>
      <c r="AI641" s="111"/>
    </row>
    <row r="642" ht="15.75" customHeight="1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39"/>
      <c r="AD642" s="123"/>
      <c r="AE642" s="111"/>
      <c r="AF642" s="111"/>
      <c r="AG642" s="111"/>
      <c r="AH642" s="111"/>
      <c r="AI642" s="111"/>
    </row>
    <row r="643" ht="15.75" customHeight="1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39"/>
      <c r="AD643" s="123"/>
      <c r="AE643" s="111"/>
      <c r="AF643" s="111"/>
      <c r="AG643" s="111"/>
      <c r="AH643" s="111"/>
      <c r="AI643" s="111"/>
    </row>
    <row r="644" ht="15.75" customHeight="1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39"/>
      <c r="AD644" s="123"/>
      <c r="AE644" s="111"/>
      <c r="AF644" s="111"/>
      <c r="AG644" s="111"/>
      <c r="AH644" s="111"/>
      <c r="AI644" s="111"/>
    </row>
    <row r="645" ht="15.75" customHeight="1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39"/>
      <c r="AD645" s="123"/>
      <c r="AE645" s="111"/>
      <c r="AF645" s="111"/>
      <c r="AG645" s="111"/>
      <c r="AH645" s="111"/>
      <c r="AI645" s="111"/>
    </row>
    <row r="646" ht="15.75" customHeight="1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39"/>
      <c r="AD646" s="123"/>
      <c r="AE646" s="111"/>
      <c r="AF646" s="111"/>
      <c r="AG646" s="111"/>
      <c r="AH646" s="111"/>
      <c r="AI646" s="111"/>
    </row>
    <row r="647" ht="15.75" customHeight="1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39"/>
      <c r="AD647" s="123"/>
      <c r="AE647" s="111"/>
      <c r="AF647" s="111"/>
      <c r="AG647" s="111"/>
      <c r="AH647" s="111"/>
      <c r="AI647" s="111"/>
    </row>
    <row r="648" ht="15.75" customHeight="1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39"/>
      <c r="AD648" s="123"/>
      <c r="AE648" s="111"/>
      <c r="AF648" s="111"/>
      <c r="AG648" s="111"/>
      <c r="AH648" s="111"/>
      <c r="AI648" s="111"/>
    </row>
    <row r="649" ht="15.75" customHeight="1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39"/>
      <c r="AD649" s="123"/>
      <c r="AE649" s="111"/>
      <c r="AF649" s="111"/>
      <c r="AG649" s="111"/>
      <c r="AH649" s="111"/>
      <c r="AI649" s="111"/>
    </row>
    <row r="650" ht="15.75" customHeight="1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39"/>
      <c r="AD650" s="123"/>
      <c r="AE650" s="111"/>
      <c r="AF650" s="111"/>
      <c r="AG650" s="111"/>
      <c r="AH650" s="111"/>
      <c r="AI650" s="111"/>
    </row>
    <row r="651" ht="15.75" customHeight="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39"/>
      <c r="AD651" s="123"/>
      <c r="AE651" s="111"/>
      <c r="AF651" s="111"/>
      <c r="AG651" s="111"/>
      <c r="AH651" s="111"/>
      <c r="AI651" s="111"/>
    </row>
    <row r="652" ht="15.75" customHeight="1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39"/>
      <c r="AD652" s="123"/>
      <c r="AE652" s="111"/>
      <c r="AF652" s="111"/>
      <c r="AG652" s="111"/>
      <c r="AH652" s="111"/>
      <c r="AI652" s="111"/>
    </row>
    <row r="653" ht="15.75" customHeight="1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39"/>
      <c r="AD653" s="123"/>
      <c r="AE653" s="111"/>
      <c r="AF653" s="111"/>
      <c r="AG653" s="111"/>
      <c r="AH653" s="111"/>
      <c r="AI653" s="111"/>
    </row>
    <row r="654" ht="15.75" customHeight="1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39"/>
      <c r="AD654" s="123"/>
      <c r="AE654" s="111"/>
      <c r="AF654" s="111"/>
      <c r="AG654" s="111"/>
      <c r="AH654" s="111"/>
      <c r="AI654" s="111"/>
    </row>
    <row r="655" ht="15.75" customHeight="1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39"/>
      <c r="AD655" s="123"/>
      <c r="AE655" s="111"/>
      <c r="AF655" s="111"/>
      <c r="AG655" s="111"/>
      <c r="AH655" s="111"/>
      <c r="AI655" s="111"/>
    </row>
    <row r="656" ht="15.75" customHeight="1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39"/>
      <c r="AD656" s="123"/>
      <c r="AE656" s="111"/>
      <c r="AF656" s="111"/>
      <c r="AG656" s="111"/>
      <c r="AH656" s="111"/>
      <c r="AI656" s="111"/>
    </row>
    <row r="657" ht="15.75" customHeight="1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39"/>
      <c r="AD657" s="123"/>
      <c r="AE657" s="111"/>
      <c r="AF657" s="111"/>
      <c r="AG657" s="111"/>
      <c r="AH657" s="111"/>
      <c r="AI657" s="111"/>
    </row>
    <row r="658" ht="15.75" customHeight="1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39"/>
      <c r="AD658" s="123"/>
      <c r="AE658" s="111"/>
      <c r="AF658" s="111"/>
      <c r="AG658" s="111"/>
      <c r="AH658" s="111"/>
      <c r="AI658" s="111"/>
    </row>
    <row r="659" ht="15.75" customHeight="1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39"/>
      <c r="AD659" s="123"/>
      <c r="AE659" s="111"/>
      <c r="AF659" s="111"/>
      <c r="AG659" s="111"/>
      <c r="AH659" s="111"/>
      <c r="AI659" s="111"/>
    </row>
    <row r="660" ht="15.75" customHeight="1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39"/>
      <c r="AD660" s="123"/>
      <c r="AE660" s="111"/>
      <c r="AF660" s="111"/>
      <c r="AG660" s="111"/>
      <c r="AH660" s="111"/>
      <c r="AI660" s="111"/>
    </row>
    <row r="661" ht="15.75" customHeight="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39"/>
      <c r="AD661" s="123"/>
      <c r="AE661" s="111"/>
      <c r="AF661" s="111"/>
      <c r="AG661" s="111"/>
      <c r="AH661" s="111"/>
      <c r="AI661" s="111"/>
    </row>
    <row r="662" ht="15.75" customHeight="1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39"/>
      <c r="AD662" s="123"/>
      <c r="AE662" s="111"/>
      <c r="AF662" s="111"/>
      <c r="AG662" s="111"/>
      <c r="AH662" s="111"/>
      <c r="AI662" s="111"/>
    </row>
    <row r="663" ht="15.75" customHeight="1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39"/>
      <c r="AD663" s="123"/>
      <c r="AE663" s="111"/>
      <c r="AF663" s="111"/>
      <c r="AG663" s="111"/>
      <c r="AH663" s="111"/>
      <c r="AI663" s="111"/>
    </row>
    <row r="664" ht="15.75" customHeight="1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39"/>
      <c r="AD664" s="123"/>
      <c r="AE664" s="111"/>
      <c r="AF664" s="111"/>
      <c r="AG664" s="111"/>
      <c r="AH664" s="111"/>
      <c r="AI664" s="111"/>
    </row>
    <row r="665" ht="15.75" customHeight="1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39"/>
      <c r="AD665" s="123"/>
      <c r="AE665" s="111"/>
      <c r="AF665" s="111"/>
      <c r="AG665" s="111"/>
      <c r="AH665" s="111"/>
      <c r="AI665" s="111"/>
    </row>
    <row r="666" ht="15.75" customHeight="1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39"/>
      <c r="AD666" s="123"/>
      <c r="AE666" s="111"/>
      <c r="AF666" s="111"/>
      <c r="AG666" s="111"/>
      <c r="AH666" s="111"/>
      <c r="AI666" s="111"/>
    </row>
    <row r="667" ht="15.75" customHeight="1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39"/>
      <c r="AD667" s="123"/>
      <c r="AE667" s="111"/>
      <c r="AF667" s="111"/>
      <c r="AG667" s="111"/>
      <c r="AH667" s="111"/>
      <c r="AI667" s="111"/>
    </row>
    <row r="668" ht="15.75" customHeight="1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39"/>
      <c r="AD668" s="123"/>
      <c r="AE668" s="111"/>
      <c r="AF668" s="111"/>
      <c r="AG668" s="111"/>
      <c r="AH668" s="111"/>
      <c r="AI668" s="111"/>
    </row>
    <row r="669" ht="15.75" customHeight="1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39"/>
      <c r="AD669" s="123"/>
      <c r="AE669" s="111"/>
      <c r="AF669" s="111"/>
      <c r="AG669" s="111"/>
      <c r="AH669" s="111"/>
      <c r="AI669" s="111"/>
    </row>
    <row r="670" ht="15.75" customHeight="1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39"/>
      <c r="AD670" s="123"/>
      <c r="AE670" s="111"/>
      <c r="AF670" s="111"/>
      <c r="AG670" s="111"/>
      <c r="AH670" s="111"/>
      <c r="AI670" s="111"/>
    </row>
    <row r="671" ht="15.75" customHeight="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39"/>
      <c r="AD671" s="123"/>
      <c r="AE671" s="111"/>
      <c r="AF671" s="111"/>
      <c r="AG671" s="111"/>
      <c r="AH671" s="111"/>
      <c r="AI671" s="111"/>
    </row>
    <row r="672" ht="15.75" customHeight="1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39"/>
      <c r="AD672" s="123"/>
      <c r="AE672" s="111"/>
      <c r="AF672" s="111"/>
      <c r="AG672" s="111"/>
      <c r="AH672" s="111"/>
      <c r="AI672" s="111"/>
    </row>
    <row r="673" ht="15.75" customHeight="1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39"/>
      <c r="AD673" s="123"/>
      <c r="AE673" s="111"/>
      <c r="AF673" s="111"/>
      <c r="AG673" s="111"/>
      <c r="AH673" s="111"/>
      <c r="AI673" s="111"/>
    </row>
    <row r="674" ht="15.75" customHeight="1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39"/>
      <c r="AD674" s="123"/>
      <c r="AE674" s="111"/>
      <c r="AF674" s="111"/>
      <c r="AG674" s="111"/>
      <c r="AH674" s="111"/>
      <c r="AI674" s="111"/>
    </row>
    <row r="675" ht="15.75" customHeight="1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39"/>
      <c r="AD675" s="123"/>
      <c r="AE675" s="111"/>
      <c r="AF675" s="111"/>
      <c r="AG675" s="111"/>
      <c r="AH675" s="111"/>
      <c r="AI675" s="111"/>
    </row>
    <row r="676" ht="15.75" customHeight="1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39"/>
      <c r="AD676" s="123"/>
      <c r="AE676" s="111"/>
      <c r="AF676" s="111"/>
      <c r="AG676" s="111"/>
      <c r="AH676" s="111"/>
      <c r="AI676" s="111"/>
    </row>
    <row r="677" ht="15.75" customHeight="1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39"/>
      <c r="AD677" s="123"/>
      <c r="AE677" s="111"/>
      <c r="AF677" s="111"/>
      <c r="AG677" s="111"/>
      <c r="AH677" s="111"/>
      <c r="AI677" s="111"/>
    </row>
    <row r="678" ht="15.75" customHeight="1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39"/>
      <c r="AD678" s="123"/>
      <c r="AE678" s="111"/>
      <c r="AF678" s="111"/>
      <c r="AG678" s="111"/>
      <c r="AH678" s="111"/>
      <c r="AI678" s="111"/>
    </row>
    <row r="679" ht="15.75" customHeight="1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39"/>
      <c r="AD679" s="123"/>
      <c r="AE679" s="111"/>
      <c r="AF679" s="111"/>
      <c r="AG679" s="111"/>
      <c r="AH679" s="111"/>
      <c r="AI679" s="111"/>
    </row>
    <row r="680" ht="15.75" customHeight="1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39"/>
      <c r="AD680" s="123"/>
      <c r="AE680" s="111"/>
      <c r="AF680" s="111"/>
      <c r="AG680" s="111"/>
      <c r="AH680" s="111"/>
      <c r="AI680" s="111"/>
    </row>
    <row r="681" ht="15.75" customHeight="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39"/>
      <c r="AD681" s="123"/>
      <c r="AE681" s="111"/>
      <c r="AF681" s="111"/>
      <c r="AG681" s="111"/>
      <c r="AH681" s="111"/>
      <c r="AI681" s="111"/>
    </row>
    <row r="682" ht="15.75" customHeight="1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39"/>
      <c r="AD682" s="123"/>
      <c r="AE682" s="111"/>
      <c r="AF682" s="111"/>
      <c r="AG682" s="111"/>
      <c r="AH682" s="111"/>
      <c r="AI682" s="111"/>
    </row>
    <row r="683" ht="15.75" customHeight="1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39"/>
      <c r="AD683" s="123"/>
      <c r="AE683" s="111"/>
      <c r="AF683" s="111"/>
      <c r="AG683" s="111"/>
      <c r="AH683" s="111"/>
      <c r="AI683" s="111"/>
    </row>
    <row r="684" ht="15.75" customHeight="1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39"/>
      <c r="AD684" s="123"/>
      <c r="AE684" s="111"/>
      <c r="AF684" s="111"/>
      <c r="AG684" s="111"/>
      <c r="AH684" s="111"/>
      <c r="AI684" s="111"/>
    </row>
    <row r="685" ht="15.75" customHeight="1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39"/>
      <c r="AD685" s="123"/>
      <c r="AE685" s="111"/>
      <c r="AF685" s="111"/>
      <c r="AG685" s="111"/>
      <c r="AH685" s="111"/>
      <c r="AI685" s="111"/>
    </row>
    <row r="686" ht="15.75" customHeight="1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39"/>
      <c r="AD686" s="123"/>
      <c r="AE686" s="111"/>
      <c r="AF686" s="111"/>
      <c r="AG686" s="111"/>
      <c r="AH686" s="111"/>
      <c r="AI686" s="111"/>
    </row>
    <row r="687" ht="15.75" customHeight="1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39"/>
      <c r="AD687" s="123"/>
      <c r="AE687" s="111"/>
      <c r="AF687" s="111"/>
      <c r="AG687" s="111"/>
      <c r="AH687" s="111"/>
      <c r="AI687" s="111"/>
    </row>
    <row r="688" ht="15.75" customHeight="1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39"/>
      <c r="AD688" s="123"/>
      <c r="AE688" s="111"/>
      <c r="AF688" s="111"/>
      <c r="AG688" s="111"/>
      <c r="AH688" s="111"/>
      <c r="AI688" s="111"/>
    </row>
    <row r="689" ht="15.75" customHeight="1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39"/>
      <c r="AD689" s="123"/>
      <c r="AE689" s="111"/>
      <c r="AF689" s="111"/>
      <c r="AG689" s="111"/>
      <c r="AH689" s="111"/>
      <c r="AI689" s="111"/>
    </row>
    <row r="690" ht="15.75" customHeight="1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39"/>
      <c r="AD690" s="123"/>
      <c r="AE690" s="111"/>
      <c r="AF690" s="111"/>
      <c r="AG690" s="111"/>
      <c r="AH690" s="111"/>
      <c r="AI690" s="111"/>
    </row>
    <row r="691" ht="15.75" customHeight="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39"/>
      <c r="AD691" s="123"/>
      <c r="AE691" s="111"/>
      <c r="AF691" s="111"/>
      <c r="AG691" s="111"/>
      <c r="AH691" s="111"/>
      <c r="AI691" s="111"/>
    </row>
    <row r="692" ht="15.75" customHeight="1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39"/>
      <c r="AD692" s="123"/>
      <c r="AE692" s="111"/>
      <c r="AF692" s="111"/>
      <c r="AG692" s="111"/>
      <c r="AH692" s="111"/>
      <c r="AI692" s="111"/>
    </row>
    <row r="693" ht="15.75" customHeight="1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39"/>
      <c r="AD693" s="123"/>
      <c r="AE693" s="111"/>
      <c r="AF693" s="111"/>
      <c r="AG693" s="111"/>
      <c r="AH693" s="111"/>
      <c r="AI693" s="111"/>
    </row>
    <row r="694" ht="15.75" customHeight="1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39"/>
      <c r="AD694" s="123"/>
      <c r="AE694" s="111"/>
      <c r="AF694" s="111"/>
      <c r="AG694" s="111"/>
      <c r="AH694" s="111"/>
      <c r="AI694" s="111"/>
    </row>
    <row r="695" ht="15.75" customHeight="1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39"/>
      <c r="AD695" s="123"/>
      <c r="AE695" s="111"/>
      <c r="AF695" s="111"/>
      <c r="AG695" s="111"/>
      <c r="AH695" s="111"/>
      <c r="AI695" s="111"/>
    </row>
    <row r="696" ht="15.75" customHeight="1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39"/>
      <c r="AD696" s="123"/>
      <c r="AE696" s="111"/>
      <c r="AF696" s="111"/>
      <c r="AG696" s="111"/>
      <c r="AH696" s="111"/>
      <c r="AI696" s="111"/>
    </row>
    <row r="697" ht="15.75" customHeight="1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39"/>
      <c r="AD697" s="123"/>
      <c r="AE697" s="111"/>
      <c r="AF697" s="111"/>
      <c r="AG697" s="111"/>
      <c r="AH697" s="111"/>
      <c r="AI697" s="111"/>
    </row>
    <row r="698" ht="15.75" customHeight="1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39"/>
      <c r="AD698" s="123"/>
      <c r="AE698" s="111"/>
      <c r="AF698" s="111"/>
      <c r="AG698" s="111"/>
      <c r="AH698" s="111"/>
      <c r="AI698" s="111"/>
    </row>
    <row r="699" ht="15.75" customHeight="1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39"/>
      <c r="AD699" s="123"/>
      <c r="AE699" s="111"/>
      <c r="AF699" s="111"/>
      <c r="AG699" s="111"/>
      <c r="AH699" s="111"/>
      <c r="AI699" s="111"/>
    </row>
    <row r="700" ht="15.75" customHeight="1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39"/>
      <c r="AD700" s="123"/>
      <c r="AE700" s="111"/>
      <c r="AF700" s="111"/>
      <c r="AG700" s="111"/>
      <c r="AH700" s="111"/>
      <c r="AI700" s="111"/>
    </row>
    <row r="701" ht="15.75" customHeight="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39"/>
      <c r="AD701" s="123"/>
      <c r="AE701" s="111"/>
      <c r="AF701" s="111"/>
      <c r="AG701" s="111"/>
      <c r="AH701" s="111"/>
      <c r="AI701" s="111"/>
    </row>
    <row r="702" ht="15.75" customHeight="1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39"/>
      <c r="AD702" s="123"/>
      <c r="AE702" s="111"/>
      <c r="AF702" s="111"/>
      <c r="AG702" s="111"/>
      <c r="AH702" s="111"/>
      <c r="AI702" s="111"/>
    </row>
    <row r="703" ht="15.75" customHeight="1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39"/>
      <c r="AD703" s="123"/>
      <c r="AE703" s="111"/>
      <c r="AF703" s="111"/>
      <c r="AG703" s="111"/>
      <c r="AH703" s="111"/>
      <c r="AI703" s="111"/>
    </row>
    <row r="704" ht="15.75" customHeight="1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39"/>
      <c r="AD704" s="123"/>
      <c r="AE704" s="111"/>
      <c r="AF704" s="111"/>
      <c r="AG704" s="111"/>
      <c r="AH704" s="111"/>
      <c r="AI704" s="111"/>
    </row>
    <row r="705" ht="15.75" customHeight="1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39"/>
      <c r="AD705" s="123"/>
      <c r="AE705" s="111"/>
      <c r="AF705" s="111"/>
      <c r="AG705" s="111"/>
      <c r="AH705" s="111"/>
      <c r="AI705" s="111"/>
    </row>
    <row r="706" ht="15.75" customHeight="1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39"/>
      <c r="AD706" s="123"/>
      <c r="AE706" s="111"/>
      <c r="AF706" s="111"/>
      <c r="AG706" s="111"/>
      <c r="AH706" s="111"/>
      <c r="AI706" s="111"/>
    </row>
    <row r="707" ht="15.75" customHeight="1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39"/>
      <c r="AD707" s="123"/>
      <c r="AE707" s="111"/>
      <c r="AF707" s="111"/>
      <c r="AG707" s="111"/>
      <c r="AH707" s="111"/>
      <c r="AI707" s="111"/>
    </row>
    <row r="708" ht="15.75" customHeight="1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39"/>
      <c r="AD708" s="123"/>
      <c r="AE708" s="111"/>
      <c r="AF708" s="111"/>
      <c r="AG708" s="111"/>
      <c r="AH708" s="111"/>
      <c r="AI708" s="111"/>
    </row>
    <row r="709" ht="15.75" customHeight="1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39"/>
      <c r="AD709" s="123"/>
      <c r="AE709" s="111"/>
      <c r="AF709" s="111"/>
      <c r="AG709" s="111"/>
      <c r="AH709" s="111"/>
      <c r="AI709" s="111"/>
    </row>
    <row r="710" ht="15.75" customHeight="1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39"/>
      <c r="AD710" s="123"/>
      <c r="AE710" s="111"/>
      <c r="AF710" s="111"/>
      <c r="AG710" s="111"/>
      <c r="AH710" s="111"/>
      <c r="AI710" s="111"/>
    </row>
    <row r="711" ht="15.75" customHeight="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39"/>
      <c r="AD711" s="123"/>
      <c r="AE711" s="111"/>
      <c r="AF711" s="111"/>
      <c r="AG711" s="111"/>
      <c r="AH711" s="111"/>
      <c r="AI711" s="111"/>
    </row>
    <row r="712" ht="15.75" customHeight="1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39"/>
      <c r="AD712" s="123"/>
      <c r="AE712" s="111"/>
      <c r="AF712" s="111"/>
      <c r="AG712" s="111"/>
      <c r="AH712" s="111"/>
      <c r="AI712" s="111"/>
    </row>
    <row r="713" ht="15.75" customHeight="1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39"/>
      <c r="AD713" s="123"/>
      <c r="AE713" s="111"/>
      <c r="AF713" s="111"/>
      <c r="AG713" s="111"/>
      <c r="AH713" s="111"/>
      <c r="AI713" s="111"/>
    </row>
    <row r="714" ht="15.75" customHeight="1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39"/>
      <c r="AD714" s="123"/>
      <c r="AE714" s="111"/>
      <c r="AF714" s="111"/>
      <c r="AG714" s="111"/>
      <c r="AH714" s="111"/>
      <c r="AI714" s="111"/>
    </row>
    <row r="715" ht="15.75" customHeight="1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39"/>
      <c r="AD715" s="123"/>
      <c r="AE715" s="111"/>
      <c r="AF715" s="111"/>
      <c r="AG715" s="111"/>
      <c r="AH715" s="111"/>
      <c r="AI715" s="111"/>
    </row>
    <row r="716" ht="15.75" customHeight="1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39"/>
      <c r="AD716" s="123"/>
      <c r="AE716" s="111"/>
      <c r="AF716" s="111"/>
      <c r="AG716" s="111"/>
      <c r="AH716" s="111"/>
      <c r="AI716" s="111"/>
    </row>
    <row r="717" ht="15.75" customHeight="1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39"/>
      <c r="AD717" s="123"/>
      <c r="AE717" s="111"/>
      <c r="AF717" s="111"/>
      <c r="AG717" s="111"/>
      <c r="AH717" s="111"/>
      <c r="AI717" s="111"/>
    </row>
    <row r="718" ht="15.75" customHeight="1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39"/>
      <c r="AD718" s="123"/>
      <c r="AE718" s="111"/>
      <c r="AF718" s="111"/>
      <c r="AG718" s="111"/>
      <c r="AH718" s="111"/>
      <c r="AI718" s="111"/>
    </row>
    <row r="719" ht="15.75" customHeight="1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39"/>
      <c r="AD719" s="123"/>
      <c r="AE719" s="111"/>
      <c r="AF719" s="111"/>
      <c r="AG719" s="111"/>
      <c r="AH719" s="111"/>
      <c r="AI719" s="111"/>
    </row>
    <row r="720" ht="15.75" customHeight="1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39"/>
      <c r="AD720" s="123"/>
      <c r="AE720" s="111"/>
      <c r="AF720" s="111"/>
      <c r="AG720" s="111"/>
      <c r="AH720" s="111"/>
      <c r="AI720" s="111"/>
    </row>
    <row r="721" ht="15.75" customHeight="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39"/>
      <c r="AD721" s="123"/>
      <c r="AE721" s="111"/>
      <c r="AF721" s="111"/>
      <c r="AG721" s="111"/>
      <c r="AH721" s="111"/>
      <c r="AI721" s="111"/>
    </row>
    <row r="722" ht="15.75" customHeight="1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39"/>
      <c r="AD722" s="123"/>
      <c r="AE722" s="111"/>
      <c r="AF722" s="111"/>
      <c r="AG722" s="111"/>
      <c r="AH722" s="111"/>
      <c r="AI722" s="111"/>
    </row>
    <row r="723" ht="15.75" customHeight="1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39"/>
      <c r="AD723" s="123"/>
      <c r="AE723" s="111"/>
      <c r="AF723" s="111"/>
      <c r="AG723" s="111"/>
      <c r="AH723" s="111"/>
      <c r="AI723" s="111"/>
    </row>
    <row r="724" ht="15.75" customHeight="1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39"/>
      <c r="AD724" s="123"/>
      <c r="AE724" s="111"/>
      <c r="AF724" s="111"/>
      <c r="AG724" s="111"/>
      <c r="AH724" s="111"/>
      <c r="AI724" s="111"/>
    </row>
    <row r="725" ht="15.75" customHeight="1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39"/>
      <c r="AD725" s="123"/>
      <c r="AE725" s="111"/>
      <c r="AF725" s="111"/>
      <c r="AG725" s="111"/>
      <c r="AH725" s="111"/>
      <c r="AI725" s="111"/>
    </row>
    <row r="726" ht="15.75" customHeight="1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39"/>
      <c r="AD726" s="123"/>
      <c r="AE726" s="111"/>
      <c r="AF726" s="111"/>
      <c r="AG726" s="111"/>
      <c r="AH726" s="111"/>
      <c r="AI726" s="111"/>
    </row>
    <row r="727" ht="15.75" customHeight="1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39"/>
      <c r="AD727" s="123"/>
      <c r="AE727" s="111"/>
      <c r="AF727" s="111"/>
      <c r="AG727" s="111"/>
      <c r="AH727" s="111"/>
      <c r="AI727" s="111"/>
    </row>
    <row r="728" ht="15.75" customHeight="1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39"/>
      <c r="AD728" s="123"/>
      <c r="AE728" s="111"/>
      <c r="AF728" s="111"/>
      <c r="AG728" s="111"/>
      <c r="AH728" s="111"/>
      <c r="AI728" s="111"/>
    </row>
    <row r="729" ht="15.75" customHeight="1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39"/>
      <c r="AD729" s="123"/>
      <c r="AE729" s="111"/>
      <c r="AF729" s="111"/>
      <c r="AG729" s="111"/>
      <c r="AH729" s="111"/>
      <c r="AI729" s="111"/>
    </row>
    <row r="730" ht="15.75" customHeight="1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39"/>
      <c r="AD730" s="123"/>
      <c r="AE730" s="111"/>
      <c r="AF730" s="111"/>
      <c r="AG730" s="111"/>
      <c r="AH730" s="111"/>
      <c r="AI730" s="111"/>
    </row>
    <row r="731" ht="15.75" customHeight="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39"/>
      <c r="AD731" s="123"/>
      <c r="AE731" s="111"/>
      <c r="AF731" s="111"/>
      <c r="AG731" s="111"/>
      <c r="AH731" s="111"/>
      <c r="AI731" s="111"/>
    </row>
    <row r="732" ht="15.75" customHeight="1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39"/>
      <c r="AD732" s="123"/>
      <c r="AE732" s="111"/>
      <c r="AF732" s="111"/>
      <c r="AG732" s="111"/>
      <c r="AH732" s="111"/>
      <c r="AI732" s="111"/>
    </row>
    <row r="733" ht="15.75" customHeight="1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39"/>
      <c r="AD733" s="123"/>
      <c r="AE733" s="111"/>
      <c r="AF733" s="111"/>
      <c r="AG733" s="111"/>
      <c r="AH733" s="111"/>
      <c r="AI733" s="111"/>
    </row>
    <row r="734" ht="15.75" customHeight="1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39"/>
      <c r="AD734" s="123"/>
      <c r="AE734" s="111"/>
      <c r="AF734" s="111"/>
      <c r="AG734" s="111"/>
      <c r="AH734" s="111"/>
      <c r="AI734" s="111"/>
    </row>
    <row r="735" ht="15.75" customHeight="1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39"/>
      <c r="AD735" s="123"/>
      <c r="AE735" s="111"/>
      <c r="AF735" s="111"/>
      <c r="AG735" s="111"/>
      <c r="AH735" s="111"/>
      <c r="AI735" s="111"/>
    </row>
    <row r="736" ht="15.75" customHeight="1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39"/>
      <c r="AD736" s="123"/>
      <c r="AE736" s="111"/>
      <c r="AF736" s="111"/>
      <c r="AG736" s="111"/>
      <c r="AH736" s="111"/>
      <c r="AI736" s="111"/>
    </row>
    <row r="737" ht="15.75" customHeight="1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39"/>
      <c r="AD737" s="123"/>
      <c r="AE737" s="111"/>
      <c r="AF737" s="111"/>
      <c r="AG737" s="111"/>
      <c r="AH737" s="111"/>
      <c r="AI737" s="111"/>
    </row>
    <row r="738" ht="15.75" customHeight="1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39"/>
      <c r="AD738" s="123"/>
      <c r="AE738" s="111"/>
      <c r="AF738" s="111"/>
      <c r="AG738" s="111"/>
      <c r="AH738" s="111"/>
      <c r="AI738" s="111"/>
    </row>
    <row r="739" ht="15.75" customHeight="1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39"/>
      <c r="AD739" s="123"/>
      <c r="AE739" s="111"/>
      <c r="AF739" s="111"/>
      <c r="AG739" s="111"/>
      <c r="AH739" s="111"/>
      <c r="AI739" s="111"/>
    </row>
    <row r="740" ht="15.75" customHeight="1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39"/>
      <c r="AD740" s="123"/>
      <c r="AE740" s="111"/>
      <c r="AF740" s="111"/>
      <c r="AG740" s="111"/>
      <c r="AH740" s="111"/>
      <c r="AI740" s="111"/>
    </row>
    <row r="741" ht="15.75" customHeight="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39"/>
      <c r="AD741" s="123"/>
      <c r="AE741" s="111"/>
      <c r="AF741" s="111"/>
      <c r="AG741" s="111"/>
      <c r="AH741" s="111"/>
      <c r="AI741" s="111"/>
    </row>
    <row r="742" ht="15.75" customHeight="1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39"/>
      <c r="AD742" s="123"/>
      <c r="AE742" s="111"/>
      <c r="AF742" s="111"/>
      <c r="AG742" s="111"/>
      <c r="AH742" s="111"/>
      <c r="AI742" s="111"/>
    </row>
    <row r="743" ht="15.75" customHeight="1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39"/>
      <c r="AD743" s="123"/>
      <c r="AE743" s="111"/>
      <c r="AF743" s="111"/>
      <c r="AG743" s="111"/>
      <c r="AH743" s="111"/>
      <c r="AI743" s="111"/>
    </row>
    <row r="744" ht="15.75" customHeight="1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39"/>
      <c r="AD744" s="123"/>
      <c r="AE744" s="111"/>
      <c r="AF744" s="111"/>
      <c r="AG744" s="111"/>
      <c r="AH744" s="111"/>
      <c r="AI744" s="111"/>
    </row>
    <row r="745" ht="15.75" customHeight="1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39"/>
      <c r="AD745" s="123"/>
      <c r="AE745" s="111"/>
      <c r="AF745" s="111"/>
      <c r="AG745" s="111"/>
      <c r="AH745" s="111"/>
      <c r="AI745" s="111"/>
    </row>
    <row r="746" ht="15.75" customHeight="1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39"/>
      <c r="AD746" s="123"/>
      <c r="AE746" s="111"/>
      <c r="AF746" s="111"/>
      <c r="AG746" s="111"/>
      <c r="AH746" s="111"/>
      <c r="AI746" s="111"/>
    </row>
    <row r="747" ht="15.75" customHeight="1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39"/>
      <c r="AD747" s="123"/>
      <c r="AE747" s="111"/>
      <c r="AF747" s="111"/>
      <c r="AG747" s="111"/>
      <c r="AH747" s="111"/>
      <c r="AI747" s="111"/>
    </row>
    <row r="748" ht="15.75" customHeight="1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39"/>
      <c r="AD748" s="123"/>
      <c r="AE748" s="111"/>
      <c r="AF748" s="111"/>
      <c r="AG748" s="111"/>
      <c r="AH748" s="111"/>
      <c r="AI748" s="111"/>
    </row>
    <row r="749" ht="15.75" customHeight="1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39"/>
      <c r="AD749" s="123"/>
      <c r="AE749" s="111"/>
      <c r="AF749" s="111"/>
      <c r="AG749" s="111"/>
      <c r="AH749" s="111"/>
      <c r="AI749" s="111"/>
    </row>
    <row r="750" ht="15.75" customHeight="1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39"/>
      <c r="AD750" s="123"/>
      <c r="AE750" s="111"/>
      <c r="AF750" s="111"/>
      <c r="AG750" s="111"/>
      <c r="AH750" s="111"/>
      <c r="AI750" s="111"/>
    </row>
    <row r="751" ht="15.75" customHeight="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39"/>
      <c r="AD751" s="123"/>
      <c r="AE751" s="111"/>
      <c r="AF751" s="111"/>
      <c r="AG751" s="111"/>
      <c r="AH751" s="111"/>
      <c r="AI751" s="111"/>
    </row>
    <row r="752" ht="15.75" customHeight="1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39"/>
      <c r="AD752" s="123"/>
      <c r="AE752" s="111"/>
      <c r="AF752" s="111"/>
      <c r="AG752" s="111"/>
      <c r="AH752" s="111"/>
      <c r="AI752" s="111"/>
    </row>
    <row r="753" ht="15.75" customHeight="1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39"/>
      <c r="AD753" s="123"/>
      <c r="AE753" s="111"/>
      <c r="AF753" s="111"/>
      <c r="AG753" s="111"/>
      <c r="AH753" s="111"/>
      <c r="AI753" s="111"/>
    </row>
    <row r="754" ht="15.75" customHeight="1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39"/>
      <c r="AD754" s="123"/>
      <c r="AE754" s="111"/>
      <c r="AF754" s="111"/>
      <c r="AG754" s="111"/>
      <c r="AH754" s="111"/>
      <c r="AI754" s="111"/>
    </row>
    <row r="755" ht="15.75" customHeight="1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39"/>
      <c r="AD755" s="123"/>
      <c r="AE755" s="111"/>
      <c r="AF755" s="111"/>
      <c r="AG755" s="111"/>
      <c r="AH755" s="111"/>
      <c r="AI755" s="111"/>
    </row>
    <row r="756" ht="15.75" customHeight="1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39"/>
      <c r="AD756" s="123"/>
      <c r="AE756" s="111"/>
      <c r="AF756" s="111"/>
      <c r="AG756" s="111"/>
      <c r="AH756" s="111"/>
      <c r="AI756" s="111"/>
    </row>
    <row r="757" ht="15.75" customHeight="1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39"/>
      <c r="AD757" s="123"/>
      <c r="AE757" s="111"/>
      <c r="AF757" s="111"/>
      <c r="AG757" s="111"/>
      <c r="AH757" s="111"/>
      <c r="AI757" s="111"/>
    </row>
    <row r="758" ht="15.75" customHeight="1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39"/>
      <c r="AD758" s="123"/>
      <c r="AE758" s="111"/>
      <c r="AF758" s="111"/>
      <c r="AG758" s="111"/>
      <c r="AH758" s="111"/>
      <c r="AI758" s="111"/>
    </row>
    <row r="759" ht="15.75" customHeight="1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39"/>
      <c r="AD759" s="123"/>
      <c r="AE759" s="111"/>
      <c r="AF759" s="111"/>
      <c r="AG759" s="111"/>
      <c r="AH759" s="111"/>
      <c r="AI759" s="111"/>
    </row>
    <row r="760" ht="15.75" customHeight="1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39"/>
      <c r="AD760" s="123"/>
      <c r="AE760" s="111"/>
      <c r="AF760" s="111"/>
      <c r="AG760" s="111"/>
      <c r="AH760" s="111"/>
      <c r="AI760" s="111"/>
    </row>
    <row r="761" ht="15.75" customHeight="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39"/>
      <c r="AD761" s="123"/>
      <c r="AE761" s="111"/>
      <c r="AF761" s="111"/>
      <c r="AG761" s="111"/>
      <c r="AH761" s="111"/>
      <c r="AI761" s="111"/>
    </row>
    <row r="762" ht="15.75" customHeight="1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39"/>
      <c r="AD762" s="123"/>
      <c r="AE762" s="111"/>
      <c r="AF762" s="111"/>
      <c r="AG762" s="111"/>
      <c r="AH762" s="111"/>
      <c r="AI762" s="111"/>
    </row>
    <row r="763" ht="15.75" customHeight="1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39"/>
      <c r="AD763" s="123"/>
      <c r="AE763" s="111"/>
      <c r="AF763" s="111"/>
      <c r="AG763" s="111"/>
      <c r="AH763" s="111"/>
      <c r="AI763" s="111"/>
    </row>
    <row r="764" ht="15.75" customHeight="1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39"/>
      <c r="AD764" s="123"/>
      <c r="AE764" s="111"/>
      <c r="AF764" s="111"/>
      <c r="AG764" s="111"/>
      <c r="AH764" s="111"/>
      <c r="AI764" s="111"/>
    </row>
    <row r="765" ht="15.75" customHeight="1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39"/>
      <c r="AD765" s="123"/>
      <c r="AE765" s="111"/>
      <c r="AF765" s="111"/>
      <c r="AG765" s="111"/>
      <c r="AH765" s="111"/>
      <c r="AI765" s="111"/>
    </row>
    <row r="766" ht="15.75" customHeight="1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39"/>
      <c r="AD766" s="123"/>
      <c r="AE766" s="111"/>
      <c r="AF766" s="111"/>
      <c r="AG766" s="111"/>
      <c r="AH766" s="111"/>
      <c r="AI766" s="111"/>
    </row>
    <row r="767" ht="15.75" customHeight="1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39"/>
      <c r="AD767" s="123"/>
      <c r="AE767" s="111"/>
      <c r="AF767" s="111"/>
      <c r="AG767" s="111"/>
      <c r="AH767" s="111"/>
      <c r="AI767" s="111"/>
    </row>
    <row r="768" ht="15.75" customHeight="1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39"/>
      <c r="AD768" s="123"/>
      <c r="AE768" s="111"/>
      <c r="AF768" s="111"/>
      <c r="AG768" s="111"/>
      <c r="AH768" s="111"/>
      <c r="AI768" s="111"/>
    </row>
    <row r="769" ht="15.75" customHeight="1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39"/>
      <c r="AD769" s="123"/>
      <c r="AE769" s="111"/>
      <c r="AF769" s="111"/>
      <c r="AG769" s="111"/>
      <c r="AH769" s="111"/>
      <c r="AI769" s="111"/>
    </row>
    <row r="770" ht="15.75" customHeight="1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39"/>
      <c r="AD770" s="123"/>
      <c r="AE770" s="111"/>
      <c r="AF770" s="111"/>
      <c r="AG770" s="111"/>
      <c r="AH770" s="111"/>
      <c r="AI770" s="111"/>
    </row>
    <row r="771" ht="15.75" customHeight="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39"/>
      <c r="AD771" s="123"/>
      <c r="AE771" s="111"/>
      <c r="AF771" s="111"/>
      <c r="AG771" s="111"/>
      <c r="AH771" s="111"/>
      <c r="AI771" s="111"/>
    </row>
    <row r="772" ht="15.75" customHeight="1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39"/>
      <c r="AD772" s="123"/>
      <c r="AE772" s="111"/>
      <c r="AF772" s="111"/>
      <c r="AG772" s="111"/>
      <c r="AH772" s="111"/>
      <c r="AI772" s="111"/>
    </row>
    <row r="773" ht="15.75" customHeight="1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39"/>
      <c r="AD773" s="123"/>
      <c r="AE773" s="111"/>
      <c r="AF773" s="111"/>
      <c r="AG773" s="111"/>
      <c r="AH773" s="111"/>
      <c r="AI773" s="111"/>
    </row>
    <row r="774" ht="15.75" customHeight="1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39"/>
      <c r="AD774" s="123"/>
      <c r="AE774" s="111"/>
      <c r="AF774" s="111"/>
      <c r="AG774" s="111"/>
      <c r="AH774" s="111"/>
      <c r="AI774" s="111"/>
    </row>
    <row r="775" ht="15.75" customHeight="1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39"/>
      <c r="AD775" s="123"/>
      <c r="AE775" s="111"/>
      <c r="AF775" s="111"/>
      <c r="AG775" s="111"/>
      <c r="AH775" s="111"/>
      <c r="AI775" s="111"/>
    </row>
    <row r="776" ht="15.75" customHeight="1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39"/>
      <c r="AD776" s="123"/>
      <c r="AE776" s="111"/>
      <c r="AF776" s="111"/>
      <c r="AG776" s="111"/>
      <c r="AH776" s="111"/>
      <c r="AI776" s="111"/>
    </row>
    <row r="777" ht="15.75" customHeight="1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39"/>
      <c r="AD777" s="123"/>
      <c r="AE777" s="111"/>
      <c r="AF777" s="111"/>
      <c r="AG777" s="111"/>
      <c r="AH777" s="111"/>
      <c r="AI777" s="111"/>
    </row>
    <row r="778" ht="15.75" customHeight="1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39"/>
      <c r="AD778" s="123"/>
      <c r="AE778" s="111"/>
      <c r="AF778" s="111"/>
      <c r="AG778" s="111"/>
      <c r="AH778" s="111"/>
      <c r="AI778" s="111"/>
    </row>
    <row r="779" ht="15.75" customHeight="1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39"/>
      <c r="AD779" s="123"/>
      <c r="AE779" s="111"/>
      <c r="AF779" s="111"/>
      <c r="AG779" s="111"/>
      <c r="AH779" s="111"/>
      <c r="AI779" s="111"/>
    </row>
    <row r="780" ht="15.75" customHeight="1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39"/>
      <c r="AD780" s="123"/>
      <c r="AE780" s="111"/>
      <c r="AF780" s="111"/>
      <c r="AG780" s="111"/>
      <c r="AH780" s="111"/>
      <c r="AI780" s="111"/>
    </row>
    <row r="781" ht="15.75" customHeight="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39"/>
      <c r="AD781" s="123"/>
      <c r="AE781" s="111"/>
      <c r="AF781" s="111"/>
      <c r="AG781" s="111"/>
      <c r="AH781" s="111"/>
      <c r="AI781" s="111"/>
    </row>
    <row r="782" ht="15.75" customHeight="1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39"/>
      <c r="AD782" s="123"/>
      <c r="AE782" s="111"/>
      <c r="AF782" s="111"/>
      <c r="AG782" s="111"/>
      <c r="AH782" s="111"/>
      <c r="AI782" s="111"/>
    </row>
    <row r="783" ht="15.75" customHeight="1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39"/>
      <c r="AD783" s="123"/>
      <c r="AE783" s="111"/>
      <c r="AF783" s="111"/>
      <c r="AG783" s="111"/>
      <c r="AH783" s="111"/>
      <c r="AI783" s="111"/>
    </row>
    <row r="784" ht="15.75" customHeight="1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39"/>
      <c r="AD784" s="123"/>
      <c r="AE784" s="111"/>
      <c r="AF784" s="111"/>
      <c r="AG784" s="111"/>
      <c r="AH784" s="111"/>
      <c r="AI784" s="111"/>
    </row>
    <row r="785" ht="15.75" customHeight="1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39"/>
      <c r="AD785" s="123"/>
      <c r="AE785" s="111"/>
      <c r="AF785" s="111"/>
      <c r="AG785" s="111"/>
      <c r="AH785" s="111"/>
      <c r="AI785" s="111"/>
    </row>
    <row r="786" ht="15.75" customHeight="1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39"/>
      <c r="AD786" s="123"/>
      <c r="AE786" s="111"/>
      <c r="AF786" s="111"/>
      <c r="AG786" s="111"/>
      <c r="AH786" s="111"/>
      <c r="AI786" s="111"/>
    </row>
    <row r="787" ht="15.75" customHeight="1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39"/>
      <c r="AD787" s="123"/>
      <c r="AE787" s="111"/>
      <c r="AF787" s="111"/>
      <c r="AG787" s="111"/>
      <c r="AH787" s="111"/>
      <c r="AI787" s="111"/>
    </row>
    <row r="788" ht="15.75" customHeight="1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39"/>
      <c r="AD788" s="123"/>
      <c r="AE788" s="111"/>
      <c r="AF788" s="111"/>
      <c r="AG788" s="111"/>
      <c r="AH788" s="111"/>
      <c r="AI788" s="111"/>
    </row>
    <row r="789" ht="15.75" customHeight="1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39"/>
      <c r="AD789" s="123"/>
      <c r="AE789" s="111"/>
      <c r="AF789" s="111"/>
      <c r="AG789" s="111"/>
      <c r="AH789" s="111"/>
      <c r="AI789" s="111"/>
    </row>
    <row r="790" ht="15.75" customHeight="1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39"/>
      <c r="AD790" s="123"/>
      <c r="AE790" s="111"/>
      <c r="AF790" s="111"/>
      <c r="AG790" s="111"/>
      <c r="AH790" s="111"/>
      <c r="AI790" s="111"/>
    </row>
    <row r="791" ht="15.75" customHeight="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39"/>
      <c r="AD791" s="123"/>
      <c r="AE791" s="111"/>
      <c r="AF791" s="111"/>
      <c r="AG791" s="111"/>
      <c r="AH791" s="111"/>
      <c r="AI791" s="111"/>
    </row>
    <row r="792" ht="15.75" customHeight="1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39"/>
      <c r="AD792" s="123"/>
      <c r="AE792" s="111"/>
      <c r="AF792" s="111"/>
      <c r="AG792" s="111"/>
      <c r="AH792" s="111"/>
      <c r="AI792" s="111"/>
    </row>
    <row r="793" ht="15.75" customHeight="1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39"/>
      <c r="AD793" s="123"/>
      <c r="AE793" s="111"/>
      <c r="AF793" s="111"/>
      <c r="AG793" s="111"/>
      <c r="AH793" s="111"/>
      <c r="AI793" s="111"/>
    </row>
    <row r="794" ht="15.75" customHeight="1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39"/>
      <c r="AD794" s="123"/>
      <c r="AE794" s="111"/>
      <c r="AF794" s="111"/>
      <c r="AG794" s="111"/>
      <c r="AH794" s="111"/>
      <c r="AI794" s="111"/>
    </row>
    <row r="795" ht="15.75" customHeight="1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39"/>
      <c r="AD795" s="123"/>
      <c r="AE795" s="111"/>
      <c r="AF795" s="111"/>
      <c r="AG795" s="111"/>
      <c r="AH795" s="111"/>
      <c r="AI795" s="111"/>
    </row>
    <row r="796" ht="15.75" customHeight="1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39"/>
      <c r="AD796" s="123"/>
      <c r="AE796" s="111"/>
      <c r="AF796" s="111"/>
      <c r="AG796" s="111"/>
      <c r="AH796" s="111"/>
      <c r="AI796" s="111"/>
    </row>
    <row r="797" ht="15.75" customHeight="1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39"/>
      <c r="AD797" s="123"/>
      <c r="AE797" s="111"/>
      <c r="AF797" s="111"/>
      <c r="AG797" s="111"/>
      <c r="AH797" s="111"/>
      <c r="AI797" s="111"/>
    </row>
    <row r="798" ht="15.75" customHeight="1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39"/>
      <c r="AD798" s="123"/>
      <c r="AE798" s="111"/>
      <c r="AF798" s="111"/>
      <c r="AG798" s="111"/>
      <c r="AH798" s="111"/>
      <c r="AI798" s="111"/>
    </row>
    <row r="799" ht="15.75" customHeight="1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39"/>
      <c r="AD799" s="123"/>
      <c r="AE799" s="111"/>
      <c r="AF799" s="111"/>
      <c r="AG799" s="111"/>
      <c r="AH799" s="111"/>
      <c r="AI799" s="111"/>
    </row>
    <row r="800" ht="15.75" customHeight="1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39"/>
      <c r="AD800" s="123"/>
      <c r="AE800" s="111"/>
      <c r="AF800" s="111"/>
      <c r="AG800" s="111"/>
      <c r="AH800" s="111"/>
      <c r="AI800" s="111"/>
    </row>
    <row r="801" ht="15.75" customHeight="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39"/>
      <c r="AD801" s="123"/>
      <c r="AE801" s="111"/>
      <c r="AF801" s="111"/>
      <c r="AG801" s="111"/>
      <c r="AH801" s="111"/>
      <c r="AI801" s="111"/>
    </row>
    <row r="802" ht="15.75" customHeight="1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39"/>
      <c r="AD802" s="123"/>
      <c r="AE802" s="111"/>
      <c r="AF802" s="111"/>
      <c r="AG802" s="111"/>
      <c r="AH802" s="111"/>
      <c r="AI802" s="111"/>
    </row>
    <row r="803" ht="15.75" customHeight="1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39"/>
      <c r="AD803" s="123"/>
      <c r="AE803" s="111"/>
      <c r="AF803" s="111"/>
      <c r="AG803" s="111"/>
      <c r="AH803" s="111"/>
      <c r="AI803" s="111"/>
    </row>
    <row r="804" ht="15.75" customHeight="1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39"/>
      <c r="AD804" s="123"/>
      <c r="AE804" s="111"/>
      <c r="AF804" s="111"/>
      <c r="AG804" s="111"/>
      <c r="AH804" s="111"/>
      <c r="AI804" s="111"/>
    </row>
    <row r="805" ht="15.75" customHeight="1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39"/>
      <c r="AD805" s="123"/>
      <c r="AE805" s="111"/>
      <c r="AF805" s="111"/>
      <c r="AG805" s="111"/>
      <c r="AH805" s="111"/>
      <c r="AI805" s="111"/>
    </row>
    <row r="806" ht="15.75" customHeight="1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39"/>
      <c r="AD806" s="123"/>
      <c r="AE806" s="111"/>
      <c r="AF806" s="111"/>
      <c r="AG806" s="111"/>
      <c r="AH806" s="111"/>
      <c r="AI806" s="111"/>
    </row>
    <row r="807" ht="15.75" customHeight="1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39"/>
      <c r="AD807" s="123"/>
      <c r="AE807" s="111"/>
      <c r="AF807" s="111"/>
      <c r="AG807" s="111"/>
      <c r="AH807" s="111"/>
      <c r="AI807" s="111"/>
    </row>
    <row r="808" ht="15.75" customHeight="1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39"/>
      <c r="AD808" s="123"/>
      <c r="AE808" s="111"/>
      <c r="AF808" s="111"/>
      <c r="AG808" s="111"/>
      <c r="AH808" s="111"/>
      <c r="AI808" s="111"/>
    </row>
    <row r="809" ht="15.75" customHeight="1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39"/>
      <c r="AD809" s="123"/>
      <c r="AE809" s="111"/>
      <c r="AF809" s="111"/>
      <c r="AG809" s="111"/>
      <c r="AH809" s="111"/>
      <c r="AI809" s="111"/>
    </row>
    <row r="810" ht="15.75" customHeight="1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39"/>
      <c r="AD810" s="123"/>
      <c r="AE810" s="111"/>
      <c r="AF810" s="111"/>
      <c r="AG810" s="111"/>
      <c r="AH810" s="111"/>
      <c r="AI810" s="111"/>
    </row>
    <row r="811" ht="15.75" customHeight="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39"/>
      <c r="AD811" s="123"/>
      <c r="AE811" s="111"/>
      <c r="AF811" s="111"/>
      <c r="AG811" s="111"/>
      <c r="AH811" s="111"/>
      <c r="AI811" s="111"/>
    </row>
    <row r="812" ht="15.75" customHeight="1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39"/>
      <c r="AD812" s="123"/>
      <c r="AE812" s="111"/>
      <c r="AF812" s="111"/>
      <c r="AG812" s="111"/>
      <c r="AH812" s="111"/>
      <c r="AI812" s="111"/>
    </row>
    <row r="813" ht="15.75" customHeight="1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39"/>
      <c r="AD813" s="123"/>
      <c r="AE813" s="111"/>
      <c r="AF813" s="111"/>
      <c r="AG813" s="111"/>
      <c r="AH813" s="111"/>
      <c r="AI813" s="111"/>
    </row>
    <row r="814" ht="15.75" customHeight="1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39"/>
      <c r="AD814" s="123"/>
      <c r="AE814" s="111"/>
      <c r="AF814" s="111"/>
      <c r="AG814" s="111"/>
      <c r="AH814" s="111"/>
      <c r="AI814" s="111"/>
    </row>
    <row r="815" ht="15.75" customHeight="1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39"/>
      <c r="AD815" s="123"/>
      <c r="AE815" s="111"/>
      <c r="AF815" s="111"/>
      <c r="AG815" s="111"/>
      <c r="AH815" s="111"/>
      <c r="AI815" s="111"/>
    </row>
    <row r="816" ht="15.75" customHeight="1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39"/>
      <c r="AD816" s="123"/>
      <c r="AE816" s="111"/>
      <c r="AF816" s="111"/>
      <c r="AG816" s="111"/>
      <c r="AH816" s="111"/>
      <c r="AI816" s="111"/>
    </row>
    <row r="817" ht="15.75" customHeight="1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39"/>
      <c r="AD817" s="123"/>
      <c r="AE817" s="111"/>
      <c r="AF817" s="111"/>
      <c r="AG817" s="111"/>
      <c r="AH817" s="111"/>
      <c r="AI817" s="111"/>
    </row>
    <row r="818" ht="15.75" customHeight="1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39"/>
      <c r="AD818" s="123"/>
      <c r="AE818" s="111"/>
      <c r="AF818" s="111"/>
      <c r="AG818" s="111"/>
      <c r="AH818" s="111"/>
      <c r="AI818" s="111"/>
    </row>
    <row r="819" ht="15.75" customHeight="1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39"/>
      <c r="AD819" s="123"/>
      <c r="AE819" s="111"/>
      <c r="AF819" s="111"/>
      <c r="AG819" s="111"/>
      <c r="AH819" s="111"/>
      <c r="AI819" s="111"/>
    </row>
    <row r="820" ht="15.75" customHeight="1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39"/>
      <c r="AD820" s="123"/>
      <c r="AE820" s="111"/>
      <c r="AF820" s="111"/>
      <c r="AG820" s="111"/>
      <c r="AH820" s="111"/>
      <c r="AI820" s="111"/>
    </row>
    <row r="821" ht="15.75" customHeight="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39"/>
      <c r="AD821" s="123"/>
      <c r="AE821" s="111"/>
      <c r="AF821" s="111"/>
      <c r="AG821" s="111"/>
      <c r="AH821" s="111"/>
      <c r="AI821" s="111"/>
    </row>
    <row r="822" ht="15.75" customHeight="1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39"/>
      <c r="AD822" s="123"/>
      <c r="AE822" s="111"/>
      <c r="AF822" s="111"/>
      <c r="AG822" s="111"/>
      <c r="AH822" s="111"/>
      <c r="AI822" s="111"/>
    </row>
    <row r="823" ht="15.75" customHeight="1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39"/>
      <c r="AD823" s="123"/>
      <c r="AE823" s="111"/>
      <c r="AF823" s="111"/>
      <c r="AG823" s="111"/>
      <c r="AH823" s="111"/>
      <c r="AI823" s="111"/>
    </row>
    <row r="824" ht="15.75" customHeight="1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39"/>
      <c r="AD824" s="123"/>
      <c r="AE824" s="111"/>
      <c r="AF824" s="111"/>
      <c r="AG824" s="111"/>
      <c r="AH824" s="111"/>
      <c r="AI824" s="111"/>
    </row>
    <row r="825" ht="15.75" customHeight="1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39"/>
      <c r="AD825" s="123"/>
      <c r="AE825" s="111"/>
      <c r="AF825" s="111"/>
      <c r="AG825" s="111"/>
      <c r="AH825" s="111"/>
      <c r="AI825" s="111"/>
    </row>
    <row r="826" ht="15.75" customHeight="1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39"/>
      <c r="AD826" s="123"/>
      <c r="AE826" s="111"/>
      <c r="AF826" s="111"/>
      <c r="AG826" s="111"/>
      <c r="AH826" s="111"/>
      <c r="AI826" s="111"/>
    </row>
    <row r="827" ht="15.75" customHeight="1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39"/>
      <c r="AD827" s="123"/>
      <c r="AE827" s="111"/>
      <c r="AF827" s="111"/>
      <c r="AG827" s="111"/>
      <c r="AH827" s="111"/>
      <c r="AI827" s="111"/>
    </row>
    <row r="828" ht="15.75" customHeight="1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39"/>
      <c r="AD828" s="123"/>
      <c r="AE828" s="111"/>
      <c r="AF828" s="111"/>
      <c r="AG828" s="111"/>
      <c r="AH828" s="111"/>
      <c r="AI828" s="111"/>
    </row>
    <row r="829" ht="15.75" customHeight="1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39"/>
      <c r="AD829" s="123"/>
      <c r="AE829" s="111"/>
      <c r="AF829" s="111"/>
      <c r="AG829" s="111"/>
      <c r="AH829" s="111"/>
      <c r="AI829" s="111"/>
    </row>
    <row r="830" ht="15.75" customHeight="1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39"/>
      <c r="AD830" s="123"/>
      <c r="AE830" s="111"/>
      <c r="AF830" s="111"/>
      <c r="AG830" s="111"/>
      <c r="AH830" s="111"/>
      <c r="AI830" s="111"/>
    </row>
    <row r="831" ht="15.75" customHeight="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39"/>
      <c r="AD831" s="123"/>
      <c r="AE831" s="111"/>
      <c r="AF831" s="111"/>
      <c r="AG831" s="111"/>
      <c r="AH831" s="111"/>
      <c r="AI831" s="111"/>
    </row>
    <row r="832" ht="15.75" customHeight="1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39"/>
      <c r="AD832" s="123"/>
      <c r="AE832" s="111"/>
      <c r="AF832" s="111"/>
      <c r="AG832" s="111"/>
      <c r="AH832" s="111"/>
      <c r="AI832" s="111"/>
    </row>
    <row r="833" ht="15.75" customHeight="1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39"/>
      <c r="AD833" s="123"/>
      <c r="AE833" s="111"/>
      <c r="AF833" s="111"/>
      <c r="AG833" s="111"/>
      <c r="AH833" s="111"/>
      <c r="AI833" s="111"/>
    </row>
    <row r="834" ht="15.75" customHeight="1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39"/>
      <c r="AD834" s="123"/>
      <c r="AE834" s="111"/>
      <c r="AF834" s="111"/>
      <c r="AG834" s="111"/>
      <c r="AH834" s="111"/>
      <c r="AI834" s="111"/>
    </row>
    <row r="835" ht="15.75" customHeight="1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39"/>
      <c r="AD835" s="123"/>
      <c r="AE835" s="111"/>
      <c r="AF835" s="111"/>
      <c r="AG835" s="111"/>
      <c r="AH835" s="111"/>
      <c r="AI835" s="111"/>
    </row>
    <row r="836" ht="15.75" customHeight="1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39"/>
      <c r="AD836" s="123"/>
      <c r="AE836" s="111"/>
      <c r="AF836" s="111"/>
      <c r="AG836" s="111"/>
      <c r="AH836" s="111"/>
      <c r="AI836" s="111"/>
    </row>
    <row r="837" ht="15.75" customHeight="1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39"/>
      <c r="AD837" s="123"/>
      <c r="AE837" s="111"/>
      <c r="AF837" s="111"/>
      <c r="AG837" s="111"/>
      <c r="AH837" s="111"/>
      <c r="AI837" s="111"/>
    </row>
    <row r="838" ht="15.75" customHeight="1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39"/>
      <c r="AD838" s="123"/>
      <c r="AE838" s="111"/>
      <c r="AF838" s="111"/>
      <c r="AG838" s="111"/>
      <c r="AH838" s="111"/>
      <c r="AI838" s="111"/>
    </row>
    <row r="839" ht="15.75" customHeight="1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39"/>
      <c r="AD839" s="123"/>
      <c r="AE839" s="111"/>
      <c r="AF839" s="111"/>
      <c r="AG839" s="111"/>
      <c r="AH839" s="111"/>
      <c r="AI839" s="111"/>
    </row>
    <row r="840" ht="15.75" customHeight="1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39"/>
      <c r="AD840" s="123"/>
      <c r="AE840" s="111"/>
      <c r="AF840" s="111"/>
      <c r="AG840" s="111"/>
      <c r="AH840" s="111"/>
      <c r="AI840" s="111"/>
    </row>
    <row r="841" ht="15.75" customHeight="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39"/>
      <c r="AD841" s="123"/>
      <c r="AE841" s="111"/>
      <c r="AF841" s="111"/>
      <c r="AG841" s="111"/>
      <c r="AH841" s="111"/>
      <c r="AI841" s="111"/>
    </row>
    <row r="842" ht="15.75" customHeight="1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39"/>
      <c r="AD842" s="123"/>
      <c r="AE842" s="111"/>
      <c r="AF842" s="111"/>
      <c r="AG842" s="111"/>
      <c r="AH842" s="111"/>
      <c r="AI842" s="111"/>
    </row>
    <row r="843" ht="15.75" customHeight="1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39"/>
      <c r="AD843" s="123"/>
      <c r="AE843" s="111"/>
      <c r="AF843" s="111"/>
      <c r="AG843" s="111"/>
      <c r="AH843" s="111"/>
      <c r="AI843" s="111"/>
    </row>
    <row r="844" ht="15.75" customHeight="1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39"/>
      <c r="AD844" s="123"/>
      <c r="AE844" s="111"/>
      <c r="AF844" s="111"/>
      <c r="AG844" s="111"/>
      <c r="AH844" s="111"/>
      <c r="AI844" s="111"/>
    </row>
    <row r="845" ht="15.75" customHeight="1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39"/>
      <c r="AD845" s="123"/>
      <c r="AE845" s="111"/>
      <c r="AF845" s="111"/>
      <c r="AG845" s="111"/>
      <c r="AH845" s="111"/>
      <c r="AI845" s="111"/>
    </row>
    <row r="846" ht="15.75" customHeight="1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39"/>
      <c r="AD846" s="123"/>
      <c r="AE846" s="111"/>
      <c r="AF846" s="111"/>
      <c r="AG846" s="111"/>
      <c r="AH846" s="111"/>
      <c r="AI846" s="111"/>
    </row>
    <row r="847" ht="15.75" customHeight="1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39"/>
      <c r="AD847" s="123"/>
      <c r="AE847" s="111"/>
      <c r="AF847" s="111"/>
      <c r="AG847" s="111"/>
      <c r="AH847" s="111"/>
      <c r="AI847" s="111"/>
    </row>
    <row r="848" ht="15.75" customHeight="1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39"/>
      <c r="AD848" s="123"/>
      <c r="AE848" s="111"/>
      <c r="AF848" s="111"/>
      <c r="AG848" s="111"/>
      <c r="AH848" s="111"/>
      <c r="AI848" s="111"/>
    </row>
    <row r="849" ht="15.75" customHeight="1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39"/>
      <c r="AD849" s="123"/>
      <c r="AE849" s="111"/>
      <c r="AF849" s="111"/>
      <c r="AG849" s="111"/>
      <c r="AH849" s="111"/>
      <c r="AI849" s="111"/>
    </row>
    <row r="850" ht="15.75" customHeight="1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39"/>
      <c r="AD850" s="123"/>
      <c r="AE850" s="111"/>
      <c r="AF850" s="111"/>
      <c r="AG850" s="111"/>
      <c r="AH850" s="111"/>
      <c r="AI850" s="111"/>
    </row>
    <row r="851" ht="15.75" customHeight="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39"/>
      <c r="AD851" s="123"/>
      <c r="AE851" s="111"/>
      <c r="AF851" s="111"/>
      <c r="AG851" s="111"/>
      <c r="AH851" s="111"/>
      <c r="AI851" s="111"/>
    </row>
    <row r="852" ht="15.75" customHeight="1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39"/>
      <c r="AD852" s="123"/>
      <c r="AE852" s="111"/>
      <c r="AF852" s="111"/>
      <c r="AG852" s="111"/>
      <c r="AH852" s="111"/>
      <c r="AI852" s="111"/>
    </row>
    <row r="853" ht="15.75" customHeight="1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39"/>
      <c r="AD853" s="123"/>
      <c r="AE853" s="111"/>
      <c r="AF853" s="111"/>
      <c r="AG853" s="111"/>
      <c r="AH853" s="111"/>
      <c r="AI853" s="111"/>
    </row>
    <row r="854" ht="15.75" customHeight="1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39"/>
      <c r="AD854" s="123"/>
      <c r="AE854" s="111"/>
      <c r="AF854" s="111"/>
      <c r="AG854" s="111"/>
      <c r="AH854" s="111"/>
      <c r="AI854" s="111"/>
    </row>
    <row r="855" ht="15.75" customHeight="1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39"/>
      <c r="AD855" s="123"/>
      <c r="AE855" s="111"/>
      <c r="AF855" s="111"/>
      <c r="AG855" s="111"/>
      <c r="AH855" s="111"/>
      <c r="AI855" s="111"/>
    </row>
    <row r="856" ht="15.75" customHeight="1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39"/>
      <c r="AD856" s="123"/>
      <c r="AE856" s="111"/>
      <c r="AF856" s="111"/>
      <c r="AG856" s="111"/>
      <c r="AH856" s="111"/>
      <c r="AI856" s="111"/>
    </row>
    <row r="857" ht="15.75" customHeight="1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39"/>
      <c r="AD857" s="123"/>
      <c r="AE857" s="111"/>
      <c r="AF857" s="111"/>
      <c r="AG857" s="111"/>
      <c r="AH857" s="111"/>
      <c r="AI857" s="111"/>
    </row>
    <row r="858" ht="15.75" customHeight="1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39"/>
      <c r="AD858" s="123"/>
      <c r="AE858" s="111"/>
      <c r="AF858" s="111"/>
      <c r="AG858" s="111"/>
      <c r="AH858" s="111"/>
      <c r="AI858" s="111"/>
    </row>
    <row r="859" ht="15.75" customHeight="1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39"/>
      <c r="AD859" s="123"/>
      <c r="AE859" s="111"/>
      <c r="AF859" s="111"/>
      <c r="AG859" s="111"/>
      <c r="AH859" s="111"/>
      <c r="AI859" s="111"/>
    </row>
    <row r="860" ht="15.75" customHeight="1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39"/>
      <c r="AD860" s="123"/>
      <c r="AE860" s="111"/>
      <c r="AF860" s="111"/>
      <c r="AG860" s="111"/>
      <c r="AH860" s="111"/>
      <c r="AI860" s="111"/>
    </row>
    <row r="861" ht="15.75" customHeight="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39"/>
      <c r="AD861" s="123"/>
      <c r="AE861" s="111"/>
      <c r="AF861" s="111"/>
      <c r="AG861" s="111"/>
      <c r="AH861" s="111"/>
      <c r="AI861" s="111"/>
    </row>
    <row r="862" ht="15.75" customHeight="1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39"/>
      <c r="AD862" s="123"/>
      <c r="AE862" s="111"/>
      <c r="AF862" s="111"/>
      <c r="AG862" s="111"/>
      <c r="AH862" s="111"/>
      <c r="AI862" s="111"/>
    </row>
    <row r="863" ht="15.75" customHeight="1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39"/>
      <c r="AD863" s="123"/>
      <c r="AE863" s="111"/>
      <c r="AF863" s="111"/>
      <c r="AG863" s="111"/>
      <c r="AH863" s="111"/>
      <c r="AI863" s="111"/>
    </row>
    <row r="864" ht="15.75" customHeight="1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39"/>
      <c r="AD864" s="123"/>
      <c r="AE864" s="111"/>
      <c r="AF864" s="111"/>
      <c r="AG864" s="111"/>
      <c r="AH864" s="111"/>
      <c r="AI864" s="111"/>
    </row>
    <row r="865" ht="15.75" customHeight="1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39"/>
      <c r="AD865" s="123"/>
      <c r="AE865" s="111"/>
      <c r="AF865" s="111"/>
      <c r="AG865" s="111"/>
      <c r="AH865" s="111"/>
      <c r="AI865" s="111"/>
    </row>
    <row r="866" ht="15.75" customHeight="1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39"/>
      <c r="AD866" s="123"/>
      <c r="AE866" s="111"/>
      <c r="AF866" s="111"/>
      <c r="AG866" s="111"/>
      <c r="AH866" s="111"/>
      <c r="AI866" s="111"/>
    </row>
    <row r="867" ht="15.75" customHeight="1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39"/>
      <c r="AD867" s="123"/>
      <c r="AE867" s="111"/>
      <c r="AF867" s="111"/>
      <c r="AG867" s="111"/>
      <c r="AH867" s="111"/>
      <c r="AI867" s="111"/>
    </row>
    <row r="868" ht="15.75" customHeight="1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39"/>
      <c r="AD868" s="123"/>
      <c r="AE868" s="111"/>
      <c r="AF868" s="111"/>
      <c r="AG868" s="111"/>
      <c r="AH868" s="111"/>
      <c r="AI868" s="111"/>
    </row>
    <row r="869" ht="15.75" customHeight="1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39"/>
      <c r="AD869" s="123"/>
      <c r="AE869" s="111"/>
      <c r="AF869" s="111"/>
      <c r="AG869" s="111"/>
      <c r="AH869" s="111"/>
      <c r="AI869" s="111"/>
    </row>
    <row r="870" ht="15.75" customHeight="1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39"/>
      <c r="AD870" s="123"/>
      <c r="AE870" s="111"/>
      <c r="AF870" s="111"/>
      <c r="AG870" s="111"/>
      <c r="AH870" s="111"/>
      <c r="AI870" s="111"/>
    </row>
    <row r="871" ht="15.75" customHeight="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39"/>
      <c r="AD871" s="123"/>
      <c r="AE871" s="111"/>
      <c r="AF871" s="111"/>
      <c r="AG871" s="111"/>
      <c r="AH871" s="111"/>
      <c r="AI871" s="111"/>
    </row>
    <row r="872" ht="15.75" customHeight="1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39"/>
      <c r="AD872" s="123"/>
      <c r="AE872" s="111"/>
      <c r="AF872" s="111"/>
      <c r="AG872" s="111"/>
      <c r="AH872" s="111"/>
      <c r="AI872" s="111"/>
    </row>
    <row r="873" ht="15.75" customHeight="1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39"/>
      <c r="AD873" s="123"/>
      <c r="AE873" s="111"/>
      <c r="AF873" s="111"/>
      <c r="AG873" s="111"/>
      <c r="AH873" s="111"/>
      <c r="AI873" s="111"/>
    </row>
    <row r="874" ht="15.75" customHeight="1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39"/>
      <c r="AD874" s="123"/>
      <c r="AE874" s="111"/>
      <c r="AF874" s="111"/>
      <c r="AG874" s="111"/>
      <c r="AH874" s="111"/>
      <c r="AI874" s="111"/>
    </row>
    <row r="875" ht="15.75" customHeight="1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39"/>
      <c r="AD875" s="123"/>
      <c r="AE875" s="111"/>
      <c r="AF875" s="111"/>
      <c r="AG875" s="111"/>
      <c r="AH875" s="111"/>
      <c r="AI875" s="111"/>
    </row>
    <row r="876" ht="15.75" customHeight="1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39"/>
      <c r="AD876" s="123"/>
      <c r="AE876" s="111"/>
      <c r="AF876" s="111"/>
      <c r="AG876" s="111"/>
      <c r="AH876" s="111"/>
      <c r="AI876" s="111"/>
    </row>
    <row r="877" ht="15.75" customHeight="1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39"/>
      <c r="AD877" s="123"/>
      <c r="AE877" s="111"/>
      <c r="AF877" s="111"/>
      <c r="AG877" s="111"/>
      <c r="AH877" s="111"/>
      <c r="AI877" s="111"/>
    </row>
    <row r="878" ht="15.75" customHeight="1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39"/>
      <c r="AD878" s="123"/>
      <c r="AE878" s="111"/>
      <c r="AF878" s="111"/>
      <c r="AG878" s="111"/>
      <c r="AH878" s="111"/>
      <c r="AI878" s="111"/>
    </row>
    <row r="879" ht="15.75" customHeight="1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39"/>
      <c r="AD879" s="123"/>
      <c r="AE879" s="111"/>
      <c r="AF879" s="111"/>
      <c r="AG879" s="111"/>
      <c r="AH879" s="111"/>
      <c r="AI879" s="111"/>
    </row>
    <row r="880" ht="15.75" customHeight="1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39"/>
      <c r="AD880" s="123"/>
      <c r="AE880" s="111"/>
      <c r="AF880" s="111"/>
      <c r="AG880" s="111"/>
      <c r="AH880" s="111"/>
      <c r="AI880" s="111"/>
    </row>
    <row r="881" ht="15.75" customHeight="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39"/>
      <c r="AD881" s="123"/>
      <c r="AE881" s="111"/>
      <c r="AF881" s="111"/>
      <c r="AG881" s="111"/>
      <c r="AH881" s="111"/>
      <c r="AI881" s="111"/>
    </row>
    <row r="882" ht="15.75" customHeight="1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39"/>
      <c r="AD882" s="123"/>
      <c r="AE882" s="111"/>
      <c r="AF882" s="111"/>
      <c r="AG882" s="111"/>
      <c r="AH882" s="111"/>
      <c r="AI882" s="111"/>
    </row>
    <row r="883" ht="15.75" customHeight="1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39"/>
      <c r="AD883" s="123"/>
      <c r="AE883" s="111"/>
      <c r="AF883" s="111"/>
      <c r="AG883" s="111"/>
      <c r="AH883" s="111"/>
      <c r="AI883" s="111"/>
    </row>
    <row r="884" ht="15.75" customHeight="1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39"/>
      <c r="AD884" s="123"/>
      <c r="AE884" s="111"/>
      <c r="AF884" s="111"/>
      <c r="AG884" s="111"/>
      <c r="AH884" s="111"/>
      <c r="AI884" s="111"/>
    </row>
    <row r="885" ht="15.75" customHeight="1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39"/>
      <c r="AD885" s="123"/>
      <c r="AE885" s="111"/>
      <c r="AF885" s="111"/>
      <c r="AG885" s="111"/>
      <c r="AH885" s="111"/>
      <c r="AI885" s="111"/>
    </row>
    <row r="886" ht="15.75" customHeight="1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39"/>
      <c r="AD886" s="123"/>
      <c r="AE886" s="111"/>
      <c r="AF886" s="111"/>
      <c r="AG886" s="111"/>
      <c r="AH886" s="111"/>
      <c r="AI886" s="111"/>
    </row>
    <row r="887" ht="15.75" customHeight="1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39"/>
      <c r="AD887" s="123"/>
      <c r="AE887" s="111"/>
      <c r="AF887" s="111"/>
      <c r="AG887" s="111"/>
      <c r="AH887" s="111"/>
      <c r="AI887" s="111"/>
    </row>
    <row r="888" ht="15.75" customHeight="1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39"/>
      <c r="AD888" s="123"/>
      <c r="AE888" s="111"/>
      <c r="AF888" s="111"/>
      <c r="AG888" s="111"/>
      <c r="AH888" s="111"/>
      <c r="AI888" s="111"/>
    </row>
    <row r="889" ht="15.75" customHeight="1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39"/>
      <c r="AD889" s="123"/>
      <c r="AE889" s="111"/>
      <c r="AF889" s="111"/>
      <c r="AG889" s="111"/>
      <c r="AH889" s="111"/>
      <c r="AI889" s="111"/>
    </row>
    <row r="890" ht="15.75" customHeight="1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39"/>
      <c r="AD890" s="123"/>
      <c r="AE890" s="111"/>
      <c r="AF890" s="111"/>
      <c r="AG890" s="111"/>
      <c r="AH890" s="111"/>
      <c r="AI890" s="111"/>
    </row>
    <row r="891" ht="15.75" customHeight="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39"/>
      <c r="AD891" s="123"/>
      <c r="AE891" s="111"/>
      <c r="AF891" s="111"/>
      <c r="AG891" s="111"/>
      <c r="AH891" s="111"/>
      <c r="AI891" s="111"/>
    </row>
    <row r="892" ht="15.75" customHeight="1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39"/>
      <c r="AD892" s="123"/>
      <c r="AE892" s="111"/>
      <c r="AF892" s="111"/>
      <c r="AG892" s="111"/>
      <c r="AH892" s="111"/>
      <c r="AI892" s="111"/>
    </row>
    <row r="893" ht="15.75" customHeight="1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39"/>
      <c r="AD893" s="123"/>
      <c r="AE893" s="111"/>
      <c r="AF893" s="111"/>
      <c r="AG893" s="111"/>
      <c r="AH893" s="111"/>
      <c r="AI893" s="111"/>
    </row>
    <row r="894" ht="15.75" customHeight="1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39"/>
      <c r="AD894" s="123"/>
      <c r="AE894" s="111"/>
      <c r="AF894" s="111"/>
      <c r="AG894" s="111"/>
      <c r="AH894" s="111"/>
      <c r="AI894" s="111"/>
    </row>
    <row r="895" ht="15.75" customHeight="1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39"/>
      <c r="AD895" s="123"/>
      <c r="AE895" s="111"/>
      <c r="AF895" s="111"/>
      <c r="AG895" s="111"/>
      <c r="AH895" s="111"/>
      <c r="AI895" s="111"/>
    </row>
    <row r="896" ht="15.75" customHeight="1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39"/>
      <c r="AD896" s="123"/>
      <c r="AE896" s="111"/>
      <c r="AF896" s="111"/>
      <c r="AG896" s="111"/>
      <c r="AH896" s="111"/>
      <c r="AI896" s="111"/>
    </row>
    <row r="897" ht="15.75" customHeight="1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39"/>
      <c r="AD897" s="123"/>
      <c r="AE897" s="111"/>
      <c r="AF897" s="111"/>
      <c r="AG897" s="111"/>
      <c r="AH897" s="111"/>
      <c r="AI897" s="111"/>
    </row>
    <row r="898" ht="15.75" customHeight="1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39"/>
      <c r="AD898" s="123"/>
      <c r="AE898" s="111"/>
      <c r="AF898" s="111"/>
      <c r="AG898" s="111"/>
      <c r="AH898" s="111"/>
      <c r="AI898" s="111"/>
    </row>
    <row r="899" ht="15.75" customHeight="1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39"/>
      <c r="AD899" s="123"/>
      <c r="AE899" s="111"/>
      <c r="AF899" s="111"/>
      <c r="AG899" s="111"/>
      <c r="AH899" s="111"/>
      <c r="AI899" s="111"/>
    </row>
    <row r="900" ht="15.75" customHeight="1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39"/>
      <c r="AD900" s="123"/>
      <c r="AE900" s="111"/>
      <c r="AF900" s="111"/>
      <c r="AG900" s="111"/>
      <c r="AH900" s="111"/>
      <c r="AI900" s="111"/>
    </row>
    <row r="901" ht="15.75" customHeight="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39"/>
      <c r="AD901" s="123"/>
      <c r="AE901" s="111"/>
      <c r="AF901" s="111"/>
      <c r="AG901" s="111"/>
      <c r="AH901" s="111"/>
      <c r="AI901" s="111"/>
    </row>
    <row r="902" ht="15.75" customHeight="1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39"/>
      <c r="AD902" s="123"/>
      <c r="AE902" s="111"/>
      <c r="AF902" s="111"/>
      <c r="AG902" s="111"/>
      <c r="AH902" s="111"/>
      <c r="AI902" s="111"/>
    </row>
    <row r="903" ht="15.75" customHeight="1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39"/>
      <c r="AD903" s="123"/>
      <c r="AE903" s="111"/>
      <c r="AF903" s="111"/>
      <c r="AG903" s="111"/>
      <c r="AH903" s="111"/>
      <c r="AI903" s="111"/>
    </row>
    <row r="904" ht="15.75" customHeight="1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39"/>
      <c r="AD904" s="123"/>
      <c r="AE904" s="111"/>
      <c r="AF904" s="111"/>
      <c r="AG904" s="111"/>
      <c r="AH904" s="111"/>
      <c r="AI904" s="111"/>
    </row>
    <row r="905" ht="15.75" customHeight="1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39"/>
      <c r="AD905" s="123"/>
      <c r="AE905" s="111"/>
      <c r="AF905" s="111"/>
      <c r="AG905" s="111"/>
      <c r="AH905" s="111"/>
      <c r="AI905" s="111"/>
    </row>
    <row r="906" ht="15.75" customHeight="1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39"/>
      <c r="AD906" s="123"/>
      <c r="AE906" s="111"/>
      <c r="AF906" s="111"/>
      <c r="AG906" s="111"/>
      <c r="AH906" s="111"/>
      <c r="AI906" s="111"/>
    </row>
    <row r="907" ht="15.75" customHeight="1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39"/>
      <c r="AD907" s="123"/>
      <c r="AE907" s="111"/>
      <c r="AF907" s="111"/>
      <c r="AG907" s="111"/>
      <c r="AH907" s="111"/>
      <c r="AI907" s="111"/>
    </row>
    <row r="908" ht="15.75" customHeight="1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39"/>
      <c r="AD908" s="123"/>
      <c r="AE908" s="111"/>
      <c r="AF908" s="111"/>
      <c r="AG908" s="111"/>
      <c r="AH908" s="111"/>
      <c r="AI908" s="111"/>
    </row>
    <row r="909" ht="15.75" customHeight="1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39"/>
      <c r="AD909" s="123"/>
      <c r="AE909" s="111"/>
      <c r="AF909" s="111"/>
      <c r="AG909" s="111"/>
      <c r="AH909" s="111"/>
      <c r="AI909" s="111"/>
    </row>
    <row r="910" ht="15.75" customHeight="1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39"/>
      <c r="AD910" s="123"/>
      <c r="AE910" s="111"/>
      <c r="AF910" s="111"/>
      <c r="AG910" s="111"/>
      <c r="AH910" s="111"/>
      <c r="AI910" s="111"/>
    </row>
    <row r="911" ht="15.75" customHeight="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39"/>
      <c r="AD911" s="123"/>
      <c r="AE911" s="111"/>
      <c r="AF911" s="111"/>
      <c r="AG911" s="111"/>
      <c r="AH911" s="111"/>
      <c r="AI911" s="111"/>
    </row>
    <row r="912" ht="15.75" customHeight="1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39"/>
      <c r="AD912" s="123"/>
      <c r="AE912" s="111"/>
      <c r="AF912" s="111"/>
      <c r="AG912" s="111"/>
      <c r="AH912" s="111"/>
      <c r="AI912" s="111"/>
    </row>
    <row r="913" ht="15.75" customHeight="1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39"/>
      <c r="AD913" s="123"/>
      <c r="AE913" s="111"/>
      <c r="AF913" s="111"/>
      <c r="AG913" s="111"/>
      <c r="AH913" s="111"/>
      <c r="AI913" s="111"/>
    </row>
    <row r="914" ht="15.75" customHeight="1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39"/>
      <c r="AD914" s="123"/>
      <c r="AE914" s="111"/>
      <c r="AF914" s="111"/>
      <c r="AG914" s="111"/>
      <c r="AH914" s="111"/>
      <c r="AI914" s="111"/>
    </row>
    <row r="915" ht="15.75" customHeight="1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39"/>
      <c r="AD915" s="123"/>
      <c r="AE915" s="111"/>
      <c r="AF915" s="111"/>
      <c r="AG915" s="111"/>
      <c r="AH915" s="111"/>
      <c r="AI915" s="111"/>
    </row>
    <row r="916" ht="15.75" customHeight="1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39"/>
      <c r="AD916" s="123"/>
      <c r="AE916" s="111"/>
      <c r="AF916" s="111"/>
      <c r="AG916" s="111"/>
      <c r="AH916" s="111"/>
      <c r="AI916" s="111"/>
    </row>
    <row r="917" ht="15.75" customHeight="1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39"/>
      <c r="AD917" s="123"/>
      <c r="AE917" s="111"/>
      <c r="AF917" s="111"/>
      <c r="AG917" s="111"/>
      <c r="AH917" s="111"/>
      <c r="AI917" s="111"/>
    </row>
    <row r="918" ht="15.75" customHeight="1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39"/>
      <c r="AD918" s="123"/>
      <c r="AE918" s="111"/>
      <c r="AF918" s="111"/>
      <c r="AG918" s="111"/>
      <c r="AH918" s="111"/>
      <c r="AI918" s="111"/>
    </row>
    <row r="919" ht="15.75" customHeight="1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39"/>
      <c r="AD919" s="123"/>
      <c r="AE919" s="111"/>
      <c r="AF919" s="111"/>
      <c r="AG919" s="111"/>
      <c r="AH919" s="111"/>
      <c r="AI919" s="111"/>
    </row>
    <row r="920" ht="15.75" customHeight="1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  <c r="AC920" s="139"/>
      <c r="AD920" s="123"/>
      <c r="AE920" s="111"/>
      <c r="AF920" s="111"/>
      <c r="AG920" s="111"/>
      <c r="AH920" s="111"/>
      <c r="AI920" s="111"/>
    </row>
    <row r="921" ht="15.75" customHeight="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  <c r="AC921" s="139"/>
      <c r="AD921" s="123"/>
      <c r="AE921" s="111"/>
      <c r="AF921" s="111"/>
      <c r="AG921" s="111"/>
      <c r="AH921" s="111"/>
      <c r="AI921" s="111"/>
    </row>
    <row r="922" ht="15.75" customHeight="1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  <c r="AC922" s="139"/>
      <c r="AD922" s="123"/>
      <c r="AE922" s="111"/>
      <c r="AF922" s="111"/>
      <c r="AG922" s="111"/>
      <c r="AH922" s="111"/>
      <c r="AI922" s="111"/>
    </row>
    <row r="923" ht="15.75" customHeight="1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  <c r="AC923" s="139"/>
      <c r="AD923" s="123"/>
      <c r="AE923" s="111"/>
      <c r="AF923" s="111"/>
      <c r="AG923" s="111"/>
      <c r="AH923" s="111"/>
      <c r="AI923" s="111"/>
    </row>
    <row r="924" ht="15.75" customHeight="1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  <c r="AC924" s="139"/>
      <c r="AD924" s="123"/>
      <c r="AE924" s="111"/>
      <c r="AF924" s="111"/>
      <c r="AG924" s="111"/>
      <c r="AH924" s="111"/>
      <c r="AI924" s="111"/>
    </row>
    <row r="925" ht="15.75" customHeight="1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39"/>
      <c r="AD925" s="123"/>
      <c r="AE925" s="111"/>
      <c r="AF925" s="111"/>
      <c r="AG925" s="111"/>
      <c r="AH925" s="111"/>
      <c r="AI925" s="111"/>
    </row>
    <row r="926" ht="15.75" customHeight="1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  <c r="AC926" s="139"/>
      <c r="AD926" s="123"/>
      <c r="AE926" s="111"/>
      <c r="AF926" s="111"/>
      <c r="AG926" s="111"/>
      <c r="AH926" s="111"/>
      <c r="AI926" s="111"/>
    </row>
    <row r="927" ht="15.75" customHeight="1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  <c r="AC927" s="139"/>
      <c r="AD927" s="123"/>
      <c r="AE927" s="111"/>
      <c r="AF927" s="111"/>
      <c r="AG927" s="111"/>
      <c r="AH927" s="111"/>
      <c r="AI927" s="111"/>
    </row>
    <row r="928" ht="15.75" customHeight="1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  <c r="AC928" s="139"/>
      <c r="AD928" s="123"/>
      <c r="AE928" s="111"/>
      <c r="AF928" s="111"/>
      <c r="AG928" s="111"/>
      <c r="AH928" s="111"/>
      <c r="AI928" s="111"/>
    </row>
    <row r="929" ht="15.75" customHeight="1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39"/>
      <c r="AD929" s="123"/>
      <c r="AE929" s="111"/>
      <c r="AF929" s="111"/>
      <c r="AG929" s="111"/>
      <c r="AH929" s="111"/>
      <c r="AI929" s="111"/>
    </row>
    <row r="930" ht="15.75" customHeight="1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39"/>
      <c r="AD930" s="123"/>
      <c r="AE930" s="111"/>
      <c r="AF930" s="111"/>
      <c r="AG930" s="111"/>
      <c r="AH930" s="111"/>
      <c r="AI930" s="111"/>
    </row>
    <row r="931" ht="15.75" customHeight="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39"/>
      <c r="AD931" s="123"/>
      <c r="AE931" s="111"/>
      <c r="AF931" s="111"/>
      <c r="AG931" s="111"/>
      <c r="AH931" s="111"/>
      <c r="AI931" s="111"/>
    </row>
    <row r="932" ht="15.75" customHeight="1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39"/>
      <c r="AD932" s="123"/>
      <c r="AE932" s="111"/>
      <c r="AF932" s="111"/>
      <c r="AG932" s="111"/>
      <c r="AH932" s="111"/>
      <c r="AI932" s="111"/>
    </row>
    <row r="933" ht="15.75" customHeight="1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39"/>
      <c r="AD933" s="123"/>
      <c r="AE933" s="111"/>
      <c r="AF933" s="111"/>
      <c r="AG933" s="111"/>
      <c r="AH933" s="111"/>
      <c r="AI933" s="111"/>
    </row>
    <row r="934" ht="15.75" customHeight="1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39"/>
      <c r="AD934" s="123"/>
      <c r="AE934" s="111"/>
      <c r="AF934" s="111"/>
      <c r="AG934" s="111"/>
      <c r="AH934" s="111"/>
      <c r="AI934" s="111"/>
    </row>
    <row r="935" ht="15.75" customHeight="1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39"/>
      <c r="AD935" s="123"/>
      <c r="AE935" s="111"/>
      <c r="AF935" s="111"/>
      <c r="AG935" s="111"/>
      <c r="AH935" s="111"/>
      <c r="AI935" s="111"/>
    </row>
    <row r="936" ht="15.75" customHeight="1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39"/>
      <c r="AD936" s="123"/>
      <c r="AE936" s="111"/>
      <c r="AF936" s="111"/>
      <c r="AG936" s="111"/>
      <c r="AH936" s="111"/>
      <c r="AI936" s="111"/>
    </row>
    <row r="937" ht="15.75" customHeight="1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  <c r="AC937" s="139"/>
      <c r="AD937" s="123"/>
      <c r="AE937" s="111"/>
      <c r="AF937" s="111"/>
      <c r="AG937" s="111"/>
      <c r="AH937" s="111"/>
      <c r="AI937" s="111"/>
    </row>
    <row r="938" ht="15.75" customHeight="1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  <c r="AC938" s="139"/>
      <c r="AD938" s="123"/>
      <c r="AE938" s="111"/>
      <c r="AF938" s="111"/>
      <c r="AG938" s="111"/>
      <c r="AH938" s="111"/>
      <c r="AI938" s="111"/>
    </row>
    <row r="939" ht="15.75" customHeight="1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  <c r="AC939" s="139"/>
      <c r="AD939" s="123"/>
      <c r="AE939" s="111"/>
      <c r="AF939" s="111"/>
      <c r="AG939" s="111"/>
      <c r="AH939" s="111"/>
      <c r="AI939" s="111"/>
    </row>
    <row r="940" ht="15.75" customHeight="1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  <c r="AC940" s="139"/>
      <c r="AD940" s="123"/>
      <c r="AE940" s="111"/>
      <c r="AF940" s="111"/>
      <c r="AG940" s="111"/>
      <c r="AH940" s="111"/>
      <c r="AI940" s="111"/>
    </row>
    <row r="941" ht="15.75" customHeight="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  <c r="AC941" s="139"/>
      <c r="AD941" s="123"/>
      <c r="AE941" s="111"/>
      <c r="AF941" s="111"/>
      <c r="AG941" s="111"/>
      <c r="AH941" s="111"/>
      <c r="AI941" s="111"/>
    </row>
    <row r="942" ht="15.75" customHeight="1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  <c r="AC942" s="139"/>
      <c r="AD942" s="123"/>
      <c r="AE942" s="111"/>
      <c r="AF942" s="111"/>
      <c r="AG942" s="111"/>
      <c r="AH942" s="111"/>
      <c r="AI942" s="111"/>
    </row>
    <row r="943" ht="15.75" customHeight="1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  <c r="AC943" s="139"/>
      <c r="AD943" s="123"/>
      <c r="AE943" s="111"/>
      <c r="AF943" s="111"/>
      <c r="AG943" s="111"/>
      <c r="AH943" s="111"/>
      <c r="AI943" s="111"/>
    </row>
    <row r="944" ht="15.75" customHeight="1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  <c r="AC944" s="139"/>
      <c r="AD944" s="123"/>
      <c r="AE944" s="111"/>
      <c r="AF944" s="111"/>
      <c r="AG944" s="111"/>
      <c r="AH944" s="111"/>
      <c r="AI944" s="111"/>
    </row>
    <row r="945" ht="15.75" customHeight="1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  <c r="AC945" s="139"/>
      <c r="AD945" s="123"/>
      <c r="AE945" s="111"/>
      <c r="AF945" s="111"/>
      <c r="AG945" s="111"/>
      <c r="AH945" s="111"/>
      <c r="AI945" s="111"/>
    </row>
    <row r="946" ht="15.75" customHeight="1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  <c r="AC946" s="139"/>
      <c r="AD946" s="123"/>
      <c r="AE946" s="111"/>
      <c r="AF946" s="111"/>
      <c r="AG946" s="111"/>
      <c r="AH946" s="111"/>
      <c r="AI946" s="111"/>
    </row>
    <row r="947" ht="15.75" customHeight="1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  <c r="AC947" s="139"/>
      <c r="AD947" s="123"/>
      <c r="AE947" s="111"/>
      <c r="AF947" s="111"/>
      <c r="AG947" s="111"/>
      <c r="AH947" s="111"/>
      <c r="AI947" s="111"/>
    </row>
    <row r="948" ht="15.75" customHeight="1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  <c r="AC948" s="139"/>
      <c r="AD948" s="123"/>
      <c r="AE948" s="111"/>
      <c r="AF948" s="111"/>
      <c r="AG948" s="111"/>
      <c r="AH948" s="111"/>
      <c r="AI948" s="111"/>
    </row>
    <row r="949" ht="15.75" customHeight="1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  <c r="AC949" s="139"/>
      <c r="AD949" s="123"/>
      <c r="AE949" s="111"/>
      <c r="AF949" s="111"/>
      <c r="AG949" s="111"/>
      <c r="AH949" s="111"/>
      <c r="AI949" s="111"/>
    </row>
    <row r="950" ht="15.75" customHeight="1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  <c r="AC950" s="139"/>
      <c r="AD950" s="123"/>
      <c r="AE950" s="111"/>
      <c r="AF950" s="111"/>
      <c r="AG950" s="111"/>
      <c r="AH950" s="111"/>
      <c r="AI950" s="111"/>
    </row>
    <row r="951" ht="15.75" customHeight="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  <c r="AC951" s="139"/>
      <c r="AD951" s="123"/>
      <c r="AE951" s="111"/>
      <c r="AF951" s="111"/>
      <c r="AG951" s="111"/>
      <c r="AH951" s="111"/>
      <c r="AI951" s="111"/>
    </row>
    <row r="952" ht="15.75" customHeight="1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  <c r="AC952" s="139"/>
      <c r="AD952" s="123"/>
      <c r="AE952" s="111"/>
      <c r="AF952" s="111"/>
      <c r="AG952" s="111"/>
      <c r="AH952" s="111"/>
      <c r="AI952" s="111"/>
    </row>
    <row r="953" ht="15.75" customHeight="1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  <c r="AC953" s="139"/>
      <c r="AD953" s="123"/>
      <c r="AE953" s="111"/>
      <c r="AF953" s="111"/>
      <c r="AG953" s="111"/>
      <c r="AH953" s="111"/>
      <c r="AI953" s="111"/>
    </row>
    <row r="954" ht="15.75" customHeight="1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  <c r="AC954" s="139"/>
      <c r="AD954" s="123"/>
      <c r="AE954" s="111"/>
      <c r="AF954" s="111"/>
      <c r="AG954" s="111"/>
      <c r="AH954" s="111"/>
      <c r="AI954" s="111"/>
    </row>
    <row r="955" ht="15.75" customHeight="1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  <c r="AC955" s="139"/>
      <c r="AD955" s="123"/>
      <c r="AE955" s="111"/>
      <c r="AF955" s="111"/>
      <c r="AG955" s="111"/>
      <c r="AH955" s="111"/>
      <c r="AI955" s="111"/>
    </row>
    <row r="956" ht="15.75" customHeight="1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  <c r="AC956" s="139"/>
      <c r="AD956" s="123"/>
      <c r="AE956" s="111"/>
      <c r="AF956" s="111"/>
      <c r="AG956" s="111"/>
      <c r="AH956" s="111"/>
      <c r="AI956" s="111"/>
    </row>
    <row r="957" ht="15.75" customHeight="1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  <c r="AC957" s="139"/>
      <c r="AD957" s="123"/>
      <c r="AE957" s="111"/>
      <c r="AF957" s="111"/>
      <c r="AG957" s="111"/>
      <c r="AH957" s="111"/>
      <c r="AI957" s="111"/>
    </row>
    <row r="958" ht="15.75" customHeight="1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  <c r="AC958" s="139"/>
      <c r="AD958" s="123"/>
      <c r="AE958" s="111"/>
      <c r="AF958" s="111"/>
      <c r="AG958" s="111"/>
      <c r="AH958" s="111"/>
      <c r="AI958" s="111"/>
    </row>
    <row r="959" ht="15.75" customHeight="1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  <c r="AC959" s="139"/>
      <c r="AD959" s="123"/>
      <c r="AE959" s="111"/>
      <c r="AF959" s="111"/>
      <c r="AG959" s="111"/>
      <c r="AH959" s="111"/>
      <c r="AI959" s="111"/>
    </row>
    <row r="960" ht="15.75" customHeight="1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  <c r="AC960" s="139"/>
      <c r="AD960" s="123"/>
      <c r="AE960" s="111"/>
      <c r="AF960" s="111"/>
      <c r="AG960" s="111"/>
      <c r="AH960" s="111"/>
      <c r="AI960" s="111"/>
    </row>
    <row r="961" ht="15.75" customHeight="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  <c r="AC961" s="139"/>
      <c r="AD961" s="123"/>
      <c r="AE961" s="111"/>
      <c r="AF961" s="111"/>
      <c r="AG961" s="111"/>
      <c r="AH961" s="111"/>
      <c r="AI961" s="111"/>
    </row>
    <row r="962" ht="15.75" customHeight="1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  <c r="AC962" s="139"/>
      <c r="AD962" s="123"/>
      <c r="AE962" s="111"/>
      <c r="AF962" s="111"/>
      <c r="AG962" s="111"/>
      <c r="AH962" s="111"/>
      <c r="AI962" s="111"/>
    </row>
    <row r="963" ht="15.75" customHeight="1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  <c r="AC963" s="139"/>
      <c r="AD963" s="123"/>
      <c r="AE963" s="111"/>
      <c r="AF963" s="111"/>
      <c r="AG963" s="111"/>
      <c r="AH963" s="111"/>
      <c r="AI963" s="111"/>
    </row>
    <row r="964" ht="15.75" customHeight="1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  <c r="AC964" s="139"/>
      <c r="AD964" s="123"/>
      <c r="AE964" s="111"/>
      <c r="AF964" s="111"/>
      <c r="AG964" s="111"/>
      <c r="AH964" s="111"/>
      <c r="AI964" s="111"/>
    </row>
    <row r="965" ht="15.75" customHeight="1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  <c r="AC965" s="139"/>
      <c r="AD965" s="123"/>
      <c r="AE965" s="111"/>
      <c r="AF965" s="111"/>
      <c r="AG965" s="111"/>
      <c r="AH965" s="111"/>
      <c r="AI965" s="111"/>
    </row>
    <row r="966" ht="15.75" customHeight="1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  <c r="AC966" s="139"/>
      <c r="AD966" s="123"/>
      <c r="AE966" s="111"/>
      <c r="AF966" s="111"/>
      <c r="AG966" s="111"/>
      <c r="AH966" s="111"/>
      <c r="AI966" s="111"/>
    </row>
    <row r="967" ht="15.75" customHeight="1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  <c r="AC967" s="139"/>
      <c r="AD967" s="123"/>
      <c r="AE967" s="111"/>
      <c r="AF967" s="111"/>
      <c r="AG967" s="111"/>
      <c r="AH967" s="111"/>
      <c r="AI967" s="111"/>
    </row>
    <row r="968" ht="15.75" customHeight="1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  <c r="AC968" s="139"/>
      <c r="AD968" s="123"/>
      <c r="AE968" s="111"/>
      <c r="AF968" s="111"/>
      <c r="AG968" s="111"/>
      <c r="AH968" s="111"/>
      <c r="AI968" s="111"/>
    </row>
    <row r="969" ht="15.75" customHeight="1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  <c r="AC969" s="139"/>
      <c r="AD969" s="123"/>
      <c r="AE969" s="111"/>
      <c r="AF969" s="111"/>
      <c r="AG969" s="111"/>
      <c r="AH969" s="111"/>
      <c r="AI969" s="111"/>
    </row>
    <row r="970" ht="15.75" customHeight="1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  <c r="AC970" s="139"/>
      <c r="AD970" s="123"/>
      <c r="AE970" s="111"/>
      <c r="AF970" s="111"/>
      <c r="AG970" s="111"/>
      <c r="AH970" s="111"/>
      <c r="AI970" s="111"/>
    </row>
    <row r="971" ht="15.75" customHeight="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  <c r="AC971" s="139"/>
      <c r="AD971" s="123"/>
      <c r="AE971" s="111"/>
      <c r="AF971" s="111"/>
      <c r="AG971" s="111"/>
      <c r="AH971" s="111"/>
      <c r="AI971" s="111"/>
    </row>
    <row r="972" ht="15.75" customHeight="1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  <c r="AC972" s="139"/>
      <c r="AD972" s="123"/>
      <c r="AE972" s="111"/>
      <c r="AF972" s="111"/>
      <c r="AG972" s="111"/>
      <c r="AH972" s="111"/>
      <c r="AI972" s="111"/>
    </row>
    <row r="973" ht="15.75" customHeight="1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  <c r="AC973" s="139"/>
      <c r="AD973" s="123"/>
      <c r="AE973" s="111"/>
      <c r="AF973" s="111"/>
      <c r="AG973" s="111"/>
      <c r="AH973" s="111"/>
      <c r="AI973" s="111"/>
    </row>
    <row r="974" ht="15.75" customHeight="1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  <c r="AC974" s="139"/>
      <c r="AD974" s="123"/>
      <c r="AE974" s="111"/>
      <c r="AF974" s="111"/>
      <c r="AG974" s="111"/>
      <c r="AH974" s="111"/>
      <c r="AI974" s="111"/>
    </row>
    <row r="975" ht="15.75" customHeight="1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  <c r="AC975" s="139"/>
      <c r="AD975" s="123"/>
      <c r="AE975" s="111"/>
      <c r="AF975" s="111"/>
      <c r="AG975" s="111"/>
      <c r="AH975" s="111"/>
      <c r="AI975" s="111"/>
    </row>
    <row r="976" ht="15.75" customHeight="1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  <c r="AC976" s="139"/>
      <c r="AD976" s="123"/>
      <c r="AE976" s="111"/>
      <c r="AF976" s="111"/>
      <c r="AG976" s="111"/>
      <c r="AH976" s="111"/>
      <c r="AI976" s="111"/>
    </row>
    <row r="977" ht="15.75" customHeight="1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  <c r="AC977" s="139"/>
      <c r="AD977" s="123"/>
      <c r="AE977" s="111"/>
      <c r="AF977" s="111"/>
      <c r="AG977" s="111"/>
      <c r="AH977" s="111"/>
      <c r="AI977" s="111"/>
    </row>
    <row r="978" ht="15.75" customHeight="1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  <c r="AC978" s="139"/>
      <c r="AD978" s="123"/>
      <c r="AE978" s="111"/>
      <c r="AF978" s="111"/>
      <c r="AG978" s="111"/>
      <c r="AH978" s="111"/>
      <c r="AI978" s="111"/>
    </row>
    <row r="979" ht="15.75" customHeight="1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  <c r="AC979" s="139"/>
      <c r="AD979" s="123"/>
      <c r="AE979" s="111"/>
      <c r="AF979" s="111"/>
      <c r="AG979" s="111"/>
      <c r="AH979" s="111"/>
      <c r="AI979" s="111"/>
    </row>
    <row r="980" ht="15.75" customHeight="1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  <c r="AC980" s="139"/>
      <c r="AD980" s="123"/>
      <c r="AE980" s="111"/>
      <c r="AF980" s="111"/>
      <c r="AG980" s="111"/>
      <c r="AH980" s="111"/>
      <c r="AI980" s="111"/>
    </row>
    <row r="981" ht="15.75" customHeight="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  <c r="AC981" s="139"/>
      <c r="AD981" s="123"/>
      <c r="AE981" s="111"/>
      <c r="AF981" s="111"/>
      <c r="AG981" s="111"/>
      <c r="AH981" s="111"/>
      <c r="AI981" s="111"/>
    </row>
    <row r="982" ht="15.75" customHeight="1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  <c r="AC982" s="139"/>
      <c r="AD982" s="123"/>
      <c r="AE982" s="111"/>
      <c r="AF982" s="111"/>
      <c r="AG982" s="111"/>
      <c r="AH982" s="111"/>
      <c r="AI982" s="111"/>
    </row>
    <row r="983" ht="15.75" customHeight="1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  <c r="AC983" s="139"/>
      <c r="AD983" s="123"/>
      <c r="AE983" s="111"/>
      <c r="AF983" s="111"/>
      <c r="AG983" s="111"/>
      <c r="AH983" s="111"/>
      <c r="AI983" s="111"/>
    </row>
    <row r="984" ht="15.75" customHeight="1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  <c r="AC984" s="139"/>
      <c r="AD984" s="123"/>
      <c r="AE984" s="111"/>
      <c r="AF984" s="111"/>
      <c r="AG984" s="111"/>
      <c r="AH984" s="111"/>
      <c r="AI984" s="111"/>
    </row>
    <row r="985" ht="15.75" customHeight="1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  <c r="AC985" s="139"/>
      <c r="AD985" s="123"/>
      <c r="AE985" s="111"/>
      <c r="AF985" s="111"/>
      <c r="AG985" s="111"/>
      <c r="AH985" s="111"/>
      <c r="AI985" s="111"/>
    </row>
    <row r="986" ht="15.75" customHeight="1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  <c r="AC986" s="139"/>
      <c r="AD986" s="123"/>
      <c r="AE986" s="111"/>
      <c r="AF986" s="111"/>
      <c r="AG986" s="111"/>
      <c r="AH986" s="111"/>
      <c r="AI986" s="111"/>
    </row>
    <row r="987" ht="15.75" customHeight="1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  <c r="AC987" s="139"/>
      <c r="AD987" s="123"/>
      <c r="AE987" s="111"/>
      <c r="AF987" s="111"/>
      <c r="AG987" s="111"/>
      <c r="AH987" s="111"/>
      <c r="AI987" s="111"/>
    </row>
    <row r="988" ht="15.75" customHeight="1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  <c r="AC988" s="139"/>
      <c r="AD988" s="123"/>
      <c r="AE988" s="111"/>
      <c r="AF988" s="111"/>
      <c r="AG988" s="111"/>
      <c r="AH988" s="111"/>
      <c r="AI988" s="111"/>
    </row>
    <row r="989" ht="15.75" customHeight="1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  <c r="AC989" s="139"/>
      <c r="AD989" s="123"/>
      <c r="AE989" s="111"/>
      <c r="AF989" s="111"/>
      <c r="AG989" s="111"/>
      <c r="AH989" s="111"/>
      <c r="AI989" s="111"/>
    </row>
    <row r="990" ht="15.75" customHeight="1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  <c r="AC990" s="139"/>
      <c r="AD990" s="123"/>
      <c r="AE990" s="111"/>
      <c r="AF990" s="111"/>
      <c r="AG990" s="111"/>
      <c r="AH990" s="111"/>
      <c r="AI990" s="111"/>
    </row>
    <row r="991" ht="15.75" customHeight="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  <c r="AC991" s="139"/>
      <c r="AD991" s="123"/>
      <c r="AE991" s="111"/>
      <c r="AF991" s="111"/>
      <c r="AG991" s="111"/>
      <c r="AH991" s="111"/>
      <c r="AI991" s="111"/>
    </row>
    <row r="992" ht="15.75" customHeight="1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  <c r="AC992" s="139"/>
      <c r="AD992" s="123"/>
      <c r="AE992" s="111"/>
      <c r="AF992" s="111"/>
      <c r="AG992" s="111"/>
      <c r="AH992" s="111"/>
      <c r="AI992" s="111"/>
    </row>
    <row r="993" ht="15.75" customHeight="1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  <c r="AC993" s="139"/>
      <c r="AD993" s="123"/>
      <c r="AE993" s="111"/>
      <c r="AF993" s="111"/>
      <c r="AG993" s="111"/>
      <c r="AH993" s="111"/>
      <c r="AI993" s="111"/>
    </row>
    <row r="994" ht="15.75" customHeight="1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39"/>
      <c r="AD994" s="123"/>
      <c r="AE994" s="111"/>
      <c r="AF994" s="111"/>
      <c r="AG994" s="111"/>
      <c r="AH994" s="111"/>
      <c r="AI994" s="111"/>
    </row>
    <row r="995" ht="15.75" customHeight="1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  <c r="AC995" s="139"/>
      <c r="AD995" s="123"/>
      <c r="AE995" s="111"/>
      <c r="AF995" s="111"/>
      <c r="AG995" s="111"/>
      <c r="AH995" s="111"/>
      <c r="AI995" s="111"/>
    </row>
    <row r="996" ht="15.75" customHeight="1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  <c r="AC996" s="139"/>
      <c r="AD996" s="123"/>
      <c r="AE996" s="111"/>
      <c r="AF996" s="111"/>
      <c r="AG996" s="111"/>
      <c r="AH996" s="111"/>
      <c r="AI996" s="111"/>
    </row>
    <row r="997" ht="15.75" customHeight="1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  <c r="AC997" s="139"/>
      <c r="AD997" s="123"/>
      <c r="AE997" s="111"/>
      <c r="AF997" s="111"/>
      <c r="AG997" s="111"/>
      <c r="AH997" s="111"/>
      <c r="AI997" s="111"/>
    </row>
    <row r="998" ht="15.75" customHeight="1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  <c r="AC998" s="139"/>
      <c r="AD998" s="123"/>
      <c r="AE998" s="111"/>
      <c r="AF998" s="111"/>
      <c r="AG998" s="111"/>
      <c r="AH998" s="111"/>
      <c r="AI998" s="111"/>
    </row>
    <row r="999" ht="15.75" customHeight="1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  <c r="AC999" s="139"/>
      <c r="AD999" s="123"/>
      <c r="AE999" s="111"/>
      <c r="AF999" s="111"/>
      <c r="AG999" s="111"/>
      <c r="AH999" s="111"/>
      <c r="AI999" s="111"/>
    </row>
    <row r="1000" ht="15.75" customHeight="1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  <c r="AC1000" s="139"/>
      <c r="AD1000" s="123"/>
      <c r="AE1000" s="111"/>
      <c r="AF1000" s="111"/>
      <c r="AG1000" s="111"/>
      <c r="AH1000" s="111"/>
      <c r="AI1000" s="111"/>
    </row>
  </sheetData>
  <printOptions/>
  <pageMargins bottom="0.7480314960629921" footer="0.0" header="0.0" left="0.0" right="0.7086614173228347" top="0.7480314960629921"/>
  <pageSetup scale="7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1.13"/>
    <col customWidth="1" hidden="1" min="2" max="2" width="12.0"/>
    <col customWidth="1" min="3" max="3" width="29.25"/>
    <col customWidth="1" min="4" max="4" width="6.75"/>
    <col customWidth="1" hidden="1" min="5" max="5" width="6.13"/>
    <col customWidth="1" min="6" max="6" width="6.75"/>
    <col customWidth="1" hidden="1" min="7" max="7" width="5.63"/>
    <col customWidth="1" min="8" max="8" width="6.75"/>
    <col customWidth="1" hidden="1" min="9" max="9" width="6.25"/>
    <col customWidth="1" min="10" max="10" width="6.75"/>
    <col customWidth="1" hidden="1" min="11" max="11" width="5.75"/>
    <col customWidth="1" min="12" max="12" width="6.75"/>
    <col customWidth="1" hidden="1" min="13" max="13" width="6.5"/>
    <col customWidth="1" min="14" max="14" width="6.75"/>
    <col customWidth="1" hidden="1" min="15" max="15" width="5.63"/>
    <col customWidth="1" min="16" max="16" width="6.75"/>
    <col customWidth="1" hidden="1" min="17" max="17" width="5.13"/>
    <col customWidth="1" min="18" max="18" width="6.75"/>
    <col customWidth="1" hidden="1" min="19" max="19" width="6.13"/>
    <col customWidth="1" min="20" max="20" width="6.75"/>
    <col customWidth="1" hidden="1" min="21" max="21" width="5.88"/>
    <col customWidth="1" min="22" max="22" width="6.75"/>
    <col customWidth="1" hidden="1" min="23" max="23" width="5.5"/>
    <col customWidth="1" min="24" max="24" width="6.75"/>
    <col customWidth="1" hidden="1" min="25" max="25" width="6.0"/>
    <col customWidth="1" min="26" max="26" width="6.75"/>
    <col customWidth="1" hidden="1" min="27" max="27" width="5.5"/>
    <col customWidth="1" min="28" max="28" width="7.63"/>
    <col customWidth="1" hidden="1" min="29" max="29" width="6.13"/>
  </cols>
  <sheetData>
    <row r="1" ht="12.75" customHeight="1">
      <c r="A1" s="2"/>
      <c r="B1" s="2"/>
      <c r="C1" s="10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2"/>
    </row>
    <row r="2" ht="12.75" customHeight="1">
      <c r="A2" s="2"/>
      <c r="B2" s="2"/>
      <c r="C2" s="10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2"/>
    </row>
    <row r="3" ht="12.75" customHeight="1">
      <c r="A3" s="2"/>
      <c r="B3" s="2"/>
      <c r="C3" s="147" t="s">
        <v>261</v>
      </c>
      <c r="D3" s="148">
        <v>46023.0</v>
      </c>
      <c r="E3" s="78">
        <v>46023.0</v>
      </c>
      <c r="F3" s="148">
        <v>46054.0</v>
      </c>
      <c r="G3" s="78">
        <v>46054.0</v>
      </c>
      <c r="H3" s="148">
        <v>46082.0</v>
      </c>
      <c r="I3" s="78">
        <v>46082.0</v>
      </c>
      <c r="J3" s="148">
        <v>46113.0</v>
      </c>
      <c r="K3" s="78">
        <v>46113.0</v>
      </c>
      <c r="L3" s="148">
        <v>46143.0</v>
      </c>
      <c r="M3" s="78">
        <v>46143.0</v>
      </c>
      <c r="N3" s="148">
        <v>46174.0</v>
      </c>
      <c r="O3" s="78">
        <v>46174.0</v>
      </c>
      <c r="P3" s="148">
        <v>46204.0</v>
      </c>
      <c r="Q3" s="78">
        <v>46204.0</v>
      </c>
      <c r="R3" s="148">
        <v>46235.0</v>
      </c>
      <c r="S3" s="78">
        <v>46235.0</v>
      </c>
      <c r="T3" s="148">
        <v>46266.0</v>
      </c>
      <c r="U3" s="78">
        <v>46266.0</v>
      </c>
      <c r="V3" s="148">
        <v>46296.0</v>
      </c>
      <c r="W3" s="78">
        <v>46296.0</v>
      </c>
      <c r="X3" s="148">
        <v>46327.0</v>
      </c>
      <c r="Y3" s="78">
        <v>46327.0</v>
      </c>
      <c r="Z3" s="148">
        <v>46357.0</v>
      </c>
      <c r="AA3" s="78">
        <v>46357.0</v>
      </c>
      <c r="AB3" s="149">
        <v>2026.0</v>
      </c>
      <c r="AC3" s="2"/>
    </row>
    <row r="4" ht="12.75" customHeight="1">
      <c r="A4" s="2"/>
      <c r="B4" s="2"/>
      <c r="C4" s="80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2"/>
    </row>
    <row r="5" ht="12.0" customHeight="1">
      <c r="A5" s="2"/>
      <c r="B5" s="2"/>
      <c r="C5" s="2"/>
      <c r="D5" s="3"/>
      <c r="E5" s="3"/>
      <c r="F5" s="3"/>
      <c r="G5" s="3"/>
      <c r="H5" s="3"/>
      <c r="I5" s="3"/>
      <c r="J5" s="21"/>
      <c r="K5" s="21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2"/>
    </row>
    <row r="6" ht="12.75" customHeight="1">
      <c r="A6" s="2"/>
      <c r="B6" s="2"/>
      <c r="C6" s="81" t="s">
        <v>262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2"/>
    </row>
    <row r="7" ht="12.75" customHeight="1">
      <c r="A7" s="2"/>
      <c r="B7" s="2"/>
      <c r="C7" s="3" t="s">
        <v>263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2"/>
    </row>
    <row r="8" ht="12.75" customHeight="1">
      <c r="A8" s="131"/>
      <c r="B8" s="131"/>
      <c r="C8" s="150" t="s">
        <v>264</v>
      </c>
      <c r="D8" s="151">
        <v>0.0</v>
      </c>
      <c r="E8" s="151">
        <v>0.0</v>
      </c>
      <c r="F8" s="151">
        <v>0.0</v>
      </c>
      <c r="G8" s="151">
        <v>0.0</v>
      </c>
      <c r="H8" s="151">
        <v>0.0</v>
      </c>
      <c r="I8" s="151">
        <v>0.0</v>
      </c>
      <c r="J8" s="151">
        <v>0.0</v>
      </c>
      <c r="K8" s="151">
        <v>0.0</v>
      </c>
      <c r="L8" s="151">
        <v>0.0</v>
      </c>
      <c r="M8" s="151">
        <v>0.0</v>
      </c>
      <c r="N8" s="151">
        <v>0.0</v>
      </c>
      <c r="O8" s="151">
        <v>0.0</v>
      </c>
      <c r="P8" s="151">
        <v>0.0</v>
      </c>
      <c r="Q8" s="151">
        <v>0.0</v>
      </c>
      <c r="R8" s="151">
        <v>0.0</v>
      </c>
      <c r="S8" s="151">
        <v>0.0</v>
      </c>
      <c r="T8" s="151">
        <v>0.0</v>
      </c>
      <c r="U8" s="151">
        <v>0.0</v>
      </c>
      <c r="V8" s="151">
        <v>0.0</v>
      </c>
      <c r="W8" s="151">
        <v>0.0</v>
      </c>
      <c r="X8" s="151">
        <v>0.0</v>
      </c>
      <c r="Y8" s="151">
        <v>0.0</v>
      </c>
      <c r="Z8" s="151">
        <v>0.0</v>
      </c>
      <c r="AA8" s="151">
        <v>0.0</v>
      </c>
      <c r="AB8" s="152">
        <f>SUM(D8:AA8)</f>
        <v>0</v>
      </c>
      <c r="AC8" s="131"/>
    </row>
    <row r="9" ht="12.75" customHeight="1">
      <c r="A9" s="2"/>
      <c r="B9" s="2"/>
      <c r="C9" s="80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2"/>
    </row>
    <row r="10" ht="12.75" customHeight="1">
      <c r="A10" s="2"/>
      <c r="B10" s="2"/>
      <c r="C10" s="81" t="s">
        <v>265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2"/>
    </row>
    <row r="11" ht="12.75" customHeight="1">
      <c r="A11" s="2"/>
      <c r="B11" s="2" t="s">
        <v>266</v>
      </c>
      <c r="C11" s="2" t="s">
        <v>267</v>
      </c>
      <c r="D11" s="153">
        <v>13949.9</v>
      </c>
      <c r="E11" s="153">
        <v>0.0</v>
      </c>
      <c r="F11" s="153">
        <v>13949.9</v>
      </c>
      <c r="G11" s="153">
        <v>0.0</v>
      </c>
      <c r="H11" s="153">
        <v>13949.9</v>
      </c>
      <c r="I11" s="153">
        <v>0.0</v>
      </c>
      <c r="J11" s="153">
        <v>13949.9</v>
      </c>
      <c r="K11" s="153">
        <v>0.0</v>
      </c>
      <c r="L11" s="153">
        <v>13949.9</v>
      </c>
      <c r="M11" s="153">
        <v>0.0</v>
      </c>
      <c r="N11" s="153">
        <v>13949.9</v>
      </c>
      <c r="O11" s="153">
        <v>0.0</v>
      </c>
      <c r="P11" s="153">
        <v>13949.9</v>
      </c>
      <c r="Q11" s="153">
        <v>0.0</v>
      </c>
      <c r="R11" s="153">
        <v>13949.9</v>
      </c>
      <c r="S11" s="153">
        <v>0.0</v>
      </c>
      <c r="T11" s="153">
        <v>13949.9</v>
      </c>
      <c r="U11" s="153">
        <v>0.0</v>
      </c>
      <c r="V11" s="153">
        <v>13949.9</v>
      </c>
      <c r="W11" s="153">
        <v>0.0</v>
      </c>
      <c r="X11" s="153">
        <v>13949.9</v>
      </c>
      <c r="Y11" s="153">
        <v>0.0</v>
      </c>
      <c r="Z11" s="153">
        <v>13949.9</v>
      </c>
      <c r="AA11" s="153">
        <v>0.0</v>
      </c>
      <c r="AB11" s="3">
        <f t="shared" ref="AB11:AB14" si="1">D11+F11+H11+J11+L11+N11+P11+R11+T11+V11+X11+Z11</f>
        <v>167398.8</v>
      </c>
      <c r="AC11" s="101"/>
    </row>
    <row r="12" ht="12.75" customHeight="1">
      <c r="A12" s="2"/>
      <c r="B12" s="2" t="s">
        <v>268</v>
      </c>
      <c r="C12" s="2" t="s">
        <v>269</v>
      </c>
      <c r="D12" s="153">
        <v>127.19999999999999</v>
      </c>
      <c r="E12" s="153">
        <v>0.0</v>
      </c>
      <c r="F12" s="153">
        <v>127.19999999999999</v>
      </c>
      <c r="G12" s="153">
        <v>0.0</v>
      </c>
      <c r="H12" s="153">
        <v>127.19999999999999</v>
      </c>
      <c r="I12" s="153">
        <v>0.0</v>
      </c>
      <c r="J12" s="153">
        <v>127.19999999999999</v>
      </c>
      <c r="K12" s="153">
        <v>0.0</v>
      </c>
      <c r="L12" s="153">
        <v>127.19999999999999</v>
      </c>
      <c r="M12" s="153">
        <v>0.0</v>
      </c>
      <c r="N12" s="153">
        <v>127.19999999999999</v>
      </c>
      <c r="O12" s="153">
        <v>0.0</v>
      </c>
      <c r="P12" s="153">
        <v>127.19999999999999</v>
      </c>
      <c r="Q12" s="153">
        <v>0.0</v>
      </c>
      <c r="R12" s="153">
        <v>127.19999999999999</v>
      </c>
      <c r="S12" s="153">
        <v>0.0</v>
      </c>
      <c r="T12" s="153">
        <v>127.19999999999999</v>
      </c>
      <c r="U12" s="153">
        <v>0.0</v>
      </c>
      <c r="V12" s="153">
        <v>127.19999999999999</v>
      </c>
      <c r="W12" s="153">
        <v>0.0</v>
      </c>
      <c r="X12" s="153">
        <v>127.19999999999999</v>
      </c>
      <c r="Y12" s="153">
        <v>0.0</v>
      </c>
      <c r="Z12" s="153">
        <v>127.19999999999999</v>
      </c>
      <c r="AA12" s="153">
        <v>0.0</v>
      </c>
      <c r="AB12" s="3">
        <f t="shared" si="1"/>
        <v>1526.4</v>
      </c>
      <c r="AC12" s="3"/>
    </row>
    <row r="13" ht="12.75" customHeight="1">
      <c r="A13" s="2"/>
      <c r="B13" s="2" t="s">
        <v>270</v>
      </c>
      <c r="C13" s="2" t="s">
        <v>271</v>
      </c>
      <c r="D13" s="153">
        <v>954.0</v>
      </c>
      <c r="E13" s="153">
        <v>0.0</v>
      </c>
      <c r="F13" s="153">
        <v>954.0</v>
      </c>
      <c r="G13" s="153">
        <v>0.0</v>
      </c>
      <c r="H13" s="153">
        <v>954.0</v>
      </c>
      <c r="I13" s="153">
        <v>0.0</v>
      </c>
      <c r="J13" s="153">
        <v>954.0</v>
      </c>
      <c r="K13" s="153">
        <v>0.0</v>
      </c>
      <c r="L13" s="153">
        <v>954.0</v>
      </c>
      <c r="M13" s="153">
        <v>0.0</v>
      </c>
      <c r="N13" s="153">
        <v>954.0</v>
      </c>
      <c r="O13" s="153">
        <v>0.0</v>
      </c>
      <c r="P13" s="153">
        <v>954.0</v>
      </c>
      <c r="Q13" s="153">
        <v>0.0</v>
      </c>
      <c r="R13" s="153">
        <v>954.0</v>
      </c>
      <c r="S13" s="153">
        <v>0.0</v>
      </c>
      <c r="T13" s="153">
        <v>954.0</v>
      </c>
      <c r="U13" s="153">
        <v>0.0</v>
      </c>
      <c r="V13" s="153">
        <v>954.0</v>
      </c>
      <c r="W13" s="153">
        <v>0.0</v>
      </c>
      <c r="X13" s="153">
        <v>954.0</v>
      </c>
      <c r="Y13" s="153">
        <v>0.0</v>
      </c>
      <c r="Z13" s="153">
        <v>954.0</v>
      </c>
      <c r="AA13" s="153">
        <v>0.0</v>
      </c>
      <c r="AB13" s="3">
        <f t="shared" si="1"/>
        <v>11448</v>
      </c>
      <c r="AC13" s="2"/>
    </row>
    <row r="14" ht="12.75" customHeight="1">
      <c r="A14" s="2"/>
      <c r="B14" s="2" t="s">
        <v>272</v>
      </c>
      <c r="C14" s="2" t="s">
        <v>273</v>
      </c>
      <c r="D14" s="153">
        <v>240.0</v>
      </c>
      <c r="E14" s="153">
        <v>0.0</v>
      </c>
      <c r="F14" s="153">
        <v>240.0</v>
      </c>
      <c r="G14" s="153">
        <v>0.0</v>
      </c>
      <c r="H14" s="153">
        <v>240.0</v>
      </c>
      <c r="I14" s="153">
        <v>0.0</v>
      </c>
      <c r="J14" s="153">
        <v>240.0</v>
      </c>
      <c r="K14" s="153">
        <v>0.0</v>
      </c>
      <c r="L14" s="153">
        <v>240.0</v>
      </c>
      <c r="M14" s="153">
        <v>0.0</v>
      </c>
      <c r="N14" s="153">
        <v>240.0</v>
      </c>
      <c r="O14" s="153">
        <v>0.0</v>
      </c>
      <c r="P14" s="153">
        <v>240.0</v>
      </c>
      <c r="Q14" s="153">
        <v>0.0</v>
      </c>
      <c r="R14" s="153">
        <v>240.0</v>
      </c>
      <c r="S14" s="153">
        <v>0.0</v>
      </c>
      <c r="T14" s="153">
        <v>240.0</v>
      </c>
      <c r="U14" s="153">
        <v>0.0</v>
      </c>
      <c r="V14" s="153">
        <v>240.0</v>
      </c>
      <c r="W14" s="153">
        <v>0.0</v>
      </c>
      <c r="X14" s="153">
        <v>240.0</v>
      </c>
      <c r="Y14" s="153">
        <v>0.0</v>
      </c>
      <c r="Z14" s="153">
        <v>240.0</v>
      </c>
      <c r="AA14" s="153">
        <v>0.0</v>
      </c>
      <c r="AB14" s="3">
        <f t="shared" si="1"/>
        <v>2880</v>
      </c>
      <c r="AC14" s="75"/>
    </row>
    <row r="15" ht="12.75" customHeight="1">
      <c r="A15" s="131"/>
      <c r="B15" s="131"/>
      <c r="C15" s="154" t="s">
        <v>274</v>
      </c>
      <c r="D15" s="151">
        <f t="shared" ref="D15:AB15" si="2">D11+D12+D13+D14</f>
        <v>15271.1</v>
      </c>
      <c r="E15" s="151">
        <f t="shared" si="2"/>
        <v>0</v>
      </c>
      <c r="F15" s="151">
        <f t="shared" si="2"/>
        <v>15271.1</v>
      </c>
      <c r="G15" s="151">
        <f t="shared" si="2"/>
        <v>0</v>
      </c>
      <c r="H15" s="151">
        <f t="shared" si="2"/>
        <v>15271.1</v>
      </c>
      <c r="I15" s="151">
        <f t="shared" si="2"/>
        <v>0</v>
      </c>
      <c r="J15" s="151">
        <f t="shared" si="2"/>
        <v>15271.1</v>
      </c>
      <c r="K15" s="151">
        <f t="shared" si="2"/>
        <v>0</v>
      </c>
      <c r="L15" s="151">
        <f t="shared" si="2"/>
        <v>15271.1</v>
      </c>
      <c r="M15" s="151">
        <f t="shared" si="2"/>
        <v>0</v>
      </c>
      <c r="N15" s="151">
        <f t="shared" si="2"/>
        <v>15271.1</v>
      </c>
      <c r="O15" s="151">
        <f t="shared" si="2"/>
        <v>0</v>
      </c>
      <c r="P15" s="151">
        <f t="shared" si="2"/>
        <v>15271.1</v>
      </c>
      <c r="Q15" s="151">
        <f t="shared" si="2"/>
        <v>0</v>
      </c>
      <c r="R15" s="151">
        <f t="shared" si="2"/>
        <v>15271.1</v>
      </c>
      <c r="S15" s="151">
        <f t="shared" si="2"/>
        <v>0</v>
      </c>
      <c r="T15" s="151">
        <f t="shared" si="2"/>
        <v>15271.1</v>
      </c>
      <c r="U15" s="151">
        <f t="shared" si="2"/>
        <v>0</v>
      </c>
      <c r="V15" s="151">
        <f t="shared" si="2"/>
        <v>15271.1</v>
      </c>
      <c r="W15" s="151">
        <f t="shared" si="2"/>
        <v>0</v>
      </c>
      <c r="X15" s="151">
        <f t="shared" si="2"/>
        <v>15271.1</v>
      </c>
      <c r="Y15" s="151">
        <f t="shared" si="2"/>
        <v>0</v>
      </c>
      <c r="Z15" s="151">
        <f t="shared" si="2"/>
        <v>15271.1</v>
      </c>
      <c r="AA15" s="151">
        <f t="shared" si="2"/>
        <v>0</v>
      </c>
      <c r="AB15" s="152">
        <f t="shared" si="2"/>
        <v>183253.2</v>
      </c>
      <c r="AC15" s="131"/>
    </row>
    <row r="16" ht="12.75" customHeight="1">
      <c r="A16" s="2"/>
      <c r="B16" s="2"/>
      <c r="C16" s="103"/>
      <c r="D16" s="2"/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2"/>
    </row>
    <row r="17" ht="15.0" customHeight="1">
      <c r="A17" s="2"/>
      <c r="B17" s="2"/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2"/>
    </row>
    <row r="18" ht="12.75" customHeight="1">
      <c r="A18" s="131"/>
      <c r="B18" s="131"/>
      <c r="C18" s="154" t="s">
        <v>275</v>
      </c>
      <c r="D18" s="151">
        <f t="shared" ref="D18:AB18" si="3">+D8-D15</f>
        <v>-15271.1</v>
      </c>
      <c r="E18" s="151">
        <f t="shared" si="3"/>
        <v>0</v>
      </c>
      <c r="F18" s="151">
        <f t="shared" si="3"/>
        <v>-15271.1</v>
      </c>
      <c r="G18" s="151">
        <f t="shared" si="3"/>
        <v>0</v>
      </c>
      <c r="H18" s="151">
        <f t="shared" si="3"/>
        <v>-15271.1</v>
      </c>
      <c r="I18" s="151">
        <f t="shared" si="3"/>
        <v>0</v>
      </c>
      <c r="J18" s="151">
        <f t="shared" si="3"/>
        <v>-15271.1</v>
      </c>
      <c r="K18" s="151">
        <f t="shared" si="3"/>
        <v>0</v>
      </c>
      <c r="L18" s="151">
        <f t="shared" si="3"/>
        <v>-15271.1</v>
      </c>
      <c r="M18" s="151">
        <f t="shared" si="3"/>
        <v>0</v>
      </c>
      <c r="N18" s="151">
        <f t="shared" si="3"/>
        <v>-15271.1</v>
      </c>
      <c r="O18" s="151">
        <f t="shared" si="3"/>
        <v>0</v>
      </c>
      <c r="P18" s="151">
        <f t="shared" si="3"/>
        <v>-15271.1</v>
      </c>
      <c r="Q18" s="151">
        <f t="shared" si="3"/>
        <v>0</v>
      </c>
      <c r="R18" s="151">
        <f t="shared" si="3"/>
        <v>-15271.1</v>
      </c>
      <c r="S18" s="151">
        <f t="shared" si="3"/>
        <v>0</v>
      </c>
      <c r="T18" s="151">
        <f t="shared" si="3"/>
        <v>-15271.1</v>
      </c>
      <c r="U18" s="151">
        <f t="shared" si="3"/>
        <v>0</v>
      </c>
      <c r="V18" s="151">
        <f t="shared" si="3"/>
        <v>-15271.1</v>
      </c>
      <c r="W18" s="151">
        <f t="shared" si="3"/>
        <v>0</v>
      </c>
      <c r="X18" s="151">
        <f t="shared" si="3"/>
        <v>-15271.1</v>
      </c>
      <c r="Y18" s="151">
        <f t="shared" si="3"/>
        <v>0</v>
      </c>
      <c r="Z18" s="151">
        <f t="shared" si="3"/>
        <v>-15271.1</v>
      </c>
      <c r="AA18" s="151">
        <f t="shared" si="3"/>
        <v>0</v>
      </c>
      <c r="AB18" s="152">
        <f t="shared" si="3"/>
        <v>-183253.2</v>
      </c>
      <c r="AC18" s="75" t="s">
        <v>276</v>
      </c>
    </row>
    <row r="19" ht="12.75" customHeight="1">
      <c r="A19" s="2"/>
      <c r="B19" s="2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21"/>
      <c r="U19" s="21"/>
      <c r="V19" s="3"/>
      <c r="W19" s="3"/>
      <c r="X19" s="3"/>
      <c r="Y19" s="3"/>
      <c r="Z19" s="3"/>
      <c r="AA19" s="3"/>
      <c r="AB19" s="3"/>
      <c r="AC19" s="2"/>
    </row>
    <row r="20" ht="12.75" customHeight="1">
      <c r="A20" s="2"/>
      <c r="B20" s="2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2"/>
    </row>
    <row r="21" ht="12.75" customHeight="1">
      <c r="A21" s="2"/>
      <c r="B21" s="2"/>
      <c r="C21" s="10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rintOptions/>
  <pageMargins bottom="0.75" footer="0.0" header="0.0" left="0.7" right="0.7" top="0.75"/>
  <pageSetup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1.63"/>
    <col customWidth="1" hidden="1" min="2" max="2" width="13.5"/>
    <col customWidth="1" min="3" max="3" width="28.0"/>
    <col customWidth="1" min="4" max="4" width="7.63"/>
    <col customWidth="1" hidden="1" min="5" max="5" width="8.38"/>
    <col customWidth="1" min="6" max="6" width="6.75"/>
    <col customWidth="1" hidden="1" min="7" max="7" width="8.38"/>
    <col customWidth="1" min="8" max="8" width="6.75"/>
    <col customWidth="1" hidden="1" min="9" max="9" width="8.38"/>
    <col customWidth="1" min="10" max="10" width="7.63"/>
    <col customWidth="1" hidden="1" min="11" max="11" width="8.38"/>
    <col customWidth="1" min="12" max="12" width="6.75"/>
    <col customWidth="1" hidden="1" min="13" max="13" width="8.38"/>
    <col customWidth="1" min="14" max="14" width="6.75"/>
    <col customWidth="1" hidden="1" min="15" max="15" width="8.38"/>
    <col customWidth="1" min="16" max="16" width="7.63"/>
    <col customWidth="1" hidden="1" min="17" max="17" width="8.38"/>
    <col customWidth="1" min="18" max="18" width="6.75"/>
    <col customWidth="1" hidden="1" min="19" max="19" width="6.13"/>
    <col customWidth="1" min="20" max="20" width="7.63"/>
    <col customWidth="1" hidden="1" min="21" max="21" width="5.88"/>
    <col customWidth="1" min="22" max="22" width="6.75"/>
    <col customWidth="1" hidden="1" min="23" max="23" width="5.5"/>
    <col customWidth="1" min="24" max="24" width="6.75"/>
    <col customWidth="1" hidden="1" min="25" max="25" width="6.0"/>
    <col customWidth="1" min="26" max="26" width="6.75"/>
    <col customWidth="1" hidden="1" min="27" max="27" width="5.5"/>
    <col customWidth="1" min="28" max="28" width="10.0"/>
    <col customWidth="1" min="29" max="29" width="12.3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2.75" customHeight="1">
      <c r="A2" s="2"/>
      <c r="B2" s="2"/>
      <c r="C2" s="103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2"/>
    </row>
    <row r="3" ht="12.75" customHeight="1">
      <c r="A3" s="2"/>
      <c r="B3" s="2"/>
      <c r="C3" s="147" t="s">
        <v>277</v>
      </c>
      <c r="D3" s="148">
        <v>46023.0</v>
      </c>
      <c r="E3" s="78">
        <v>46023.0</v>
      </c>
      <c r="F3" s="148">
        <v>46054.0</v>
      </c>
      <c r="G3" s="78">
        <v>46054.0</v>
      </c>
      <c r="H3" s="148">
        <v>46082.0</v>
      </c>
      <c r="I3" s="78">
        <v>46082.0</v>
      </c>
      <c r="J3" s="148">
        <v>46113.0</v>
      </c>
      <c r="K3" s="78">
        <v>46113.0</v>
      </c>
      <c r="L3" s="148">
        <v>46143.0</v>
      </c>
      <c r="M3" s="78">
        <v>46143.0</v>
      </c>
      <c r="N3" s="148">
        <v>46174.0</v>
      </c>
      <c r="O3" s="78">
        <v>46174.0</v>
      </c>
      <c r="P3" s="148">
        <v>46204.0</v>
      </c>
      <c r="Q3" s="78">
        <v>46204.0</v>
      </c>
      <c r="R3" s="148">
        <v>46235.0</v>
      </c>
      <c r="S3" s="78">
        <v>46235.0</v>
      </c>
      <c r="T3" s="148">
        <v>46266.0</v>
      </c>
      <c r="U3" s="78">
        <v>46266.0</v>
      </c>
      <c r="V3" s="148">
        <v>46296.0</v>
      </c>
      <c r="W3" s="78">
        <v>46296.0</v>
      </c>
      <c r="X3" s="148">
        <v>46327.0</v>
      </c>
      <c r="Y3" s="78">
        <v>46327.0</v>
      </c>
      <c r="Z3" s="148">
        <v>46357.0</v>
      </c>
      <c r="AA3" s="78">
        <v>46357.0</v>
      </c>
      <c r="AB3" s="149">
        <v>2026.0</v>
      </c>
      <c r="AC3" s="2"/>
    </row>
    <row r="4" ht="12.75" customHeight="1">
      <c r="A4" s="2"/>
      <c r="B4" s="2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2"/>
    </row>
    <row r="5" ht="12.75" customHeight="1">
      <c r="A5" s="2"/>
      <c r="B5" s="2"/>
      <c r="C5" s="81" t="s">
        <v>278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12.75" customHeight="1">
      <c r="A6" s="2"/>
      <c r="B6" s="2"/>
      <c r="C6" s="3" t="s">
        <v>263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3">
        <v>0.0</v>
      </c>
      <c r="AA6" s="3">
        <v>0.0</v>
      </c>
      <c r="AB6" s="3">
        <f>D6+F6+H6+J6+L6+N6+P6+R6+T6+V6+X6+Z6</f>
        <v>0</v>
      </c>
      <c r="AC6" s="2"/>
    </row>
    <row r="7" ht="12.75" customHeight="1">
      <c r="A7" s="131"/>
      <c r="B7" s="131"/>
      <c r="C7" s="150" t="s">
        <v>279</v>
      </c>
      <c r="D7" s="151">
        <f t="shared" ref="D7:AB7" si="1">SUM(D6)</f>
        <v>0</v>
      </c>
      <c r="E7" s="151">
        <f t="shared" si="1"/>
        <v>0</v>
      </c>
      <c r="F7" s="151">
        <f t="shared" si="1"/>
        <v>0</v>
      </c>
      <c r="G7" s="151">
        <f t="shared" si="1"/>
        <v>0</v>
      </c>
      <c r="H7" s="151">
        <f t="shared" si="1"/>
        <v>0</v>
      </c>
      <c r="I7" s="151">
        <f t="shared" si="1"/>
        <v>0</v>
      </c>
      <c r="J7" s="151">
        <f t="shared" si="1"/>
        <v>0</v>
      </c>
      <c r="K7" s="151">
        <f t="shared" si="1"/>
        <v>0</v>
      </c>
      <c r="L7" s="151">
        <f t="shared" si="1"/>
        <v>0</v>
      </c>
      <c r="M7" s="151">
        <f t="shared" si="1"/>
        <v>0</v>
      </c>
      <c r="N7" s="151">
        <f t="shared" si="1"/>
        <v>0</v>
      </c>
      <c r="O7" s="151">
        <f t="shared" si="1"/>
        <v>0</v>
      </c>
      <c r="P7" s="151">
        <f t="shared" si="1"/>
        <v>0</v>
      </c>
      <c r="Q7" s="151">
        <f t="shared" si="1"/>
        <v>0</v>
      </c>
      <c r="R7" s="151">
        <f t="shared" si="1"/>
        <v>0</v>
      </c>
      <c r="S7" s="151">
        <f t="shared" si="1"/>
        <v>0</v>
      </c>
      <c r="T7" s="151">
        <f t="shared" si="1"/>
        <v>0</v>
      </c>
      <c r="U7" s="151">
        <f t="shared" si="1"/>
        <v>0</v>
      </c>
      <c r="V7" s="151">
        <f t="shared" si="1"/>
        <v>0</v>
      </c>
      <c r="W7" s="151">
        <f t="shared" si="1"/>
        <v>0</v>
      </c>
      <c r="X7" s="151">
        <f t="shared" si="1"/>
        <v>0</v>
      </c>
      <c r="Y7" s="151">
        <f t="shared" si="1"/>
        <v>0</v>
      </c>
      <c r="Z7" s="151">
        <f t="shared" si="1"/>
        <v>0</v>
      </c>
      <c r="AA7" s="151">
        <f t="shared" si="1"/>
        <v>0</v>
      </c>
      <c r="AB7" s="152">
        <f t="shared" si="1"/>
        <v>0</v>
      </c>
      <c r="AC7" s="131"/>
    </row>
    <row r="8" ht="12.75" customHeight="1">
      <c r="A8" s="2"/>
      <c r="B8" s="2"/>
      <c r="C8" s="80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2"/>
    </row>
    <row r="9" ht="12.75" customHeight="1">
      <c r="A9" s="2"/>
      <c r="B9" s="2"/>
      <c r="C9" s="81" t="s">
        <v>280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3"/>
      <c r="AC9" s="2"/>
    </row>
    <row r="10" ht="12.75" customHeight="1">
      <c r="A10" s="2"/>
      <c r="B10" s="2" t="s">
        <v>281</v>
      </c>
      <c r="C10" s="155" t="s">
        <v>282</v>
      </c>
      <c r="D10" s="156">
        <v>11102.5</v>
      </c>
      <c r="E10" s="3">
        <v>0.0</v>
      </c>
      <c r="F10" s="156">
        <v>11102.5</v>
      </c>
      <c r="G10" s="82">
        <v>8000.0</v>
      </c>
      <c r="H10" s="156">
        <v>11102.5</v>
      </c>
      <c r="I10" s="82">
        <v>8000.0</v>
      </c>
      <c r="J10" s="156">
        <v>11102.5</v>
      </c>
      <c r="K10" s="82">
        <v>8000.0</v>
      </c>
      <c r="L10" s="156">
        <v>11102.5</v>
      </c>
      <c r="M10" s="82">
        <v>8000.0</v>
      </c>
      <c r="N10" s="156">
        <v>11102.5</v>
      </c>
      <c r="O10" s="82">
        <v>8000.0</v>
      </c>
      <c r="P10" s="156">
        <v>11102.5</v>
      </c>
      <c r="Q10" s="82">
        <v>8000.0</v>
      </c>
      <c r="R10" s="156">
        <v>11102.5</v>
      </c>
      <c r="S10" s="82">
        <v>8000.0</v>
      </c>
      <c r="T10" s="156">
        <v>11102.5</v>
      </c>
      <c r="U10" s="82">
        <v>8000.0</v>
      </c>
      <c r="V10" s="156">
        <v>11102.5</v>
      </c>
      <c r="W10" s="82">
        <v>8000.0</v>
      </c>
      <c r="X10" s="156">
        <v>11102.5</v>
      </c>
      <c r="Y10" s="82">
        <v>8000.0</v>
      </c>
      <c r="Z10" s="156">
        <v>11102.5</v>
      </c>
      <c r="AA10" s="3">
        <v>0.0</v>
      </c>
      <c r="AB10" s="3">
        <f t="shared" ref="AB10:AB12" si="2">D10+F10+H10+J10+L10+N10+P10+R10+T10+V10+X10+Z10</f>
        <v>133230</v>
      </c>
      <c r="AC10" s="157"/>
    </row>
    <row r="11" ht="12.75" customHeight="1">
      <c r="A11" s="2"/>
      <c r="B11" s="2" t="s">
        <v>283</v>
      </c>
      <c r="C11" s="158" t="s">
        <v>284</v>
      </c>
      <c r="D11" s="156">
        <v>910.0</v>
      </c>
      <c r="E11" s="3">
        <v>0.0</v>
      </c>
      <c r="F11" s="156">
        <v>910.0</v>
      </c>
      <c r="G11" s="3">
        <v>0.0</v>
      </c>
      <c r="H11" s="156">
        <v>910.0</v>
      </c>
      <c r="I11" s="3">
        <v>0.0</v>
      </c>
      <c r="J11" s="156">
        <v>910.0</v>
      </c>
      <c r="K11" s="3">
        <v>0.0</v>
      </c>
      <c r="L11" s="156">
        <v>910.0</v>
      </c>
      <c r="M11" s="3">
        <v>0.0</v>
      </c>
      <c r="N11" s="156">
        <v>910.0</v>
      </c>
      <c r="O11" s="3">
        <v>0.0</v>
      </c>
      <c r="P11" s="156">
        <v>910.0</v>
      </c>
      <c r="Q11" s="3">
        <v>0.0</v>
      </c>
      <c r="R11" s="156">
        <v>910.0</v>
      </c>
      <c r="S11" s="3">
        <v>0.0</v>
      </c>
      <c r="T11" s="156">
        <v>910.0</v>
      </c>
      <c r="U11" s="3">
        <v>0.0</v>
      </c>
      <c r="V11" s="156">
        <v>910.0</v>
      </c>
      <c r="W11" s="3">
        <v>0.0</v>
      </c>
      <c r="X11" s="156">
        <v>910.0</v>
      </c>
      <c r="Y11" s="3">
        <v>0.0</v>
      </c>
      <c r="Z11" s="156">
        <v>910.0</v>
      </c>
      <c r="AA11" s="3">
        <v>0.0</v>
      </c>
      <c r="AB11" s="3">
        <f t="shared" si="2"/>
        <v>10920</v>
      </c>
      <c r="AC11" s="159"/>
    </row>
    <row r="12" ht="12.75" customHeight="1">
      <c r="A12" s="2"/>
      <c r="B12" s="2" t="s">
        <v>285</v>
      </c>
      <c r="C12" s="158" t="s">
        <v>286</v>
      </c>
      <c r="D12" s="156">
        <v>987.5</v>
      </c>
      <c r="E12" s="3">
        <v>0.0</v>
      </c>
      <c r="F12" s="156">
        <v>987.5</v>
      </c>
      <c r="G12" s="3">
        <v>0.0</v>
      </c>
      <c r="H12" s="156">
        <v>987.5</v>
      </c>
      <c r="I12" s="3">
        <v>0.0</v>
      </c>
      <c r="J12" s="156">
        <v>987.5</v>
      </c>
      <c r="K12" s="3">
        <v>0.0</v>
      </c>
      <c r="L12" s="156">
        <v>987.5</v>
      </c>
      <c r="M12" s="3">
        <v>0.0</v>
      </c>
      <c r="N12" s="156">
        <v>987.5</v>
      </c>
      <c r="O12" s="3">
        <v>0.0</v>
      </c>
      <c r="P12" s="156">
        <v>987.5</v>
      </c>
      <c r="Q12" s="3">
        <v>0.0</v>
      </c>
      <c r="R12" s="156">
        <v>987.5</v>
      </c>
      <c r="S12" s="3">
        <v>0.0</v>
      </c>
      <c r="T12" s="156">
        <v>987.5</v>
      </c>
      <c r="U12" s="3">
        <v>0.0</v>
      </c>
      <c r="V12" s="156">
        <v>987.5</v>
      </c>
      <c r="W12" s="3">
        <v>0.0</v>
      </c>
      <c r="X12" s="156">
        <v>987.5</v>
      </c>
      <c r="Y12" s="3">
        <v>0.0</v>
      </c>
      <c r="Z12" s="156">
        <v>987.5</v>
      </c>
      <c r="AA12" s="3">
        <v>0.0</v>
      </c>
      <c r="AB12" s="3">
        <f t="shared" si="2"/>
        <v>11850</v>
      </c>
      <c r="AC12" s="159"/>
    </row>
    <row r="13" ht="12.75" customHeight="1">
      <c r="A13" s="131"/>
      <c r="B13" s="131"/>
      <c r="C13" s="150" t="s">
        <v>287</v>
      </c>
      <c r="D13" s="151">
        <f t="shared" ref="D13:AB13" si="3">SUM(D10:D12)</f>
        <v>13000</v>
      </c>
      <c r="E13" s="151">
        <f t="shared" si="3"/>
        <v>0</v>
      </c>
      <c r="F13" s="151">
        <f t="shared" si="3"/>
        <v>13000</v>
      </c>
      <c r="G13" s="151">
        <f t="shared" si="3"/>
        <v>8000</v>
      </c>
      <c r="H13" s="151">
        <f t="shared" si="3"/>
        <v>13000</v>
      </c>
      <c r="I13" s="151">
        <f t="shared" si="3"/>
        <v>8000</v>
      </c>
      <c r="J13" s="151">
        <f t="shared" si="3"/>
        <v>13000</v>
      </c>
      <c r="K13" s="151">
        <f t="shared" si="3"/>
        <v>8000</v>
      </c>
      <c r="L13" s="151">
        <f t="shared" si="3"/>
        <v>13000</v>
      </c>
      <c r="M13" s="151">
        <f t="shared" si="3"/>
        <v>8000</v>
      </c>
      <c r="N13" s="151">
        <f t="shared" si="3"/>
        <v>13000</v>
      </c>
      <c r="O13" s="151">
        <f t="shared" si="3"/>
        <v>8000</v>
      </c>
      <c r="P13" s="151">
        <f t="shared" si="3"/>
        <v>13000</v>
      </c>
      <c r="Q13" s="151">
        <f t="shared" si="3"/>
        <v>8000</v>
      </c>
      <c r="R13" s="151">
        <f t="shared" si="3"/>
        <v>13000</v>
      </c>
      <c r="S13" s="151">
        <f t="shared" si="3"/>
        <v>8000</v>
      </c>
      <c r="T13" s="151">
        <f t="shared" si="3"/>
        <v>13000</v>
      </c>
      <c r="U13" s="151">
        <f t="shared" si="3"/>
        <v>8000</v>
      </c>
      <c r="V13" s="151">
        <f t="shared" si="3"/>
        <v>13000</v>
      </c>
      <c r="W13" s="151">
        <f t="shared" si="3"/>
        <v>8000</v>
      </c>
      <c r="X13" s="151">
        <f t="shared" si="3"/>
        <v>13000</v>
      </c>
      <c r="Y13" s="151">
        <f t="shared" si="3"/>
        <v>8000</v>
      </c>
      <c r="Z13" s="151">
        <f t="shared" si="3"/>
        <v>13000</v>
      </c>
      <c r="AA13" s="151">
        <f t="shared" si="3"/>
        <v>0</v>
      </c>
      <c r="AB13" s="151">
        <f t="shared" si="3"/>
        <v>156000</v>
      </c>
      <c r="AC13" s="160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160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160"/>
    </row>
    <row r="16" ht="12.75" customHeight="1">
      <c r="A16" s="131"/>
      <c r="B16" s="131"/>
      <c r="C16" s="154" t="s">
        <v>288</v>
      </c>
      <c r="D16" s="151">
        <f t="shared" ref="D16:AB16" si="4">+D7-D13</f>
        <v>-13000</v>
      </c>
      <c r="E16" s="151">
        <f t="shared" si="4"/>
        <v>0</v>
      </c>
      <c r="F16" s="151">
        <f t="shared" si="4"/>
        <v>-13000</v>
      </c>
      <c r="G16" s="151">
        <f t="shared" si="4"/>
        <v>-8000</v>
      </c>
      <c r="H16" s="151">
        <f t="shared" si="4"/>
        <v>-13000</v>
      </c>
      <c r="I16" s="151">
        <f t="shared" si="4"/>
        <v>-8000</v>
      </c>
      <c r="J16" s="151">
        <f t="shared" si="4"/>
        <v>-13000</v>
      </c>
      <c r="K16" s="151">
        <f t="shared" si="4"/>
        <v>-8000</v>
      </c>
      <c r="L16" s="151">
        <f t="shared" si="4"/>
        <v>-13000</v>
      </c>
      <c r="M16" s="151">
        <f t="shared" si="4"/>
        <v>-8000</v>
      </c>
      <c r="N16" s="151">
        <f t="shared" si="4"/>
        <v>-13000</v>
      </c>
      <c r="O16" s="151">
        <f t="shared" si="4"/>
        <v>-8000</v>
      </c>
      <c r="P16" s="151">
        <f t="shared" si="4"/>
        <v>-13000</v>
      </c>
      <c r="Q16" s="151">
        <f t="shared" si="4"/>
        <v>-8000</v>
      </c>
      <c r="R16" s="151">
        <f t="shared" si="4"/>
        <v>-13000</v>
      </c>
      <c r="S16" s="151">
        <f t="shared" si="4"/>
        <v>-8000</v>
      </c>
      <c r="T16" s="151">
        <f t="shared" si="4"/>
        <v>-13000</v>
      </c>
      <c r="U16" s="151">
        <f t="shared" si="4"/>
        <v>-8000</v>
      </c>
      <c r="V16" s="151">
        <f t="shared" si="4"/>
        <v>-13000</v>
      </c>
      <c r="W16" s="151">
        <f t="shared" si="4"/>
        <v>-8000</v>
      </c>
      <c r="X16" s="151">
        <f t="shared" si="4"/>
        <v>-13000</v>
      </c>
      <c r="Y16" s="151">
        <f t="shared" si="4"/>
        <v>-8000</v>
      </c>
      <c r="Z16" s="151">
        <f t="shared" si="4"/>
        <v>-13000</v>
      </c>
      <c r="AA16" s="151">
        <f t="shared" si="4"/>
        <v>0</v>
      </c>
      <c r="AB16" s="152">
        <f t="shared" si="4"/>
        <v>-156000</v>
      </c>
      <c r="AC16" s="131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15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3"/>
      <c r="AC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rintOptions/>
  <pageMargins bottom="0.75" footer="0.0" header="0.0" left="0.7" right="0.7" top="0.75"/>
  <pageSetup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/>
  <cols>
    <col customWidth="1" min="1" max="1" width="1.5"/>
    <col customWidth="1" hidden="1" min="2" max="2" width="12.0"/>
    <col customWidth="1" min="3" max="3" width="23.5"/>
    <col customWidth="1" min="4" max="4" width="6.13"/>
    <col customWidth="1" hidden="1" min="5" max="5" width="6.13"/>
    <col customWidth="1" min="6" max="6" width="5.63"/>
    <col customWidth="1" hidden="1" min="7" max="7" width="5.63"/>
    <col customWidth="1" min="8" max="8" width="6.75"/>
    <col customWidth="1" hidden="1" min="9" max="9" width="6.25"/>
    <col customWidth="1" min="10" max="10" width="6.75"/>
    <col customWidth="1" hidden="1" min="11" max="11" width="5.75"/>
    <col customWidth="1" min="12" max="12" width="6.75"/>
    <col customWidth="1" hidden="1" min="13" max="13" width="6.5"/>
    <col customWidth="1" min="14" max="14" width="6.75"/>
    <col customWidth="1" hidden="1" min="15" max="15" width="5.63"/>
    <col customWidth="1" min="16" max="16" width="6.75"/>
    <col customWidth="1" hidden="1" min="17" max="17" width="5.13"/>
    <col customWidth="1" min="18" max="18" width="6.75"/>
    <col customWidth="1" hidden="1" min="19" max="19" width="6.13"/>
    <col customWidth="1" min="20" max="20" width="6.75"/>
    <col customWidth="1" hidden="1" min="21" max="21" width="5.88"/>
    <col customWidth="1" min="22" max="22" width="6.75"/>
    <col customWidth="1" hidden="1" min="23" max="23" width="5.5"/>
    <col customWidth="1" min="24" max="24" width="6.75"/>
    <col customWidth="1" hidden="1" min="25" max="25" width="6.0"/>
    <col customWidth="1" min="26" max="26" width="6.75"/>
    <col customWidth="1" hidden="1" min="27" max="27" width="5.5"/>
    <col customWidth="1" min="28" max="28" width="7.63"/>
  </cols>
  <sheetData>
    <row r="1" ht="15.0" customHeight="1">
      <c r="AC1" s="75"/>
    </row>
    <row r="2" ht="12.75" customHeight="1">
      <c r="B2" s="2"/>
      <c r="C2" s="161" t="s">
        <v>289</v>
      </c>
      <c r="D2" s="77">
        <v>46023.0</v>
      </c>
      <c r="E2" s="78">
        <v>46023.0</v>
      </c>
      <c r="F2" s="77">
        <v>46054.0</v>
      </c>
      <c r="G2" s="78">
        <v>46054.0</v>
      </c>
      <c r="H2" s="77">
        <v>46082.0</v>
      </c>
      <c r="I2" s="78">
        <v>46082.0</v>
      </c>
      <c r="J2" s="77">
        <v>46113.0</v>
      </c>
      <c r="K2" s="78">
        <v>46113.0</v>
      </c>
      <c r="L2" s="77">
        <v>46143.0</v>
      </c>
      <c r="M2" s="78">
        <v>46143.0</v>
      </c>
      <c r="N2" s="77">
        <v>46174.0</v>
      </c>
      <c r="O2" s="78">
        <v>46174.0</v>
      </c>
      <c r="P2" s="77">
        <v>46204.0</v>
      </c>
      <c r="Q2" s="78">
        <v>46204.0</v>
      </c>
      <c r="R2" s="77">
        <v>46235.0</v>
      </c>
      <c r="S2" s="78">
        <v>46235.0</v>
      </c>
      <c r="T2" s="77">
        <v>46266.0</v>
      </c>
      <c r="U2" s="78">
        <v>46266.0</v>
      </c>
      <c r="V2" s="77">
        <v>46296.0</v>
      </c>
      <c r="W2" s="78">
        <v>46296.0</v>
      </c>
      <c r="X2" s="77">
        <v>46327.0</v>
      </c>
      <c r="Y2" s="78">
        <v>46327.0</v>
      </c>
      <c r="Z2" s="77">
        <v>46357.0</v>
      </c>
      <c r="AA2" s="78">
        <v>46357.0</v>
      </c>
      <c r="AB2" s="79">
        <v>2026.0</v>
      </c>
      <c r="AC2" s="75"/>
    </row>
    <row r="3" ht="12.75" customHeight="1">
      <c r="B3" s="2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75"/>
    </row>
    <row r="4" ht="12.75" customHeight="1">
      <c r="B4" s="2"/>
      <c r="C4" s="81" t="s">
        <v>290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75"/>
    </row>
    <row r="5" ht="12.75" customHeight="1">
      <c r="B5" s="2" t="s">
        <v>291</v>
      </c>
      <c r="C5" s="3" t="s">
        <v>292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0.0</v>
      </c>
      <c r="AA5" s="3">
        <v>0.0</v>
      </c>
      <c r="AB5" s="3">
        <f t="shared" ref="AB5:AB6" si="1">D5+F5+H5+J5+L5+N5+P5+R5+T5+V5+X5+Z5</f>
        <v>0</v>
      </c>
      <c r="AC5" s="75"/>
    </row>
    <row r="6" ht="12.75" customHeight="1">
      <c r="B6" s="2" t="s">
        <v>293</v>
      </c>
      <c r="C6" s="3" t="s">
        <v>294</v>
      </c>
      <c r="D6" s="3">
        <v>0.0</v>
      </c>
      <c r="E6" s="3">
        <v>0.0</v>
      </c>
      <c r="F6" s="3">
        <v>0.0</v>
      </c>
      <c r="G6" s="3">
        <v>0.0</v>
      </c>
      <c r="H6" s="3">
        <v>6435.000000000001</v>
      </c>
      <c r="I6" s="3">
        <v>0.0</v>
      </c>
      <c r="J6" s="3">
        <v>3960.0000000000005</v>
      </c>
      <c r="K6" s="3">
        <v>0.0</v>
      </c>
      <c r="L6" s="3">
        <v>814.0000000000001</v>
      </c>
      <c r="M6" s="3">
        <v>0.0</v>
      </c>
      <c r="N6" s="3">
        <v>6435.000000000001</v>
      </c>
      <c r="O6" s="3">
        <v>0.0</v>
      </c>
      <c r="P6" s="3">
        <v>7425.000000000001</v>
      </c>
      <c r="Q6" s="3">
        <v>0.0</v>
      </c>
      <c r="R6" s="3">
        <v>4881.723000000001</v>
      </c>
      <c r="S6" s="3">
        <v>0.0</v>
      </c>
      <c r="T6" s="3">
        <v>3465.0000000000005</v>
      </c>
      <c r="U6" s="3">
        <v>0.0</v>
      </c>
      <c r="V6" s="3">
        <v>10725.0</v>
      </c>
      <c r="W6" s="3">
        <v>0.0</v>
      </c>
      <c r="X6" s="3">
        <v>10725.0</v>
      </c>
      <c r="Y6" s="3">
        <v>0.0</v>
      </c>
      <c r="Z6" s="3">
        <v>10725.0</v>
      </c>
      <c r="AA6" s="3">
        <v>0.0</v>
      </c>
      <c r="AB6" s="3">
        <f t="shared" si="1"/>
        <v>65590.723</v>
      </c>
      <c r="AC6" s="75"/>
    </row>
    <row r="7" ht="12.75" customHeight="1">
      <c r="B7" s="2"/>
      <c r="C7" s="85" t="s">
        <v>295</v>
      </c>
      <c r="D7" s="86">
        <f t="shared" ref="D7:AB7" si="2">SUM(D5:D6)</f>
        <v>0</v>
      </c>
      <c r="E7" s="86">
        <f t="shared" si="2"/>
        <v>0</v>
      </c>
      <c r="F7" s="86">
        <f t="shared" si="2"/>
        <v>0</v>
      </c>
      <c r="G7" s="86">
        <f t="shared" si="2"/>
        <v>0</v>
      </c>
      <c r="H7" s="86">
        <f t="shared" si="2"/>
        <v>6435</v>
      </c>
      <c r="I7" s="86">
        <f t="shared" si="2"/>
        <v>0</v>
      </c>
      <c r="J7" s="86">
        <f t="shared" si="2"/>
        <v>3960</v>
      </c>
      <c r="K7" s="86">
        <f t="shared" si="2"/>
        <v>0</v>
      </c>
      <c r="L7" s="86">
        <f t="shared" si="2"/>
        <v>814</v>
      </c>
      <c r="M7" s="86">
        <f t="shared" si="2"/>
        <v>0</v>
      </c>
      <c r="N7" s="86">
        <f t="shared" si="2"/>
        <v>6435</v>
      </c>
      <c r="O7" s="86">
        <f t="shared" si="2"/>
        <v>0</v>
      </c>
      <c r="P7" s="86">
        <f t="shared" si="2"/>
        <v>7425</v>
      </c>
      <c r="Q7" s="86">
        <f t="shared" si="2"/>
        <v>0</v>
      </c>
      <c r="R7" s="86">
        <f t="shared" si="2"/>
        <v>4881.723</v>
      </c>
      <c r="S7" s="86">
        <f t="shared" si="2"/>
        <v>0</v>
      </c>
      <c r="T7" s="86">
        <f t="shared" si="2"/>
        <v>3465</v>
      </c>
      <c r="U7" s="86">
        <f t="shared" si="2"/>
        <v>0</v>
      </c>
      <c r="V7" s="86">
        <f t="shared" si="2"/>
        <v>10725</v>
      </c>
      <c r="W7" s="86">
        <f t="shared" si="2"/>
        <v>0</v>
      </c>
      <c r="X7" s="86">
        <f t="shared" si="2"/>
        <v>10725</v>
      </c>
      <c r="Y7" s="86">
        <f t="shared" si="2"/>
        <v>0</v>
      </c>
      <c r="Z7" s="86">
        <f t="shared" si="2"/>
        <v>10725</v>
      </c>
      <c r="AA7" s="86">
        <f t="shared" si="2"/>
        <v>0</v>
      </c>
      <c r="AB7" s="86">
        <f t="shared" si="2"/>
        <v>65590.723</v>
      </c>
      <c r="AC7" s="75"/>
    </row>
    <row r="8" ht="12.75" customHeight="1">
      <c r="B8" s="2"/>
      <c r="C8" s="80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75"/>
    </row>
    <row r="9" ht="12.75" customHeight="1">
      <c r="B9" s="2"/>
      <c r="C9" s="81" t="s">
        <v>296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3"/>
      <c r="AC9" s="75"/>
    </row>
    <row r="10" ht="12.75" customHeight="1">
      <c r="B10" s="2" t="s">
        <v>297</v>
      </c>
      <c r="C10" s="2" t="s">
        <v>298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f t="shared" ref="AB10:AB11" si="3">D10+F10+H10+J10+L10+N10+P10+R10+T10+V10+X10+Z10</f>
        <v>0</v>
      </c>
      <c r="AC10" s="75"/>
    </row>
    <row r="11" ht="12.75" customHeight="1">
      <c r="B11" s="2" t="s">
        <v>299</v>
      </c>
      <c r="C11" s="2" t="s">
        <v>294</v>
      </c>
      <c r="D11" s="3">
        <v>0.0</v>
      </c>
      <c r="E11" s="3">
        <v>0.0</v>
      </c>
      <c r="F11" s="3">
        <v>0.0</v>
      </c>
      <c r="G11" s="3">
        <v>0.0</v>
      </c>
      <c r="H11" s="3">
        <v>722.1500000000001</v>
      </c>
      <c r="I11" s="3">
        <v>0.0</v>
      </c>
      <c r="J11" s="3">
        <v>9799.636</v>
      </c>
      <c r="K11" s="3">
        <v>0.0</v>
      </c>
      <c r="L11" s="3">
        <v>9799.636</v>
      </c>
      <c r="M11" s="3">
        <v>0.0</v>
      </c>
      <c r="N11" s="3">
        <v>9306.264000000001</v>
      </c>
      <c r="O11" s="3">
        <v>0.0</v>
      </c>
      <c r="P11" s="3">
        <v>2420.0</v>
      </c>
      <c r="Q11" s="3">
        <v>0.0</v>
      </c>
      <c r="R11" s="3">
        <v>9799.636</v>
      </c>
      <c r="S11" s="3">
        <v>0.0</v>
      </c>
      <c r="T11" s="3">
        <v>9790.550000000001</v>
      </c>
      <c r="U11" s="3">
        <v>0.0</v>
      </c>
      <c r="V11" s="3">
        <v>8624.0</v>
      </c>
      <c r="W11" s="3">
        <v>0.0</v>
      </c>
      <c r="X11" s="3">
        <v>8624.0</v>
      </c>
      <c r="Y11" s="3">
        <v>0.0</v>
      </c>
      <c r="Z11" s="3">
        <v>8624.0</v>
      </c>
      <c r="AA11" s="3">
        <v>0.0</v>
      </c>
      <c r="AB11" s="3">
        <f t="shared" si="3"/>
        <v>77509.872</v>
      </c>
      <c r="AC11" s="75"/>
    </row>
    <row r="12" ht="12.75" customHeight="1">
      <c r="B12" s="2"/>
      <c r="C12" s="85" t="s">
        <v>300</v>
      </c>
      <c r="D12" s="86">
        <f t="shared" ref="D12:AB12" si="4">SUM(D10:D11)</f>
        <v>0</v>
      </c>
      <c r="E12" s="86">
        <f t="shared" si="4"/>
        <v>0</v>
      </c>
      <c r="F12" s="86">
        <f t="shared" si="4"/>
        <v>0</v>
      </c>
      <c r="G12" s="86">
        <f t="shared" si="4"/>
        <v>0</v>
      </c>
      <c r="H12" s="86">
        <f t="shared" si="4"/>
        <v>722.15</v>
      </c>
      <c r="I12" s="86">
        <f t="shared" si="4"/>
        <v>0</v>
      </c>
      <c r="J12" s="86">
        <f t="shared" si="4"/>
        <v>9799.636</v>
      </c>
      <c r="K12" s="86">
        <f t="shared" si="4"/>
        <v>0</v>
      </c>
      <c r="L12" s="86">
        <f t="shared" si="4"/>
        <v>9799.636</v>
      </c>
      <c r="M12" s="86">
        <f t="shared" si="4"/>
        <v>0</v>
      </c>
      <c r="N12" s="86">
        <f t="shared" si="4"/>
        <v>9306.264</v>
      </c>
      <c r="O12" s="86">
        <f t="shared" si="4"/>
        <v>0</v>
      </c>
      <c r="P12" s="86">
        <f t="shared" si="4"/>
        <v>2420</v>
      </c>
      <c r="Q12" s="86">
        <f t="shared" si="4"/>
        <v>0</v>
      </c>
      <c r="R12" s="86">
        <f t="shared" si="4"/>
        <v>9799.636</v>
      </c>
      <c r="S12" s="86">
        <f t="shared" si="4"/>
        <v>0</v>
      </c>
      <c r="T12" s="86">
        <f t="shared" si="4"/>
        <v>9790.55</v>
      </c>
      <c r="U12" s="86">
        <f t="shared" si="4"/>
        <v>0</v>
      </c>
      <c r="V12" s="86">
        <f t="shared" si="4"/>
        <v>8624</v>
      </c>
      <c r="W12" s="86">
        <f t="shared" si="4"/>
        <v>0</v>
      </c>
      <c r="X12" s="86">
        <f t="shared" si="4"/>
        <v>8624</v>
      </c>
      <c r="Y12" s="86">
        <f t="shared" si="4"/>
        <v>0</v>
      </c>
      <c r="Z12" s="86">
        <f t="shared" si="4"/>
        <v>8624</v>
      </c>
      <c r="AA12" s="86">
        <f t="shared" si="4"/>
        <v>0</v>
      </c>
      <c r="AB12" s="86">
        <f t="shared" si="4"/>
        <v>77509.872</v>
      </c>
      <c r="AC12" s="75"/>
    </row>
    <row r="13" ht="12.75" customHeight="1">
      <c r="B13" s="2"/>
      <c r="C13" s="103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75"/>
    </row>
    <row r="14" ht="12.75" customHeight="1">
      <c r="B14" s="2"/>
      <c r="C14" s="88" t="s">
        <v>301</v>
      </c>
      <c r="D14" s="89">
        <f t="shared" ref="D14:AB14" si="5">+D7-D12</f>
        <v>0</v>
      </c>
      <c r="E14" s="89">
        <f t="shared" si="5"/>
        <v>0</v>
      </c>
      <c r="F14" s="89">
        <f t="shared" si="5"/>
        <v>0</v>
      </c>
      <c r="G14" s="89">
        <f t="shared" si="5"/>
        <v>0</v>
      </c>
      <c r="H14" s="89">
        <f t="shared" si="5"/>
        <v>5712.85</v>
      </c>
      <c r="I14" s="89">
        <f t="shared" si="5"/>
        <v>0</v>
      </c>
      <c r="J14" s="89">
        <f t="shared" si="5"/>
        <v>-5839.636</v>
      </c>
      <c r="K14" s="89">
        <f t="shared" si="5"/>
        <v>0</v>
      </c>
      <c r="L14" s="89">
        <f t="shared" si="5"/>
        <v>-8985.636</v>
      </c>
      <c r="M14" s="89">
        <f t="shared" si="5"/>
        <v>0</v>
      </c>
      <c r="N14" s="89">
        <f t="shared" si="5"/>
        <v>-2871.264</v>
      </c>
      <c r="O14" s="89">
        <f t="shared" si="5"/>
        <v>0</v>
      </c>
      <c r="P14" s="89">
        <f t="shared" si="5"/>
        <v>5005</v>
      </c>
      <c r="Q14" s="89">
        <f t="shared" si="5"/>
        <v>0</v>
      </c>
      <c r="R14" s="89">
        <f t="shared" si="5"/>
        <v>-4917.913</v>
      </c>
      <c r="S14" s="89">
        <f t="shared" si="5"/>
        <v>0</v>
      </c>
      <c r="T14" s="89">
        <f t="shared" si="5"/>
        <v>-6325.55</v>
      </c>
      <c r="U14" s="89">
        <f t="shared" si="5"/>
        <v>0</v>
      </c>
      <c r="V14" s="89">
        <f t="shared" si="5"/>
        <v>2101</v>
      </c>
      <c r="W14" s="89">
        <f t="shared" si="5"/>
        <v>0</v>
      </c>
      <c r="X14" s="89">
        <f t="shared" si="5"/>
        <v>2101</v>
      </c>
      <c r="Y14" s="89">
        <f t="shared" si="5"/>
        <v>0</v>
      </c>
      <c r="Z14" s="89">
        <f t="shared" si="5"/>
        <v>2101</v>
      </c>
      <c r="AA14" s="89">
        <f t="shared" si="5"/>
        <v>0</v>
      </c>
      <c r="AB14" s="90">
        <f t="shared" si="5"/>
        <v>-11919.149</v>
      </c>
      <c r="AC14" s="75"/>
    </row>
    <row r="15">
      <c r="AC15" s="75"/>
    </row>
    <row r="16">
      <c r="AC16" s="75"/>
    </row>
    <row r="17" ht="12.75" customHeight="1">
      <c r="B17" s="2"/>
      <c r="C17" s="81" t="s">
        <v>302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75"/>
    </row>
    <row r="18" ht="12.75" customHeight="1">
      <c r="B18" s="2"/>
      <c r="C18" s="8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75"/>
    </row>
    <row r="19" ht="12.75" customHeight="1">
      <c r="B19" s="162" t="s">
        <v>303</v>
      </c>
      <c r="C19" s="158" t="s">
        <v>304</v>
      </c>
      <c r="D19" s="163">
        <v>0.0</v>
      </c>
      <c r="E19" s="163">
        <v>0.0</v>
      </c>
      <c r="F19" s="163">
        <v>0.0</v>
      </c>
      <c r="G19" s="163">
        <v>0.0</v>
      </c>
      <c r="H19" s="163">
        <v>4338.7814</v>
      </c>
      <c r="I19" s="163">
        <v>0.0</v>
      </c>
      <c r="J19" s="163">
        <v>0.0</v>
      </c>
      <c r="K19" s="163">
        <v>0.0</v>
      </c>
      <c r="L19" s="163">
        <v>35492.21800000001</v>
      </c>
      <c r="M19" s="163">
        <v>0.0</v>
      </c>
      <c r="N19" s="163">
        <v>0.0</v>
      </c>
      <c r="O19" s="163">
        <v>0.0</v>
      </c>
      <c r="P19" s="163">
        <v>11733.595800000001</v>
      </c>
      <c r="Q19" s="163">
        <v>0.0</v>
      </c>
      <c r="R19" s="163">
        <v>3512.8188</v>
      </c>
      <c r="S19" s="163">
        <v>0.0</v>
      </c>
      <c r="T19" s="163">
        <v>1272.0</v>
      </c>
      <c r="U19" s="163">
        <v>0.0</v>
      </c>
      <c r="V19" s="163">
        <v>0.0</v>
      </c>
      <c r="W19" s="163">
        <v>0.0</v>
      </c>
      <c r="X19" s="163">
        <v>15370.0</v>
      </c>
      <c r="Y19" s="163">
        <v>0.0</v>
      </c>
      <c r="Z19" s="163">
        <v>0.0</v>
      </c>
      <c r="AA19" s="163">
        <v>0.0</v>
      </c>
      <c r="AB19" s="3">
        <f t="shared" ref="AB19:AB23" si="6">D19+F19+H19+J19+L19+N19+P19+R19+T19+V19+X19+Z19</f>
        <v>71719.414</v>
      </c>
      <c r="AC19" s="75"/>
    </row>
    <row r="20" ht="12.75" customHeight="1">
      <c r="B20" s="162" t="s">
        <v>305</v>
      </c>
      <c r="C20" s="158" t="s">
        <v>306</v>
      </c>
      <c r="D20" s="163">
        <v>0.0</v>
      </c>
      <c r="E20" s="163">
        <v>0.0</v>
      </c>
      <c r="F20" s="163">
        <v>0.0</v>
      </c>
      <c r="G20" s="163">
        <v>0.0</v>
      </c>
      <c r="H20" s="163">
        <v>10040.5956</v>
      </c>
      <c r="I20" s="163">
        <v>0.0</v>
      </c>
      <c r="J20" s="163">
        <v>0.0</v>
      </c>
      <c r="K20" s="163">
        <v>0.0</v>
      </c>
      <c r="L20" s="163">
        <v>0.0</v>
      </c>
      <c r="M20" s="163">
        <v>0.0</v>
      </c>
      <c r="N20" s="163">
        <v>0.0</v>
      </c>
      <c r="O20" s="163">
        <v>0.0</v>
      </c>
      <c r="P20" s="163">
        <v>10144.359</v>
      </c>
      <c r="Q20" s="163">
        <v>0.0</v>
      </c>
      <c r="R20" s="163">
        <v>0.0</v>
      </c>
      <c r="S20" s="163">
        <v>0.0</v>
      </c>
      <c r="T20" s="163">
        <v>0.0</v>
      </c>
      <c r="U20" s="163">
        <v>0.0</v>
      </c>
      <c r="V20" s="163">
        <v>0.0</v>
      </c>
      <c r="W20" s="163">
        <v>0.0</v>
      </c>
      <c r="X20" s="163">
        <v>0.0</v>
      </c>
      <c r="Y20" s="163">
        <v>0.0</v>
      </c>
      <c r="Z20" s="163">
        <v>0.0</v>
      </c>
      <c r="AA20" s="163">
        <v>0.0</v>
      </c>
      <c r="AB20" s="3">
        <f t="shared" si="6"/>
        <v>20184.9546</v>
      </c>
      <c r="AC20" s="75"/>
    </row>
    <row r="21" ht="12.75" customHeight="1">
      <c r="B21" s="164" t="s">
        <v>307</v>
      </c>
      <c r="C21" s="164" t="s">
        <v>308</v>
      </c>
      <c r="D21" s="165">
        <v>8700.0</v>
      </c>
      <c r="E21" s="165">
        <v>0.0</v>
      </c>
      <c r="F21" s="165">
        <v>8700.0</v>
      </c>
      <c r="G21" s="165">
        <v>0.0</v>
      </c>
      <c r="H21" s="165">
        <v>8700.0</v>
      </c>
      <c r="I21" s="165">
        <v>0.0</v>
      </c>
      <c r="J21" s="165">
        <v>8700.0</v>
      </c>
      <c r="K21" s="165">
        <v>0.0</v>
      </c>
      <c r="L21" s="165">
        <v>8700.0</v>
      </c>
      <c r="M21" s="165">
        <v>0.0</v>
      </c>
      <c r="N21" s="165">
        <v>8700.0</v>
      </c>
      <c r="O21" s="165">
        <v>0.0</v>
      </c>
      <c r="P21" s="165">
        <v>8700.0</v>
      </c>
      <c r="Q21" s="165">
        <v>0.0</v>
      </c>
      <c r="R21" s="165">
        <v>8700.0</v>
      </c>
      <c r="S21" s="165">
        <v>0.0</v>
      </c>
      <c r="T21" s="165">
        <v>8700.0</v>
      </c>
      <c r="U21" s="165">
        <v>0.0</v>
      </c>
      <c r="V21" s="165">
        <v>8700.0</v>
      </c>
      <c r="W21" s="165">
        <v>0.0</v>
      </c>
      <c r="X21" s="165">
        <v>8700.0</v>
      </c>
      <c r="Y21" s="165">
        <v>0.0</v>
      </c>
      <c r="Z21" s="165">
        <v>8700.0</v>
      </c>
      <c r="AA21" s="165">
        <v>0.0</v>
      </c>
      <c r="AB21" s="165">
        <f t="shared" si="6"/>
        <v>104400</v>
      </c>
      <c r="AC21" s="75"/>
    </row>
    <row r="22" ht="12.75" customHeight="1">
      <c r="B22" s="164" t="s">
        <v>309</v>
      </c>
      <c r="C22" s="164" t="s">
        <v>310</v>
      </c>
      <c r="D22" s="165">
        <v>0.0</v>
      </c>
      <c r="E22" s="165">
        <v>0.0</v>
      </c>
      <c r="F22" s="165">
        <v>0.0</v>
      </c>
      <c r="G22" s="165">
        <v>0.0</v>
      </c>
      <c r="H22" s="165">
        <v>7200.0</v>
      </c>
      <c r="I22" s="165">
        <v>0.0</v>
      </c>
      <c r="J22" s="165">
        <v>0.0</v>
      </c>
      <c r="K22" s="165">
        <v>0.0</v>
      </c>
      <c r="L22" s="165">
        <v>0.0</v>
      </c>
      <c r="M22" s="165">
        <v>0.0</v>
      </c>
      <c r="N22" s="165">
        <v>0.0</v>
      </c>
      <c r="O22" s="165">
        <v>0.0</v>
      </c>
      <c r="P22" s="165">
        <v>0.0</v>
      </c>
      <c r="Q22" s="165">
        <v>0.0</v>
      </c>
      <c r="R22" s="165">
        <v>0.0</v>
      </c>
      <c r="S22" s="165">
        <v>0.0</v>
      </c>
      <c r="T22" s="165">
        <v>7200.0</v>
      </c>
      <c r="U22" s="165">
        <v>0.0</v>
      </c>
      <c r="V22" s="165">
        <v>0.0</v>
      </c>
      <c r="W22" s="165">
        <v>0.0</v>
      </c>
      <c r="X22" s="165">
        <v>0.0</v>
      </c>
      <c r="Y22" s="165">
        <v>0.0</v>
      </c>
      <c r="Z22" s="165">
        <v>0.0</v>
      </c>
      <c r="AA22" s="165">
        <v>0.0</v>
      </c>
      <c r="AB22" s="165">
        <f t="shared" si="6"/>
        <v>14400</v>
      </c>
      <c r="AC22" s="75"/>
    </row>
    <row r="23" ht="12.75" customHeight="1">
      <c r="B23" s="162" t="s">
        <v>311</v>
      </c>
      <c r="C23" s="158" t="s">
        <v>312</v>
      </c>
      <c r="D23" s="163">
        <v>0.0</v>
      </c>
      <c r="E23" s="163">
        <v>0.0</v>
      </c>
      <c r="F23" s="163">
        <v>1053.6082000000001</v>
      </c>
      <c r="G23" s="163">
        <v>0.0</v>
      </c>
      <c r="H23" s="163">
        <v>-271.40240000000006</v>
      </c>
      <c r="I23" s="163">
        <v>0.0</v>
      </c>
      <c r="J23" s="163">
        <v>0.0</v>
      </c>
      <c r="K23" s="163">
        <v>0.0</v>
      </c>
      <c r="L23" s="163">
        <v>0.0</v>
      </c>
      <c r="M23" s="163">
        <v>0.0</v>
      </c>
      <c r="N23" s="163">
        <v>456.90240000000006</v>
      </c>
      <c r="O23" s="163">
        <v>0.0</v>
      </c>
      <c r="P23" s="163">
        <v>0.0</v>
      </c>
      <c r="Q23" s="163">
        <v>0.0</v>
      </c>
      <c r="R23" s="163">
        <v>0.0</v>
      </c>
      <c r="S23" s="163">
        <v>0.0</v>
      </c>
      <c r="T23" s="163">
        <v>551.2</v>
      </c>
      <c r="U23" s="163">
        <v>0.0</v>
      </c>
      <c r="V23" s="163">
        <v>530.0</v>
      </c>
      <c r="W23" s="163">
        <v>0.0</v>
      </c>
      <c r="X23" s="163">
        <v>4240.0</v>
      </c>
      <c r="Y23" s="163">
        <v>0.0</v>
      </c>
      <c r="Z23" s="163">
        <v>530.0</v>
      </c>
      <c r="AA23" s="163">
        <v>0.0</v>
      </c>
      <c r="AB23" s="3">
        <f t="shared" si="6"/>
        <v>7090.3082</v>
      </c>
      <c r="AC23" s="75"/>
    </row>
    <row r="24" ht="12.75" customHeight="1">
      <c r="B24" s="2"/>
      <c r="C24" s="85" t="s">
        <v>313</v>
      </c>
      <c r="D24" s="86">
        <f t="shared" ref="D24:AB24" si="7">SUM(D19:D23)</f>
        <v>8700</v>
      </c>
      <c r="E24" s="86">
        <f t="shared" si="7"/>
        <v>0</v>
      </c>
      <c r="F24" s="86">
        <f t="shared" si="7"/>
        <v>9753.6082</v>
      </c>
      <c r="G24" s="86">
        <f t="shared" si="7"/>
        <v>0</v>
      </c>
      <c r="H24" s="86">
        <f t="shared" si="7"/>
        <v>30007.9746</v>
      </c>
      <c r="I24" s="86">
        <f t="shared" si="7"/>
        <v>0</v>
      </c>
      <c r="J24" s="86">
        <f t="shared" si="7"/>
        <v>8700</v>
      </c>
      <c r="K24" s="86">
        <f t="shared" si="7"/>
        <v>0</v>
      </c>
      <c r="L24" s="86">
        <f t="shared" si="7"/>
        <v>44192.218</v>
      </c>
      <c r="M24" s="86">
        <f t="shared" si="7"/>
        <v>0</v>
      </c>
      <c r="N24" s="86">
        <f t="shared" si="7"/>
        <v>9156.9024</v>
      </c>
      <c r="O24" s="86">
        <f t="shared" si="7"/>
        <v>0</v>
      </c>
      <c r="P24" s="86">
        <f t="shared" si="7"/>
        <v>30577.9548</v>
      </c>
      <c r="Q24" s="86">
        <f t="shared" si="7"/>
        <v>0</v>
      </c>
      <c r="R24" s="86">
        <f t="shared" si="7"/>
        <v>12212.8188</v>
      </c>
      <c r="S24" s="86">
        <f t="shared" si="7"/>
        <v>0</v>
      </c>
      <c r="T24" s="86">
        <f t="shared" si="7"/>
        <v>17723.2</v>
      </c>
      <c r="U24" s="86">
        <f t="shared" si="7"/>
        <v>0</v>
      </c>
      <c r="V24" s="86">
        <f t="shared" si="7"/>
        <v>9230</v>
      </c>
      <c r="W24" s="86">
        <f t="shared" si="7"/>
        <v>0</v>
      </c>
      <c r="X24" s="86">
        <f t="shared" si="7"/>
        <v>28310</v>
      </c>
      <c r="Y24" s="86">
        <f t="shared" si="7"/>
        <v>0</v>
      </c>
      <c r="Z24" s="86">
        <f t="shared" si="7"/>
        <v>9230</v>
      </c>
      <c r="AA24" s="86">
        <f t="shared" si="7"/>
        <v>0</v>
      </c>
      <c r="AB24" s="86">
        <f t="shared" si="7"/>
        <v>217794.6768</v>
      </c>
      <c r="AC24" s="75"/>
    </row>
    <row r="25" ht="12.75" customHeight="1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75"/>
    </row>
    <row r="26" ht="12.75" customHeight="1">
      <c r="B26" s="2"/>
      <c r="C26" s="88" t="s">
        <v>314</v>
      </c>
      <c r="D26" s="89">
        <f t="shared" ref="D26:AB26" si="8">D14-D24</f>
        <v>-8700</v>
      </c>
      <c r="E26" s="89">
        <f t="shared" si="8"/>
        <v>0</v>
      </c>
      <c r="F26" s="89">
        <f t="shared" si="8"/>
        <v>-9753.6082</v>
      </c>
      <c r="G26" s="89">
        <f t="shared" si="8"/>
        <v>0</v>
      </c>
      <c r="H26" s="89">
        <f t="shared" si="8"/>
        <v>-24295.1246</v>
      </c>
      <c r="I26" s="89">
        <f t="shared" si="8"/>
        <v>0</v>
      </c>
      <c r="J26" s="89">
        <f t="shared" si="8"/>
        <v>-14539.636</v>
      </c>
      <c r="K26" s="89">
        <f t="shared" si="8"/>
        <v>0</v>
      </c>
      <c r="L26" s="89">
        <f t="shared" si="8"/>
        <v>-53177.854</v>
      </c>
      <c r="M26" s="89">
        <f t="shared" si="8"/>
        <v>0</v>
      </c>
      <c r="N26" s="89">
        <f t="shared" si="8"/>
        <v>-12028.1664</v>
      </c>
      <c r="O26" s="89">
        <f t="shared" si="8"/>
        <v>0</v>
      </c>
      <c r="P26" s="89">
        <f t="shared" si="8"/>
        <v>-25572.9548</v>
      </c>
      <c r="Q26" s="89">
        <f t="shared" si="8"/>
        <v>0</v>
      </c>
      <c r="R26" s="89">
        <f t="shared" si="8"/>
        <v>-17130.7318</v>
      </c>
      <c r="S26" s="89">
        <f t="shared" si="8"/>
        <v>0</v>
      </c>
      <c r="T26" s="89">
        <f t="shared" si="8"/>
        <v>-24048.75</v>
      </c>
      <c r="U26" s="89">
        <f t="shared" si="8"/>
        <v>0</v>
      </c>
      <c r="V26" s="89">
        <f t="shared" si="8"/>
        <v>-7129</v>
      </c>
      <c r="W26" s="89">
        <f t="shared" si="8"/>
        <v>0</v>
      </c>
      <c r="X26" s="89">
        <f t="shared" si="8"/>
        <v>-26209</v>
      </c>
      <c r="Y26" s="89">
        <f t="shared" si="8"/>
        <v>0</v>
      </c>
      <c r="Z26" s="89">
        <f t="shared" si="8"/>
        <v>-7129</v>
      </c>
      <c r="AA26" s="89">
        <f t="shared" si="8"/>
        <v>0</v>
      </c>
      <c r="AB26" s="90">
        <f t="shared" si="8"/>
        <v>-229713.8258</v>
      </c>
      <c r="AC26" s="75"/>
    </row>
    <row r="27" ht="12.75" customHeigh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75"/>
    </row>
    <row r="28" ht="12.7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75"/>
    </row>
    <row r="29" ht="12.75" customHeight="1">
      <c r="B29" s="2"/>
      <c r="C29" s="106" t="s">
        <v>315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3"/>
      <c r="AC29" s="75"/>
    </row>
    <row r="30" ht="15.75" customHeight="1">
      <c r="AC30" s="75"/>
    </row>
    <row r="31" ht="15.75" customHeight="1">
      <c r="AC31" s="75"/>
    </row>
    <row r="32" ht="15.75" customHeight="1">
      <c r="AC32" s="75"/>
    </row>
    <row r="33" ht="15.75" customHeight="1">
      <c r="AC33" s="75"/>
    </row>
    <row r="34" ht="15.75" customHeight="1">
      <c r="AC34" s="75"/>
    </row>
    <row r="35" ht="15.75" customHeight="1">
      <c r="AC35" s="75"/>
    </row>
    <row r="36" ht="15.75" customHeight="1">
      <c r="AC36" s="75"/>
    </row>
    <row r="37" ht="15.75" customHeight="1">
      <c r="AC37" s="75"/>
    </row>
    <row r="38" ht="15.75" customHeight="1">
      <c r="AC38" s="75"/>
    </row>
    <row r="39" ht="15.75" customHeight="1">
      <c r="AC39" s="75"/>
    </row>
    <row r="40" ht="15.75" customHeight="1">
      <c r="AC40" s="75"/>
    </row>
    <row r="41" ht="15.75" customHeight="1">
      <c r="AC41" s="75"/>
    </row>
    <row r="42" ht="15.75" customHeight="1">
      <c r="AC42" s="75"/>
    </row>
    <row r="43" ht="15.75" customHeight="1">
      <c r="AC43" s="75"/>
    </row>
    <row r="44" ht="15.75" customHeight="1">
      <c r="AC44" s="75"/>
    </row>
    <row r="45" ht="15.75" customHeight="1">
      <c r="AC45" s="75"/>
    </row>
    <row r="46" ht="15.75" customHeight="1">
      <c r="AC46" s="75"/>
    </row>
    <row r="47" ht="15.75" customHeight="1">
      <c r="AC47" s="75"/>
    </row>
    <row r="48" ht="15.75" customHeight="1">
      <c r="AC48" s="75"/>
    </row>
    <row r="49" ht="15.75" customHeight="1">
      <c r="AC49" s="75"/>
    </row>
    <row r="50" ht="15.75" customHeight="1">
      <c r="AC50" s="75"/>
    </row>
    <row r="51" ht="15.75" customHeight="1">
      <c r="AC51" s="75"/>
    </row>
    <row r="52" ht="15.75" customHeight="1">
      <c r="AC52" s="75"/>
    </row>
    <row r="53" ht="15.75" customHeight="1">
      <c r="AC53" s="75"/>
    </row>
    <row r="54" ht="15.75" customHeight="1">
      <c r="AC54" s="75"/>
    </row>
    <row r="55" ht="15.75" customHeight="1">
      <c r="AC55" s="75"/>
    </row>
    <row r="56" ht="15.75" customHeight="1">
      <c r="AC56" s="75"/>
    </row>
    <row r="57" ht="15.75" customHeight="1">
      <c r="AC57" s="75"/>
    </row>
    <row r="58" ht="15.75" customHeight="1">
      <c r="AC58" s="75"/>
    </row>
    <row r="59" ht="15.75" customHeight="1">
      <c r="AC59" s="75"/>
    </row>
    <row r="60" ht="15.75" customHeight="1">
      <c r="AC60" s="75"/>
    </row>
    <row r="61" ht="15.75" customHeight="1">
      <c r="AC61" s="75"/>
    </row>
    <row r="62" ht="15.75" customHeight="1">
      <c r="AC62" s="75"/>
    </row>
    <row r="63" ht="15.75" customHeight="1">
      <c r="AC63" s="75"/>
    </row>
    <row r="64" ht="15.75" customHeight="1">
      <c r="AC64" s="75"/>
    </row>
    <row r="65" ht="15.75" customHeight="1">
      <c r="AC65" s="75"/>
    </row>
    <row r="66" ht="15.75" customHeight="1">
      <c r="AC66" s="75"/>
    </row>
    <row r="67" ht="15.75" customHeight="1">
      <c r="AC67" s="75"/>
    </row>
    <row r="68" ht="15.75" customHeight="1">
      <c r="AC68" s="75"/>
    </row>
    <row r="69" ht="15.75" customHeight="1">
      <c r="AC69" s="75"/>
    </row>
    <row r="70" ht="15.75" customHeight="1">
      <c r="AC70" s="75"/>
    </row>
    <row r="71" ht="15.75" customHeight="1">
      <c r="AC71" s="75"/>
    </row>
    <row r="72" ht="15.75" customHeight="1">
      <c r="AC72" s="75"/>
    </row>
    <row r="73" ht="15.75" customHeight="1">
      <c r="AC73" s="75"/>
    </row>
    <row r="74" ht="15.75" customHeight="1">
      <c r="AC74" s="75"/>
    </row>
    <row r="75" ht="15.75" customHeight="1">
      <c r="AC75" s="75"/>
    </row>
    <row r="76" ht="15.75" customHeight="1">
      <c r="AC76" s="75"/>
    </row>
    <row r="77" ht="15.75" customHeight="1">
      <c r="AC77" s="75"/>
    </row>
    <row r="78" ht="15.75" customHeight="1">
      <c r="AC78" s="75"/>
    </row>
    <row r="79" ht="15.75" customHeight="1">
      <c r="AC79" s="75"/>
    </row>
    <row r="80" ht="15.75" customHeight="1">
      <c r="AC80" s="75"/>
    </row>
    <row r="81" ht="15.75" customHeight="1">
      <c r="AC81" s="75"/>
    </row>
    <row r="82" ht="15.75" customHeight="1">
      <c r="AC82" s="75"/>
    </row>
    <row r="83" ht="15.75" customHeight="1">
      <c r="AC83" s="75"/>
    </row>
    <row r="84" ht="15.75" customHeight="1">
      <c r="AC84" s="75"/>
    </row>
    <row r="85" ht="15.75" customHeight="1">
      <c r="AC85" s="75"/>
    </row>
    <row r="86" ht="15.75" customHeight="1">
      <c r="AC86" s="75"/>
    </row>
    <row r="87" ht="15.75" customHeight="1">
      <c r="AC87" s="75"/>
    </row>
    <row r="88" ht="15.75" customHeight="1">
      <c r="AC88" s="75"/>
    </row>
    <row r="89" ht="15.75" customHeight="1">
      <c r="AC89" s="75"/>
    </row>
    <row r="90" ht="15.75" customHeight="1">
      <c r="AC90" s="75"/>
    </row>
    <row r="91" ht="15.75" customHeight="1">
      <c r="AC91" s="75"/>
    </row>
    <row r="92" ht="15.75" customHeight="1">
      <c r="AC92" s="75"/>
    </row>
    <row r="93" ht="15.75" customHeight="1">
      <c r="AC93" s="75"/>
    </row>
    <row r="94" ht="15.75" customHeight="1">
      <c r="AC94" s="75"/>
    </row>
    <row r="95" ht="15.75" customHeight="1">
      <c r="AC95" s="75"/>
    </row>
    <row r="96" ht="15.75" customHeight="1">
      <c r="AC96" s="75"/>
    </row>
    <row r="97" ht="15.75" customHeight="1">
      <c r="AC97" s="75"/>
    </row>
    <row r="98" ht="15.75" customHeight="1">
      <c r="AC98" s="75"/>
    </row>
    <row r="99" ht="15.75" customHeight="1">
      <c r="AC99" s="75"/>
    </row>
    <row r="100" ht="15.75" customHeight="1">
      <c r="AC100" s="75"/>
    </row>
    <row r="101" ht="15.75" customHeight="1">
      <c r="AC101" s="75"/>
    </row>
    <row r="102" ht="15.75" customHeight="1">
      <c r="AC102" s="75"/>
    </row>
    <row r="103" ht="15.75" customHeight="1">
      <c r="AC103" s="75"/>
    </row>
    <row r="104" ht="15.75" customHeight="1">
      <c r="AC104" s="75"/>
    </row>
    <row r="105" ht="15.75" customHeight="1">
      <c r="AC105" s="75"/>
    </row>
    <row r="106" ht="15.75" customHeight="1">
      <c r="AC106" s="75"/>
    </row>
    <row r="107" ht="15.75" customHeight="1">
      <c r="AC107" s="75"/>
    </row>
    <row r="108" ht="15.75" customHeight="1">
      <c r="AC108" s="75"/>
    </row>
    <row r="109" ht="15.75" customHeight="1">
      <c r="AC109" s="75"/>
    </row>
    <row r="110" ht="15.75" customHeight="1">
      <c r="AC110" s="75"/>
    </row>
    <row r="111" ht="15.75" customHeight="1">
      <c r="AC111" s="75"/>
    </row>
    <row r="112" ht="15.75" customHeight="1">
      <c r="AC112" s="75"/>
    </row>
    <row r="113" ht="15.75" customHeight="1">
      <c r="AC113" s="75"/>
    </row>
    <row r="114" ht="15.75" customHeight="1">
      <c r="AC114" s="75"/>
    </row>
    <row r="115" ht="15.75" customHeight="1">
      <c r="AC115" s="75"/>
    </row>
    <row r="116" ht="15.75" customHeight="1">
      <c r="AC116" s="75"/>
    </row>
    <row r="117" ht="15.75" customHeight="1">
      <c r="AC117" s="75"/>
    </row>
    <row r="118" ht="15.75" customHeight="1">
      <c r="AC118" s="75"/>
    </row>
    <row r="119" ht="15.75" customHeight="1">
      <c r="AC119" s="75"/>
    </row>
    <row r="120" ht="15.75" customHeight="1">
      <c r="AC120" s="75"/>
    </row>
    <row r="121" ht="15.75" customHeight="1">
      <c r="AC121" s="75"/>
    </row>
    <row r="122" ht="15.75" customHeight="1">
      <c r="AC122" s="75"/>
    </row>
    <row r="123" ht="15.75" customHeight="1">
      <c r="AC123" s="75"/>
    </row>
    <row r="124" ht="15.75" customHeight="1">
      <c r="AC124" s="75"/>
    </row>
    <row r="125" ht="15.75" customHeight="1">
      <c r="AC125" s="75"/>
    </row>
    <row r="126" ht="15.75" customHeight="1">
      <c r="AC126" s="75"/>
    </row>
    <row r="127" ht="15.75" customHeight="1">
      <c r="AC127" s="75"/>
    </row>
    <row r="128" ht="15.75" customHeight="1">
      <c r="AC128" s="75"/>
    </row>
    <row r="129" ht="15.75" customHeight="1">
      <c r="AC129" s="75"/>
    </row>
    <row r="130" ht="15.75" customHeight="1">
      <c r="AC130" s="75"/>
    </row>
    <row r="131" ht="15.75" customHeight="1">
      <c r="AC131" s="75"/>
    </row>
    <row r="132" ht="15.75" customHeight="1">
      <c r="AC132" s="75"/>
    </row>
    <row r="133" ht="15.75" customHeight="1">
      <c r="AC133" s="75"/>
    </row>
    <row r="134" ht="15.75" customHeight="1">
      <c r="AC134" s="75"/>
    </row>
    <row r="135" ht="15.75" customHeight="1">
      <c r="AC135" s="75"/>
    </row>
    <row r="136" ht="15.75" customHeight="1">
      <c r="AC136" s="75"/>
    </row>
    <row r="137" ht="15.75" customHeight="1">
      <c r="AC137" s="75"/>
    </row>
    <row r="138" ht="15.75" customHeight="1">
      <c r="AC138" s="75"/>
    </row>
    <row r="139" ht="15.75" customHeight="1">
      <c r="AC139" s="75"/>
    </row>
    <row r="140" ht="15.75" customHeight="1">
      <c r="AC140" s="75"/>
    </row>
    <row r="141" ht="15.75" customHeight="1">
      <c r="AC141" s="75"/>
    </row>
    <row r="142" ht="15.75" customHeight="1">
      <c r="AC142" s="75"/>
    </row>
    <row r="143" ht="15.75" customHeight="1">
      <c r="AC143" s="75"/>
    </row>
    <row r="144" ht="15.75" customHeight="1">
      <c r="AC144" s="75"/>
    </row>
    <row r="145" ht="15.75" customHeight="1">
      <c r="AC145" s="75"/>
    </row>
    <row r="146" ht="15.75" customHeight="1">
      <c r="AC146" s="75"/>
    </row>
    <row r="147" ht="15.75" customHeight="1">
      <c r="AC147" s="75"/>
    </row>
    <row r="148" ht="15.75" customHeight="1">
      <c r="AC148" s="75"/>
    </row>
    <row r="149" ht="15.75" customHeight="1">
      <c r="AC149" s="75"/>
    </row>
    <row r="150" ht="15.75" customHeight="1">
      <c r="AC150" s="75"/>
    </row>
    <row r="151" ht="15.75" customHeight="1">
      <c r="AC151" s="75"/>
    </row>
    <row r="152" ht="15.75" customHeight="1">
      <c r="AC152" s="75"/>
    </row>
    <row r="153" ht="15.75" customHeight="1">
      <c r="AC153" s="75"/>
    </row>
    <row r="154" ht="15.75" customHeight="1">
      <c r="AC154" s="75"/>
    </row>
    <row r="155" ht="15.75" customHeight="1">
      <c r="AC155" s="75"/>
    </row>
    <row r="156" ht="15.75" customHeight="1">
      <c r="AC156" s="75"/>
    </row>
    <row r="157" ht="15.75" customHeight="1">
      <c r="AC157" s="75"/>
    </row>
    <row r="158" ht="15.75" customHeight="1">
      <c r="AC158" s="75"/>
    </row>
    <row r="159" ht="15.75" customHeight="1">
      <c r="AC159" s="75"/>
    </row>
    <row r="160" ht="15.75" customHeight="1">
      <c r="AC160" s="75"/>
    </row>
    <row r="161" ht="15.75" customHeight="1">
      <c r="AC161" s="75"/>
    </row>
    <row r="162" ht="15.75" customHeight="1">
      <c r="AC162" s="75"/>
    </row>
    <row r="163" ht="15.75" customHeight="1">
      <c r="AC163" s="75"/>
    </row>
    <row r="164" ht="15.75" customHeight="1">
      <c r="AC164" s="75"/>
    </row>
    <row r="165" ht="15.75" customHeight="1">
      <c r="AC165" s="75"/>
    </row>
    <row r="166" ht="15.75" customHeight="1">
      <c r="AC166" s="75"/>
    </row>
    <row r="167" ht="15.75" customHeight="1">
      <c r="AC167" s="75"/>
    </row>
    <row r="168" ht="15.75" customHeight="1">
      <c r="AC168" s="75"/>
    </row>
    <row r="169" ht="15.75" customHeight="1">
      <c r="AC169" s="75"/>
    </row>
    <row r="170" ht="15.75" customHeight="1">
      <c r="AC170" s="75"/>
    </row>
    <row r="171" ht="15.75" customHeight="1">
      <c r="AC171" s="75"/>
    </row>
    <row r="172" ht="15.75" customHeight="1">
      <c r="AC172" s="75"/>
    </row>
    <row r="173" ht="15.75" customHeight="1">
      <c r="AC173" s="75"/>
    </row>
    <row r="174" ht="15.75" customHeight="1">
      <c r="AC174" s="75"/>
    </row>
    <row r="175" ht="15.75" customHeight="1">
      <c r="AC175" s="75"/>
    </row>
    <row r="176" ht="15.75" customHeight="1">
      <c r="AC176" s="75"/>
    </row>
    <row r="177" ht="15.75" customHeight="1">
      <c r="AC177" s="75"/>
    </row>
    <row r="178" ht="15.75" customHeight="1">
      <c r="AC178" s="75"/>
    </row>
    <row r="179" ht="15.75" customHeight="1">
      <c r="AC179" s="75"/>
    </row>
    <row r="180" ht="15.75" customHeight="1">
      <c r="AC180" s="75"/>
    </row>
    <row r="181" ht="15.75" customHeight="1">
      <c r="AC181" s="75"/>
    </row>
    <row r="182" ht="15.75" customHeight="1">
      <c r="AC182" s="75"/>
    </row>
    <row r="183" ht="15.75" customHeight="1">
      <c r="AC183" s="75"/>
    </row>
    <row r="184" ht="15.75" customHeight="1">
      <c r="AC184" s="75"/>
    </row>
    <row r="185" ht="15.75" customHeight="1">
      <c r="AC185" s="75"/>
    </row>
    <row r="186" ht="15.75" customHeight="1">
      <c r="AC186" s="75"/>
    </row>
    <row r="187" ht="15.75" customHeight="1">
      <c r="AC187" s="75"/>
    </row>
    <row r="188" ht="15.75" customHeight="1">
      <c r="AC188" s="75"/>
    </row>
    <row r="189" ht="15.75" customHeight="1">
      <c r="AC189" s="75"/>
    </row>
    <row r="190" ht="15.75" customHeight="1">
      <c r="AC190" s="75"/>
    </row>
    <row r="191" ht="15.75" customHeight="1">
      <c r="AC191" s="75"/>
    </row>
    <row r="192" ht="15.75" customHeight="1">
      <c r="AC192" s="75"/>
    </row>
    <row r="193" ht="15.75" customHeight="1">
      <c r="AC193" s="75"/>
    </row>
    <row r="194" ht="15.75" customHeight="1">
      <c r="AC194" s="75"/>
    </row>
    <row r="195" ht="15.75" customHeight="1">
      <c r="AC195" s="75"/>
    </row>
    <row r="196" ht="15.75" customHeight="1">
      <c r="AC196" s="75"/>
    </row>
    <row r="197" ht="15.75" customHeight="1">
      <c r="AC197" s="75"/>
    </row>
    <row r="198" ht="15.75" customHeight="1">
      <c r="AC198" s="75"/>
    </row>
    <row r="199" ht="15.75" customHeight="1">
      <c r="AC199" s="75"/>
    </row>
    <row r="200" ht="15.75" customHeight="1">
      <c r="AC200" s="75"/>
    </row>
    <row r="201" ht="15.75" customHeight="1">
      <c r="AC201" s="75"/>
    </row>
    <row r="202" ht="15.75" customHeight="1">
      <c r="AC202" s="75"/>
    </row>
    <row r="203" ht="15.75" customHeight="1">
      <c r="AC203" s="75"/>
    </row>
    <row r="204" ht="15.75" customHeight="1">
      <c r="AC204" s="75"/>
    </row>
    <row r="205" ht="15.75" customHeight="1">
      <c r="AC205" s="75"/>
    </row>
    <row r="206" ht="15.75" customHeight="1">
      <c r="AC206" s="75"/>
    </row>
    <row r="207" ht="15.75" customHeight="1">
      <c r="AC207" s="75"/>
    </row>
    <row r="208" ht="15.75" customHeight="1">
      <c r="AC208" s="75"/>
    </row>
    <row r="209" ht="15.75" customHeight="1">
      <c r="AC209" s="75"/>
    </row>
    <row r="210" ht="15.75" customHeight="1">
      <c r="AC210" s="75"/>
    </row>
    <row r="211" ht="15.75" customHeight="1">
      <c r="AC211" s="75"/>
    </row>
    <row r="212" ht="15.75" customHeight="1">
      <c r="AC212" s="75"/>
    </row>
    <row r="213" ht="15.75" customHeight="1">
      <c r="AC213" s="75"/>
    </row>
    <row r="214" ht="15.75" customHeight="1">
      <c r="AC214" s="75"/>
    </row>
    <row r="215" ht="15.75" customHeight="1">
      <c r="AC215" s="75"/>
    </row>
    <row r="216" ht="15.75" customHeight="1">
      <c r="AC216" s="75"/>
    </row>
    <row r="217" ht="15.75" customHeight="1">
      <c r="AC217" s="75"/>
    </row>
    <row r="218" ht="15.75" customHeight="1">
      <c r="AC218" s="75"/>
    </row>
    <row r="219" ht="15.75" customHeight="1">
      <c r="AC219" s="75"/>
    </row>
    <row r="220" ht="15.75" customHeight="1">
      <c r="AC220" s="75"/>
    </row>
    <row r="221" ht="15.75" customHeight="1">
      <c r="AC221" s="75"/>
    </row>
    <row r="222" ht="15.75" customHeight="1">
      <c r="AC222" s="75"/>
    </row>
    <row r="223" ht="15.75" customHeight="1">
      <c r="AC223" s="75"/>
    </row>
    <row r="224" ht="15.75" customHeight="1">
      <c r="AC224" s="75"/>
    </row>
    <row r="225" ht="15.75" customHeight="1">
      <c r="AC225" s="75"/>
    </row>
    <row r="226" ht="15.75" customHeight="1">
      <c r="AC226" s="75"/>
    </row>
    <row r="227" ht="15.75" customHeight="1">
      <c r="AC227" s="75"/>
    </row>
    <row r="228" ht="15.75" customHeight="1">
      <c r="AC228" s="75"/>
    </row>
    <row r="229" ht="15.75" customHeight="1">
      <c r="AC229" s="75"/>
    </row>
    <row r="230" ht="15.75" customHeight="1">
      <c r="AC230" s="75"/>
    </row>
    <row r="231" ht="15.75" customHeight="1">
      <c r="AC231" s="75"/>
    </row>
    <row r="232" ht="15.75" customHeight="1">
      <c r="AC232" s="75"/>
    </row>
    <row r="233" ht="15.75" customHeight="1">
      <c r="AC233" s="75"/>
    </row>
    <row r="234" ht="15.75" customHeight="1">
      <c r="AC234" s="75"/>
    </row>
    <row r="235" ht="15.75" customHeight="1">
      <c r="AC235" s="75"/>
    </row>
    <row r="236" ht="15.75" customHeight="1">
      <c r="AC236" s="75"/>
    </row>
    <row r="237" ht="15.75" customHeight="1">
      <c r="AC237" s="75"/>
    </row>
    <row r="238" ht="15.75" customHeight="1">
      <c r="AC238" s="75"/>
    </row>
    <row r="239" ht="15.75" customHeight="1">
      <c r="AC239" s="75"/>
    </row>
    <row r="240" ht="15.75" customHeight="1">
      <c r="AC240" s="75"/>
    </row>
    <row r="241" ht="15.75" customHeight="1">
      <c r="AC241" s="75"/>
    </row>
    <row r="242" ht="15.75" customHeight="1">
      <c r="AC242" s="75"/>
    </row>
    <row r="243" ht="15.75" customHeight="1">
      <c r="AC243" s="75"/>
    </row>
    <row r="244" ht="15.75" customHeight="1">
      <c r="AC244" s="75"/>
    </row>
    <row r="245" ht="15.75" customHeight="1">
      <c r="AC245" s="75"/>
    </row>
    <row r="246" ht="15.75" customHeight="1">
      <c r="AC246" s="75"/>
    </row>
    <row r="247" ht="15.75" customHeight="1">
      <c r="AC247" s="75"/>
    </row>
    <row r="248" ht="15.75" customHeight="1">
      <c r="AC248" s="75"/>
    </row>
    <row r="249" ht="15.75" customHeight="1">
      <c r="AC249" s="75"/>
    </row>
    <row r="250" ht="15.75" customHeight="1">
      <c r="AC250" s="75"/>
    </row>
    <row r="251" ht="15.75" customHeight="1">
      <c r="AC251" s="75"/>
    </row>
    <row r="252" ht="15.75" customHeight="1">
      <c r="AC252" s="75"/>
    </row>
    <row r="253" ht="15.75" customHeight="1">
      <c r="AC253" s="75"/>
    </row>
    <row r="254" ht="15.75" customHeight="1">
      <c r="AC254" s="75"/>
    </row>
    <row r="255" ht="15.75" customHeight="1">
      <c r="AC255" s="75"/>
    </row>
    <row r="256" ht="15.75" customHeight="1">
      <c r="AC256" s="75"/>
    </row>
    <row r="257" ht="15.75" customHeight="1">
      <c r="AC257" s="75"/>
    </row>
    <row r="258" ht="15.75" customHeight="1">
      <c r="AC258" s="75"/>
    </row>
    <row r="259" ht="15.75" customHeight="1">
      <c r="AC259" s="75"/>
    </row>
    <row r="260" ht="15.75" customHeight="1">
      <c r="AC260" s="75"/>
    </row>
    <row r="261" ht="15.75" customHeight="1">
      <c r="AC261" s="75"/>
    </row>
    <row r="262" ht="15.75" customHeight="1">
      <c r="AC262" s="75"/>
    </row>
    <row r="263" ht="15.75" customHeight="1">
      <c r="AC263" s="75"/>
    </row>
    <row r="264" ht="15.75" customHeight="1">
      <c r="AC264" s="75"/>
    </row>
    <row r="265" ht="15.75" customHeight="1">
      <c r="AC265" s="75"/>
    </row>
    <row r="266" ht="15.75" customHeight="1">
      <c r="AC266" s="75"/>
    </row>
    <row r="267" ht="15.75" customHeight="1">
      <c r="AC267" s="75"/>
    </row>
    <row r="268" ht="15.75" customHeight="1">
      <c r="AC268" s="75"/>
    </row>
    <row r="269" ht="15.75" customHeight="1">
      <c r="AC269" s="75"/>
    </row>
    <row r="270" ht="15.75" customHeight="1">
      <c r="AC270" s="75"/>
    </row>
    <row r="271" ht="15.75" customHeight="1">
      <c r="AC271" s="75"/>
    </row>
    <row r="272" ht="15.75" customHeight="1">
      <c r="AC272" s="75"/>
    </row>
    <row r="273" ht="15.75" customHeight="1">
      <c r="AC273" s="75"/>
    </row>
    <row r="274" ht="15.75" customHeight="1">
      <c r="AC274" s="75"/>
    </row>
    <row r="275" ht="15.75" customHeight="1">
      <c r="AC275" s="75"/>
    </row>
    <row r="276" ht="15.75" customHeight="1">
      <c r="AC276" s="75"/>
    </row>
    <row r="277" ht="15.75" customHeight="1">
      <c r="AC277" s="75"/>
    </row>
    <row r="278" ht="15.75" customHeight="1">
      <c r="AC278" s="75"/>
    </row>
    <row r="279" ht="15.75" customHeight="1">
      <c r="AC279" s="75"/>
    </row>
    <row r="280" ht="15.75" customHeight="1">
      <c r="AC280" s="75"/>
    </row>
    <row r="281" ht="15.75" customHeight="1">
      <c r="AC281" s="75"/>
    </row>
    <row r="282" ht="15.75" customHeight="1">
      <c r="AC282" s="75"/>
    </row>
    <row r="283" ht="15.75" customHeight="1">
      <c r="AC283" s="75"/>
    </row>
    <row r="284" ht="15.75" customHeight="1">
      <c r="AC284" s="75"/>
    </row>
    <row r="285" ht="15.75" customHeight="1">
      <c r="AC285" s="75"/>
    </row>
    <row r="286" ht="15.75" customHeight="1">
      <c r="AC286" s="75"/>
    </row>
    <row r="287" ht="15.75" customHeight="1">
      <c r="AC287" s="75"/>
    </row>
    <row r="288" ht="15.75" customHeight="1">
      <c r="AC288" s="75"/>
    </row>
    <row r="289" ht="15.75" customHeight="1">
      <c r="AC289" s="75"/>
    </row>
    <row r="290" ht="15.75" customHeight="1">
      <c r="AC290" s="75"/>
    </row>
    <row r="291" ht="15.75" customHeight="1">
      <c r="AC291" s="75"/>
    </row>
    <row r="292" ht="15.75" customHeight="1">
      <c r="AC292" s="75"/>
    </row>
    <row r="293" ht="15.75" customHeight="1">
      <c r="AC293" s="75"/>
    </row>
    <row r="294" ht="15.75" customHeight="1">
      <c r="AC294" s="75"/>
    </row>
    <row r="295" ht="15.75" customHeight="1">
      <c r="AC295" s="75"/>
    </row>
    <row r="296" ht="15.75" customHeight="1">
      <c r="AC296" s="75"/>
    </row>
    <row r="297" ht="15.75" customHeight="1">
      <c r="AC297" s="75"/>
    </row>
    <row r="298" ht="15.75" customHeight="1">
      <c r="AC298" s="75"/>
    </row>
    <row r="299" ht="15.75" customHeight="1">
      <c r="AC299" s="75"/>
    </row>
    <row r="300" ht="15.75" customHeight="1">
      <c r="AC300" s="75"/>
    </row>
    <row r="301" ht="15.75" customHeight="1">
      <c r="AC301" s="75"/>
    </row>
    <row r="302" ht="15.75" customHeight="1">
      <c r="AC302" s="75"/>
    </row>
    <row r="303" ht="15.75" customHeight="1">
      <c r="AC303" s="75"/>
    </row>
    <row r="304" ht="15.75" customHeight="1">
      <c r="AC304" s="75"/>
    </row>
    <row r="305" ht="15.75" customHeight="1">
      <c r="AC305" s="75"/>
    </row>
    <row r="306" ht="15.75" customHeight="1">
      <c r="AC306" s="75"/>
    </row>
    <row r="307" ht="15.75" customHeight="1">
      <c r="AC307" s="75"/>
    </row>
    <row r="308" ht="15.75" customHeight="1">
      <c r="AC308" s="75"/>
    </row>
    <row r="309" ht="15.75" customHeight="1">
      <c r="AC309" s="75"/>
    </row>
    <row r="310" ht="15.75" customHeight="1">
      <c r="AC310" s="75"/>
    </row>
    <row r="311" ht="15.75" customHeight="1">
      <c r="AC311" s="75"/>
    </row>
    <row r="312" ht="15.75" customHeight="1">
      <c r="AC312" s="75"/>
    </row>
    <row r="313" ht="15.75" customHeight="1">
      <c r="AC313" s="75"/>
    </row>
    <row r="314" ht="15.75" customHeight="1">
      <c r="AC314" s="75"/>
    </row>
    <row r="315" ht="15.75" customHeight="1">
      <c r="AC315" s="75"/>
    </row>
    <row r="316" ht="15.75" customHeight="1">
      <c r="AC316" s="75"/>
    </row>
    <row r="317" ht="15.75" customHeight="1">
      <c r="AC317" s="75"/>
    </row>
    <row r="318" ht="15.75" customHeight="1">
      <c r="AC318" s="75"/>
    </row>
    <row r="319" ht="15.75" customHeight="1">
      <c r="AC319" s="75"/>
    </row>
    <row r="320" ht="15.75" customHeight="1">
      <c r="AC320" s="75"/>
    </row>
    <row r="321" ht="15.75" customHeight="1">
      <c r="AC321" s="75"/>
    </row>
    <row r="322" ht="15.75" customHeight="1">
      <c r="AC322" s="75"/>
    </row>
    <row r="323" ht="15.75" customHeight="1">
      <c r="AC323" s="75"/>
    </row>
    <row r="324" ht="15.75" customHeight="1">
      <c r="AC324" s="75"/>
    </row>
    <row r="325" ht="15.75" customHeight="1">
      <c r="AC325" s="75"/>
    </row>
    <row r="326" ht="15.75" customHeight="1">
      <c r="AC326" s="75"/>
    </row>
    <row r="327" ht="15.75" customHeight="1">
      <c r="AC327" s="75"/>
    </row>
    <row r="328" ht="15.75" customHeight="1">
      <c r="AC328" s="75"/>
    </row>
    <row r="329" ht="15.75" customHeight="1">
      <c r="AC329" s="75"/>
    </row>
    <row r="330" ht="15.75" customHeight="1">
      <c r="AC330" s="75"/>
    </row>
    <row r="331" ht="15.75" customHeight="1">
      <c r="AC331" s="75"/>
    </row>
    <row r="332" ht="15.75" customHeight="1">
      <c r="AC332" s="75"/>
    </row>
    <row r="333" ht="15.75" customHeight="1">
      <c r="AC333" s="75"/>
    </row>
    <row r="334" ht="15.75" customHeight="1">
      <c r="AC334" s="75"/>
    </row>
    <row r="335" ht="15.75" customHeight="1">
      <c r="AC335" s="75"/>
    </row>
    <row r="336" ht="15.75" customHeight="1">
      <c r="AC336" s="75"/>
    </row>
    <row r="337" ht="15.75" customHeight="1">
      <c r="AC337" s="75"/>
    </row>
    <row r="338" ht="15.75" customHeight="1">
      <c r="AC338" s="75"/>
    </row>
    <row r="339" ht="15.75" customHeight="1">
      <c r="AC339" s="75"/>
    </row>
    <row r="340" ht="15.75" customHeight="1">
      <c r="AC340" s="75"/>
    </row>
    <row r="341" ht="15.75" customHeight="1">
      <c r="AC341" s="75"/>
    </row>
    <row r="342" ht="15.75" customHeight="1">
      <c r="AC342" s="75"/>
    </row>
    <row r="343" ht="15.75" customHeight="1">
      <c r="AC343" s="75"/>
    </row>
    <row r="344" ht="15.75" customHeight="1">
      <c r="AC344" s="75"/>
    </row>
    <row r="345" ht="15.75" customHeight="1">
      <c r="AC345" s="75"/>
    </row>
    <row r="346" ht="15.75" customHeight="1">
      <c r="AC346" s="75"/>
    </row>
    <row r="347" ht="15.75" customHeight="1">
      <c r="AC347" s="75"/>
    </row>
    <row r="348" ht="15.75" customHeight="1">
      <c r="AC348" s="75"/>
    </row>
    <row r="349" ht="15.75" customHeight="1">
      <c r="AC349" s="75"/>
    </row>
    <row r="350" ht="15.75" customHeight="1">
      <c r="AC350" s="75"/>
    </row>
    <row r="351" ht="15.75" customHeight="1">
      <c r="AC351" s="75"/>
    </row>
    <row r="352" ht="15.75" customHeight="1">
      <c r="AC352" s="75"/>
    </row>
    <row r="353" ht="15.75" customHeight="1">
      <c r="AC353" s="75"/>
    </row>
    <row r="354" ht="15.75" customHeight="1">
      <c r="AC354" s="75"/>
    </row>
    <row r="355" ht="15.75" customHeight="1">
      <c r="AC355" s="75"/>
    </row>
    <row r="356" ht="15.75" customHeight="1">
      <c r="AC356" s="75"/>
    </row>
    <row r="357" ht="15.75" customHeight="1">
      <c r="AC357" s="75"/>
    </row>
    <row r="358" ht="15.75" customHeight="1">
      <c r="AC358" s="75"/>
    </row>
    <row r="359" ht="15.75" customHeight="1">
      <c r="AC359" s="75"/>
    </row>
    <row r="360" ht="15.75" customHeight="1">
      <c r="AC360" s="75"/>
    </row>
    <row r="361" ht="15.75" customHeight="1">
      <c r="AC361" s="75"/>
    </row>
    <row r="362" ht="15.75" customHeight="1">
      <c r="AC362" s="75"/>
    </row>
    <row r="363" ht="15.75" customHeight="1">
      <c r="AC363" s="75"/>
    </row>
    <row r="364" ht="15.75" customHeight="1">
      <c r="AC364" s="75"/>
    </row>
    <row r="365" ht="15.75" customHeight="1">
      <c r="AC365" s="75"/>
    </row>
    <row r="366" ht="15.75" customHeight="1">
      <c r="AC366" s="75"/>
    </row>
    <row r="367" ht="15.75" customHeight="1">
      <c r="AC367" s="75"/>
    </row>
    <row r="368" ht="15.75" customHeight="1">
      <c r="AC368" s="75"/>
    </row>
    <row r="369" ht="15.75" customHeight="1">
      <c r="AC369" s="75"/>
    </row>
    <row r="370" ht="15.75" customHeight="1">
      <c r="AC370" s="75"/>
    </row>
    <row r="371" ht="15.75" customHeight="1">
      <c r="AC371" s="75"/>
    </row>
    <row r="372" ht="15.75" customHeight="1">
      <c r="AC372" s="75"/>
    </row>
    <row r="373" ht="15.75" customHeight="1">
      <c r="AC373" s="75"/>
    </row>
    <row r="374" ht="15.75" customHeight="1">
      <c r="AC374" s="75"/>
    </row>
    <row r="375" ht="15.75" customHeight="1">
      <c r="AC375" s="75"/>
    </row>
    <row r="376" ht="15.75" customHeight="1">
      <c r="AC376" s="75"/>
    </row>
    <row r="377" ht="15.75" customHeight="1">
      <c r="AC377" s="75"/>
    </row>
    <row r="378" ht="15.75" customHeight="1">
      <c r="AC378" s="75"/>
    </row>
    <row r="379" ht="15.75" customHeight="1">
      <c r="AC379" s="75"/>
    </row>
    <row r="380" ht="15.75" customHeight="1">
      <c r="AC380" s="75"/>
    </row>
    <row r="381" ht="15.75" customHeight="1">
      <c r="AC381" s="75"/>
    </row>
    <row r="382" ht="15.75" customHeight="1">
      <c r="AC382" s="75"/>
    </row>
    <row r="383" ht="15.75" customHeight="1">
      <c r="AC383" s="75"/>
    </row>
    <row r="384" ht="15.75" customHeight="1">
      <c r="AC384" s="75"/>
    </row>
    <row r="385" ht="15.75" customHeight="1">
      <c r="AC385" s="75"/>
    </row>
    <row r="386" ht="15.75" customHeight="1">
      <c r="AC386" s="75"/>
    </row>
    <row r="387" ht="15.75" customHeight="1">
      <c r="AC387" s="75"/>
    </row>
    <row r="388" ht="15.75" customHeight="1">
      <c r="AC388" s="75"/>
    </row>
    <row r="389" ht="15.75" customHeight="1">
      <c r="AC389" s="75"/>
    </row>
    <row r="390" ht="15.75" customHeight="1">
      <c r="AC390" s="75"/>
    </row>
    <row r="391" ht="15.75" customHeight="1">
      <c r="AC391" s="75"/>
    </row>
    <row r="392" ht="15.75" customHeight="1">
      <c r="AC392" s="75"/>
    </row>
    <row r="393" ht="15.75" customHeight="1">
      <c r="AC393" s="75"/>
    </row>
    <row r="394" ht="15.75" customHeight="1">
      <c r="AC394" s="75"/>
    </row>
    <row r="395" ht="15.75" customHeight="1">
      <c r="AC395" s="75"/>
    </row>
    <row r="396" ht="15.75" customHeight="1">
      <c r="AC396" s="75"/>
    </row>
    <row r="397" ht="15.75" customHeight="1">
      <c r="AC397" s="75"/>
    </row>
    <row r="398" ht="15.75" customHeight="1">
      <c r="AC398" s="75"/>
    </row>
    <row r="399" ht="15.75" customHeight="1">
      <c r="AC399" s="75"/>
    </row>
    <row r="400" ht="15.75" customHeight="1">
      <c r="AC400" s="75"/>
    </row>
    <row r="401" ht="15.75" customHeight="1">
      <c r="AC401" s="75"/>
    </row>
    <row r="402" ht="15.75" customHeight="1">
      <c r="AC402" s="75"/>
    </row>
    <row r="403" ht="15.75" customHeight="1">
      <c r="AC403" s="75"/>
    </row>
    <row r="404" ht="15.75" customHeight="1">
      <c r="AC404" s="75"/>
    </row>
    <row r="405" ht="15.75" customHeight="1">
      <c r="AC405" s="75"/>
    </row>
    <row r="406" ht="15.75" customHeight="1">
      <c r="AC406" s="75"/>
    </row>
    <row r="407" ht="15.75" customHeight="1">
      <c r="AC407" s="75"/>
    </row>
    <row r="408" ht="15.75" customHeight="1">
      <c r="AC408" s="75"/>
    </row>
    <row r="409" ht="15.75" customHeight="1">
      <c r="AC409" s="75"/>
    </row>
    <row r="410" ht="15.75" customHeight="1">
      <c r="AC410" s="75"/>
    </row>
    <row r="411" ht="15.75" customHeight="1">
      <c r="AC411" s="75"/>
    </row>
    <row r="412" ht="15.75" customHeight="1">
      <c r="AC412" s="75"/>
    </row>
    <row r="413" ht="15.75" customHeight="1">
      <c r="AC413" s="75"/>
    </row>
    <row r="414" ht="15.75" customHeight="1">
      <c r="AC414" s="75"/>
    </row>
    <row r="415" ht="15.75" customHeight="1">
      <c r="AC415" s="75"/>
    </row>
    <row r="416" ht="15.75" customHeight="1">
      <c r="AC416" s="75"/>
    </row>
    <row r="417" ht="15.75" customHeight="1">
      <c r="AC417" s="75"/>
    </row>
    <row r="418" ht="15.75" customHeight="1">
      <c r="AC418" s="75"/>
    </row>
    <row r="419" ht="15.75" customHeight="1">
      <c r="AC419" s="75"/>
    </row>
    <row r="420" ht="15.75" customHeight="1">
      <c r="AC420" s="75"/>
    </row>
    <row r="421" ht="15.75" customHeight="1">
      <c r="AC421" s="75"/>
    </row>
    <row r="422" ht="15.75" customHeight="1">
      <c r="AC422" s="75"/>
    </row>
    <row r="423" ht="15.75" customHeight="1">
      <c r="AC423" s="75"/>
    </row>
    <row r="424" ht="15.75" customHeight="1">
      <c r="AC424" s="75"/>
    </row>
    <row r="425" ht="15.75" customHeight="1">
      <c r="AC425" s="75"/>
    </row>
    <row r="426" ht="15.75" customHeight="1">
      <c r="AC426" s="75"/>
    </row>
    <row r="427" ht="15.75" customHeight="1">
      <c r="AC427" s="75"/>
    </row>
    <row r="428" ht="15.75" customHeight="1">
      <c r="AC428" s="75"/>
    </row>
    <row r="429" ht="15.75" customHeight="1">
      <c r="AC429" s="75"/>
    </row>
    <row r="430" ht="15.75" customHeight="1">
      <c r="AC430" s="75"/>
    </row>
    <row r="431" ht="15.75" customHeight="1">
      <c r="AC431" s="75"/>
    </row>
    <row r="432" ht="15.75" customHeight="1">
      <c r="AC432" s="75"/>
    </row>
    <row r="433" ht="15.75" customHeight="1">
      <c r="AC433" s="75"/>
    </row>
    <row r="434" ht="15.75" customHeight="1">
      <c r="AC434" s="75"/>
    </row>
    <row r="435" ht="15.75" customHeight="1">
      <c r="AC435" s="75"/>
    </row>
    <row r="436" ht="15.75" customHeight="1">
      <c r="AC436" s="75"/>
    </row>
    <row r="437" ht="15.75" customHeight="1">
      <c r="AC437" s="75"/>
    </row>
    <row r="438" ht="15.75" customHeight="1">
      <c r="AC438" s="75"/>
    </row>
    <row r="439" ht="15.75" customHeight="1">
      <c r="AC439" s="75"/>
    </row>
    <row r="440" ht="15.75" customHeight="1">
      <c r="AC440" s="75"/>
    </row>
    <row r="441" ht="15.75" customHeight="1">
      <c r="AC441" s="75"/>
    </row>
    <row r="442" ht="15.75" customHeight="1">
      <c r="AC442" s="75"/>
    </row>
    <row r="443" ht="15.75" customHeight="1">
      <c r="AC443" s="75"/>
    </row>
    <row r="444" ht="15.75" customHeight="1">
      <c r="AC444" s="75"/>
    </row>
    <row r="445" ht="15.75" customHeight="1">
      <c r="AC445" s="75"/>
    </row>
    <row r="446" ht="15.75" customHeight="1">
      <c r="AC446" s="75"/>
    </row>
    <row r="447" ht="15.75" customHeight="1">
      <c r="AC447" s="75"/>
    </row>
    <row r="448" ht="15.75" customHeight="1">
      <c r="AC448" s="75"/>
    </row>
    <row r="449" ht="15.75" customHeight="1">
      <c r="AC449" s="75"/>
    </row>
    <row r="450" ht="15.75" customHeight="1">
      <c r="AC450" s="75"/>
    </row>
    <row r="451" ht="15.75" customHeight="1">
      <c r="AC451" s="75"/>
    </row>
    <row r="452" ht="15.75" customHeight="1">
      <c r="AC452" s="75"/>
    </row>
    <row r="453" ht="15.75" customHeight="1">
      <c r="AC453" s="75"/>
    </row>
    <row r="454" ht="15.75" customHeight="1">
      <c r="AC454" s="75"/>
    </row>
    <row r="455" ht="15.75" customHeight="1">
      <c r="AC455" s="75"/>
    </row>
    <row r="456" ht="15.75" customHeight="1">
      <c r="AC456" s="75"/>
    </row>
    <row r="457" ht="15.75" customHeight="1">
      <c r="AC457" s="75"/>
    </row>
    <row r="458" ht="15.75" customHeight="1">
      <c r="AC458" s="75"/>
    </row>
    <row r="459" ht="15.75" customHeight="1">
      <c r="AC459" s="75"/>
    </row>
    <row r="460" ht="15.75" customHeight="1">
      <c r="AC460" s="75"/>
    </row>
    <row r="461" ht="15.75" customHeight="1">
      <c r="AC461" s="75"/>
    </row>
    <row r="462" ht="15.75" customHeight="1">
      <c r="AC462" s="75"/>
    </row>
    <row r="463" ht="15.75" customHeight="1">
      <c r="AC463" s="75"/>
    </row>
    <row r="464" ht="15.75" customHeight="1">
      <c r="AC464" s="75"/>
    </row>
    <row r="465" ht="15.75" customHeight="1">
      <c r="AC465" s="75"/>
    </row>
    <row r="466" ht="15.75" customHeight="1">
      <c r="AC466" s="75"/>
    </row>
    <row r="467" ht="15.75" customHeight="1">
      <c r="AC467" s="75"/>
    </row>
    <row r="468" ht="15.75" customHeight="1">
      <c r="AC468" s="75"/>
    </row>
    <row r="469" ht="15.75" customHeight="1">
      <c r="AC469" s="75"/>
    </row>
    <row r="470" ht="15.75" customHeight="1">
      <c r="AC470" s="75"/>
    </row>
    <row r="471" ht="15.75" customHeight="1">
      <c r="AC471" s="75"/>
    </row>
    <row r="472" ht="15.75" customHeight="1">
      <c r="AC472" s="75"/>
    </row>
    <row r="473" ht="15.75" customHeight="1">
      <c r="AC473" s="75"/>
    </row>
    <row r="474" ht="15.75" customHeight="1">
      <c r="AC474" s="75"/>
    </row>
    <row r="475" ht="15.75" customHeight="1">
      <c r="AC475" s="75"/>
    </row>
    <row r="476" ht="15.75" customHeight="1">
      <c r="AC476" s="75"/>
    </row>
    <row r="477" ht="15.75" customHeight="1">
      <c r="AC477" s="75"/>
    </row>
    <row r="478" ht="15.75" customHeight="1">
      <c r="AC478" s="75"/>
    </row>
    <row r="479" ht="15.75" customHeight="1">
      <c r="AC479" s="75"/>
    </row>
    <row r="480" ht="15.75" customHeight="1">
      <c r="AC480" s="75"/>
    </row>
    <row r="481" ht="15.75" customHeight="1">
      <c r="AC481" s="75"/>
    </row>
    <row r="482" ht="15.75" customHeight="1">
      <c r="AC482" s="75"/>
    </row>
    <row r="483" ht="15.75" customHeight="1">
      <c r="AC483" s="75"/>
    </row>
    <row r="484" ht="15.75" customHeight="1">
      <c r="AC484" s="75"/>
    </row>
    <row r="485" ht="15.75" customHeight="1">
      <c r="AC485" s="75"/>
    </row>
    <row r="486" ht="15.75" customHeight="1">
      <c r="AC486" s="75"/>
    </row>
    <row r="487" ht="15.75" customHeight="1">
      <c r="AC487" s="75"/>
    </row>
    <row r="488" ht="15.75" customHeight="1">
      <c r="AC488" s="75"/>
    </row>
    <row r="489" ht="15.75" customHeight="1">
      <c r="AC489" s="75"/>
    </row>
    <row r="490" ht="15.75" customHeight="1">
      <c r="AC490" s="75"/>
    </row>
    <row r="491" ht="15.75" customHeight="1">
      <c r="AC491" s="75"/>
    </row>
    <row r="492" ht="15.75" customHeight="1">
      <c r="AC492" s="75"/>
    </row>
    <row r="493" ht="15.75" customHeight="1">
      <c r="AC493" s="75"/>
    </row>
    <row r="494" ht="15.75" customHeight="1">
      <c r="AC494" s="75"/>
    </row>
    <row r="495" ht="15.75" customHeight="1">
      <c r="AC495" s="75"/>
    </row>
    <row r="496" ht="15.75" customHeight="1">
      <c r="AC496" s="75"/>
    </row>
    <row r="497" ht="15.75" customHeight="1">
      <c r="AC497" s="75"/>
    </row>
    <row r="498" ht="15.75" customHeight="1">
      <c r="AC498" s="75"/>
    </row>
    <row r="499" ht="15.75" customHeight="1">
      <c r="AC499" s="75"/>
    </row>
    <row r="500" ht="15.75" customHeight="1">
      <c r="AC500" s="75"/>
    </row>
    <row r="501" ht="15.75" customHeight="1">
      <c r="AC501" s="75"/>
    </row>
    <row r="502" ht="15.75" customHeight="1">
      <c r="AC502" s="75"/>
    </row>
    <row r="503" ht="15.75" customHeight="1">
      <c r="AC503" s="75"/>
    </row>
    <row r="504" ht="15.75" customHeight="1">
      <c r="AC504" s="75"/>
    </row>
    <row r="505" ht="15.75" customHeight="1">
      <c r="AC505" s="75"/>
    </row>
    <row r="506" ht="15.75" customHeight="1">
      <c r="AC506" s="75"/>
    </row>
    <row r="507" ht="15.75" customHeight="1">
      <c r="AC507" s="75"/>
    </row>
    <row r="508" ht="15.75" customHeight="1">
      <c r="AC508" s="75"/>
    </row>
    <row r="509" ht="15.75" customHeight="1">
      <c r="AC509" s="75"/>
    </row>
    <row r="510" ht="15.75" customHeight="1">
      <c r="AC510" s="75"/>
    </row>
    <row r="511" ht="15.75" customHeight="1">
      <c r="AC511" s="75"/>
    </row>
    <row r="512" ht="15.75" customHeight="1">
      <c r="AC512" s="75"/>
    </row>
    <row r="513" ht="15.75" customHeight="1">
      <c r="AC513" s="75"/>
    </row>
    <row r="514" ht="15.75" customHeight="1">
      <c r="AC514" s="75"/>
    </row>
    <row r="515" ht="15.75" customHeight="1">
      <c r="AC515" s="75"/>
    </row>
    <row r="516" ht="15.75" customHeight="1">
      <c r="AC516" s="75"/>
    </row>
    <row r="517" ht="15.75" customHeight="1">
      <c r="AC517" s="75"/>
    </row>
    <row r="518" ht="15.75" customHeight="1">
      <c r="AC518" s="75"/>
    </row>
    <row r="519" ht="15.75" customHeight="1">
      <c r="AC519" s="75"/>
    </row>
    <row r="520" ht="15.75" customHeight="1">
      <c r="AC520" s="75"/>
    </row>
    <row r="521" ht="15.75" customHeight="1">
      <c r="AC521" s="75"/>
    </row>
    <row r="522" ht="15.75" customHeight="1">
      <c r="AC522" s="75"/>
    </row>
    <row r="523" ht="15.75" customHeight="1">
      <c r="AC523" s="75"/>
    </row>
    <row r="524" ht="15.75" customHeight="1">
      <c r="AC524" s="75"/>
    </row>
    <row r="525" ht="15.75" customHeight="1">
      <c r="AC525" s="75"/>
    </row>
    <row r="526" ht="15.75" customHeight="1">
      <c r="AC526" s="75"/>
    </row>
    <row r="527" ht="15.75" customHeight="1">
      <c r="AC527" s="75"/>
    </row>
    <row r="528" ht="15.75" customHeight="1">
      <c r="AC528" s="75"/>
    </row>
    <row r="529" ht="15.75" customHeight="1">
      <c r="AC529" s="75"/>
    </row>
    <row r="530" ht="15.75" customHeight="1">
      <c r="AC530" s="75"/>
    </row>
    <row r="531" ht="15.75" customHeight="1">
      <c r="AC531" s="75"/>
    </row>
    <row r="532" ht="15.75" customHeight="1">
      <c r="AC532" s="75"/>
    </row>
    <row r="533" ht="15.75" customHeight="1">
      <c r="AC533" s="75"/>
    </row>
    <row r="534" ht="15.75" customHeight="1">
      <c r="AC534" s="75"/>
    </row>
    <row r="535" ht="15.75" customHeight="1">
      <c r="AC535" s="75"/>
    </row>
    <row r="536" ht="15.75" customHeight="1">
      <c r="AC536" s="75"/>
    </row>
    <row r="537" ht="15.75" customHeight="1">
      <c r="AC537" s="75"/>
    </row>
    <row r="538" ht="15.75" customHeight="1">
      <c r="AC538" s="75"/>
    </row>
    <row r="539" ht="15.75" customHeight="1">
      <c r="AC539" s="75"/>
    </row>
    <row r="540" ht="15.75" customHeight="1">
      <c r="AC540" s="75"/>
    </row>
    <row r="541" ht="15.75" customHeight="1">
      <c r="AC541" s="75"/>
    </row>
    <row r="542" ht="15.75" customHeight="1">
      <c r="AC542" s="75"/>
    </row>
    <row r="543" ht="15.75" customHeight="1">
      <c r="AC543" s="75"/>
    </row>
    <row r="544" ht="15.75" customHeight="1">
      <c r="AC544" s="75"/>
    </row>
    <row r="545" ht="15.75" customHeight="1">
      <c r="AC545" s="75"/>
    </row>
    <row r="546" ht="15.75" customHeight="1">
      <c r="AC546" s="75"/>
    </row>
    <row r="547" ht="15.75" customHeight="1">
      <c r="AC547" s="75"/>
    </row>
    <row r="548" ht="15.75" customHeight="1">
      <c r="AC548" s="75"/>
    </row>
    <row r="549" ht="15.75" customHeight="1">
      <c r="AC549" s="75"/>
    </row>
    <row r="550" ht="15.75" customHeight="1">
      <c r="AC550" s="75"/>
    </row>
    <row r="551" ht="15.75" customHeight="1">
      <c r="AC551" s="75"/>
    </row>
    <row r="552" ht="15.75" customHeight="1">
      <c r="AC552" s="75"/>
    </row>
    <row r="553" ht="15.75" customHeight="1">
      <c r="AC553" s="75"/>
    </row>
    <row r="554" ht="15.75" customHeight="1">
      <c r="AC554" s="75"/>
    </row>
    <row r="555" ht="15.75" customHeight="1">
      <c r="AC555" s="75"/>
    </row>
    <row r="556" ht="15.75" customHeight="1">
      <c r="AC556" s="75"/>
    </row>
    <row r="557" ht="15.75" customHeight="1">
      <c r="AC557" s="75"/>
    </row>
    <row r="558" ht="15.75" customHeight="1">
      <c r="AC558" s="75"/>
    </row>
    <row r="559" ht="15.75" customHeight="1">
      <c r="AC559" s="75"/>
    </row>
    <row r="560" ht="15.75" customHeight="1">
      <c r="AC560" s="75"/>
    </row>
    <row r="561" ht="15.75" customHeight="1">
      <c r="AC561" s="75"/>
    </row>
    <row r="562" ht="15.75" customHeight="1">
      <c r="AC562" s="75"/>
    </row>
    <row r="563" ht="15.75" customHeight="1">
      <c r="AC563" s="75"/>
    </row>
    <row r="564" ht="15.75" customHeight="1">
      <c r="AC564" s="75"/>
    </row>
    <row r="565" ht="15.75" customHeight="1">
      <c r="AC565" s="75"/>
    </row>
    <row r="566" ht="15.75" customHeight="1">
      <c r="AC566" s="75"/>
    </row>
    <row r="567" ht="15.75" customHeight="1">
      <c r="AC567" s="75"/>
    </row>
    <row r="568" ht="15.75" customHeight="1">
      <c r="AC568" s="75"/>
    </row>
    <row r="569" ht="15.75" customHeight="1">
      <c r="AC569" s="75"/>
    </row>
    <row r="570" ht="15.75" customHeight="1">
      <c r="AC570" s="75"/>
    </row>
    <row r="571" ht="15.75" customHeight="1">
      <c r="AC571" s="75"/>
    </row>
    <row r="572" ht="15.75" customHeight="1">
      <c r="AC572" s="75"/>
    </row>
    <row r="573" ht="15.75" customHeight="1">
      <c r="AC573" s="75"/>
    </row>
    <row r="574" ht="15.75" customHeight="1">
      <c r="AC574" s="75"/>
    </row>
    <row r="575" ht="15.75" customHeight="1">
      <c r="AC575" s="75"/>
    </row>
    <row r="576" ht="15.75" customHeight="1">
      <c r="AC576" s="75"/>
    </row>
    <row r="577" ht="15.75" customHeight="1">
      <c r="AC577" s="75"/>
    </row>
    <row r="578" ht="15.75" customHeight="1">
      <c r="AC578" s="75"/>
    </row>
    <row r="579" ht="15.75" customHeight="1">
      <c r="AC579" s="75"/>
    </row>
    <row r="580" ht="15.75" customHeight="1">
      <c r="AC580" s="75"/>
    </row>
    <row r="581" ht="15.75" customHeight="1">
      <c r="AC581" s="75"/>
    </row>
    <row r="582" ht="15.75" customHeight="1">
      <c r="AC582" s="75"/>
    </row>
    <row r="583" ht="15.75" customHeight="1">
      <c r="AC583" s="75"/>
    </row>
    <row r="584" ht="15.75" customHeight="1">
      <c r="AC584" s="75"/>
    </row>
    <row r="585" ht="15.75" customHeight="1">
      <c r="AC585" s="75"/>
    </row>
    <row r="586" ht="15.75" customHeight="1">
      <c r="AC586" s="75"/>
    </row>
    <row r="587" ht="15.75" customHeight="1">
      <c r="AC587" s="75"/>
    </row>
    <row r="588" ht="15.75" customHeight="1">
      <c r="AC588" s="75"/>
    </row>
    <row r="589" ht="15.75" customHeight="1">
      <c r="AC589" s="75"/>
    </row>
    <row r="590" ht="15.75" customHeight="1">
      <c r="AC590" s="75"/>
    </row>
    <row r="591" ht="15.75" customHeight="1">
      <c r="AC591" s="75"/>
    </row>
    <row r="592" ht="15.75" customHeight="1">
      <c r="AC592" s="75"/>
    </row>
    <row r="593" ht="15.75" customHeight="1">
      <c r="AC593" s="75"/>
    </row>
    <row r="594" ht="15.75" customHeight="1">
      <c r="AC594" s="75"/>
    </row>
    <row r="595" ht="15.75" customHeight="1">
      <c r="AC595" s="75"/>
    </row>
    <row r="596" ht="15.75" customHeight="1">
      <c r="AC596" s="75"/>
    </row>
    <row r="597" ht="15.75" customHeight="1">
      <c r="AC597" s="75"/>
    </row>
    <row r="598" ht="15.75" customHeight="1">
      <c r="AC598" s="75"/>
    </row>
    <row r="599" ht="15.75" customHeight="1">
      <c r="AC599" s="75"/>
    </row>
    <row r="600" ht="15.75" customHeight="1">
      <c r="AC600" s="75"/>
    </row>
    <row r="601" ht="15.75" customHeight="1">
      <c r="AC601" s="75"/>
    </row>
    <row r="602" ht="15.75" customHeight="1">
      <c r="AC602" s="75"/>
    </row>
    <row r="603" ht="15.75" customHeight="1">
      <c r="AC603" s="75"/>
    </row>
    <row r="604" ht="15.75" customHeight="1">
      <c r="AC604" s="75"/>
    </row>
    <row r="605" ht="15.75" customHeight="1">
      <c r="AC605" s="75"/>
    </row>
    <row r="606" ht="15.75" customHeight="1">
      <c r="AC606" s="75"/>
    </row>
    <row r="607" ht="15.75" customHeight="1">
      <c r="AC607" s="75"/>
    </row>
    <row r="608" ht="15.75" customHeight="1">
      <c r="AC608" s="75"/>
    </row>
    <row r="609" ht="15.75" customHeight="1">
      <c r="AC609" s="75"/>
    </row>
    <row r="610" ht="15.75" customHeight="1">
      <c r="AC610" s="75"/>
    </row>
    <row r="611" ht="15.75" customHeight="1">
      <c r="AC611" s="75"/>
    </row>
    <row r="612" ht="15.75" customHeight="1">
      <c r="AC612" s="75"/>
    </row>
    <row r="613" ht="15.75" customHeight="1">
      <c r="AC613" s="75"/>
    </row>
    <row r="614" ht="15.75" customHeight="1">
      <c r="AC614" s="75"/>
    </row>
    <row r="615" ht="15.75" customHeight="1">
      <c r="AC615" s="75"/>
    </row>
    <row r="616" ht="15.75" customHeight="1">
      <c r="AC616" s="75"/>
    </row>
    <row r="617" ht="15.75" customHeight="1">
      <c r="AC617" s="75"/>
    </row>
    <row r="618" ht="15.75" customHeight="1">
      <c r="AC618" s="75"/>
    </row>
    <row r="619" ht="15.75" customHeight="1">
      <c r="AC619" s="75"/>
    </row>
    <row r="620" ht="15.75" customHeight="1">
      <c r="AC620" s="75"/>
    </row>
    <row r="621" ht="15.75" customHeight="1">
      <c r="AC621" s="75"/>
    </row>
    <row r="622" ht="15.75" customHeight="1">
      <c r="AC622" s="75"/>
    </row>
    <row r="623" ht="15.75" customHeight="1">
      <c r="AC623" s="75"/>
    </row>
    <row r="624" ht="15.75" customHeight="1">
      <c r="AC624" s="75"/>
    </row>
    <row r="625" ht="15.75" customHeight="1">
      <c r="AC625" s="75"/>
    </row>
    <row r="626" ht="15.75" customHeight="1">
      <c r="AC626" s="75"/>
    </row>
    <row r="627" ht="15.75" customHeight="1">
      <c r="AC627" s="75"/>
    </row>
    <row r="628" ht="15.75" customHeight="1">
      <c r="AC628" s="75"/>
    </row>
    <row r="629" ht="15.75" customHeight="1">
      <c r="AC629" s="75"/>
    </row>
    <row r="630" ht="15.75" customHeight="1">
      <c r="AC630" s="75"/>
    </row>
    <row r="631" ht="15.75" customHeight="1">
      <c r="AC631" s="75"/>
    </row>
    <row r="632" ht="15.75" customHeight="1">
      <c r="AC632" s="75"/>
    </row>
    <row r="633" ht="15.75" customHeight="1">
      <c r="AC633" s="75"/>
    </row>
    <row r="634" ht="15.75" customHeight="1">
      <c r="AC634" s="75"/>
    </row>
    <row r="635" ht="15.75" customHeight="1">
      <c r="AC635" s="75"/>
    </row>
    <row r="636" ht="15.75" customHeight="1">
      <c r="AC636" s="75"/>
    </row>
    <row r="637" ht="15.75" customHeight="1">
      <c r="AC637" s="75"/>
    </row>
    <row r="638" ht="15.75" customHeight="1">
      <c r="AC638" s="75"/>
    </row>
    <row r="639" ht="15.75" customHeight="1">
      <c r="AC639" s="75"/>
    </row>
    <row r="640" ht="15.75" customHeight="1">
      <c r="AC640" s="75"/>
    </row>
    <row r="641" ht="15.75" customHeight="1">
      <c r="AC641" s="75"/>
    </row>
    <row r="642" ht="15.75" customHeight="1">
      <c r="AC642" s="75"/>
    </row>
    <row r="643" ht="15.75" customHeight="1">
      <c r="AC643" s="75"/>
    </row>
    <row r="644" ht="15.75" customHeight="1">
      <c r="AC644" s="75"/>
    </row>
    <row r="645" ht="15.75" customHeight="1">
      <c r="AC645" s="75"/>
    </row>
    <row r="646" ht="15.75" customHeight="1">
      <c r="AC646" s="75"/>
    </row>
    <row r="647" ht="15.75" customHeight="1">
      <c r="AC647" s="75"/>
    </row>
    <row r="648" ht="15.75" customHeight="1">
      <c r="AC648" s="75"/>
    </row>
    <row r="649" ht="15.75" customHeight="1">
      <c r="AC649" s="75"/>
    </row>
    <row r="650" ht="15.75" customHeight="1">
      <c r="AC650" s="75"/>
    </row>
    <row r="651" ht="15.75" customHeight="1">
      <c r="AC651" s="75"/>
    </row>
    <row r="652" ht="15.75" customHeight="1">
      <c r="AC652" s="75"/>
    </row>
    <row r="653" ht="15.75" customHeight="1">
      <c r="AC653" s="75"/>
    </row>
    <row r="654" ht="15.75" customHeight="1">
      <c r="AC654" s="75"/>
    </row>
    <row r="655" ht="15.75" customHeight="1">
      <c r="AC655" s="75"/>
    </row>
    <row r="656" ht="15.75" customHeight="1">
      <c r="AC656" s="75"/>
    </row>
    <row r="657" ht="15.75" customHeight="1">
      <c r="AC657" s="75"/>
    </row>
    <row r="658" ht="15.75" customHeight="1">
      <c r="AC658" s="75"/>
    </row>
    <row r="659" ht="15.75" customHeight="1">
      <c r="AC659" s="75"/>
    </row>
    <row r="660" ht="15.75" customHeight="1">
      <c r="AC660" s="75"/>
    </row>
    <row r="661" ht="15.75" customHeight="1">
      <c r="AC661" s="75"/>
    </row>
    <row r="662" ht="15.75" customHeight="1">
      <c r="AC662" s="75"/>
    </row>
    <row r="663" ht="15.75" customHeight="1">
      <c r="AC663" s="75"/>
    </row>
    <row r="664" ht="15.75" customHeight="1">
      <c r="AC664" s="75"/>
    </row>
    <row r="665" ht="15.75" customHeight="1">
      <c r="AC665" s="75"/>
    </row>
    <row r="666" ht="15.75" customHeight="1">
      <c r="AC666" s="75"/>
    </row>
    <row r="667" ht="15.75" customHeight="1">
      <c r="AC667" s="75"/>
    </row>
    <row r="668" ht="15.75" customHeight="1">
      <c r="AC668" s="75"/>
    </row>
    <row r="669" ht="15.75" customHeight="1">
      <c r="AC669" s="75"/>
    </row>
    <row r="670" ht="15.75" customHeight="1">
      <c r="AC670" s="75"/>
    </row>
    <row r="671" ht="15.75" customHeight="1">
      <c r="AC671" s="75"/>
    </row>
    <row r="672" ht="15.75" customHeight="1">
      <c r="AC672" s="75"/>
    </row>
    <row r="673" ht="15.75" customHeight="1">
      <c r="AC673" s="75"/>
    </row>
    <row r="674" ht="15.75" customHeight="1">
      <c r="AC674" s="75"/>
    </row>
    <row r="675" ht="15.75" customHeight="1">
      <c r="AC675" s="75"/>
    </row>
    <row r="676" ht="15.75" customHeight="1">
      <c r="AC676" s="75"/>
    </row>
    <row r="677" ht="15.75" customHeight="1">
      <c r="AC677" s="75"/>
    </row>
    <row r="678" ht="15.75" customHeight="1">
      <c r="AC678" s="75"/>
    </row>
    <row r="679" ht="15.75" customHeight="1">
      <c r="AC679" s="75"/>
    </row>
    <row r="680" ht="15.75" customHeight="1">
      <c r="AC680" s="75"/>
    </row>
    <row r="681" ht="15.75" customHeight="1">
      <c r="AC681" s="75"/>
    </row>
    <row r="682" ht="15.75" customHeight="1">
      <c r="AC682" s="75"/>
    </row>
    <row r="683" ht="15.75" customHeight="1">
      <c r="AC683" s="75"/>
    </row>
    <row r="684" ht="15.75" customHeight="1">
      <c r="AC684" s="75"/>
    </row>
    <row r="685" ht="15.75" customHeight="1">
      <c r="AC685" s="75"/>
    </row>
    <row r="686" ht="15.75" customHeight="1">
      <c r="AC686" s="75"/>
    </row>
    <row r="687" ht="15.75" customHeight="1">
      <c r="AC687" s="75"/>
    </row>
    <row r="688" ht="15.75" customHeight="1">
      <c r="AC688" s="75"/>
    </row>
    <row r="689" ht="15.75" customHeight="1">
      <c r="AC689" s="75"/>
    </row>
    <row r="690" ht="15.75" customHeight="1">
      <c r="AC690" s="75"/>
    </row>
    <row r="691" ht="15.75" customHeight="1">
      <c r="AC691" s="75"/>
    </row>
    <row r="692" ht="15.75" customHeight="1">
      <c r="AC692" s="75"/>
    </row>
    <row r="693" ht="15.75" customHeight="1">
      <c r="AC693" s="75"/>
    </row>
    <row r="694" ht="15.75" customHeight="1">
      <c r="AC694" s="75"/>
    </row>
    <row r="695" ht="15.75" customHeight="1">
      <c r="AC695" s="75"/>
    </row>
    <row r="696" ht="15.75" customHeight="1">
      <c r="AC696" s="75"/>
    </row>
    <row r="697" ht="15.75" customHeight="1">
      <c r="AC697" s="75"/>
    </row>
    <row r="698" ht="15.75" customHeight="1">
      <c r="AC698" s="75"/>
    </row>
    <row r="699" ht="15.75" customHeight="1">
      <c r="AC699" s="75"/>
    </row>
    <row r="700" ht="15.75" customHeight="1">
      <c r="AC700" s="75"/>
    </row>
    <row r="701" ht="15.75" customHeight="1">
      <c r="AC701" s="75"/>
    </row>
    <row r="702" ht="15.75" customHeight="1">
      <c r="AC702" s="75"/>
    </row>
    <row r="703" ht="15.75" customHeight="1">
      <c r="AC703" s="75"/>
    </row>
    <row r="704" ht="15.75" customHeight="1">
      <c r="AC704" s="75"/>
    </row>
    <row r="705" ht="15.75" customHeight="1">
      <c r="AC705" s="75"/>
    </row>
    <row r="706" ht="15.75" customHeight="1">
      <c r="AC706" s="75"/>
    </row>
    <row r="707" ht="15.75" customHeight="1">
      <c r="AC707" s="75"/>
    </row>
    <row r="708" ht="15.75" customHeight="1">
      <c r="AC708" s="75"/>
    </row>
    <row r="709" ht="15.75" customHeight="1">
      <c r="AC709" s="75"/>
    </row>
    <row r="710" ht="15.75" customHeight="1">
      <c r="AC710" s="75"/>
    </row>
    <row r="711" ht="15.75" customHeight="1">
      <c r="AC711" s="75"/>
    </row>
    <row r="712" ht="15.75" customHeight="1">
      <c r="AC712" s="75"/>
    </row>
    <row r="713" ht="15.75" customHeight="1">
      <c r="AC713" s="75"/>
    </row>
    <row r="714" ht="15.75" customHeight="1">
      <c r="AC714" s="75"/>
    </row>
    <row r="715" ht="15.75" customHeight="1">
      <c r="AC715" s="75"/>
    </row>
    <row r="716" ht="15.75" customHeight="1">
      <c r="AC716" s="75"/>
    </row>
    <row r="717" ht="15.75" customHeight="1">
      <c r="AC717" s="75"/>
    </row>
    <row r="718" ht="15.75" customHeight="1">
      <c r="AC718" s="75"/>
    </row>
    <row r="719" ht="15.75" customHeight="1">
      <c r="AC719" s="75"/>
    </row>
    <row r="720" ht="15.75" customHeight="1">
      <c r="AC720" s="75"/>
    </row>
    <row r="721" ht="15.75" customHeight="1">
      <c r="AC721" s="75"/>
    </row>
    <row r="722" ht="15.75" customHeight="1">
      <c r="AC722" s="75"/>
    </row>
    <row r="723" ht="15.75" customHeight="1">
      <c r="AC723" s="75"/>
    </row>
    <row r="724" ht="15.75" customHeight="1">
      <c r="AC724" s="75"/>
    </row>
    <row r="725" ht="15.75" customHeight="1">
      <c r="AC725" s="75"/>
    </row>
    <row r="726" ht="15.75" customHeight="1">
      <c r="AC726" s="75"/>
    </row>
    <row r="727" ht="15.75" customHeight="1">
      <c r="AC727" s="75"/>
    </row>
    <row r="728" ht="15.75" customHeight="1">
      <c r="AC728" s="75"/>
    </row>
    <row r="729" ht="15.75" customHeight="1">
      <c r="AC729" s="75"/>
    </row>
    <row r="730" ht="15.75" customHeight="1">
      <c r="AC730" s="75"/>
    </row>
    <row r="731" ht="15.75" customHeight="1">
      <c r="AC731" s="75"/>
    </row>
    <row r="732" ht="15.75" customHeight="1">
      <c r="AC732" s="75"/>
    </row>
    <row r="733" ht="15.75" customHeight="1">
      <c r="AC733" s="75"/>
    </row>
    <row r="734" ht="15.75" customHeight="1">
      <c r="AC734" s="75"/>
    </row>
    <row r="735" ht="15.75" customHeight="1">
      <c r="AC735" s="75"/>
    </row>
    <row r="736" ht="15.75" customHeight="1">
      <c r="AC736" s="75"/>
    </row>
    <row r="737" ht="15.75" customHeight="1">
      <c r="AC737" s="75"/>
    </row>
    <row r="738" ht="15.75" customHeight="1">
      <c r="AC738" s="75"/>
    </row>
    <row r="739" ht="15.75" customHeight="1">
      <c r="AC739" s="75"/>
    </row>
    <row r="740" ht="15.75" customHeight="1">
      <c r="AC740" s="75"/>
    </row>
    <row r="741" ht="15.75" customHeight="1">
      <c r="AC741" s="75"/>
    </row>
    <row r="742" ht="15.75" customHeight="1">
      <c r="AC742" s="75"/>
    </row>
    <row r="743" ht="15.75" customHeight="1">
      <c r="AC743" s="75"/>
    </row>
    <row r="744" ht="15.75" customHeight="1">
      <c r="AC744" s="75"/>
    </row>
    <row r="745" ht="15.75" customHeight="1">
      <c r="AC745" s="75"/>
    </row>
    <row r="746" ht="15.75" customHeight="1">
      <c r="AC746" s="75"/>
    </row>
    <row r="747" ht="15.75" customHeight="1">
      <c r="AC747" s="75"/>
    </row>
    <row r="748" ht="15.75" customHeight="1">
      <c r="AC748" s="75"/>
    </row>
    <row r="749" ht="15.75" customHeight="1">
      <c r="AC749" s="75"/>
    </row>
    <row r="750" ht="15.75" customHeight="1">
      <c r="AC750" s="75"/>
    </row>
    <row r="751" ht="15.75" customHeight="1">
      <c r="AC751" s="75"/>
    </row>
    <row r="752" ht="15.75" customHeight="1">
      <c r="AC752" s="75"/>
    </row>
    <row r="753" ht="15.75" customHeight="1">
      <c r="AC753" s="75"/>
    </row>
    <row r="754" ht="15.75" customHeight="1">
      <c r="AC754" s="75"/>
    </row>
    <row r="755" ht="15.75" customHeight="1">
      <c r="AC755" s="75"/>
    </row>
    <row r="756" ht="15.75" customHeight="1">
      <c r="AC756" s="75"/>
    </row>
    <row r="757" ht="15.75" customHeight="1">
      <c r="AC757" s="75"/>
    </row>
    <row r="758" ht="15.75" customHeight="1">
      <c r="AC758" s="75"/>
    </row>
    <row r="759" ht="15.75" customHeight="1">
      <c r="AC759" s="75"/>
    </row>
    <row r="760" ht="15.75" customHeight="1">
      <c r="AC760" s="75"/>
    </row>
    <row r="761" ht="15.75" customHeight="1">
      <c r="AC761" s="75"/>
    </row>
    <row r="762" ht="15.75" customHeight="1">
      <c r="AC762" s="75"/>
    </row>
    <row r="763" ht="15.75" customHeight="1">
      <c r="AC763" s="75"/>
    </row>
    <row r="764" ht="15.75" customHeight="1">
      <c r="AC764" s="75"/>
    </row>
    <row r="765" ht="15.75" customHeight="1">
      <c r="AC765" s="75"/>
    </row>
    <row r="766" ht="15.75" customHeight="1">
      <c r="AC766" s="75"/>
    </row>
    <row r="767" ht="15.75" customHeight="1">
      <c r="AC767" s="75"/>
    </row>
    <row r="768" ht="15.75" customHeight="1">
      <c r="AC768" s="75"/>
    </row>
    <row r="769" ht="15.75" customHeight="1">
      <c r="AC769" s="75"/>
    </row>
    <row r="770" ht="15.75" customHeight="1">
      <c r="AC770" s="75"/>
    </row>
    <row r="771" ht="15.75" customHeight="1">
      <c r="AC771" s="75"/>
    </row>
    <row r="772" ht="15.75" customHeight="1">
      <c r="AC772" s="75"/>
    </row>
    <row r="773" ht="15.75" customHeight="1">
      <c r="AC773" s="75"/>
    </row>
    <row r="774" ht="15.75" customHeight="1">
      <c r="AC774" s="75"/>
    </row>
    <row r="775" ht="15.75" customHeight="1">
      <c r="AC775" s="75"/>
    </row>
    <row r="776" ht="15.75" customHeight="1">
      <c r="AC776" s="75"/>
    </row>
    <row r="777" ht="15.75" customHeight="1">
      <c r="AC777" s="75"/>
    </row>
    <row r="778" ht="15.75" customHeight="1">
      <c r="AC778" s="75"/>
    </row>
    <row r="779" ht="15.75" customHeight="1">
      <c r="AC779" s="75"/>
    </row>
    <row r="780" ht="15.75" customHeight="1">
      <c r="AC780" s="75"/>
    </row>
    <row r="781" ht="15.75" customHeight="1">
      <c r="AC781" s="75"/>
    </row>
    <row r="782" ht="15.75" customHeight="1">
      <c r="AC782" s="75"/>
    </row>
    <row r="783" ht="15.75" customHeight="1">
      <c r="AC783" s="75"/>
    </row>
    <row r="784" ht="15.75" customHeight="1">
      <c r="AC784" s="75"/>
    </row>
    <row r="785" ht="15.75" customHeight="1">
      <c r="AC785" s="75"/>
    </row>
    <row r="786" ht="15.75" customHeight="1">
      <c r="AC786" s="75"/>
    </row>
    <row r="787" ht="15.75" customHeight="1">
      <c r="AC787" s="75"/>
    </row>
    <row r="788" ht="15.75" customHeight="1">
      <c r="AC788" s="75"/>
    </row>
    <row r="789" ht="15.75" customHeight="1">
      <c r="AC789" s="75"/>
    </row>
    <row r="790" ht="15.75" customHeight="1">
      <c r="AC790" s="75"/>
    </row>
    <row r="791" ht="15.75" customHeight="1">
      <c r="AC791" s="75"/>
    </row>
    <row r="792" ht="15.75" customHeight="1">
      <c r="AC792" s="75"/>
    </row>
    <row r="793" ht="15.75" customHeight="1">
      <c r="AC793" s="75"/>
    </row>
    <row r="794" ht="15.75" customHeight="1">
      <c r="AC794" s="75"/>
    </row>
    <row r="795" ht="15.75" customHeight="1">
      <c r="AC795" s="75"/>
    </row>
    <row r="796" ht="15.75" customHeight="1">
      <c r="AC796" s="75"/>
    </row>
    <row r="797" ht="15.75" customHeight="1">
      <c r="AC797" s="75"/>
    </row>
    <row r="798" ht="15.75" customHeight="1">
      <c r="AC798" s="75"/>
    </row>
    <row r="799" ht="15.75" customHeight="1">
      <c r="AC799" s="75"/>
    </row>
    <row r="800" ht="15.75" customHeight="1">
      <c r="AC800" s="75"/>
    </row>
    <row r="801" ht="15.75" customHeight="1">
      <c r="AC801" s="75"/>
    </row>
    <row r="802" ht="15.75" customHeight="1">
      <c r="AC802" s="75"/>
    </row>
    <row r="803" ht="15.75" customHeight="1">
      <c r="AC803" s="75"/>
    </row>
    <row r="804" ht="15.75" customHeight="1">
      <c r="AC804" s="75"/>
    </row>
    <row r="805" ht="15.75" customHeight="1">
      <c r="AC805" s="75"/>
    </row>
    <row r="806" ht="15.75" customHeight="1">
      <c r="AC806" s="75"/>
    </row>
    <row r="807" ht="15.75" customHeight="1">
      <c r="AC807" s="75"/>
    </row>
    <row r="808" ht="15.75" customHeight="1">
      <c r="AC808" s="75"/>
    </row>
    <row r="809" ht="15.75" customHeight="1">
      <c r="AC809" s="75"/>
    </row>
    <row r="810" ht="15.75" customHeight="1">
      <c r="AC810" s="75"/>
    </row>
    <row r="811" ht="15.75" customHeight="1">
      <c r="AC811" s="75"/>
    </row>
    <row r="812" ht="15.75" customHeight="1">
      <c r="AC812" s="75"/>
    </row>
    <row r="813" ht="15.75" customHeight="1">
      <c r="AC813" s="75"/>
    </row>
    <row r="814" ht="15.75" customHeight="1">
      <c r="AC814" s="75"/>
    </row>
    <row r="815" ht="15.75" customHeight="1">
      <c r="AC815" s="75"/>
    </row>
    <row r="816" ht="15.75" customHeight="1">
      <c r="AC816" s="75"/>
    </row>
    <row r="817" ht="15.75" customHeight="1">
      <c r="AC817" s="75"/>
    </row>
    <row r="818" ht="15.75" customHeight="1">
      <c r="AC818" s="75"/>
    </row>
    <row r="819" ht="15.75" customHeight="1">
      <c r="AC819" s="75"/>
    </row>
    <row r="820" ht="15.75" customHeight="1">
      <c r="AC820" s="75"/>
    </row>
    <row r="821" ht="15.75" customHeight="1">
      <c r="AC821" s="75"/>
    </row>
    <row r="822" ht="15.75" customHeight="1">
      <c r="AC822" s="75"/>
    </row>
    <row r="823" ht="15.75" customHeight="1">
      <c r="AC823" s="75"/>
    </row>
    <row r="824" ht="15.75" customHeight="1">
      <c r="AC824" s="75"/>
    </row>
    <row r="825" ht="15.75" customHeight="1">
      <c r="AC825" s="75"/>
    </row>
    <row r="826" ht="15.75" customHeight="1">
      <c r="AC826" s="75"/>
    </row>
    <row r="827" ht="15.75" customHeight="1">
      <c r="AC827" s="75"/>
    </row>
    <row r="828" ht="15.75" customHeight="1">
      <c r="AC828" s="75"/>
    </row>
    <row r="829" ht="15.75" customHeight="1">
      <c r="AC829" s="75"/>
    </row>
    <row r="830" ht="15.75" customHeight="1">
      <c r="AC830" s="75"/>
    </row>
    <row r="831" ht="15.75" customHeight="1">
      <c r="AC831" s="75"/>
    </row>
    <row r="832" ht="15.75" customHeight="1">
      <c r="AC832" s="75"/>
    </row>
    <row r="833" ht="15.75" customHeight="1">
      <c r="AC833" s="75"/>
    </row>
    <row r="834" ht="15.75" customHeight="1">
      <c r="AC834" s="75"/>
    </row>
    <row r="835" ht="15.75" customHeight="1">
      <c r="AC835" s="75"/>
    </row>
    <row r="836" ht="15.75" customHeight="1">
      <c r="AC836" s="75"/>
    </row>
    <row r="837" ht="15.75" customHeight="1">
      <c r="AC837" s="75"/>
    </row>
    <row r="838" ht="15.75" customHeight="1">
      <c r="AC838" s="75"/>
    </row>
    <row r="839" ht="15.75" customHeight="1">
      <c r="AC839" s="75"/>
    </row>
    <row r="840" ht="15.75" customHeight="1">
      <c r="AC840" s="75"/>
    </row>
    <row r="841" ht="15.75" customHeight="1">
      <c r="AC841" s="75"/>
    </row>
    <row r="842" ht="15.75" customHeight="1">
      <c r="AC842" s="75"/>
    </row>
    <row r="843" ht="15.75" customHeight="1">
      <c r="AC843" s="75"/>
    </row>
    <row r="844" ht="15.75" customHeight="1">
      <c r="AC844" s="75"/>
    </row>
    <row r="845" ht="15.75" customHeight="1">
      <c r="AC845" s="75"/>
    </row>
    <row r="846" ht="15.75" customHeight="1">
      <c r="AC846" s="75"/>
    </row>
    <row r="847" ht="15.75" customHeight="1">
      <c r="AC847" s="75"/>
    </row>
    <row r="848" ht="15.75" customHeight="1">
      <c r="AC848" s="75"/>
    </row>
    <row r="849" ht="15.75" customHeight="1">
      <c r="AC849" s="75"/>
    </row>
    <row r="850" ht="15.75" customHeight="1">
      <c r="AC850" s="75"/>
    </row>
    <row r="851" ht="15.75" customHeight="1">
      <c r="AC851" s="75"/>
    </row>
    <row r="852" ht="15.75" customHeight="1">
      <c r="AC852" s="75"/>
    </row>
    <row r="853" ht="15.75" customHeight="1">
      <c r="AC853" s="75"/>
    </row>
    <row r="854" ht="15.75" customHeight="1">
      <c r="AC854" s="75"/>
    </row>
    <row r="855" ht="15.75" customHeight="1">
      <c r="AC855" s="75"/>
    </row>
    <row r="856" ht="15.75" customHeight="1">
      <c r="AC856" s="75"/>
    </row>
    <row r="857" ht="15.75" customHeight="1">
      <c r="AC857" s="75"/>
    </row>
    <row r="858" ht="15.75" customHeight="1">
      <c r="AC858" s="75"/>
    </row>
    <row r="859" ht="15.75" customHeight="1">
      <c r="AC859" s="75"/>
    </row>
    <row r="860" ht="15.75" customHeight="1">
      <c r="AC860" s="75"/>
    </row>
    <row r="861" ht="15.75" customHeight="1">
      <c r="AC861" s="75"/>
    </row>
    <row r="862" ht="15.75" customHeight="1">
      <c r="AC862" s="75"/>
    </row>
    <row r="863" ht="15.75" customHeight="1">
      <c r="AC863" s="75"/>
    </row>
    <row r="864" ht="15.75" customHeight="1">
      <c r="AC864" s="75"/>
    </row>
    <row r="865" ht="15.75" customHeight="1">
      <c r="AC865" s="75"/>
    </row>
    <row r="866" ht="15.75" customHeight="1">
      <c r="AC866" s="75"/>
    </row>
    <row r="867" ht="15.75" customHeight="1">
      <c r="AC867" s="75"/>
    </row>
    <row r="868" ht="15.75" customHeight="1">
      <c r="AC868" s="75"/>
    </row>
    <row r="869" ht="15.75" customHeight="1">
      <c r="AC869" s="75"/>
    </row>
    <row r="870" ht="15.75" customHeight="1">
      <c r="AC870" s="75"/>
    </row>
    <row r="871" ht="15.75" customHeight="1">
      <c r="AC871" s="75"/>
    </row>
    <row r="872" ht="15.75" customHeight="1">
      <c r="AC872" s="75"/>
    </row>
    <row r="873" ht="15.75" customHeight="1">
      <c r="AC873" s="75"/>
    </row>
    <row r="874" ht="15.75" customHeight="1">
      <c r="AC874" s="75"/>
    </row>
    <row r="875" ht="15.75" customHeight="1">
      <c r="AC875" s="75"/>
    </row>
    <row r="876" ht="15.75" customHeight="1">
      <c r="AC876" s="75"/>
    </row>
    <row r="877" ht="15.75" customHeight="1">
      <c r="AC877" s="75"/>
    </row>
    <row r="878" ht="15.75" customHeight="1">
      <c r="AC878" s="75"/>
    </row>
    <row r="879" ht="15.75" customHeight="1">
      <c r="AC879" s="75"/>
    </row>
    <row r="880" ht="15.75" customHeight="1">
      <c r="AC880" s="75"/>
    </row>
    <row r="881" ht="15.75" customHeight="1">
      <c r="AC881" s="75"/>
    </row>
    <row r="882" ht="15.75" customHeight="1">
      <c r="AC882" s="75"/>
    </row>
    <row r="883" ht="15.75" customHeight="1">
      <c r="AC883" s="75"/>
    </row>
    <row r="884" ht="15.75" customHeight="1">
      <c r="AC884" s="75"/>
    </row>
    <row r="885" ht="15.75" customHeight="1">
      <c r="AC885" s="75"/>
    </row>
    <row r="886" ht="15.75" customHeight="1">
      <c r="AC886" s="75"/>
    </row>
    <row r="887" ht="15.75" customHeight="1">
      <c r="AC887" s="75"/>
    </row>
    <row r="888" ht="15.75" customHeight="1">
      <c r="AC888" s="75"/>
    </row>
    <row r="889" ht="15.75" customHeight="1">
      <c r="AC889" s="75"/>
    </row>
    <row r="890" ht="15.75" customHeight="1">
      <c r="AC890" s="75"/>
    </row>
    <row r="891" ht="15.75" customHeight="1">
      <c r="AC891" s="75"/>
    </row>
    <row r="892" ht="15.75" customHeight="1">
      <c r="AC892" s="75"/>
    </row>
    <row r="893" ht="15.75" customHeight="1">
      <c r="AC893" s="75"/>
    </row>
    <row r="894" ht="15.75" customHeight="1">
      <c r="AC894" s="75"/>
    </row>
    <row r="895" ht="15.75" customHeight="1">
      <c r="AC895" s="75"/>
    </row>
    <row r="896" ht="15.75" customHeight="1">
      <c r="AC896" s="75"/>
    </row>
    <row r="897" ht="15.75" customHeight="1">
      <c r="AC897" s="75"/>
    </row>
    <row r="898" ht="15.75" customHeight="1">
      <c r="AC898" s="75"/>
    </row>
    <row r="899" ht="15.75" customHeight="1">
      <c r="AC899" s="75"/>
    </row>
    <row r="900" ht="15.75" customHeight="1">
      <c r="AC900" s="75"/>
    </row>
    <row r="901" ht="15.75" customHeight="1">
      <c r="AC901" s="75"/>
    </row>
    <row r="902" ht="15.75" customHeight="1">
      <c r="AC902" s="75"/>
    </row>
    <row r="903" ht="15.75" customHeight="1">
      <c r="AC903" s="75"/>
    </row>
    <row r="904" ht="15.75" customHeight="1">
      <c r="AC904" s="75"/>
    </row>
    <row r="905" ht="15.75" customHeight="1">
      <c r="AC905" s="75"/>
    </row>
    <row r="906" ht="15.75" customHeight="1">
      <c r="AC906" s="75"/>
    </row>
    <row r="907" ht="15.75" customHeight="1">
      <c r="AC907" s="75"/>
    </row>
    <row r="908" ht="15.75" customHeight="1">
      <c r="AC908" s="75"/>
    </row>
    <row r="909" ht="15.75" customHeight="1">
      <c r="AC909" s="75"/>
    </row>
    <row r="910" ht="15.75" customHeight="1">
      <c r="AC910" s="75"/>
    </row>
    <row r="911" ht="15.75" customHeight="1">
      <c r="AC911" s="75"/>
    </row>
    <row r="912" ht="15.75" customHeight="1">
      <c r="AC912" s="75"/>
    </row>
    <row r="913" ht="15.75" customHeight="1">
      <c r="AC913" s="75"/>
    </row>
    <row r="914" ht="15.75" customHeight="1">
      <c r="AC914" s="75"/>
    </row>
    <row r="915" ht="15.75" customHeight="1">
      <c r="AC915" s="75"/>
    </row>
    <row r="916" ht="15.75" customHeight="1">
      <c r="AC916" s="75"/>
    </row>
    <row r="917" ht="15.75" customHeight="1">
      <c r="AC917" s="75"/>
    </row>
    <row r="918" ht="15.75" customHeight="1">
      <c r="AC918" s="75"/>
    </row>
    <row r="919" ht="15.75" customHeight="1">
      <c r="AC919" s="75"/>
    </row>
    <row r="920" ht="15.75" customHeight="1">
      <c r="AC920" s="75"/>
    </row>
    <row r="921" ht="15.75" customHeight="1">
      <c r="AC921" s="75"/>
    </row>
    <row r="922" ht="15.75" customHeight="1">
      <c r="AC922" s="75"/>
    </row>
    <row r="923" ht="15.75" customHeight="1">
      <c r="AC923" s="75"/>
    </row>
    <row r="924" ht="15.75" customHeight="1">
      <c r="AC924" s="75"/>
    </row>
    <row r="925" ht="15.75" customHeight="1">
      <c r="AC925" s="75"/>
    </row>
    <row r="926" ht="15.75" customHeight="1">
      <c r="AC926" s="75"/>
    </row>
    <row r="927" ht="15.75" customHeight="1">
      <c r="AC927" s="75"/>
    </row>
    <row r="928" ht="15.75" customHeight="1">
      <c r="AC928" s="75"/>
    </row>
    <row r="929" ht="15.75" customHeight="1">
      <c r="AC929" s="75"/>
    </row>
    <row r="930" ht="15.75" customHeight="1">
      <c r="AC930" s="75"/>
    </row>
    <row r="931" ht="15.75" customHeight="1">
      <c r="AC931" s="75"/>
    </row>
    <row r="932" ht="15.75" customHeight="1">
      <c r="AC932" s="75"/>
    </row>
    <row r="933" ht="15.75" customHeight="1">
      <c r="AC933" s="75"/>
    </row>
    <row r="934" ht="15.75" customHeight="1">
      <c r="AC934" s="75"/>
    </row>
    <row r="935" ht="15.75" customHeight="1">
      <c r="AC935" s="75"/>
    </row>
    <row r="936" ht="15.75" customHeight="1">
      <c r="AC936" s="75"/>
    </row>
    <row r="937" ht="15.75" customHeight="1">
      <c r="AC937" s="75"/>
    </row>
    <row r="938" ht="15.75" customHeight="1">
      <c r="AC938" s="75"/>
    </row>
    <row r="939" ht="15.75" customHeight="1">
      <c r="AC939" s="75"/>
    </row>
    <row r="940" ht="15.75" customHeight="1">
      <c r="AC940" s="75"/>
    </row>
    <row r="941" ht="15.75" customHeight="1">
      <c r="AC941" s="75"/>
    </row>
    <row r="942" ht="15.75" customHeight="1">
      <c r="AC942" s="75"/>
    </row>
    <row r="943" ht="15.75" customHeight="1">
      <c r="AC943" s="75"/>
    </row>
    <row r="944" ht="15.75" customHeight="1">
      <c r="AC944" s="75"/>
    </row>
    <row r="945" ht="15.75" customHeight="1">
      <c r="AC945" s="75"/>
    </row>
    <row r="946" ht="15.75" customHeight="1">
      <c r="AC946" s="75"/>
    </row>
    <row r="947" ht="15.75" customHeight="1">
      <c r="AC947" s="75"/>
    </row>
    <row r="948" ht="15.75" customHeight="1">
      <c r="AC948" s="75"/>
    </row>
    <row r="949" ht="15.75" customHeight="1">
      <c r="AC949" s="75"/>
    </row>
    <row r="950" ht="15.75" customHeight="1">
      <c r="AC950" s="75"/>
    </row>
    <row r="951" ht="15.75" customHeight="1">
      <c r="AC951" s="75"/>
    </row>
    <row r="952" ht="15.75" customHeight="1">
      <c r="AC952" s="75"/>
    </row>
    <row r="953" ht="15.75" customHeight="1">
      <c r="AC953" s="75"/>
    </row>
    <row r="954" ht="15.75" customHeight="1">
      <c r="AC954" s="75"/>
    </row>
    <row r="955" ht="15.75" customHeight="1">
      <c r="AC955" s="75"/>
    </row>
    <row r="956" ht="15.75" customHeight="1">
      <c r="AC956" s="75"/>
    </row>
    <row r="957" ht="15.75" customHeight="1">
      <c r="AC957" s="75"/>
    </row>
    <row r="958" ht="15.75" customHeight="1">
      <c r="AC958" s="75"/>
    </row>
    <row r="959" ht="15.75" customHeight="1">
      <c r="AC959" s="75"/>
    </row>
    <row r="960" ht="15.75" customHeight="1">
      <c r="AC960" s="75"/>
    </row>
    <row r="961" ht="15.75" customHeight="1">
      <c r="AC961" s="75"/>
    </row>
    <row r="962" ht="15.75" customHeight="1">
      <c r="AC962" s="75"/>
    </row>
    <row r="963" ht="15.75" customHeight="1">
      <c r="AC963" s="75"/>
    </row>
    <row r="964" ht="15.75" customHeight="1">
      <c r="AC964" s="75"/>
    </row>
    <row r="965" ht="15.75" customHeight="1">
      <c r="AC965" s="75"/>
    </row>
    <row r="966" ht="15.75" customHeight="1">
      <c r="AC966" s="75"/>
    </row>
    <row r="967" ht="15.75" customHeight="1">
      <c r="AC967" s="75"/>
    </row>
    <row r="968" ht="15.75" customHeight="1">
      <c r="AC968" s="75"/>
    </row>
    <row r="969" ht="15.75" customHeight="1">
      <c r="AC969" s="75"/>
    </row>
    <row r="970" ht="15.75" customHeight="1">
      <c r="AC970" s="75"/>
    </row>
    <row r="971" ht="15.75" customHeight="1">
      <c r="AC971" s="75"/>
    </row>
    <row r="972" ht="15.75" customHeight="1">
      <c r="AC972" s="75"/>
    </row>
    <row r="973" ht="15.75" customHeight="1">
      <c r="AC973" s="75"/>
    </row>
    <row r="974" ht="15.75" customHeight="1">
      <c r="AC974" s="75"/>
    </row>
    <row r="975" ht="15.75" customHeight="1">
      <c r="AC975" s="75"/>
    </row>
    <row r="976" ht="15.75" customHeight="1">
      <c r="AC976" s="75"/>
    </row>
    <row r="977" ht="15.75" customHeight="1">
      <c r="AC977" s="75"/>
    </row>
    <row r="978" ht="15.75" customHeight="1">
      <c r="AC978" s="75"/>
    </row>
    <row r="979" ht="15.75" customHeight="1">
      <c r="AC979" s="75"/>
    </row>
    <row r="980" ht="15.75" customHeight="1">
      <c r="AC980" s="75"/>
    </row>
    <row r="981" ht="15.75" customHeight="1">
      <c r="AC981" s="75"/>
    </row>
    <row r="982" ht="15.75" customHeight="1">
      <c r="AC982" s="75"/>
    </row>
    <row r="983" ht="15.75" customHeight="1">
      <c r="AC983" s="75"/>
    </row>
    <row r="984" ht="15.75" customHeight="1">
      <c r="AC984" s="75"/>
    </row>
    <row r="985" ht="15.75" customHeight="1">
      <c r="AC985" s="75"/>
    </row>
    <row r="986" ht="15.75" customHeight="1">
      <c r="AC986" s="75"/>
    </row>
    <row r="987" ht="15.75" customHeight="1">
      <c r="AC987" s="75"/>
    </row>
    <row r="988" ht="15.75" customHeight="1">
      <c r="AC988" s="75"/>
    </row>
    <row r="989" ht="15.75" customHeight="1">
      <c r="AC989" s="75"/>
    </row>
    <row r="990" ht="15.75" customHeight="1">
      <c r="AC990" s="75"/>
    </row>
    <row r="991" ht="15.75" customHeight="1">
      <c r="AC991" s="75"/>
    </row>
    <row r="992" ht="15.75" customHeight="1">
      <c r="AC992" s="75"/>
    </row>
    <row r="993" ht="15.75" customHeight="1">
      <c r="AC993" s="75"/>
    </row>
    <row r="994" ht="15.75" customHeight="1">
      <c r="AC994" s="75"/>
    </row>
    <row r="995" ht="15.75" customHeight="1">
      <c r="AC995" s="75"/>
    </row>
    <row r="996" ht="15.75" customHeight="1">
      <c r="AC996" s="75"/>
    </row>
    <row r="997" ht="15.75" customHeight="1">
      <c r="AC997" s="75"/>
    </row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/>
  <cols>
    <col customWidth="1" min="1" max="1" width="1.88"/>
    <col customWidth="1" hidden="1" min="2" max="2" width="12.0"/>
    <col customWidth="1" min="3" max="3" width="29.75"/>
    <col customWidth="1" min="4" max="4" width="9.25"/>
    <col customWidth="1" hidden="1" min="5" max="5" width="6.13"/>
    <col customWidth="1" min="6" max="6" width="9.25"/>
    <col customWidth="1" hidden="1" min="7" max="7" width="5.63"/>
    <col customWidth="1" min="8" max="8" width="9.25"/>
    <col customWidth="1" hidden="1" min="9" max="9" width="6.25"/>
    <col customWidth="1" min="10" max="10" width="9.25"/>
    <col customWidth="1" hidden="1" min="11" max="11" width="5.75"/>
    <col customWidth="1" min="12" max="12" width="9.25"/>
    <col customWidth="1" hidden="1" min="13" max="13" width="6.5"/>
    <col customWidth="1" min="14" max="14" width="9.25"/>
    <col customWidth="1" hidden="1" min="15" max="15" width="5.63"/>
    <col customWidth="1" min="16" max="16" width="9.25"/>
    <col customWidth="1" hidden="1" min="17" max="17" width="5.13"/>
    <col customWidth="1" min="18" max="18" width="9.25"/>
    <col customWidth="1" hidden="1" min="19" max="19" width="6.13"/>
    <col customWidth="1" min="20" max="20" width="9.25"/>
    <col customWidth="1" hidden="1" min="21" max="21" width="5.88"/>
    <col customWidth="1" min="22" max="22" width="9.25"/>
    <col customWidth="1" hidden="1" min="23" max="23" width="5.5"/>
    <col customWidth="1" min="24" max="24" width="9.25"/>
    <col customWidth="1" hidden="1" min="25" max="25" width="6.0"/>
    <col customWidth="1" min="26" max="26" width="9.25"/>
    <col customWidth="1" hidden="1" min="27" max="27" width="5.5"/>
    <col customWidth="1" min="28" max="28" width="10.0"/>
  </cols>
  <sheetData>
    <row r="1" ht="15.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75"/>
    </row>
    <row r="2" ht="12.75" customHeight="1">
      <c r="A2" s="2"/>
      <c r="B2" s="2"/>
      <c r="C2" s="161" t="s">
        <v>316</v>
      </c>
      <c r="D2" s="77">
        <v>46023.0</v>
      </c>
      <c r="E2" s="78">
        <v>46023.0</v>
      </c>
      <c r="F2" s="77">
        <v>46054.0</v>
      </c>
      <c r="G2" s="78">
        <v>46054.0</v>
      </c>
      <c r="H2" s="77">
        <v>46082.0</v>
      </c>
      <c r="I2" s="78">
        <v>46082.0</v>
      </c>
      <c r="J2" s="77">
        <v>46113.0</v>
      </c>
      <c r="K2" s="78">
        <v>46113.0</v>
      </c>
      <c r="L2" s="77">
        <v>46143.0</v>
      </c>
      <c r="M2" s="78">
        <v>46143.0</v>
      </c>
      <c r="N2" s="77">
        <v>46174.0</v>
      </c>
      <c r="O2" s="78">
        <v>46174.0</v>
      </c>
      <c r="P2" s="77">
        <v>46204.0</v>
      </c>
      <c r="Q2" s="78">
        <v>46204.0</v>
      </c>
      <c r="R2" s="77">
        <v>46235.0</v>
      </c>
      <c r="S2" s="78">
        <v>46235.0</v>
      </c>
      <c r="T2" s="77">
        <v>46266.0</v>
      </c>
      <c r="U2" s="78">
        <v>46266.0</v>
      </c>
      <c r="V2" s="77">
        <v>46296.0</v>
      </c>
      <c r="W2" s="78">
        <v>46296.0</v>
      </c>
      <c r="X2" s="77">
        <v>46327.0</v>
      </c>
      <c r="Y2" s="78">
        <v>46327.0</v>
      </c>
      <c r="Z2" s="77">
        <v>46357.0</v>
      </c>
      <c r="AA2" s="78">
        <v>46357.0</v>
      </c>
      <c r="AB2" s="79">
        <v>2026.0</v>
      </c>
      <c r="AC2" s="75"/>
    </row>
    <row r="3" ht="12.75" customHeight="1">
      <c r="A3" s="2"/>
      <c r="B3" s="162"/>
      <c r="C3" s="166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6"/>
      <c r="AC3" s="75"/>
    </row>
    <row r="4" ht="12.75" customHeight="1">
      <c r="A4" s="2"/>
      <c r="B4" s="162"/>
      <c r="C4" s="81" t="s">
        <v>44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6"/>
      <c r="AC4" s="75"/>
    </row>
    <row r="5" ht="12.75" customHeight="1">
      <c r="A5" s="2"/>
      <c r="B5" s="162" t="s">
        <v>317</v>
      </c>
      <c r="C5" s="2" t="s">
        <v>318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0.0</v>
      </c>
      <c r="AA5" s="3">
        <v>0.0</v>
      </c>
      <c r="AB5" s="3">
        <f t="shared" ref="AB5:AB6" si="2">D5+F5+H5+J5+L5+N5+P5+R5+T5+V5+X5+Z5</f>
        <v>0</v>
      </c>
      <c r="AC5" s="75"/>
    </row>
    <row r="6" ht="13.5" customHeight="1">
      <c r="A6" s="2"/>
      <c r="B6" s="162"/>
      <c r="C6" s="168" t="s">
        <v>319</v>
      </c>
      <c r="D6" s="132">
        <f t="shared" ref="D6:AA6" si="1">D5</f>
        <v>0</v>
      </c>
      <c r="E6" s="132">
        <f t="shared" si="1"/>
        <v>0</v>
      </c>
      <c r="F6" s="132">
        <f t="shared" si="1"/>
        <v>0</v>
      </c>
      <c r="G6" s="132">
        <f t="shared" si="1"/>
        <v>0</v>
      </c>
      <c r="H6" s="132">
        <f t="shared" si="1"/>
        <v>0</v>
      </c>
      <c r="I6" s="132">
        <f t="shared" si="1"/>
        <v>0</v>
      </c>
      <c r="J6" s="132">
        <f t="shared" si="1"/>
        <v>0</v>
      </c>
      <c r="K6" s="132">
        <f t="shared" si="1"/>
        <v>0</v>
      </c>
      <c r="L6" s="132">
        <f t="shared" si="1"/>
        <v>0</v>
      </c>
      <c r="M6" s="132">
        <f t="shared" si="1"/>
        <v>0</v>
      </c>
      <c r="N6" s="132">
        <f t="shared" si="1"/>
        <v>0</v>
      </c>
      <c r="O6" s="132">
        <f t="shared" si="1"/>
        <v>0</v>
      </c>
      <c r="P6" s="132">
        <f t="shared" si="1"/>
        <v>0</v>
      </c>
      <c r="Q6" s="132">
        <f t="shared" si="1"/>
        <v>0</v>
      </c>
      <c r="R6" s="132">
        <f t="shared" si="1"/>
        <v>0</v>
      </c>
      <c r="S6" s="132">
        <f t="shared" si="1"/>
        <v>0</v>
      </c>
      <c r="T6" s="132">
        <f t="shared" si="1"/>
        <v>0</v>
      </c>
      <c r="U6" s="132">
        <f t="shared" si="1"/>
        <v>0</v>
      </c>
      <c r="V6" s="132">
        <f t="shared" si="1"/>
        <v>0</v>
      </c>
      <c r="W6" s="132">
        <f t="shared" si="1"/>
        <v>0</v>
      </c>
      <c r="X6" s="132">
        <f t="shared" si="1"/>
        <v>0</v>
      </c>
      <c r="Y6" s="132">
        <f t="shared" si="1"/>
        <v>0</v>
      </c>
      <c r="Z6" s="132">
        <f t="shared" si="1"/>
        <v>0</v>
      </c>
      <c r="AA6" s="132">
        <f t="shared" si="1"/>
        <v>0</v>
      </c>
      <c r="AB6" s="132">
        <f t="shared" si="2"/>
        <v>0</v>
      </c>
      <c r="AC6" s="75"/>
    </row>
    <row r="7" ht="12.75" customHeight="1">
      <c r="A7" s="2"/>
      <c r="B7" s="162"/>
      <c r="C7" s="166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6"/>
      <c r="AC7" s="75"/>
    </row>
    <row r="8" ht="12.75" customHeight="1">
      <c r="A8" s="2"/>
      <c r="B8" s="162"/>
      <c r="C8" s="81" t="s">
        <v>320</v>
      </c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75"/>
    </row>
    <row r="9" ht="12.75" customHeight="1">
      <c r="A9" s="2"/>
      <c r="B9" s="162" t="s">
        <v>321</v>
      </c>
      <c r="C9" s="2" t="s">
        <v>322</v>
      </c>
      <c r="D9" s="105">
        <v>0.0</v>
      </c>
      <c r="E9" s="105">
        <v>0.0</v>
      </c>
      <c r="F9" s="105">
        <v>0.0</v>
      </c>
      <c r="G9" s="105">
        <v>0.0</v>
      </c>
      <c r="H9" s="105">
        <v>0.0</v>
      </c>
      <c r="I9" s="105">
        <v>0.0</v>
      </c>
      <c r="J9" s="105">
        <v>0.0</v>
      </c>
      <c r="K9" s="105">
        <v>0.0</v>
      </c>
      <c r="L9" s="105">
        <v>0.0</v>
      </c>
      <c r="M9" s="105">
        <v>0.0</v>
      </c>
      <c r="N9" s="105">
        <v>0.0</v>
      </c>
      <c r="O9" s="105">
        <v>0.0</v>
      </c>
      <c r="P9" s="105">
        <v>0.0</v>
      </c>
      <c r="Q9" s="105">
        <v>0.0</v>
      </c>
      <c r="R9" s="105">
        <v>0.0</v>
      </c>
      <c r="S9" s="105">
        <v>0.0</v>
      </c>
      <c r="T9" s="105">
        <v>0.0</v>
      </c>
      <c r="U9" s="105">
        <v>0.0</v>
      </c>
      <c r="V9" s="105">
        <v>0.0</v>
      </c>
      <c r="W9" s="105">
        <v>0.0</v>
      </c>
      <c r="X9" s="105">
        <v>0.0</v>
      </c>
      <c r="Y9" s="105">
        <v>0.0</v>
      </c>
      <c r="Z9" s="105">
        <v>0.0</v>
      </c>
      <c r="AA9" s="105">
        <v>0.0</v>
      </c>
      <c r="AB9" s="105">
        <f t="shared" ref="AB9:AB12" si="3">D9+F9+H9+J9+L9+N9+P9+R9+T9+V9+X9+Z9</f>
        <v>0</v>
      </c>
      <c r="AC9" s="75"/>
    </row>
    <row r="10" ht="12.75" customHeight="1">
      <c r="A10" s="2"/>
      <c r="B10" s="162" t="s">
        <v>323</v>
      </c>
      <c r="C10" s="2" t="s">
        <v>324</v>
      </c>
      <c r="D10" s="105">
        <v>0.0</v>
      </c>
      <c r="E10" s="105">
        <v>0.0</v>
      </c>
      <c r="F10" s="105">
        <v>0.0</v>
      </c>
      <c r="G10" s="105">
        <v>0.0</v>
      </c>
      <c r="H10" s="105">
        <v>0.0</v>
      </c>
      <c r="I10" s="105">
        <v>0.0</v>
      </c>
      <c r="J10" s="105">
        <v>0.0</v>
      </c>
      <c r="K10" s="105">
        <v>0.0</v>
      </c>
      <c r="L10" s="105">
        <v>0.0</v>
      </c>
      <c r="M10" s="105">
        <v>0.0</v>
      </c>
      <c r="N10" s="105">
        <v>0.0</v>
      </c>
      <c r="O10" s="105">
        <v>0.0</v>
      </c>
      <c r="P10" s="105">
        <v>0.0</v>
      </c>
      <c r="Q10" s="105">
        <v>0.0</v>
      </c>
      <c r="R10" s="105">
        <v>0.0</v>
      </c>
      <c r="S10" s="105">
        <v>0.0</v>
      </c>
      <c r="T10" s="105">
        <v>0.0</v>
      </c>
      <c r="U10" s="105">
        <v>0.0</v>
      </c>
      <c r="V10" s="105">
        <v>0.0</v>
      </c>
      <c r="W10" s="105">
        <v>0.0</v>
      </c>
      <c r="X10" s="105">
        <v>0.0</v>
      </c>
      <c r="Y10" s="105">
        <v>0.0</v>
      </c>
      <c r="Z10" s="105">
        <v>0.0</v>
      </c>
      <c r="AA10" s="105">
        <v>0.0</v>
      </c>
      <c r="AB10" s="105">
        <f t="shared" si="3"/>
        <v>0</v>
      </c>
      <c r="AC10" s="75"/>
    </row>
    <row r="11" ht="12.75" customHeight="1">
      <c r="A11" s="2"/>
      <c r="B11" s="162" t="s">
        <v>325</v>
      </c>
      <c r="C11" s="2" t="s">
        <v>326</v>
      </c>
      <c r="D11" s="3">
        <v>6777.777800000001</v>
      </c>
      <c r="E11" s="3">
        <v>0.0</v>
      </c>
      <c r="F11" s="3">
        <v>1542.3742</v>
      </c>
      <c r="G11" s="3">
        <v>0.0</v>
      </c>
      <c r="H11" s="3">
        <v>1490.0844000000002</v>
      </c>
      <c r="I11" s="3">
        <v>0.0</v>
      </c>
      <c r="J11" s="3">
        <v>4085.1976000000004</v>
      </c>
      <c r="K11" s="3">
        <v>0.0</v>
      </c>
      <c r="L11" s="3">
        <v>3237.9608</v>
      </c>
      <c r="M11" s="3">
        <v>0.0</v>
      </c>
      <c r="N11" s="3">
        <v>7383.9494</v>
      </c>
      <c r="O11" s="3">
        <v>0.0</v>
      </c>
      <c r="P11" s="3">
        <v>3526.2596</v>
      </c>
      <c r="Q11" s="3">
        <v>0.0</v>
      </c>
      <c r="R11" s="3">
        <v>5511.682</v>
      </c>
      <c r="S11" s="3">
        <v>0.0</v>
      </c>
      <c r="T11" s="3">
        <v>2575.1428</v>
      </c>
      <c r="U11" s="3">
        <v>0.0</v>
      </c>
      <c r="V11" s="3">
        <v>3975.0</v>
      </c>
      <c r="W11" s="3">
        <v>0.0</v>
      </c>
      <c r="X11" s="3">
        <v>3975.0</v>
      </c>
      <c r="Y11" s="3">
        <v>0.0</v>
      </c>
      <c r="Z11" s="3">
        <v>3975.0</v>
      </c>
      <c r="AA11" s="3">
        <v>0.0</v>
      </c>
      <c r="AB11" s="3">
        <f t="shared" si="3"/>
        <v>48055.4286</v>
      </c>
      <c r="AC11" s="75"/>
    </row>
    <row r="12" ht="13.5" customHeight="1">
      <c r="A12" s="2"/>
      <c r="B12" s="162"/>
      <c r="C12" s="168" t="s">
        <v>327</v>
      </c>
      <c r="D12" s="132">
        <f t="shared" ref="D12:AA12" si="4">D11+D10-D9</f>
        <v>6777.7778</v>
      </c>
      <c r="E12" s="132">
        <f t="shared" si="4"/>
        <v>0</v>
      </c>
      <c r="F12" s="132">
        <f t="shared" si="4"/>
        <v>1542.3742</v>
      </c>
      <c r="G12" s="132">
        <f t="shared" si="4"/>
        <v>0</v>
      </c>
      <c r="H12" s="132">
        <f t="shared" si="4"/>
        <v>1490.0844</v>
      </c>
      <c r="I12" s="132">
        <f t="shared" si="4"/>
        <v>0</v>
      </c>
      <c r="J12" s="132">
        <f t="shared" si="4"/>
        <v>4085.1976</v>
      </c>
      <c r="K12" s="132">
        <f t="shared" si="4"/>
        <v>0</v>
      </c>
      <c r="L12" s="132">
        <f t="shared" si="4"/>
        <v>3237.9608</v>
      </c>
      <c r="M12" s="132">
        <f t="shared" si="4"/>
        <v>0</v>
      </c>
      <c r="N12" s="132">
        <f t="shared" si="4"/>
        <v>7383.9494</v>
      </c>
      <c r="O12" s="132">
        <f t="shared" si="4"/>
        <v>0</v>
      </c>
      <c r="P12" s="132">
        <f t="shared" si="4"/>
        <v>3526.2596</v>
      </c>
      <c r="Q12" s="132">
        <f t="shared" si="4"/>
        <v>0</v>
      </c>
      <c r="R12" s="132">
        <f t="shared" si="4"/>
        <v>5511.682</v>
      </c>
      <c r="S12" s="132">
        <f t="shared" si="4"/>
        <v>0</v>
      </c>
      <c r="T12" s="132">
        <f t="shared" si="4"/>
        <v>2575.1428</v>
      </c>
      <c r="U12" s="132">
        <f t="shared" si="4"/>
        <v>0</v>
      </c>
      <c r="V12" s="132">
        <f t="shared" si="4"/>
        <v>3975</v>
      </c>
      <c r="W12" s="132">
        <f t="shared" si="4"/>
        <v>0</v>
      </c>
      <c r="X12" s="132">
        <f t="shared" si="4"/>
        <v>3975</v>
      </c>
      <c r="Y12" s="132">
        <f t="shared" si="4"/>
        <v>0</v>
      </c>
      <c r="Z12" s="132">
        <f t="shared" si="4"/>
        <v>3975</v>
      </c>
      <c r="AA12" s="132">
        <f t="shared" si="4"/>
        <v>0</v>
      </c>
      <c r="AB12" s="132">
        <f t="shared" si="3"/>
        <v>48055.4286</v>
      </c>
      <c r="AC12" s="75"/>
    </row>
    <row r="13" ht="12.75" customHeight="1">
      <c r="A13" s="2"/>
      <c r="B13" s="162"/>
      <c r="C13" s="169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75"/>
    </row>
    <row r="14" ht="12.75" customHeight="1">
      <c r="A14" s="2"/>
      <c r="B14" s="2"/>
      <c r="C14" s="85" t="s">
        <v>328</v>
      </c>
      <c r="D14" s="86">
        <f t="shared" ref="D14:AB14" si="5">D6-D12</f>
        <v>-6777.7778</v>
      </c>
      <c r="E14" s="86">
        <f t="shared" si="5"/>
        <v>0</v>
      </c>
      <c r="F14" s="86">
        <f t="shared" si="5"/>
        <v>-1542.3742</v>
      </c>
      <c r="G14" s="86">
        <f t="shared" si="5"/>
        <v>0</v>
      </c>
      <c r="H14" s="86">
        <f t="shared" si="5"/>
        <v>-1490.0844</v>
      </c>
      <c r="I14" s="86">
        <f t="shared" si="5"/>
        <v>0</v>
      </c>
      <c r="J14" s="86">
        <f t="shared" si="5"/>
        <v>-4085.1976</v>
      </c>
      <c r="K14" s="86">
        <f t="shared" si="5"/>
        <v>0</v>
      </c>
      <c r="L14" s="86">
        <f t="shared" si="5"/>
        <v>-3237.9608</v>
      </c>
      <c r="M14" s="86">
        <f t="shared" si="5"/>
        <v>0</v>
      </c>
      <c r="N14" s="86">
        <f t="shared" si="5"/>
        <v>-7383.9494</v>
      </c>
      <c r="O14" s="86">
        <f t="shared" si="5"/>
        <v>0</v>
      </c>
      <c r="P14" s="86">
        <f t="shared" si="5"/>
        <v>-3526.2596</v>
      </c>
      <c r="Q14" s="86">
        <f t="shared" si="5"/>
        <v>0</v>
      </c>
      <c r="R14" s="86">
        <f t="shared" si="5"/>
        <v>-5511.682</v>
      </c>
      <c r="S14" s="86">
        <f t="shared" si="5"/>
        <v>0</v>
      </c>
      <c r="T14" s="86">
        <f t="shared" si="5"/>
        <v>-2575.1428</v>
      </c>
      <c r="U14" s="86">
        <f t="shared" si="5"/>
        <v>0</v>
      </c>
      <c r="V14" s="86">
        <f t="shared" si="5"/>
        <v>-3975</v>
      </c>
      <c r="W14" s="86">
        <f t="shared" si="5"/>
        <v>0</v>
      </c>
      <c r="X14" s="86">
        <f t="shared" si="5"/>
        <v>-3975</v>
      </c>
      <c r="Y14" s="86">
        <f t="shared" si="5"/>
        <v>0</v>
      </c>
      <c r="Z14" s="86">
        <f t="shared" si="5"/>
        <v>-3975</v>
      </c>
      <c r="AA14" s="86">
        <f t="shared" si="5"/>
        <v>0</v>
      </c>
      <c r="AB14" s="86">
        <f t="shared" si="5"/>
        <v>-48055.4286</v>
      </c>
      <c r="AC14" s="75"/>
    </row>
    <row r="15" ht="12.75" customHeight="1">
      <c r="A15" s="2"/>
      <c r="B15" s="162"/>
      <c r="C15" s="169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68"/>
      <c r="O15" s="168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75"/>
    </row>
    <row r="16" ht="12.75" customHeight="1">
      <c r="A16" s="2"/>
      <c r="B16" s="162"/>
      <c r="C16" s="170" t="s">
        <v>37</v>
      </c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75"/>
    </row>
    <row r="17" ht="12.75" customHeight="1">
      <c r="A17" s="2"/>
      <c r="B17" s="162" t="s">
        <v>329</v>
      </c>
      <c r="C17" s="171" t="s">
        <v>330</v>
      </c>
      <c r="D17" s="163">
        <v>1396.02</v>
      </c>
      <c r="E17" s="163">
        <v>0.0</v>
      </c>
      <c r="F17" s="163">
        <v>477.0</v>
      </c>
      <c r="G17" s="163">
        <v>0.0</v>
      </c>
      <c r="H17" s="163">
        <v>3177.88</v>
      </c>
      <c r="I17" s="163">
        <v>0.0</v>
      </c>
      <c r="J17" s="163">
        <v>954.0</v>
      </c>
      <c r="K17" s="163">
        <v>0.0</v>
      </c>
      <c r="L17" s="163">
        <v>477.0</v>
      </c>
      <c r="M17" s="163">
        <v>0.0</v>
      </c>
      <c r="N17" s="163">
        <v>3113.2200000000003</v>
      </c>
      <c r="O17" s="163">
        <v>0.0</v>
      </c>
      <c r="P17" s="163">
        <v>477.0</v>
      </c>
      <c r="Q17" s="163">
        <v>0.0</v>
      </c>
      <c r="R17" s="163">
        <v>477.0</v>
      </c>
      <c r="S17" s="163">
        <v>0.0</v>
      </c>
      <c r="T17" s="163">
        <v>477.0</v>
      </c>
      <c r="U17" s="163">
        <v>0.0</v>
      </c>
      <c r="V17" s="163">
        <v>1119.1056</v>
      </c>
      <c r="W17" s="163">
        <v>0.0</v>
      </c>
      <c r="X17" s="163">
        <v>1119.1056</v>
      </c>
      <c r="Y17" s="163">
        <v>0.0</v>
      </c>
      <c r="Z17" s="163">
        <v>1119.1056</v>
      </c>
      <c r="AA17" s="163">
        <v>0.0</v>
      </c>
      <c r="AB17" s="3">
        <f t="shared" ref="AB17:AB46" si="6">D17+F17+H17+J17+L17+N17+P17+R17+T17+V17+X17+Z17</f>
        <v>14383.4368</v>
      </c>
      <c r="AC17" s="75"/>
    </row>
    <row r="18" ht="12.75" customHeight="1">
      <c r="A18" s="2"/>
      <c r="B18" s="162" t="s">
        <v>331</v>
      </c>
      <c r="C18" s="2" t="s">
        <v>332</v>
      </c>
      <c r="D18" s="163">
        <v>0.0</v>
      </c>
      <c r="E18" s="163">
        <v>0.0</v>
      </c>
      <c r="F18" s="163">
        <v>4133.957600000001</v>
      </c>
      <c r="G18" s="163">
        <v>0.0</v>
      </c>
      <c r="H18" s="163">
        <v>0.0</v>
      </c>
      <c r="I18" s="163">
        <v>0.0</v>
      </c>
      <c r="J18" s="163">
        <v>5319.1648000000005</v>
      </c>
      <c r="K18" s="163">
        <v>0.0</v>
      </c>
      <c r="L18" s="163">
        <v>0.0</v>
      </c>
      <c r="M18" s="163">
        <v>0.0</v>
      </c>
      <c r="N18" s="163">
        <v>9836.959</v>
      </c>
      <c r="O18" s="163">
        <v>0.0</v>
      </c>
      <c r="P18" s="163">
        <v>0.0</v>
      </c>
      <c r="Q18" s="163">
        <v>0.0</v>
      </c>
      <c r="R18" s="163">
        <v>7966.440600000001</v>
      </c>
      <c r="S18" s="163">
        <v>0.0</v>
      </c>
      <c r="T18" s="163">
        <v>0.0</v>
      </c>
      <c r="U18" s="163">
        <v>0.0</v>
      </c>
      <c r="V18" s="163">
        <v>0.0</v>
      </c>
      <c r="W18" s="163">
        <v>0.0</v>
      </c>
      <c r="X18" s="163">
        <v>10070.0</v>
      </c>
      <c r="Y18" s="163">
        <v>0.0</v>
      </c>
      <c r="Z18" s="163">
        <v>0.0</v>
      </c>
      <c r="AA18" s="163">
        <v>0.0</v>
      </c>
      <c r="AB18" s="3">
        <f t="shared" si="6"/>
        <v>37326.522</v>
      </c>
      <c r="AC18" s="75"/>
    </row>
    <row r="19" ht="12.75" customHeight="1">
      <c r="A19" s="2"/>
      <c r="B19" s="162" t="s">
        <v>333</v>
      </c>
      <c r="C19" s="171" t="s">
        <v>334</v>
      </c>
      <c r="D19" s="163">
        <v>151.58</v>
      </c>
      <c r="E19" s="163">
        <v>0.0</v>
      </c>
      <c r="F19" s="163">
        <v>394.32</v>
      </c>
      <c r="G19" s="163">
        <v>0.0</v>
      </c>
      <c r="H19" s="163">
        <v>208.82000000000002</v>
      </c>
      <c r="I19" s="163">
        <v>0.0</v>
      </c>
      <c r="J19" s="163">
        <v>159.0</v>
      </c>
      <c r="K19" s="163">
        <v>0.0</v>
      </c>
      <c r="L19" s="163">
        <v>178.08</v>
      </c>
      <c r="M19" s="163">
        <v>0.0</v>
      </c>
      <c r="N19" s="163">
        <v>146.28</v>
      </c>
      <c r="O19" s="163">
        <v>0.0</v>
      </c>
      <c r="P19" s="163">
        <v>120.84</v>
      </c>
      <c r="Q19" s="163">
        <v>0.0</v>
      </c>
      <c r="R19" s="163">
        <v>125.08000000000001</v>
      </c>
      <c r="S19" s="163">
        <v>0.0</v>
      </c>
      <c r="T19" s="163">
        <v>155.82000000000002</v>
      </c>
      <c r="U19" s="163">
        <v>0.0</v>
      </c>
      <c r="V19" s="163">
        <v>848.0</v>
      </c>
      <c r="W19" s="163">
        <v>0.0</v>
      </c>
      <c r="X19" s="163">
        <v>848.0</v>
      </c>
      <c r="Y19" s="163">
        <v>0.0</v>
      </c>
      <c r="Z19" s="163">
        <v>848.0</v>
      </c>
      <c r="AA19" s="163">
        <v>0.0</v>
      </c>
      <c r="AB19" s="3">
        <f t="shared" si="6"/>
        <v>4183.82</v>
      </c>
      <c r="AC19" s="75"/>
    </row>
    <row r="20" ht="12.75" customHeight="1">
      <c r="A20" s="2"/>
      <c r="B20" s="162" t="s">
        <v>335</v>
      </c>
      <c r="C20" s="171" t="s">
        <v>336</v>
      </c>
      <c r="D20" s="163">
        <v>13976.1</v>
      </c>
      <c r="E20" s="172">
        <v>0.0</v>
      </c>
      <c r="F20" s="163">
        <v>0.0</v>
      </c>
      <c r="G20" s="163">
        <v>0.0</v>
      </c>
      <c r="H20" s="163">
        <v>0.0</v>
      </c>
      <c r="I20" s="163">
        <v>0.0</v>
      </c>
      <c r="J20" s="163">
        <v>0.0</v>
      </c>
      <c r="K20" s="163">
        <v>0.0</v>
      </c>
      <c r="L20" s="163">
        <v>0.0</v>
      </c>
      <c r="M20" s="163">
        <v>0.0</v>
      </c>
      <c r="N20" s="163">
        <v>0.0</v>
      </c>
      <c r="O20" s="163">
        <v>0.0</v>
      </c>
      <c r="P20" s="163">
        <v>0.0</v>
      </c>
      <c r="Q20" s="163">
        <v>0.0</v>
      </c>
      <c r="R20" s="163">
        <v>0.0</v>
      </c>
      <c r="S20" s="163">
        <v>0.0</v>
      </c>
      <c r="T20" s="163">
        <v>0.0</v>
      </c>
      <c r="U20" s="163">
        <v>0.0</v>
      </c>
      <c r="V20" s="163">
        <v>0.0</v>
      </c>
      <c r="W20" s="163">
        <v>0.0</v>
      </c>
      <c r="X20" s="163">
        <v>0.0</v>
      </c>
      <c r="Y20" s="163">
        <v>0.0</v>
      </c>
      <c r="Z20" s="163">
        <v>0.0</v>
      </c>
      <c r="AA20" s="163">
        <v>0.0</v>
      </c>
      <c r="AB20" s="3">
        <f t="shared" si="6"/>
        <v>13976.1</v>
      </c>
      <c r="AC20" s="75"/>
    </row>
    <row r="21" ht="12.75" customHeight="1">
      <c r="A21" s="2"/>
      <c r="B21" s="162" t="s">
        <v>337</v>
      </c>
      <c r="C21" s="2" t="s">
        <v>338</v>
      </c>
      <c r="D21" s="163">
        <f>14990*1.06</f>
        <v>15889.4</v>
      </c>
      <c r="E21" s="172">
        <v>0.0</v>
      </c>
      <c r="F21" s="163">
        <f>14990*1.06</f>
        <v>15889.4</v>
      </c>
      <c r="G21" s="172">
        <v>0.0</v>
      </c>
      <c r="H21" s="163">
        <f>14990*1.06</f>
        <v>15889.4</v>
      </c>
      <c r="I21" s="172">
        <v>0.0</v>
      </c>
      <c r="J21" s="163">
        <f>14990*1.06</f>
        <v>15889.4</v>
      </c>
      <c r="K21" s="172">
        <v>0.0</v>
      </c>
      <c r="L21" s="163">
        <f>14990*1.06</f>
        <v>15889.4</v>
      </c>
      <c r="M21" s="172">
        <v>0.0</v>
      </c>
      <c r="N21" s="163">
        <v>15889.400000000001</v>
      </c>
      <c r="O21" s="172">
        <v>0.0</v>
      </c>
      <c r="P21" s="163">
        <v>15889.400000000001</v>
      </c>
      <c r="Q21" s="172">
        <v>0.0</v>
      </c>
      <c r="R21" s="163">
        <v>15889.400000000001</v>
      </c>
      <c r="S21" s="172">
        <v>0.0</v>
      </c>
      <c r="T21" s="163">
        <v>15889.400000000001</v>
      </c>
      <c r="U21" s="172">
        <v>0.0</v>
      </c>
      <c r="V21" s="163">
        <f>14990*1.06</f>
        <v>15889.4</v>
      </c>
      <c r="W21" s="172">
        <v>0.0</v>
      </c>
      <c r="X21" s="163">
        <f>14990*1.06</f>
        <v>15889.4</v>
      </c>
      <c r="Y21" s="172">
        <v>0.0</v>
      </c>
      <c r="Z21" s="163">
        <f>14990*1.06</f>
        <v>15889.4</v>
      </c>
      <c r="AA21" s="172">
        <v>0.0</v>
      </c>
      <c r="AB21" s="3">
        <f t="shared" si="6"/>
        <v>190672.8</v>
      </c>
      <c r="AC21" s="75"/>
    </row>
    <row r="22" ht="12.75" customHeight="1">
      <c r="A22" s="2"/>
      <c r="B22" s="2" t="s">
        <v>339</v>
      </c>
      <c r="C22" s="2" t="s">
        <v>340</v>
      </c>
      <c r="D22" s="163">
        <v>1428.9436</v>
      </c>
      <c r="E22" s="3">
        <v>0.0</v>
      </c>
      <c r="F22" s="163">
        <v>2676.5</v>
      </c>
      <c r="G22" s="3">
        <v>0.0</v>
      </c>
      <c r="H22" s="163">
        <v>1876.0092</v>
      </c>
      <c r="I22" s="3">
        <v>0.0</v>
      </c>
      <c r="J22" s="163">
        <v>848.7314000000001</v>
      </c>
      <c r="K22" s="3">
        <v>0.0</v>
      </c>
      <c r="L22" s="163">
        <v>2328.1204000000002</v>
      </c>
      <c r="M22" s="3">
        <v>0.0</v>
      </c>
      <c r="N22" s="163">
        <v>1313.0856</v>
      </c>
      <c r="O22" s="3">
        <v>0.0</v>
      </c>
      <c r="P22" s="163">
        <v>2633.5382</v>
      </c>
      <c r="Q22" s="3">
        <v>0.0</v>
      </c>
      <c r="R22" s="163">
        <v>1538.3568</v>
      </c>
      <c r="S22" s="3">
        <v>0.0</v>
      </c>
      <c r="T22" s="163">
        <v>3699.8028000000004</v>
      </c>
      <c r="U22" s="3">
        <v>0.0</v>
      </c>
      <c r="V22" s="163">
        <v>2154.0366</v>
      </c>
      <c r="W22" s="3">
        <v>0.0</v>
      </c>
      <c r="X22" s="163">
        <v>2154.0366</v>
      </c>
      <c r="Y22" s="3">
        <v>0.0</v>
      </c>
      <c r="Z22" s="163">
        <v>2154.0366</v>
      </c>
      <c r="AA22" s="3">
        <v>0.0</v>
      </c>
      <c r="AB22" s="3">
        <f t="shared" si="6"/>
        <v>24805.1978</v>
      </c>
      <c r="AC22" s="131"/>
    </row>
    <row r="23" ht="12.75" customHeight="1">
      <c r="A23" s="2"/>
      <c r="B23" s="162" t="s">
        <v>341</v>
      </c>
      <c r="C23" s="171" t="s">
        <v>342</v>
      </c>
      <c r="D23" s="163">
        <v>0.0</v>
      </c>
      <c r="E23" s="172">
        <v>0.0</v>
      </c>
      <c r="F23" s="163">
        <v>690.8656</v>
      </c>
      <c r="G23" s="163">
        <v>0.0</v>
      </c>
      <c r="H23" s="163">
        <v>16430.0</v>
      </c>
      <c r="I23" s="163">
        <v>0.0</v>
      </c>
      <c r="J23" s="163">
        <v>0.0</v>
      </c>
      <c r="K23" s="163">
        <v>0.0</v>
      </c>
      <c r="L23" s="163">
        <v>0.0</v>
      </c>
      <c r="M23" s="163">
        <v>0.0</v>
      </c>
      <c r="N23" s="163">
        <v>0.0</v>
      </c>
      <c r="O23" s="163">
        <v>0.0</v>
      </c>
      <c r="P23" s="163">
        <v>0.0</v>
      </c>
      <c r="Q23" s="163">
        <v>0.0</v>
      </c>
      <c r="R23" s="163">
        <v>0.0</v>
      </c>
      <c r="S23" s="163">
        <v>0.0</v>
      </c>
      <c r="T23" s="163">
        <v>0.0</v>
      </c>
      <c r="U23" s="163">
        <v>0.0</v>
      </c>
      <c r="V23" s="163">
        <v>1166.0</v>
      </c>
      <c r="W23" s="163">
        <v>0.0</v>
      </c>
      <c r="X23" s="163">
        <v>0.0</v>
      </c>
      <c r="Y23" s="163">
        <v>0.0</v>
      </c>
      <c r="Z23" s="163">
        <v>0.0</v>
      </c>
      <c r="AA23" s="163">
        <v>0.0</v>
      </c>
      <c r="AB23" s="3">
        <f t="shared" si="6"/>
        <v>18286.8656</v>
      </c>
      <c r="AC23" s="75"/>
    </row>
    <row r="24" ht="12.75" customHeight="1">
      <c r="A24" s="2"/>
      <c r="B24" s="162" t="s">
        <v>343</v>
      </c>
      <c r="C24" s="171" t="s">
        <v>344</v>
      </c>
      <c r="D24" s="163">
        <v>636.0</v>
      </c>
      <c r="E24" s="172">
        <v>0.0</v>
      </c>
      <c r="F24" s="163">
        <v>4377.111000000001</v>
      </c>
      <c r="G24" s="163">
        <v>0.0</v>
      </c>
      <c r="H24" s="163">
        <v>46996.9444</v>
      </c>
      <c r="I24" s="163">
        <v>0.0</v>
      </c>
      <c r="J24" s="163">
        <v>61427.0</v>
      </c>
      <c r="K24" s="163">
        <v>0.0</v>
      </c>
      <c r="L24" s="163">
        <v>37123.055</v>
      </c>
      <c r="M24" s="163">
        <v>0.0</v>
      </c>
      <c r="N24" s="163">
        <v>32889.68</v>
      </c>
      <c r="O24" s="163">
        <v>0.0</v>
      </c>
      <c r="P24" s="163">
        <v>16324.0</v>
      </c>
      <c r="Q24" s="163">
        <v>0.0</v>
      </c>
      <c r="R24" s="163">
        <v>2968.0</v>
      </c>
      <c r="S24" s="163">
        <v>0.0</v>
      </c>
      <c r="T24" s="163">
        <v>36252.0</v>
      </c>
      <c r="U24" s="163">
        <v>0.0</v>
      </c>
      <c r="V24" s="163">
        <v>15983.740000000002</v>
      </c>
      <c r="W24" s="163">
        <v>0.0</v>
      </c>
      <c r="X24" s="163">
        <v>12444.400000000001</v>
      </c>
      <c r="Y24" s="163">
        <v>0.0</v>
      </c>
      <c r="Z24" s="163">
        <v>12444.400000000001</v>
      </c>
      <c r="AA24" s="163">
        <v>0.0</v>
      </c>
      <c r="AB24" s="3">
        <f t="shared" si="6"/>
        <v>279866.3304</v>
      </c>
      <c r="AC24" s="75"/>
    </row>
    <row r="25" ht="12.75" customHeight="1">
      <c r="A25" s="2"/>
      <c r="B25" s="162" t="s">
        <v>345</v>
      </c>
      <c r="C25" s="171" t="s">
        <v>346</v>
      </c>
      <c r="D25" s="163">
        <v>0.0</v>
      </c>
      <c r="E25" s="172">
        <v>0.0</v>
      </c>
      <c r="F25" s="163">
        <v>22731.1912</v>
      </c>
      <c r="G25" s="163">
        <v>0.0</v>
      </c>
      <c r="H25" s="163">
        <v>4511.5932</v>
      </c>
      <c r="I25" s="163">
        <v>0.0</v>
      </c>
      <c r="J25" s="163">
        <v>2228.1942000000004</v>
      </c>
      <c r="K25" s="163">
        <v>0.0</v>
      </c>
      <c r="L25" s="163">
        <v>0.0</v>
      </c>
      <c r="M25" s="163">
        <v>0.0</v>
      </c>
      <c r="N25" s="163">
        <v>1510.5</v>
      </c>
      <c r="O25" s="163">
        <v>0.0</v>
      </c>
      <c r="P25" s="163">
        <v>8474.7</v>
      </c>
      <c r="Q25" s="163">
        <v>0.0</v>
      </c>
      <c r="R25" s="163">
        <v>2546.7454000000002</v>
      </c>
      <c r="S25" s="163">
        <v>0.0</v>
      </c>
      <c r="T25" s="163">
        <v>655.186</v>
      </c>
      <c r="U25" s="163">
        <v>0.0</v>
      </c>
      <c r="V25" s="163">
        <v>16960.0</v>
      </c>
      <c r="W25" s="163">
        <v>0.0</v>
      </c>
      <c r="X25" s="163">
        <v>0.0</v>
      </c>
      <c r="Y25" s="163">
        <v>0.0</v>
      </c>
      <c r="Z25" s="163">
        <v>0.0</v>
      </c>
      <c r="AA25" s="163">
        <v>0.0</v>
      </c>
      <c r="AB25" s="3">
        <f t="shared" si="6"/>
        <v>59618.11</v>
      </c>
      <c r="AC25" s="75"/>
    </row>
    <row r="26" ht="12.75" customHeight="1">
      <c r="A26" s="2"/>
      <c r="B26" s="162" t="s">
        <v>347</v>
      </c>
      <c r="C26" s="171" t="s">
        <v>348</v>
      </c>
      <c r="D26" s="163">
        <v>1802.0</v>
      </c>
      <c r="E26" s="172">
        <v>0.0</v>
      </c>
      <c r="F26" s="163">
        <v>1802.0</v>
      </c>
      <c r="G26" s="163">
        <v>0.0</v>
      </c>
      <c r="H26" s="163">
        <v>1802.0</v>
      </c>
      <c r="I26" s="163">
        <v>0.0</v>
      </c>
      <c r="J26" s="163">
        <v>1802.0</v>
      </c>
      <c r="K26" s="163">
        <v>0.0</v>
      </c>
      <c r="L26" s="163">
        <v>1802.0</v>
      </c>
      <c r="M26" s="163">
        <v>0.0</v>
      </c>
      <c r="N26" s="163">
        <v>1802.0</v>
      </c>
      <c r="O26" s="163">
        <v>0.0</v>
      </c>
      <c r="P26" s="163">
        <v>1802.0</v>
      </c>
      <c r="Q26" s="163">
        <v>0.0</v>
      </c>
      <c r="R26" s="163">
        <v>1269.88</v>
      </c>
      <c r="S26" s="163">
        <v>0.0</v>
      </c>
      <c r="T26" s="163">
        <v>1269.88</v>
      </c>
      <c r="U26" s="163">
        <v>0.0</v>
      </c>
      <c r="V26" s="163">
        <v>1910.1200000000001</v>
      </c>
      <c r="W26" s="163">
        <v>0.0</v>
      </c>
      <c r="X26" s="163">
        <v>1910.1200000000001</v>
      </c>
      <c r="Y26" s="163">
        <v>0.0</v>
      </c>
      <c r="Z26" s="163">
        <v>1910.1200000000001</v>
      </c>
      <c r="AA26" s="163">
        <v>0.0</v>
      </c>
      <c r="AB26" s="3">
        <f t="shared" si="6"/>
        <v>20884.12</v>
      </c>
      <c r="AC26" s="75"/>
    </row>
    <row r="27" ht="12.75" customHeight="1">
      <c r="A27" s="2"/>
      <c r="B27" s="162" t="s">
        <v>349</v>
      </c>
      <c r="C27" s="171" t="s">
        <v>350</v>
      </c>
      <c r="D27" s="163">
        <v>846.94</v>
      </c>
      <c r="E27" s="172">
        <v>0.0</v>
      </c>
      <c r="F27" s="163">
        <v>846.94</v>
      </c>
      <c r="G27" s="163">
        <v>0.0</v>
      </c>
      <c r="H27" s="163">
        <v>846.94</v>
      </c>
      <c r="I27" s="163">
        <v>0.0</v>
      </c>
      <c r="J27" s="163">
        <v>846.94</v>
      </c>
      <c r="K27" s="163">
        <v>0.0</v>
      </c>
      <c r="L27" s="163">
        <v>846.94</v>
      </c>
      <c r="M27" s="163">
        <v>0.0</v>
      </c>
      <c r="N27" s="163">
        <v>846.94</v>
      </c>
      <c r="O27" s="163">
        <v>0.0</v>
      </c>
      <c r="P27" s="163">
        <v>846.94</v>
      </c>
      <c r="Q27" s="163">
        <v>0.0</v>
      </c>
      <c r="R27" s="163">
        <v>846.94</v>
      </c>
      <c r="S27" s="163">
        <v>0.0</v>
      </c>
      <c r="T27" s="163">
        <v>846.94</v>
      </c>
      <c r="U27" s="163">
        <v>0.0</v>
      </c>
      <c r="V27" s="163">
        <v>931.634</v>
      </c>
      <c r="W27" s="163">
        <v>0.0</v>
      </c>
      <c r="X27" s="163">
        <v>931.634</v>
      </c>
      <c r="Y27" s="163">
        <v>0.0</v>
      </c>
      <c r="Z27" s="163">
        <v>931.634</v>
      </c>
      <c r="AA27" s="163">
        <v>0.0</v>
      </c>
      <c r="AB27" s="3">
        <f t="shared" si="6"/>
        <v>10417.362</v>
      </c>
      <c r="AC27" s="75"/>
    </row>
    <row r="28" ht="12.75" customHeight="1">
      <c r="A28" s="2"/>
      <c r="B28" s="162" t="s">
        <v>351</v>
      </c>
      <c r="C28" s="2" t="s">
        <v>352</v>
      </c>
      <c r="D28" s="163">
        <v>0.0</v>
      </c>
      <c r="E28" s="163">
        <v>0.0</v>
      </c>
      <c r="F28" s="163">
        <v>0.0</v>
      </c>
      <c r="G28" s="163">
        <v>0.0</v>
      </c>
      <c r="H28" s="163">
        <v>742.2544</v>
      </c>
      <c r="I28" s="163">
        <v>0.0</v>
      </c>
      <c r="J28" s="163">
        <v>0.0</v>
      </c>
      <c r="K28" s="163">
        <v>0.0</v>
      </c>
      <c r="L28" s="163">
        <v>1682.7712000000001</v>
      </c>
      <c r="M28" s="163">
        <v>0.0</v>
      </c>
      <c r="N28" s="163">
        <v>566.0188</v>
      </c>
      <c r="O28" s="163">
        <v>0.0</v>
      </c>
      <c r="P28" s="163">
        <v>0.0</v>
      </c>
      <c r="Q28" s="163">
        <v>0.0</v>
      </c>
      <c r="R28" s="163">
        <v>1712.6844</v>
      </c>
      <c r="S28" s="163">
        <v>0.0</v>
      </c>
      <c r="T28" s="163">
        <v>590.8016</v>
      </c>
      <c r="U28" s="163">
        <v>0.0</v>
      </c>
      <c r="V28" s="163">
        <v>424.0</v>
      </c>
      <c r="W28" s="163">
        <v>0.0</v>
      </c>
      <c r="X28" s="163">
        <v>530.0</v>
      </c>
      <c r="Y28" s="163">
        <v>0.0</v>
      </c>
      <c r="Z28" s="163">
        <v>424.0</v>
      </c>
      <c r="AA28" s="163">
        <v>0.0</v>
      </c>
      <c r="AB28" s="3">
        <f t="shared" si="6"/>
        <v>6672.5304</v>
      </c>
      <c r="AC28" s="131"/>
    </row>
    <row r="29" ht="12.75" customHeight="1">
      <c r="A29" s="2"/>
      <c r="B29" s="2" t="s">
        <v>353</v>
      </c>
      <c r="C29" s="2" t="s">
        <v>354</v>
      </c>
      <c r="D29" s="163">
        <v>2862.0</v>
      </c>
      <c r="E29" s="3">
        <v>0.0</v>
      </c>
      <c r="F29" s="163">
        <v>0.0</v>
      </c>
      <c r="G29" s="3">
        <v>0.0</v>
      </c>
      <c r="H29" s="163">
        <v>0.0</v>
      </c>
      <c r="I29" s="3">
        <v>0.0</v>
      </c>
      <c r="J29" s="163">
        <v>0.0</v>
      </c>
      <c r="K29" s="3">
        <v>0.0</v>
      </c>
      <c r="L29" s="163">
        <v>0.0</v>
      </c>
      <c r="M29" s="3">
        <v>0.0</v>
      </c>
      <c r="N29" s="163">
        <v>0.0</v>
      </c>
      <c r="O29" s="3">
        <v>0.0</v>
      </c>
      <c r="P29" s="163">
        <v>0.0</v>
      </c>
      <c r="Q29" s="3">
        <v>0.0</v>
      </c>
      <c r="R29" s="163">
        <v>0.0</v>
      </c>
      <c r="S29" s="3">
        <v>0.0</v>
      </c>
      <c r="T29" s="163">
        <v>0.0</v>
      </c>
      <c r="U29" s="3">
        <v>0.0</v>
      </c>
      <c r="V29" s="163">
        <v>424.0</v>
      </c>
      <c r="W29" s="3">
        <v>0.0</v>
      </c>
      <c r="X29" s="163">
        <v>424.0</v>
      </c>
      <c r="Y29" s="3">
        <v>0.0</v>
      </c>
      <c r="Z29" s="163">
        <v>424.0</v>
      </c>
      <c r="AA29" s="3">
        <v>0.0</v>
      </c>
      <c r="AB29" s="3">
        <f t="shared" si="6"/>
        <v>4134</v>
      </c>
      <c r="AC29" s="131"/>
    </row>
    <row r="30" ht="12.75" customHeight="1">
      <c r="A30" s="2"/>
      <c r="B30" s="162" t="s">
        <v>355</v>
      </c>
      <c r="C30" s="2" t="s">
        <v>356</v>
      </c>
      <c r="D30" s="163">
        <v>0.0</v>
      </c>
      <c r="E30" s="163">
        <v>0.0</v>
      </c>
      <c r="F30" s="163">
        <v>0.0</v>
      </c>
      <c r="G30" s="163">
        <v>0.0</v>
      </c>
      <c r="H30" s="163">
        <v>0.0</v>
      </c>
      <c r="I30" s="163">
        <v>0.0</v>
      </c>
      <c r="J30" s="163">
        <v>0.0</v>
      </c>
      <c r="K30" s="163">
        <v>0.0</v>
      </c>
      <c r="L30" s="163">
        <v>7420.0</v>
      </c>
      <c r="M30" s="163">
        <v>0.0</v>
      </c>
      <c r="N30" s="163">
        <v>7420.0</v>
      </c>
      <c r="O30" s="163">
        <v>0.0</v>
      </c>
      <c r="P30" s="163">
        <v>0.0</v>
      </c>
      <c r="Q30" s="163">
        <v>0.0</v>
      </c>
      <c r="R30" s="163">
        <v>0.0</v>
      </c>
      <c r="S30" s="163">
        <v>0.0</v>
      </c>
      <c r="T30" s="163">
        <v>0.0</v>
      </c>
      <c r="U30" s="163">
        <v>0.0</v>
      </c>
      <c r="V30" s="163">
        <v>0.0</v>
      </c>
      <c r="W30" s="163">
        <v>0.0</v>
      </c>
      <c r="X30" s="163">
        <v>26500.0</v>
      </c>
      <c r="Y30" s="163">
        <v>0.0</v>
      </c>
      <c r="Z30" s="163">
        <v>0.0</v>
      </c>
      <c r="AA30" s="163">
        <v>0.0</v>
      </c>
      <c r="AB30" s="3">
        <f t="shared" si="6"/>
        <v>41340</v>
      </c>
      <c r="AC30" s="75"/>
    </row>
    <row r="31" ht="12.75" customHeight="1">
      <c r="A31" s="2"/>
      <c r="B31" s="162" t="s">
        <v>357</v>
      </c>
      <c r="C31" s="2" t="s">
        <v>358</v>
      </c>
      <c r="D31" s="163">
        <v>0.0</v>
      </c>
      <c r="E31" s="163">
        <v>0.0</v>
      </c>
      <c r="F31" s="163">
        <v>0.0</v>
      </c>
      <c r="G31" s="163">
        <v>0.0</v>
      </c>
      <c r="H31" s="163">
        <v>0.0</v>
      </c>
      <c r="I31" s="163">
        <v>0.0</v>
      </c>
      <c r="J31" s="163">
        <v>0.0</v>
      </c>
      <c r="K31" s="163">
        <v>0.0</v>
      </c>
      <c r="L31" s="163">
        <v>0.0</v>
      </c>
      <c r="M31" s="163">
        <v>0.0</v>
      </c>
      <c r="N31" s="163">
        <v>0.0</v>
      </c>
      <c r="O31" s="163">
        <v>0.0</v>
      </c>
      <c r="P31" s="163">
        <v>15903.4026</v>
      </c>
      <c r="Q31" s="163">
        <v>0.0</v>
      </c>
      <c r="R31" s="163">
        <v>0.0</v>
      </c>
      <c r="S31" s="163">
        <v>0.0</v>
      </c>
      <c r="T31" s="163">
        <v>0.0</v>
      </c>
      <c r="U31" s="163">
        <v>0.0</v>
      </c>
      <c r="V31" s="163">
        <v>0.0</v>
      </c>
      <c r="W31" s="163">
        <v>0.0</v>
      </c>
      <c r="X31" s="163">
        <v>0.0</v>
      </c>
      <c r="Y31" s="163">
        <v>0.0</v>
      </c>
      <c r="Z31" s="163">
        <v>0.0</v>
      </c>
      <c r="AA31" s="163">
        <v>0.0</v>
      </c>
      <c r="AB31" s="3">
        <f t="shared" si="6"/>
        <v>15903.4026</v>
      </c>
      <c r="AC31" s="75"/>
    </row>
    <row r="32" ht="12.75" customHeight="1">
      <c r="A32" s="2"/>
      <c r="B32" s="2" t="s">
        <v>359</v>
      </c>
      <c r="C32" s="2" t="s">
        <v>360</v>
      </c>
      <c r="D32" s="163">
        <v>0.0</v>
      </c>
      <c r="E32" s="3">
        <v>0.0</v>
      </c>
      <c r="F32" s="163">
        <v>0.0</v>
      </c>
      <c r="G32" s="3">
        <v>0.0</v>
      </c>
      <c r="H32" s="163">
        <v>0.0</v>
      </c>
      <c r="I32" s="3">
        <v>0.0</v>
      </c>
      <c r="J32" s="163">
        <v>0.0</v>
      </c>
      <c r="K32" s="3">
        <v>0.0</v>
      </c>
      <c r="L32" s="163">
        <v>0.0</v>
      </c>
      <c r="M32" s="3">
        <v>0.0</v>
      </c>
      <c r="N32" s="163">
        <v>0.0</v>
      </c>
      <c r="O32" s="3">
        <v>0.0</v>
      </c>
      <c r="P32" s="163">
        <v>10833.931400000001</v>
      </c>
      <c r="Q32" s="3">
        <v>0.0</v>
      </c>
      <c r="R32" s="163">
        <v>0.0</v>
      </c>
      <c r="S32" s="3">
        <v>0.0</v>
      </c>
      <c r="T32" s="163">
        <v>0.0</v>
      </c>
      <c r="U32" s="3">
        <v>0.0</v>
      </c>
      <c r="V32" s="163">
        <v>0.0</v>
      </c>
      <c r="W32" s="3">
        <v>0.0</v>
      </c>
      <c r="X32" s="163">
        <v>0.0</v>
      </c>
      <c r="Y32" s="3">
        <v>0.0</v>
      </c>
      <c r="Z32" s="163">
        <v>0.0</v>
      </c>
      <c r="AA32" s="3">
        <v>0.0</v>
      </c>
      <c r="AB32" s="3">
        <f t="shared" si="6"/>
        <v>10833.9314</v>
      </c>
      <c r="AC32" s="131"/>
    </row>
    <row r="33" ht="12.75" customHeight="1">
      <c r="A33" s="2"/>
      <c r="B33" s="2" t="s">
        <v>361</v>
      </c>
      <c r="C33" s="2" t="s">
        <v>362</v>
      </c>
      <c r="D33" s="163">
        <v>16678.3792</v>
      </c>
      <c r="E33" s="3">
        <v>0.0</v>
      </c>
      <c r="F33" s="163">
        <v>16678.3792</v>
      </c>
      <c r="G33" s="3">
        <v>0.0</v>
      </c>
      <c r="H33" s="163">
        <v>16678.3792</v>
      </c>
      <c r="I33" s="3">
        <v>0.0</v>
      </c>
      <c r="J33" s="163">
        <v>16678.3792</v>
      </c>
      <c r="K33" s="3">
        <v>0.0</v>
      </c>
      <c r="L33" s="163">
        <v>16678.3792</v>
      </c>
      <c r="M33" s="3">
        <v>0.0</v>
      </c>
      <c r="N33" s="163">
        <v>16678.3792</v>
      </c>
      <c r="O33" s="3">
        <v>0.0</v>
      </c>
      <c r="P33" s="163">
        <v>16678.3792</v>
      </c>
      <c r="Q33" s="3">
        <v>0.0</v>
      </c>
      <c r="R33" s="163">
        <v>16678.3792</v>
      </c>
      <c r="S33" s="3">
        <v>0.0</v>
      </c>
      <c r="T33" s="163">
        <v>16678.3792</v>
      </c>
      <c r="U33" s="3">
        <v>0.0</v>
      </c>
      <c r="V33" s="163">
        <v>17512.298160000002</v>
      </c>
      <c r="W33" s="3">
        <v>0.0</v>
      </c>
      <c r="X33" s="163">
        <v>17512.298160000002</v>
      </c>
      <c r="Y33" s="3">
        <v>0.0</v>
      </c>
      <c r="Z33" s="163">
        <v>17512.298160000002</v>
      </c>
      <c r="AA33" s="3">
        <v>0.0</v>
      </c>
      <c r="AB33" s="3">
        <f t="shared" si="6"/>
        <v>202642.3073</v>
      </c>
      <c r="AC33" s="131"/>
    </row>
    <row r="34" ht="12.75" customHeight="1">
      <c r="A34" s="2"/>
      <c r="B34" s="162" t="s">
        <v>363</v>
      </c>
      <c r="C34" s="2" t="s">
        <v>364</v>
      </c>
      <c r="D34" s="163">
        <v>8220.9148</v>
      </c>
      <c r="E34" s="163">
        <v>0.0</v>
      </c>
      <c r="F34" s="163">
        <v>0.0</v>
      </c>
      <c r="G34" s="163">
        <v>0.0</v>
      </c>
      <c r="H34" s="163">
        <v>-792.9754</v>
      </c>
      <c r="I34" s="163">
        <v>0.0</v>
      </c>
      <c r="J34" s="163">
        <v>743.166</v>
      </c>
      <c r="K34" s="163">
        <v>0.0</v>
      </c>
      <c r="L34" s="163">
        <f>130402.5356-90000</f>
        <v>40402.5356</v>
      </c>
      <c r="M34" s="163">
        <v>0.0</v>
      </c>
      <c r="N34" s="163">
        <f>98580-53000</f>
        <v>45580</v>
      </c>
      <c r="O34" s="163">
        <v>0.0</v>
      </c>
      <c r="P34" s="163">
        <v>0.0</v>
      </c>
      <c r="Q34" s="163">
        <v>0.0</v>
      </c>
      <c r="R34" s="163">
        <v>1526.4</v>
      </c>
      <c r="S34" s="163">
        <v>0.0</v>
      </c>
      <c r="T34" s="163">
        <v>12284.806400000001</v>
      </c>
      <c r="U34" s="163">
        <v>0.0</v>
      </c>
      <c r="V34" s="163">
        <v>21200.0</v>
      </c>
      <c r="W34" s="163">
        <v>0.0</v>
      </c>
      <c r="X34" s="163">
        <v>0.0</v>
      </c>
      <c r="Y34" s="163">
        <v>0.0</v>
      </c>
      <c r="Z34" s="163">
        <v>21200.0</v>
      </c>
      <c r="AA34" s="163">
        <v>0.0</v>
      </c>
      <c r="AB34" s="3">
        <f t="shared" si="6"/>
        <v>150364.8474</v>
      </c>
      <c r="AC34" s="75"/>
    </row>
    <row r="35" ht="12.75" customHeight="1">
      <c r="A35" s="2"/>
      <c r="B35" s="2" t="s">
        <v>365</v>
      </c>
      <c r="C35" s="2" t="s">
        <v>366</v>
      </c>
      <c r="D35" s="163">
        <v>0.0</v>
      </c>
      <c r="E35" s="3">
        <v>0.0</v>
      </c>
      <c r="F35" s="163">
        <v>0.0</v>
      </c>
      <c r="G35" s="3">
        <v>0.0</v>
      </c>
      <c r="H35" s="163">
        <v>0.0</v>
      </c>
      <c r="I35" s="3">
        <v>0.0</v>
      </c>
      <c r="J35" s="163">
        <v>0.0</v>
      </c>
      <c r="K35" s="3">
        <v>0.0</v>
      </c>
      <c r="L35" s="163">
        <v>0.0</v>
      </c>
      <c r="M35" s="3">
        <v>0.0</v>
      </c>
      <c r="N35" s="163">
        <v>0.0</v>
      </c>
      <c r="O35" s="3">
        <v>0.0</v>
      </c>
      <c r="P35" s="163">
        <v>0.0</v>
      </c>
      <c r="Q35" s="3">
        <v>0.0</v>
      </c>
      <c r="R35" s="163">
        <v>0.0</v>
      </c>
      <c r="S35" s="3">
        <v>0.0</v>
      </c>
      <c r="T35" s="163">
        <v>0.0</v>
      </c>
      <c r="U35" s="3">
        <v>0.0</v>
      </c>
      <c r="V35" s="163">
        <v>0.0</v>
      </c>
      <c r="W35" s="3">
        <v>0.0</v>
      </c>
      <c r="X35" s="163">
        <v>18815.0</v>
      </c>
      <c r="Y35" s="3">
        <v>0.0</v>
      </c>
      <c r="Z35" s="163">
        <v>18815.0</v>
      </c>
      <c r="AA35" s="3">
        <v>0.0</v>
      </c>
      <c r="AB35" s="3">
        <f t="shared" si="6"/>
        <v>37630</v>
      </c>
      <c r="AC35" s="131"/>
    </row>
    <row r="36" ht="12.75" customHeight="1">
      <c r="A36" s="2"/>
      <c r="B36" s="2" t="s">
        <v>367</v>
      </c>
      <c r="C36" s="2" t="s">
        <v>368</v>
      </c>
      <c r="D36" s="163">
        <v>10000.0</v>
      </c>
      <c r="E36" s="3">
        <v>0.0</v>
      </c>
      <c r="F36" s="163">
        <v>15000.0</v>
      </c>
      <c r="G36" s="3">
        <v>0.0</v>
      </c>
      <c r="H36" s="163">
        <v>7500.0</v>
      </c>
      <c r="I36" s="3">
        <v>0.0</v>
      </c>
      <c r="J36" s="163">
        <v>7500.0</v>
      </c>
      <c r="K36" s="3">
        <v>0.0</v>
      </c>
      <c r="L36" s="163">
        <v>7500.0</v>
      </c>
      <c r="M36" s="3">
        <v>0.0</v>
      </c>
      <c r="N36" s="163">
        <v>7500.0</v>
      </c>
      <c r="O36" s="3">
        <v>0.0</v>
      </c>
      <c r="P36" s="163">
        <v>7500.0</v>
      </c>
      <c r="Q36" s="3">
        <v>0.0</v>
      </c>
      <c r="R36" s="163">
        <v>7500.0</v>
      </c>
      <c r="S36" s="3">
        <v>0.0</v>
      </c>
      <c r="T36" s="163">
        <v>7500.0</v>
      </c>
      <c r="U36" s="3">
        <v>0.0</v>
      </c>
      <c r="V36" s="163">
        <v>7500.0</v>
      </c>
      <c r="W36" s="3">
        <v>0.0</v>
      </c>
      <c r="X36" s="163">
        <v>7500.0</v>
      </c>
      <c r="Y36" s="3">
        <v>0.0</v>
      </c>
      <c r="Z36" s="163">
        <v>7500.0</v>
      </c>
      <c r="AA36" s="3">
        <v>0.0</v>
      </c>
      <c r="AB36" s="3">
        <f t="shared" si="6"/>
        <v>100000</v>
      </c>
      <c r="AC36" s="131"/>
    </row>
    <row r="37" ht="12.75" hidden="1" customHeight="1">
      <c r="A37" s="2"/>
      <c r="B37" s="2" t="s">
        <v>369</v>
      </c>
      <c r="C37" s="2" t="s">
        <v>370</v>
      </c>
      <c r="D37" s="163">
        <v>0.0</v>
      </c>
      <c r="E37" s="3">
        <v>0.0</v>
      </c>
      <c r="F37" s="163">
        <v>0.0</v>
      </c>
      <c r="G37" s="3">
        <v>0.0</v>
      </c>
      <c r="H37" s="163">
        <v>0.0</v>
      </c>
      <c r="I37" s="3">
        <v>0.0</v>
      </c>
      <c r="J37" s="163">
        <v>0.0</v>
      </c>
      <c r="K37" s="3">
        <v>0.0</v>
      </c>
      <c r="L37" s="163">
        <v>0.0</v>
      </c>
      <c r="M37" s="3">
        <v>0.0</v>
      </c>
      <c r="N37" s="163">
        <v>0.0</v>
      </c>
      <c r="O37" s="3">
        <v>0.0</v>
      </c>
      <c r="P37" s="163">
        <v>0.0</v>
      </c>
      <c r="Q37" s="3">
        <v>0.0</v>
      </c>
      <c r="R37" s="163">
        <v>0.0</v>
      </c>
      <c r="S37" s="3">
        <v>0.0</v>
      </c>
      <c r="T37" s="163">
        <v>0.0</v>
      </c>
      <c r="U37" s="3">
        <v>0.0</v>
      </c>
      <c r="V37" s="163">
        <v>0.0</v>
      </c>
      <c r="W37" s="3">
        <v>0.0</v>
      </c>
      <c r="X37" s="163">
        <v>0.0</v>
      </c>
      <c r="Y37" s="3">
        <v>0.0</v>
      </c>
      <c r="Z37" s="163">
        <v>0.0</v>
      </c>
      <c r="AA37" s="3">
        <v>0.0</v>
      </c>
      <c r="AB37" s="3">
        <f t="shared" si="6"/>
        <v>0</v>
      </c>
      <c r="AC37" s="131"/>
    </row>
    <row r="38" ht="12.75" hidden="1" customHeight="1">
      <c r="A38" s="2"/>
      <c r="B38" s="162" t="s">
        <v>371</v>
      </c>
      <c r="C38" s="2" t="s">
        <v>372</v>
      </c>
      <c r="D38" s="163">
        <v>0.0</v>
      </c>
      <c r="E38" s="163">
        <v>0.0</v>
      </c>
      <c r="F38" s="163">
        <v>0.0</v>
      </c>
      <c r="G38" s="163">
        <v>0.0</v>
      </c>
      <c r="H38" s="163">
        <v>0.0</v>
      </c>
      <c r="I38" s="163">
        <v>0.0</v>
      </c>
      <c r="J38" s="163">
        <v>0.0</v>
      </c>
      <c r="K38" s="163">
        <v>0.0</v>
      </c>
      <c r="L38" s="163">
        <v>0.0</v>
      </c>
      <c r="M38" s="163">
        <v>0.0</v>
      </c>
      <c r="N38" s="163">
        <v>0.0</v>
      </c>
      <c r="O38" s="163">
        <v>0.0</v>
      </c>
      <c r="P38" s="163">
        <v>0.0</v>
      </c>
      <c r="Q38" s="163">
        <v>0.0</v>
      </c>
      <c r="R38" s="163">
        <v>0.0</v>
      </c>
      <c r="S38" s="163">
        <v>0.0</v>
      </c>
      <c r="T38" s="163">
        <v>0.0</v>
      </c>
      <c r="U38" s="163">
        <v>0.0</v>
      </c>
      <c r="V38" s="163">
        <v>0.0</v>
      </c>
      <c r="W38" s="163">
        <v>0.0</v>
      </c>
      <c r="X38" s="163">
        <v>0.0</v>
      </c>
      <c r="Y38" s="163">
        <v>0.0</v>
      </c>
      <c r="Z38" s="163">
        <v>0.0</v>
      </c>
      <c r="AA38" s="163">
        <v>0.0</v>
      </c>
      <c r="AB38" s="3">
        <f t="shared" si="6"/>
        <v>0</v>
      </c>
      <c r="AC38" s="131"/>
    </row>
    <row r="39" ht="12.75" hidden="1" customHeight="1">
      <c r="A39" s="2"/>
      <c r="B39" s="162" t="s">
        <v>373</v>
      </c>
      <c r="C39" s="2" t="s">
        <v>374</v>
      </c>
      <c r="D39" s="163">
        <v>0.0</v>
      </c>
      <c r="E39" s="163">
        <v>0.0</v>
      </c>
      <c r="F39" s="163">
        <v>0.0</v>
      </c>
      <c r="G39" s="163">
        <v>0.0</v>
      </c>
      <c r="H39" s="163">
        <v>0.0</v>
      </c>
      <c r="I39" s="163">
        <v>0.0</v>
      </c>
      <c r="J39" s="163">
        <v>0.0</v>
      </c>
      <c r="K39" s="163">
        <v>0.0</v>
      </c>
      <c r="L39" s="163">
        <v>0.0</v>
      </c>
      <c r="M39" s="163">
        <v>0.0</v>
      </c>
      <c r="N39" s="163">
        <v>0.0</v>
      </c>
      <c r="O39" s="163">
        <v>0.0</v>
      </c>
      <c r="P39" s="163">
        <v>0.0</v>
      </c>
      <c r="Q39" s="163">
        <v>0.0</v>
      </c>
      <c r="R39" s="163">
        <v>0.0</v>
      </c>
      <c r="S39" s="163">
        <v>0.0</v>
      </c>
      <c r="T39" s="163">
        <v>0.0</v>
      </c>
      <c r="U39" s="163">
        <v>0.0</v>
      </c>
      <c r="V39" s="163">
        <v>0.0</v>
      </c>
      <c r="W39" s="163">
        <v>0.0</v>
      </c>
      <c r="X39" s="163">
        <v>0.0</v>
      </c>
      <c r="Y39" s="163">
        <v>0.0</v>
      </c>
      <c r="Z39" s="163">
        <v>0.0</v>
      </c>
      <c r="AA39" s="163">
        <v>0.0</v>
      </c>
      <c r="AB39" s="3">
        <f t="shared" si="6"/>
        <v>0</v>
      </c>
      <c r="AC39" s="131"/>
    </row>
    <row r="40" ht="12.75" customHeight="1">
      <c r="A40" s="2"/>
      <c r="B40" s="164" t="s">
        <v>375</v>
      </c>
      <c r="C40" s="173" t="s">
        <v>376</v>
      </c>
      <c r="D40" s="174">
        <f>551463.32+4799+3070</f>
        <v>559332.32</v>
      </c>
      <c r="E40" s="165">
        <v>0.0</v>
      </c>
      <c r="F40" s="174">
        <f>551463.32+4799+3070</f>
        <v>559332.32</v>
      </c>
      <c r="G40" s="174">
        <f>610252.5+4799+3070</f>
        <v>618121.5</v>
      </c>
      <c r="H40" s="174">
        <f>551463.32+4799+3070</f>
        <v>559332.32</v>
      </c>
      <c r="I40" s="174">
        <f>610252.5+4799+3070</f>
        <v>618121.5</v>
      </c>
      <c r="J40" s="174">
        <f>551463.32+4799+3070</f>
        <v>559332.32</v>
      </c>
      <c r="K40" s="174">
        <f>610252.5+4799+3070</f>
        <v>618121.5</v>
      </c>
      <c r="L40" s="174">
        <f>551463.32+4799+3070</f>
        <v>559332.32</v>
      </c>
      <c r="M40" s="174">
        <f>610252.5+4799+3070</f>
        <v>618121.5</v>
      </c>
      <c r="N40" s="174">
        <f>551463.32+4799+3070</f>
        <v>559332.32</v>
      </c>
      <c r="O40" s="174">
        <f>610252.5+4799+3070</f>
        <v>618121.5</v>
      </c>
      <c r="P40" s="174">
        <f>551463.32+4799+3070</f>
        <v>559332.32</v>
      </c>
      <c r="Q40" s="174">
        <f>610252.5+4799+3070</f>
        <v>618121.5</v>
      </c>
      <c r="R40" s="174">
        <f>551463.32+4799+3070</f>
        <v>559332.32</v>
      </c>
      <c r="S40" s="174">
        <f>610252.5+4799+3070</f>
        <v>618121.5</v>
      </c>
      <c r="T40" s="174">
        <f>551463.32+4799+3070</f>
        <v>559332.32</v>
      </c>
      <c r="U40" s="174">
        <f>610252.5+4799+3070</f>
        <v>618121.5</v>
      </c>
      <c r="V40" s="174">
        <f>551463.32+4799+3070</f>
        <v>559332.32</v>
      </c>
      <c r="W40" s="174">
        <f>610252.5+4799+3070</f>
        <v>618121.5</v>
      </c>
      <c r="X40" s="174">
        <f>551463.32+4799+3070</f>
        <v>559332.32</v>
      </c>
      <c r="Y40" s="174">
        <f>610252.5+4799+3070</f>
        <v>618121.5</v>
      </c>
      <c r="Z40" s="174">
        <f>551463.32+4799+3070</f>
        <v>559332.32</v>
      </c>
      <c r="AA40" s="165">
        <v>0.0</v>
      </c>
      <c r="AB40" s="165">
        <f t="shared" si="6"/>
        <v>6711987.84</v>
      </c>
      <c r="AC40" s="21"/>
    </row>
    <row r="41" ht="12.75" customHeight="1">
      <c r="A41" s="2"/>
      <c r="B41" s="164" t="s">
        <v>377</v>
      </c>
      <c r="C41" s="164" t="s">
        <v>378</v>
      </c>
      <c r="D41" s="165">
        <f>6*800+(3192*1.06)</f>
        <v>8183.52</v>
      </c>
      <c r="E41" s="165">
        <v>0.0</v>
      </c>
      <c r="F41" s="165">
        <f>6*800</f>
        <v>4800</v>
      </c>
      <c r="G41" s="165">
        <v>0.0</v>
      </c>
      <c r="H41" s="165">
        <f>6*800</f>
        <v>4800</v>
      </c>
      <c r="I41" s="165">
        <v>0.0</v>
      </c>
      <c r="J41" s="165">
        <f>6*800</f>
        <v>4800</v>
      </c>
      <c r="K41" s="165">
        <v>0.0</v>
      </c>
      <c r="L41" s="165">
        <f>6*800</f>
        <v>4800</v>
      </c>
      <c r="M41" s="165">
        <v>0.0</v>
      </c>
      <c r="N41" s="165">
        <f>6*800</f>
        <v>4800</v>
      </c>
      <c r="O41" s="165">
        <v>0.0</v>
      </c>
      <c r="P41" s="165">
        <f>6*800</f>
        <v>4800</v>
      </c>
      <c r="Q41" s="165">
        <v>0.0</v>
      </c>
      <c r="R41" s="165">
        <f>6*800</f>
        <v>4800</v>
      </c>
      <c r="S41" s="165">
        <v>0.0</v>
      </c>
      <c r="T41" s="165">
        <f>6*800</f>
        <v>4800</v>
      </c>
      <c r="U41" s="165">
        <v>0.0</v>
      </c>
      <c r="V41" s="165">
        <f>6*800</f>
        <v>4800</v>
      </c>
      <c r="W41" s="165">
        <v>0.0</v>
      </c>
      <c r="X41" s="165">
        <f>6*800</f>
        <v>4800</v>
      </c>
      <c r="Y41" s="165">
        <v>0.0</v>
      </c>
      <c r="Z41" s="165">
        <f>6*800</f>
        <v>4800</v>
      </c>
      <c r="AA41" s="165">
        <v>0.0</v>
      </c>
      <c r="AB41" s="165">
        <f t="shared" si="6"/>
        <v>60983.52</v>
      </c>
      <c r="AC41" s="131"/>
    </row>
    <row r="42" ht="12.75" customHeight="1">
      <c r="A42" s="2"/>
      <c r="B42" s="164" t="s">
        <v>379</v>
      </c>
      <c r="C42" s="164" t="s">
        <v>380</v>
      </c>
      <c r="D42" s="165">
        <f>2800*3</f>
        <v>8400</v>
      </c>
      <c r="E42" s="165">
        <v>0.0</v>
      </c>
      <c r="F42" s="165">
        <f>2800*3</f>
        <v>8400</v>
      </c>
      <c r="G42" s="165">
        <v>0.0</v>
      </c>
      <c r="H42" s="165">
        <f>2800*3</f>
        <v>8400</v>
      </c>
      <c r="I42" s="165">
        <v>0.0</v>
      </c>
      <c r="J42" s="165">
        <f>2800*3</f>
        <v>8400</v>
      </c>
      <c r="K42" s="165">
        <v>0.0</v>
      </c>
      <c r="L42" s="165">
        <f>2800*3</f>
        <v>8400</v>
      </c>
      <c r="M42" s="165">
        <v>0.0</v>
      </c>
      <c r="N42" s="165">
        <f>2800*3</f>
        <v>8400</v>
      </c>
      <c r="O42" s="165">
        <v>0.0</v>
      </c>
      <c r="P42" s="165">
        <f>2800*3</f>
        <v>8400</v>
      </c>
      <c r="Q42" s="165">
        <v>0.0</v>
      </c>
      <c r="R42" s="165">
        <f>2800*3</f>
        <v>8400</v>
      </c>
      <c r="S42" s="165">
        <v>0.0</v>
      </c>
      <c r="T42" s="165">
        <f>2800*3</f>
        <v>8400</v>
      </c>
      <c r="U42" s="165">
        <v>0.0</v>
      </c>
      <c r="V42" s="165">
        <f>2800*3</f>
        <v>8400</v>
      </c>
      <c r="W42" s="165">
        <v>0.0</v>
      </c>
      <c r="X42" s="165">
        <f>2800*3</f>
        <v>8400</v>
      </c>
      <c r="Y42" s="165">
        <v>0.0</v>
      </c>
      <c r="Z42" s="165">
        <f>2800*3</f>
        <v>8400</v>
      </c>
      <c r="AA42" s="165">
        <v>0.0</v>
      </c>
      <c r="AB42" s="165">
        <f t="shared" si="6"/>
        <v>100800</v>
      </c>
      <c r="AC42" s="131"/>
    </row>
    <row r="43" ht="12.75" customHeight="1">
      <c r="A43" s="2"/>
      <c r="B43" s="162" t="s">
        <v>381</v>
      </c>
      <c r="C43" s="2" t="s">
        <v>382</v>
      </c>
      <c r="D43" s="163">
        <v>46.64</v>
      </c>
      <c r="E43" s="163">
        <v>0.0</v>
      </c>
      <c r="F43" s="163">
        <v>193.5454</v>
      </c>
      <c r="G43" s="163">
        <v>0.0</v>
      </c>
      <c r="H43" s="163">
        <v>165.36</v>
      </c>
      <c r="I43" s="163">
        <v>0.0</v>
      </c>
      <c r="J43" s="163">
        <v>150.7638</v>
      </c>
      <c r="K43" s="163">
        <v>0.0</v>
      </c>
      <c r="L43" s="163">
        <v>0.0</v>
      </c>
      <c r="M43" s="163">
        <v>0.0</v>
      </c>
      <c r="N43" s="163">
        <v>0.0</v>
      </c>
      <c r="O43" s="163">
        <v>0.0</v>
      </c>
      <c r="P43" s="163">
        <v>0.0</v>
      </c>
      <c r="Q43" s="163">
        <v>0.0</v>
      </c>
      <c r="R43" s="163">
        <v>1555.2638000000006</v>
      </c>
      <c r="S43" s="163">
        <v>0.0</v>
      </c>
      <c r="T43" s="163">
        <v>91.3826</v>
      </c>
      <c r="U43" s="163">
        <v>0.0</v>
      </c>
      <c r="V43" s="163">
        <v>0.0</v>
      </c>
      <c r="W43" s="163">
        <v>0.0</v>
      </c>
      <c r="X43" s="163">
        <v>1060.0</v>
      </c>
      <c r="Y43" s="163">
        <v>0.0</v>
      </c>
      <c r="Z43" s="163">
        <v>0.0</v>
      </c>
      <c r="AA43" s="163">
        <v>0.0</v>
      </c>
      <c r="AB43" s="3">
        <f t="shared" si="6"/>
        <v>3262.9556</v>
      </c>
      <c r="AC43" s="131"/>
    </row>
    <row r="44" ht="12.75" customHeight="1">
      <c r="A44" s="2"/>
      <c r="B44" s="162" t="s">
        <v>383</v>
      </c>
      <c r="C44" s="171" t="s">
        <v>384</v>
      </c>
      <c r="D44" s="163">
        <v>0.0</v>
      </c>
      <c r="E44" s="163">
        <v>0.0</v>
      </c>
      <c r="F44" s="163">
        <v>0.0</v>
      </c>
      <c r="G44" s="163">
        <v>0.0</v>
      </c>
      <c r="H44" s="163">
        <v>3021.0</v>
      </c>
      <c r="I44" s="163">
        <v>0.0</v>
      </c>
      <c r="J44" s="163">
        <v>901.0</v>
      </c>
      <c r="K44" s="163">
        <v>0.0</v>
      </c>
      <c r="L44" s="163">
        <v>5433.750800000001</v>
      </c>
      <c r="M44" s="163">
        <v>0.0</v>
      </c>
      <c r="N44" s="163">
        <v>5277.157</v>
      </c>
      <c r="O44" s="163">
        <v>0.0</v>
      </c>
      <c r="P44" s="163">
        <v>2326.5198</v>
      </c>
      <c r="Q44" s="163">
        <v>0.0</v>
      </c>
      <c r="R44" s="163">
        <v>0.0</v>
      </c>
      <c r="S44" s="163">
        <v>0.0</v>
      </c>
      <c r="T44" s="163">
        <v>0.0</v>
      </c>
      <c r="U44" s="163">
        <v>0.0</v>
      </c>
      <c r="V44" s="163">
        <v>1766.6702000000002</v>
      </c>
      <c r="W44" s="163">
        <v>0.0</v>
      </c>
      <c r="X44" s="163">
        <v>0.0</v>
      </c>
      <c r="Y44" s="163">
        <v>0.0</v>
      </c>
      <c r="Z44" s="163">
        <v>1766.6490000000001</v>
      </c>
      <c r="AA44" s="163">
        <v>0.0</v>
      </c>
      <c r="AB44" s="3">
        <f t="shared" si="6"/>
        <v>20492.7468</v>
      </c>
      <c r="AC44" s="131"/>
    </row>
    <row r="45" ht="12.75" customHeight="1">
      <c r="A45" s="2"/>
      <c r="B45" s="162" t="s">
        <v>385</v>
      </c>
      <c r="C45" s="2" t="s">
        <v>386</v>
      </c>
      <c r="D45" s="163">
        <v>0.0</v>
      </c>
      <c r="E45" s="163">
        <v>0.0</v>
      </c>
      <c r="F45" s="163">
        <v>0.0</v>
      </c>
      <c r="G45" s="163">
        <v>0.0</v>
      </c>
      <c r="H45" s="163">
        <v>0.0</v>
      </c>
      <c r="I45" s="163">
        <v>0.0</v>
      </c>
      <c r="J45" s="163">
        <v>0.0</v>
      </c>
      <c r="K45" s="163">
        <v>0.0</v>
      </c>
      <c r="L45" s="163">
        <v>0.0</v>
      </c>
      <c r="M45" s="163">
        <v>0.0</v>
      </c>
      <c r="N45" s="163">
        <v>0.0</v>
      </c>
      <c r="O45" s="163">
        <v>0.0</v>
      </c>
      <c r="P45" s="163">
        <v>0.0</v>
      </c>
      <c r="Q45" s="163">
        <v>0.0</v>
      </c>
      <c r="R45" s="163">
        <v>0.0</v>
      </c>
      <c r="S45" s="163">
        <v>0.0</v>
      </c>
      <c r="T45" s="163">
        <v>0.0</v>
      </c>
      <c r="U45" s="163">
        <v>0.0</v>
      </c>
      <c r="V45" s="163">
        <v>1060.0</v>
      </c>
      <c r="W45" s="163">
        <v>0.0</v>
      </c>
      <c r="X45" s="163">
        <v>0.0</v>
      </c>
      <c r="Y45" s="163">
        <v>0.0</v>
      </c>
      <c r="Z45" s="163">
        <v>0.0</v>
      </c>
      <c r="AA45" s="163">
        <v>0.0</v>
      </c>
      <c r="AB45" s="3">
        <f t="shared" si="6"/>
        <v>1060</v>
      </c>
      <c r="AC45" s="131"/>
    </row>
    <row r="46" ht="12.75" customHeight="1">
      <c r="A46" s="2"/>
      <c r="B46" s="164" t="s">
        <v>387</v>
      </c>
      <c r="C46" s="164" t="s">
        <v>388</v>
      </c>
      <c r="D46" s="165">
        <f>850*11</f>
        <v>9350</v>
      </c>
      <c r="E46" s="165">
        <v>0.0</v>
      </c>
      <c r="F46" s="165">
        <f>850*11</f>
        <v>9350</v>
      </c>
      <c r="G46" s="165">
        <v>0.0</v>
      </c>
      <c r="H46" s="165">
        <f>850*11</f>
        <v>9350</v>
      </c>
      <c r="I46" s="165">
        <v>0.0</v>
      </c>
      <c r="J46" s="165">
        <f>850*11</f>
        <v>9350</v>
      </c>
      <c r="K46" s="165">
        <v>0.0</v>
      </c>
      <c r="L46" s="165">
        <f>850*11</f>
        <v>9350</v>
      </c>
      <c r="M46" s="165">
        <v>0.0</v>
      </c>
      <c r="N46" s="165">
        <f>850*11</f>
        <v>9350</v>
      </c>
      <c r="O46" s="165">
        <v>0.0</v>
      </c>
      <c r="P46" s="165">
        <f>850*11</f>
        <v>9350</v>
      </c>
      <c r="Q46" s="165">
        <v>0.0</v>
      </c>
      <c r="R46" s="165">
        <f>850*11</f>
        <v>9350</v>
      </c>
      <c r="S46" s="165">
        <v>0.0</v>
      </c>
      <c r="T46" s="165">
        <f>850*11</f>
        <v>9350</v>
      </c>
      <c r="U46" s="165">
        <v>0.0</v>
      </c>
      <c r="V46" s="165">
        <f>850*11</f>
        <v>9350</v>
      </c>
      <c r="W46" s="165">
        <v>0.0</v>
      </c>
      <c r="X46" s="165">
        <f>850*11</f>
        <v>9350</v>
      </c>
      <c r="Y46" s="165">
        <v>0.0</v>
      </c>
      <c r="Z46" s="165">
        <f>850*11</f>
        <v>9350</v>
      </c>
      <c r="AA46" s="165">
        <v>0.0</v>
      </c>
      <c r="AB46" s="165">
        <f t="shared" si="6"/>
        <v>112200</v>
      </c>
      <c r="AC46" s="131"/>
    </row>
    <row r="47" ht="12.75" customHeight="1">
      <c r="A47" s="2"/>
      <c r="B47" s="2"/>
      <c r="C47" s="85" t="s">
        <v>389</v>
      </c>
      <c r="D47" s="86">
        <f t="shared" ref="D47:AB47" si="7">SUM(D17:D46)</f>
        <v>659200.7576</v>
      </c>
      <c r="E47" s="86">
        <f t="shared" si="7"/>
        <v>0</v>
      </c>
      <c r="F47" s="86">
        <f t="shared" si="7"/>
        <v>667773.53</v>
      </c>
      <c r="G47" s="86">
        <f t="shared" si="7"/>
        <v>618121.5</v>
      </c>
      <c r="H47" s="86">
        <f t="shared" si="7"/>
        <v>700935.925</v>
      </c>
      <c r="I47" s="86">
        <f t="shared" si="7"/>
        <v>618121.5</v>
      </c>
      <c r="J47" s="86">
        <f t="shared" si="7"/>
        <v>697330.0594</v>
      </c>
      <c r="K47" s="86">
        <f t="shared" si="7"/>
        <v>618121.5</v>
      </c>
      <c r="L47" s="86">
        <f t="shared" si="7"/>
        <v>719644.3522</v>
      </c>
      <c r="M47" s="86">
        <f t="shared" si="7"/>
        <v>618121.5</v>
      </c>
      <c r="N47" s="86">
        <f t="shared" si="7"/>
        <v>732251.9396</v>
      </c>
      <c r="O47" s="86">
        <f t="shared" si="7"/>
        <v>618121.5</v>
      </c>
      <c r="P47" s="86">
        <f t="shared" si="7"/>
        <v>681692.9712</v>
      </c>
      <c r="Q47" s="86">
        <f t="shared" si="7"/>
        <v>618121.5</v>
      </c>
      <c r="R47" s="86">
        <f t="shared" si="7"/>
        <v>644482.8902</v>
      </c>
      <c r="S47" s="86">
        <f t="shared" si="7"/>
        <v>618121.5</v>
      </c>
      <c r="T47" s="86">
        <f t="shared" si="7"/>
        <v>678273.7186</v>
      </c>
      <c r="U47" s="86">
        <f t="shared" si="7"/>
        <v>618121.5</v>
      </c>
      <c r="V47" s="86">
        <f t="shared" si="7"/>
        <v>688731.3246</v>
      </c>
      <c r="W47" s="86">
        <f t="shared" si="7"/>
        <v>618121.5</v>
      </c>
      <c r="X47" s="86">
        <f t="shared" si="7"/>
        <v>699590.3144</v>
      </c>
      <c r="Y47" s="86">
        <f t="shared" si="7"/>
        <v>618121.5</v>
      </c>
      <c r="Z47" s="86">
        <f t="shared" si="7"/>
        <v>684820.9634</v>
      </c>
      <c r="AA47" s="86">
        <f t="shared" si="7"/>
        <v>0</v>
      </c>
      <c r="AB47" s="86">
        <f t="shared" si="7"/>
        <v>8254728.746</v>
      </c>
      <c r="AC47" s="75"/>
    </row>
    <row r="48" ht="12.75" customHeight="1">
      <c r="A48" s="2"/>
      <c r="B48" s="2"/>
      <c r="C48" s="2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75"/>
    </row>
    <row r="49" ht="12.75" customHeight="1">
      <c r="A49" s="2"/>
      <c r="B49" s="162"/>
      <c r="C49" s="170" t="s">
        <v>390</v>
      </c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3"/>
      <c r="AC49" s="75"/>
    </row>
    <row r="50" ht="12.75" customHeight="1">
      <c r="A50" s="2"/>
      <c r="B50" s="2" t="s">
        <v>391</v>
      </c>
      <c r="C50" s="2" t="s">
        <v>392</v>
      </c>
      <c r="D50" s="163">
        <v>6719.7169890000005</v>
      </c>
      <c r="E50" s="163">
        <v>0.0</v>
      </c>
      <c r="F50" s="163">
        <v>6719.7169890000005</v>
      </c>
      <c r="G50" s="163">
        <v>0.0</v>
      </c>
      <c r="H50" s="163">
        <v>6719.7169890000005</v>
      </c>
      <c r="I50" s="163">
        <v>0.0</v>
      </c>
      <c r="J50" s="163">
        <v>6719.7169890000005</v>
      </c>
      <c r="K50" s="163">
        <v>0.0</v>
      </c>
      <c r="L50" s="163">
        <v>6719.7169890000005</v>
      </c>
      <c r="M50" s="163">
        <v>0.0</v>
      </c>
      <c r="N50" s="163">
        <v>6719.7169890000005</v>
      </c>
      <c r="O50" s="163">
        <v>0.0</v>
      </c>
      <c r="P50" s="163">
        <v>6719.7169890000005</v>
      </c>
      <c r="Q50" s="163">
        <v>0.0</v>
      </c>
      <c r="R50" s="163">
        <v>6719.7169890000005</v>
      </c>
      <c r="S50" s="163">
        <v>0.0</v>
      </c>
      <c r="T50" s="163">
        <v>6719.7169890000005</v>
      </c>
      <c r="U50" s="163">
        <v>0.0</v>
      </c>
      <c r="V50" s="163">
        <v>6719.7169890000005</v>
      </c>
      <c r="W50" s="163">
        <v>0.0</v>
      </c>
      <c r="X50" s="163">
        <v>6719.7169890000005</v>
      </c>
      <c r="Y50" s="163">
        <v>0.0</v>
      </c>
      <c r="Z50" s="163">
        <v>6719.7169890000005</v>
      </c>
      <c r="AA50" s="163">
        <v>0.0</v>
      </c>
      <c r="AB50" s="3">
        <f t="shared" ref="AB50:AB51" si="8">D50+F50+H50+J50+L50+N50+P50+R50+T50+V50+X50+Z50</f>
        <v>80636.60387</v>
      </c>
      <c r="AC50" s="75"/>
    </row>
    <row r="51" ht="12.75" customHeight="1">
      <c r="A51" s="2"/>
      <c r="B51" s="2" t="s">
        <v>393</v>
      </c>
      <c r="C51" s="2" t="s">
        <v>394</v>
      </c>
      <c r="D51" s="163">
        <v>3516.6666000000005</v>
      </c>
      <c r="E51" s="163">
        <v>0.0</v>
      </c>
      <c r="F51" s="163">
        <v>3516.6666000000005</v>
      </c>
      <c r="G51" s="163">
        <v>0.0</v>
      </c>
      <c r="H51" s="163">
        <v>3516.6666000000005</v>
      </c>
      <c r="I51" s="163">
        <v>0.0</v>
      </c>
      <c r="J51" s="163">
        <v>3516.6666000000005</v>
      </c>
      <c r="K51" s="163">
        <v>0.0</v>
      </c>
      <c r="L51" s="163">
        <v>3516.6666000000005</v>
      </c>
      <c r="M51" s="163">
        <v>0.0</v>
      </c>
      <c r="N51" s="163">
        <v>3516.6666000000005</v>
      </c>
      <c r="O51" s="163">
        <v>0.0</v>
      </c>
      <c r="P51" s="163">
        <v>3516.6666000000005</v>
      </c>
      <c r="Q51" s="163">
        <v>0.0</v>
      </c>
      <c r="R51" s="163">
        <v>3516.6666000000005</v>
      </c>
      <c r="S51" s="163">
        <v>0.0</v>
      </c>
      <c r="T51" s="163">
        <v>3516.6666000000005</v>
      </c>
      <c r="U51" s="163">
        <v>0.0</v>
      </c>
      <c r="V51" s="163">
        <v>3516.6630666666656</v>
      </c>
      <c r="W51" s="163">
        <v>0.0</v>
      </c>
      <c r="X51" s="163">
        <v>3516.6630666666656</v>
      </c>
      <c r="Y51" s="163">
        <v>0.0</v>
      </c>
      <c r="Z51" s="163">
        <v>3516.6630666666656</v>
      </c>
      <c r="AA51" s="163">
        <v>0.0</v>
      </c>
      <c r="AB51" s="3">
        <f t="shared" si="8"/>
        <v>42199.9886</v>
      </c>
      <c r="AC51" s="75"/>
    </row>
    <row r="52" ht="12.75" customHeight="1">
      <c r="A52" s="2"/>
      <c r="B52" s="2"/>
      <c r="C52" s="85" t="s">
        <v>395</v>
      </c>
      <c r="D52" s="86">
        <f t="shared" ref="D52:AB52" si="9">D50+D51</f>
        <v>10236.38359</v>
      </c>
      <c r="E52" s="86">
        <f t="shared" si="9"/>
        <v>0</v>
      </c>
      <c r="F52" s="86">
        <f t="shared" si="9"/>
        <v>10236.38359</v>
      </c>
      <c r="G52" s="86">
        <f t="shared" si="9"/>
        <v>0</v>
      </c>
      <c r="H52" s="86">
        <f t="shared" si="9"/>
        <v>10236.38359</v>
      </c>
      <c r="I52" s="86">
        <f t="shared" si="9"/>
        <v>0</v>
      </c>
      <c r="J52" s="86">
        <f t="shared" si="9"/>
        <v>10236.38359</v>
      </c>
      <c r="K52" s="86">
        <f t="shared" si="9"/>
        <v>0</v>
      </c>
      <c r="L52" s="86">
        <f t="shared" si="9"/>
        <v>10236.38359</v>
      </c>
      <c r="M52" s="86">
        <f t="shared" si="9"/>
        <v>0</v>
      </c>
      <c r="N52" s="86">
        <f t="shared" si="9"/>
        <v>10236.38359</v>
      </c>
      <c r="O52" s="86">
        <f t="shared" si="9"/>
        <v>0</v>
      </c>
      <c r="P52" s="86">
        <f t="shared" si="9"/>
        <v>10236.38359</v>
      </c>
      <c r="Q52" s="86">
        <f t="shared" si="9"/>
        <v>0</v>
      </c>
      <c r="R52" s="86">
        <f t="shared" si="9"/>
        <v>10236.38359</v>
      </c>
      <c r="S52" s="86">
        <f t="shared" si="9"/>
        <v>0</v>
      </c>
      <c r="T52" s="86">
        <f t="shared" si="9"/>
        <v>10236.38359</v>
      </c>
      <c r="U52" s="86">
        <f t="shared" si="9"/>
        <v>0</v>
      </c>
      <c r="V52" s="86">
        <f t="shared" si="9"/>
        <v>10236.38006</v>
      </c>
      <c r="W52" s="86">
        <f t="shared" si="9"/>
        <v>0</v>
      </c>
      <c r="X52" s="86">
        <f t="shared" si="9"/>
        <v>10236.38006</v>
      </c>
      <c r="Y52" s="86">
        <f t="shared" si="9"/>
        <v>0</v>
      </c>
      <c r="Z52" s="86">
        <f t="shared" si="9"/>
        <v>10236.38006</v>
      </c>
      <c r="AA52" s="86">
        <f t="shared" si="9"/>
        <v>0</v>
      </c>
      <c r="AB52" s="86">
        <f t="shared" si="9"/>
        <v>122836.5925</v>
      </c>
      <c r="AC52" s="75"/>
    </row>
    <row r="53" ht="12.75" customHeight="1">
      <c r="A53" s="2"/>
      <c r="B53" s="2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75"/>
    </row>
    <row r="54" ht="12.75" customHeight="1">
      <c r="A54" s="2"/>
      <c r="B54" s="2" t="s">
        <v>396</v>
      </c>
      <c r="C54" s="131" t="s">
        <v>397</v>
      </c>
      <c r="D54" s="3">
        <f>'Gtos. Corporativos'!H26</f>
        <v>360748.3323</v>
      </c>
      <c r="E54" s="3">
        <v>0.0</v>
      </c>
      <c r="F54" s="3">
        <f>D54</f>
        <v>360748.3323</v>
      </c>
      <c r="G54" s="3">
        <v>0.0</v>
      </c>
      <c r="H54" s="3">
        <f>F54</f>
        <v>360748.3323</v>
      </c>
      <c r="I54" s="3">
        <v>0.0</v>
      </c>
      <c r="J54" s="3">
        <f>H54</f>
        <v>360748.3323</v>
      </c>
      <c r="K54" s="3">
        <v>0.0</v>
      </c>
      <c r="L54" s="3">
        <f>J54</f>
        <v>360748.3323</v>
      </c>
      <c r="M54" s="3">
        <v>0.0</v>
      </c>
      <c r="N54" s="3">
        <f>L54</f>
        <v>360748.3323</v>
      </c>
      <c r="O54" s="3">
        <v>0.0</v>
      </c>
      <c r="P54" s="3">
        <f>N54</f>
        <v>360748.3323</v>
      </c>
      <c r="Q54" s="3">
        <v>0.0</v>
      </c>
      <c r="R54" s="3">
        <f>P54</f>
        <v>360748.3323</v>
      </c>
      <c r="S54" s="3">
        <v>0.0</v>
      </c>
      <c r="T54" s="3">
        <f>R54</f>
        <v>360748.3323</v>
      </c>
      <c r="U54" s="3">
        <v>0.0</v>
      </c>
      <c r="V54" s="3">
        <f>T54</f>
        <v>360748.3323</v>
      </c>
      <c r="W54" s="3">
        <v>0.0</v>
      </c>
      <c r="X54" s="3">
        <f>V54</f>
        <v>360748.3323</v>
      </c>
      <c r="Y54" s="3">
        <v>0.0</v>
      </c>
      <c r="Z54" s="3">
        <f>X54</f>
        <v>360748.3323</v>
      </c>
      <c r="AA54" s="3">
        <v>0.0</v>
      </c>
      <c r="AB54" s="3">
        <f>D54+F54+H54+J54+L54+N54+P54+R54+T54+V54+X54+Z54</f>
        <v>4328979.987</v>
      </c>
      <c r="AC54" s="75"/>
    </row>
    <row r="55" ht="12.75" customHeight="1">
      <c r="A55" s="2"/>
      <c r="B55" s="2"/>
      <c r="C55" s="131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75"/>
    </row>
    <row r="56" ht="12.75" customHeight="1">
      <c r="A56" s="2"/>
      <c r="B56" s="162" t="s">
        <v>398</v>
      </c>
      <c r="C56" s="131" t="s">
        <v>42</v>
      </c>
      <c r="D56" s="3">
        <v>0.0</v>
      </c>
      <c r="E56" s="3">
        <v>0.0</v>
      </c>
      <c r="F56" s="3">
        <v>0.0</v>
      </c>
      <c r="G56" s="3">
        <v>0.0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3">
        <v>0.0</v>
      </c>
      <c r="N56" s="3">
        <v>0.0</v>
      </c>
      <c r="O56" s="3">
        <v>0.0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Y56" s="3">
        <v>0.0</v>
      </c>
      <c r="Z56" s="3">
        <v>0.0</v>
      </c>
      <c r="AA56" s="3">
        <v>0.0</v>
      </c>
      <c r="AB56" s="3">
        <f>D56+F56+H56+J56+L56+N56+P56+R56+T56+V56+X56+Z56</f>
        <v>0</v>
      </c>
      <c r="AC56" s="75"/>
    </row>
    <row r="57" ht="12.75" customHeight="1">
      <c r="A57" s="2"/>
      <c r="B57" s="162"/>
      <c r="C57" s="162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75"/>
    </row>
    <row r="58" ht="12.75" customHeight="1">
      <c r="A58" s="2"/>
      <c r="B58" s="2"/>
      <c r="C58" s="85" t="s">
        <v>399</v>
      </c>
      <c r="D58" s="86">
        <f t="shared" ref="D58:AB58" si="10">+D14-D47-D52-D54-D56</f>
        <v>-1036963.251</v>
      </c>
      <c r="E58" s="86">
        <f t="shared" si="10"/>
        <v>0</v>
      </c>
      <c r="F58" s="86">
        <f t="shared" si="10"/>
        <v>-1040300.62</v>
      </c>
      <c r="G58" s="86">
        <f t="shared" si="10"/>
        <v>-618121.5</v>
      </c>
      <c r="H58" s="86">
        <f t="shared" si="10"/>
        <v>-1073410.725</v>
      </c>
      <c r="I58" s="86">
        <f t="shared" si="10"/>
        <v>-618121.5</v>
      </c>
      <c r="J58" s="86">
        <f t="shared" si="10"/>
        <v>-1072399.973</v>
      </c>
      <c r="K58" s="86">
        <f t="shared" si="10"/>
        <v>-618121.5</v>
      </c>
      <c r="L58" s="86">
        <f t="shared" si="10"/>
        <v>-1093867.029</v>
      </c>
      <c r="M58" s="86">
        <f t="shared" si="10"/>
        <v>-618121.5</v>
      </c>
      <c r="N58" s="86">
        <f t="shared" si="10"/>
        <v>-1110620.605</v>
      </c>
      <c r="O58" s="86">
        <f t="shared" si="10"/>
        <v>-618121.5</v>
      </c>
      <c r="P58" s="86">
        <f t="shared" si="10"/>
        <v>-1056203.947</v>
      </c>
      <c r="Q58" s="86">
        <f t="shared" si="10"/>
        <v>-618121.5</v>
      </c>
      <c r="R58" s="86">
        <f t="shared" si="10"/>
        <v>-1020979.288</v>
      </c>
      <c r="S58" s="86">
        <f t="shared" si="10"/>
        <v>-618121.5</v>
      </c>
      <c r="T58" s="86">
        <f t="shared" si="10"/>
        <v>-1051833.577</v>
      </c>
      <c r="U58" s="86">
        <f t="shared" si="10"/>
        <v>-618121.5</v>
      </c>
      <c r="V58" s="86">
        <f t="shared" si="10"/>
        <v>-1063691.037</v>
      </c>
      <c r="W58" s="86">
        <f t="shared" si="10"/>
        <v>-618121.5</v>
      </c>
      <c r="X58" s="86">
        <f t="shared" si="10"/>
        <v>-1074550.027</v>
      </c>
      <c r="Y58" s="86">
        <f t="shared" si="10"/>
        <v>-618121.5</v>
      </c>
      <c r="Z58" s="86">
        <f t="shared" si="10"/>
        <v>-1059780.676</v>
      </c>
      <c r="AA58" s="86">
        <f t="shared" si="10"/>
        <v>0</v>
      </c>
      <c r="AB58" s="86">
        <f t="shared" si="10"/>
        <v>-12754600.75</v>
      </c>
      <c r="AC58" s="75"/>
    </row>
    <row r="59" ht="10.5" customHeight="1">
      <c r="A59" s="2"/>
      <c r="B59" s="162"/>
      <c r="C59" s="175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05"/>
      <c r="AC59" s="75"/>
    </row>
    <row r="60" ht="12.75" customHeight="1">
      <c r="A60" s="2"/>
      <c r="B60" s="2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75"/>
    </row>
    <row r="61" ht="12.75" customHeight="1">
      <c r="A61" s="2"/>
      <c r="B61" s="162"/>
      <c r="C61" s="162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69"/>
      <c r="AA61" s="169"/>
      <c r="AB61" s="105"/>
      <c r="AC61" s="75"/>
    </row>
    <row r="62" ht="12.75" customHeight="1">
      <c r="A62" s="2"/>
      <c r="B62" s="162"/>
      <c r="C62" s="162"/>
      <c r="D62" s="176"/>
      <c r="E62" s="176"/>
      <c r="F62" s="176"/>
      <c r="G62" s="176"/>
      <c r="H62" s="176"/>
      <c r="I62" s="176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76"/>
      <c r="W62" s="176"/>
      <c r="X62" s="176"/>
      <c r="Y62" s="176"/>
      <c r="Z62" s="176"/>
      <c r="AA62" s="176"/>
      <c r="AB62" s="176"/>
      <c r="AC62" s="75"/>
    </row>
    <row r="63" ht="12.75" customHeight="1">
      <c r="A63" s="2"/>
      <c r="B63" s="2"/>
      <c r="C63" s="106" t="s">
        <v>400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3"/>
      <c r="AC63" s="75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75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75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75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75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75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75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75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75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75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75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75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75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75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75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75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75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75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75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75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75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75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75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75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75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75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75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75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75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75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75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75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75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75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75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75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75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75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75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75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75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75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75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75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75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75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75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75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75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75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75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75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75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75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75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75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75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75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75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75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75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75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75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75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75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75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75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75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75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75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75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75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75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75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75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75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75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75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75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75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75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75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75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75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75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75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75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75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75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75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75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75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75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75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75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75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75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75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75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75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75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75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75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75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75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75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75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75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75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75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75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75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75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75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75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75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75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75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75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75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75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75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75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75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75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75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75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75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75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75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75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75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75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75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75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75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75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75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75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75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75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75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75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75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75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75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75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75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75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75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75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75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75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75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75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75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75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75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75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75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75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75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75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75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75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75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75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75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75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75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75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75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75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75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75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75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75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75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75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75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75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75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75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75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75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75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75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75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75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75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75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75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75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75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75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75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75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75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75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75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75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75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75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75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75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75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75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75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75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75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75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75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75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75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75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75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75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75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75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75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75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75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75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75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75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75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75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75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75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75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75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75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75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75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75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75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75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75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75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75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75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75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75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75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75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75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75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75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75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75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75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75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75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75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75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75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75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75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75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75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75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75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75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75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75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75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75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75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75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75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75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75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75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75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75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75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75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75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75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75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75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75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75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75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75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75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75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75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75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75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75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75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75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75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75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75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75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75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75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75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75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75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75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75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75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75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75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75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75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75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75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75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75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75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75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75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75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75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75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75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75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75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75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75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75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75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75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75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75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75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75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75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75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75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75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75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75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75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75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75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75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75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75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75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75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75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75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75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75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75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75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75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75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75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75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75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75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75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75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75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75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75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75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75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75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75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75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75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75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75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75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75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75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75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75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75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75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75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75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75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75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75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75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75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75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75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75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75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75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75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75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75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75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75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75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75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75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75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75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75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75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75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75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75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75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75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75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75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75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75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75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75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75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75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75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75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75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75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75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75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75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75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75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75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75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75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75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75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75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75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75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75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75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75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75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75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75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75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75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75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75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75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75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75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75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75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75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75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75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75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75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75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75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75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75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75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75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75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75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75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75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75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75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75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75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75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75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75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75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75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75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75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75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75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75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75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75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75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75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75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75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75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75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75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75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75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75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75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75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75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75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75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75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75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75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75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75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75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75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75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75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75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75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75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75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75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75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75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75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75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75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75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75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75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75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75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75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75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75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75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75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75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75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75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75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75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75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75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75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75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75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75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75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75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75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75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75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75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75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75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75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75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75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75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75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75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75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75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75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75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75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75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75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75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75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75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75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75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75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75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75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75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75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75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75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75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75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75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75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75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75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75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75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75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75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75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75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75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75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75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75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75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75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75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75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75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75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75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75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75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75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75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75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75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75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75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75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75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75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75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75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75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75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75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75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75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75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75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75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75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75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75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75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75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75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75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75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75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75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75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75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75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75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75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75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75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75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75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75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75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75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75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75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75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75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75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75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75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75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75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75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75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75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75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75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75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75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75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75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75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75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75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75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75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75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75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75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75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75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75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75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75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75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75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75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75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75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75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75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75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75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75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75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75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75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75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75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75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75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75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75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75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75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75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75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75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75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75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75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75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75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75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75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75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75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75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75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75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75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75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75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75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75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75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75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75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75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75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75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75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75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75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75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75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75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75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75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75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75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75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75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75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75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75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75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75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75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75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75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75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75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75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75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75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75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75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75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75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75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75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75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75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75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75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75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75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75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75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75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75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75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75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75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75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75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75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75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75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75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75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75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75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75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75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75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75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75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75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75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75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75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75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75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75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75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75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75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75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75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75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75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75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75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75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75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75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75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75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75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75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75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75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75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75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75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75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75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75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75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75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75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75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75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75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75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75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75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75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75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75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75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75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75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75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75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75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75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75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75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75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75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75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75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75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75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75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75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75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75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75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75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75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75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75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75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75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75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75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75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75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75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75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75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75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75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75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75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75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75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75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75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75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75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75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75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75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75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75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75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75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75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75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75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75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75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75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75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75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75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75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75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75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75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75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75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75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75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75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75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75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75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75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75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75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75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75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75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75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75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75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75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75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75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75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75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75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75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75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75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75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75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75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75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75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75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75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75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75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75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75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75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75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75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75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75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75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75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75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75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75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75"/>
    </row>
  </sheetData>
  <printOptions/>
  <pageMargins bottom="0.75" footer="0.0" header="0.0" left="0.7" right="0.7" top="0.75"/>
  <pageSetup orientation="portrait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2.63"/>
    <col customWidth="1" min="2" max="2" width="10.75"/>
    <col customWidth="1" min="3" max="3" width="12.88"/>
    <col customWidth="1" min="4" max="27" width="11.0"/>
  </cols>
  <sheetData>
    <row r="1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</row>
    <row r="2" ht="12.75" customHeight="1">
      <c r="A2" s="111"/>
      <c r="B2" s="2"/>
      <c r="C2" s="2"/>
      <c r="D2" s="177" t="s">
        <v>401</v>
      </c>
      <c r="E2" s="178" t="s">
        <v>402</v>
      </c>
      <c r="F2" s="177" t="s">
        <v>401</v>
      </c>
      <c r="G2" s="178" t="s">
        <v>402</v>
      </c>
      <c r="H2" s="177" t="s">
        <v>401</v>
      </c>
      <c r="I2" s="178" t="s">
        <v>402</v>
      </c>
      <c r="J2" s="177" t="s">
        <v>401</v>
      </c>
      <c r="K2" s="178" t="s">
        <v>402</v>
      </c>
      <c r="L2" s="177" t="s">
        <v>401</v>
      </c>
      <c r="M2" s="178" t="s">
        <v>402</v>
      </c>
      <c r="N2" s="177" t="s">
        <v>401</v>
      </c>
      <c r="O2" s="178" t="s">
        <v>402</v>
      </c>
      <c r="P2" s="177" t="s">
        <v>401</v>
      </c>
      <c r="Q2" s="178" t="s">
        <v>402</v>
      </c>
      <c r="R2" s="177" t="s">
        <v>401</v>
      </c>
      <c r="S2" s="178" t="s">
        <v>402</v>
      </c>
      <c r="T2" s="177" t="s">
        <v>401</v>
      </c>
      <c r="U2" s="178" t="s">
        <v>402</v>
      </c>
      <c r="V2" s="177" t="s">
        <v>401</v>
      </c>
      <c r="W2" s="178" t="s">
        <v>402</v>
      </c>
      <c r="X2" s="177" t="s">
        <v>401</v>
      </c>
      <c r="Y2" s="178" t="s">
        <v>402</v>
      </c>
      <c r="Z2" s="177" t="s">
        <v>401</v>
      </c>
      <c r="AA2" s="179" t="s">
        <v>402</v>
      </c>
    </row>
    <row r="3" ht="12.75" customHeight="1">
      <c r="A3" s="111"/>
      <c r="B3" s="180" t="s">
        <v>403</v>
      </c>
      <c r="C3" s="181" t="s">
        <v>404</v>
      </c>
      <c r="D3" s="182" t="s">
        <v>405</v>
      </c>
      <c r="E3" s="180" t="s">
        <v>405</v>
      </c>
      <c r="F3" s="182" t="s">
        <v>406</v>
      </c>
      <c r="G3" s="180" t="s">
        <v>406</v>
      </c>
      <c r="H3" s="182" t="s">
        <v>407</v>
      </c>
      <c r="I3" s="180" t="s">
        <v>407</v>
      </c>
      <c r="J3" s="182" t="s">
        <v>408</v>
      </c>
      <c r="K3" s="180" t="s">
        <v>408</v>
      </c>
      <c r="L3" s="182" t="s">
        <v>409</v>
      </c>
      <c r="M3" s="180" t="s">
        <v>409</v>
      </c>
      <c r="N3" s="182" t="s">
        <v>410</v>
      </c>
      <c r="O3" s="180" t="s">
        <v>410</v>
      </c>
      <c r="P3" s="182" t="s">
        <v>411</v>
      </c>
      <c r="Q3" s="180" t="s">
        <v>411</v>
      </c>
      <c r="R3" s="182" t="s">
        <v>412</v>
      </c>
      <c r="S3" s="180" t="s">
        <v>412</v>
      </c>
      <c r="T3" s="182" t="s">
        <v>413</v>
      </c>
      <c r="U3" s="180" t="s">
        <v>413</v>
      </c>
      <c r="V3" s="182" t="s">
        <v>414</v>
      </c>
      <c r="W3" s="180" t="s">
        <v>414</v>
      </c>
      <c r="X3" s="182" t="s">
        <v>415</v>
      </c>
      <c r="Y3" s="181" t="s">
        <v>415</v>
      </c>
      <c r="Z3" s="182" t="s">
        <v>416</v>
      </c>
      <c r="AA3" s="183" t="s">
        <v>416</v>
      </c>
    </row>
    <row r="4" ht="12.75" customHeight="1">
      <c r="A4" s="111"/>
      <c r="B4" s="184" t="s">
        <v>417</v>
      </c>
      <c r="C4" s="185" t="s">
        <v>102</v>
      </c>
      <c r="D4" s="186">
        <f>SUMIF(DN!$B:$B,PPvsREal!$C$4,DN!D:D)</f>
        <v>695531.68</v>
      </c>
      <c r="E4" s="186">
        <f>SUMIF(DN!$B:$B,PPvsREal!$C$4,DN!E:E)</f>
        <v>0</v>
      </c>
      <c r="F4" s="186">
        <f>SUMIF(DN!$B:$B,PPvsREal!$C$4,DN!F:F)</f>
        <v>695531.68</v>
      </c>
      <c r="G4" s="186">
        <f>SUMIF(DN!$B:$B,PPvsREal!$C$4,DN!G:G)</f>
        <v>0</v>
      </c>
      <c r="H4" s="186">
        <f>SUMIF(DN!$B:$B,PPvsREal!$C$4,DN!H:H)</f>
        <v>695531.68</v>
      </c>
      <c r="I4" s="186">
        <f>SUMIF(DN!$B:$B,PPvsREal!$C$4,DN!I:I)</f>
        <v>0</v>
      </c>
      <c r="J4" s="186">
        <f>SUMIF(DN!$B:$B,PPvsREal!$C$4,DN!J:J)</f>
        <v>695531.68</v>
      </c>
      <c r="K4" s="186">
        <f>SUMIF(DN!$B:$B,PPvsREal!$C$4,DN!K:K)</f>
        <v>0</v>
      </c>
      <c r="L4" s="186">
        <f>SUMIF(DN!$B:$B,PPvsREal!$C$4,DN!L:L)</f>
        <v>695531.68</v>
      </c>
      <c r="M4" s="186">
        <f>SUMIF(DN!$B:$B,PPvsREal!$C$4,DN!M:M)</f>
        <v>0</v>
      </c>
      <c r="N4" s="186">
        <f>SUMIF(DN!$B:$B,PPvsREal!$C$4,DN!N:N)</f>
        <v>695531.68</v>
      </c>
      <c r="O4" s="186">
        <f>SUMIF(DN!$B:$B,PPvsREal!$C$4,DN!O:O)</f>
        <v>0</v>
      </c>
      <c r="P4" s="186">
        <f>SUMIF(DN!$B:$B,PPvsREal!$C$4,DN!P:P)</f>
        <v>695531.68</v>
      </c>
      <c r="Q4" s="186">
        <f>SUMIF(DN!$B:$B,PPvsREal!$C$4,DN!Q:Q)</f>
        <v>0</v>
      </c>
      <c r="R4" s="186">
        <f>SUMIF(DN!$B:$B,PPvsREal!$C$4,DN!R:R)</f>
        <v>695531.68</v>
      </c>
      <c r="S4" s="186">
        <f>SUMIF(DN!$B:$B,PPvsREal!$C$4,DN!S:S)</f>
        <v>0</v>
      </c>
      <c r="T4" s="186">
        <f>SUMIF(DN!$B:$B,PPvsREal!$C$4,DN!T:T)</f>
        <v>695531.68</v>
      </c>
      <c r="U4" s="186">
        <f>SUMIF(DN!$B:$B,PPvsREal!$C$4,DN!U:U)</f>
        <v>0</v>
      </c>
      <c r="V4" s="186">
        <f>SUMIF(DN!$B:$B,PPvsREal!$C$4,DN!V:V)</f>
        <v>695531.68</v>
      </c>
      <c r="W4" s="186">
        <f>SUMIF(DN!$B:$B,PPvsREal!$C$4,DN!W:W)</f>
        <v>0</v>
      </c>
      <c r="X4" s="186">
        <f>SUMIF(DN!$B:$B,PPvsREal!$C$4,DN!X:X)</f>
        <v>695531.68</v>
      </c>
      <c r="Y4" s="186">
        <f>SUMIF(DN!$B:$B,PPvsREal!$C$4,DN!Y:Y)</f>
        <v>0</v>
      </c>
      <c r="Z4" s="186">
        <f>SUMIF(DN!$B:$B,PPvsREal!$C$4,DN!Z:Z)</f>
        <v>695531.68</v>
      </c>
      <c r="AA4" s="187">
        <f>SUMIF(DN!$B:$B,PPvsREal!$C$4,DN!AA:AA)</f>
        <v>0</v>
      </c>
    </row>
    <row r="5" ht="12.75" customHeight="1">
      <c r="A5" s="111"/>
      <c r="B5" s="188" t="s">
        <v>417</v>
      </c>
      <c r="C5" s="2" t="s">
        <v>104</v>
      </c>
      <c r="D5" s="189">
        <f>SUMIF(DN!$B:$B,PPvsREal!$C$5,DN!D:D)</f>
        <v>-18444.425</v>
      </c>
      <c r="E5" s="189">
        <f>SUMIF(DN!$B:$B,PPvsREal!$C$5,DN!E:E)</f>
        <v>0</v>
      </c>
      <c r="F5" s="189">
        <f>SUMIF(DN!$B:$B,PPvsREal!$C$5,DN!F:F)</f>
        <v>-18423.9946</v>
      </c>
      <c r="G5" s="189">
        <f>SUMIF(DN!$B:$B,PPvsREal!$C$5,DN!G:G)</f>
        <v>0</v>
      </c>
      <c r="H5" s="189">
        <f>SUMIF(DN!$B:$B,PPvsREal!$C$5,DN!H:H)</f>
        <v>-18402.8975</v>
      </c>
      <c r="I5" s="189">
        <f>SUMIF(DN!$B:$B,PPvsREal!$C$5,DN!I:I)</f>
        <v>0</v>
      </c>
      <c r="J5" s="189">
        <f>SUMIF(DN!$B:$B,PPvsREal!$C$5,DN!J:J)</f>
        <v>-18493.5913</v>
      </c>
      <c r="K5" s="189">
        <f>SUMIF(DN!$B:$B,PPvsREal!$C$5,DN!K:K)</f>
        <v>0</v>
      </c>
      <c r="L5" s="189">
        <f>SUMIF(DN!$B:$B,PPvsREal!$C$5,DN!L:L)</f>
        <v>-19741.2921</v>
      </c>
      <c r="M5" s="189">
        <f>SUMIF(DN!$B:$B,PPvsREal!$C$5,DN!M:M)</f>
        <v>0</v>
      </c>
      <c r="N5" s="189">
        <f>SUMIF(DN!$B:$B,PPvsREal!$C$5,DN!N:N)</f>
        <v>-18391.1455</v>
      </c>
      <c r="O5" s="189">
        <f>SUMIF(DN!$B:$B,PPvsREal!$C$5,DN!O:O)</f>
        <v>0</v>
      </c>
      <c r="P5" s="189">
        <f>SUMIF(DN!$B:$B,PPvsREal!$C$5,DN!P:P)</f>
        <v>-18402.0726</v>
      </c>
      <c r="Q5" s="189">
        <f>SUMIF(DN!$B:$B,PPvsREal!$C$5,DN!Q:Q)</f>
        <v>0</v>
      </c>
      <c r="R5" s="189">
        <f>SUMIF(DN!$B:$B,PPvsREal!$C$5,DN!R:R)</f>
        <v>-18545.1871</v>
      </c>
      <c r="S5" s="189">
        <f>SUMIF(DN!$B:$B,PPvsREal!$C$5,DN!S:S)</f>
        <v>0</v>
      </c>
      <c r="T5" s="189">
        <f>SUMIF(DN!$B:$B,PPvsREal!$C$5,DN!T:T)</f>
        <v>-18954.1454</v>
      </c>
      <c r="U5" s="189">
        <f>SUMIF(DN!$B:$B,PPvsREal!$C$5,DN!U:U)</f>
        <v>0</v>
      </c>
      <c r="V5" s="189">
        <f>SUMIF(DN!$B:$B,PPvsREal!$C$5,DN!V:V)</f>
        <v>-12255.60299</v>
      </c>
      <c r="W5" s="189">
        <f>SUMIF(DN!$B:$B,PPvsREal!$C$5,DN!W:W)</f>
        <v>0</v>
      </c>
      <c r="X5" s="189">
        <f>SUMIF(DN!$B:$B,PPvsREal!$C$5,DN!X:X)</f>
        <v>-12255.60299</v>
      </c>
      <c r="Y5" s="189">
        <f>SUMIF(DN!$B:$B,PPvsREal!$C$5,DN!Y:Y)</f>
        <v>0</v>
      </c>
      <c r="Z5" s="189">
        <f>SUMIF(DN!$B:$B,PPvsREal!$C$5,DN!Z:Z)</f>
        <v>-12264.26667</v>
      </c>
      <c r="AA5" s="190">
        <f>SUMIF(DN!$B:$B,PPvsREal!$C$5,DN!AA:AA)</f>
        <v>0</v>
      </c>
    </row>
    <row r="6" ht="12.75" customHeight="1">
      <c r="A6" s="111"/>
      <c r="B6" s="188" t="s">
        <v>417</v>
      </c>
      <c r="C6" s="2" t="s">
        <v>106</v>
      </c>
      <c r="D6" s="189">
        <f>SUMIF(DN!$B:$B,PPvsREal!$C$6,DN!D:D)</f>
        <v>260871.54</v>
      </c>
      <c r="E6" s="189">
        <f>SUMIF(DN!$B:$B,PPvsREal!$C$6,DN!E:E)</f>
        <v>0</v>
      </c>
      <c r="F6" s="189">
        <f>SUMIF(DN!$B:$B,PPvsREal!$C$6,DN!F:F)</f>
        <v>260871.54</v>
      </c>
      <c r="G6" s="189">
        <f>SUMIF(DN!$B:$B,PPvsREal!$C$6,DN!G:G)</f>
        <v>0</v>
      </c>
      <c r="H6" s="189">
        <f>SUMIF(DN!$B:$B,PPvsREal!$C$6,DN!H:H)</f>
        <v>260871.54</v>
      </c>
      <c r="I6" s="189">
        <f>SUMIF(DN!$B:$B,PPvsREal!$C$6,DN!I:I)</f>
        <v>0</v>
      </c>
      <c r="J6" s="189">
        <f>SUMIF(DN!$B:$B,PPvsREal!$C$6,DN!J:J)</f>
        <v>260871.54</v>
      </c>
      <c r="K6" s="189">
        <f>SUMIF(DN!$B:$B,PPvsREal!$C$6,DN!K:K)</f>
        <v>0</v>
      </c>
      <c r="L6" s="189">
        <f>SUMIF(DN!$B:$B,PPvsREal!$C$6,DN!L:L)</f>
        <v>260871.54</v>
      </c>
      <c r="M6" s="189">
        <f>SUMIF(DN!$B:$B,PPvsREal!$C$6,DN!M:M)</f>
        <v>0</v>
      </c>
      <c r="N6" s="189">
        <f>SUMIF(DN!$B:$B,PPvsREal!$C$6,DN!N:N)</f>
        <v>260871.54</v>
      </c>
      <c r="O6" s="189">
        <f>SUMIF(DN!$B:$B,PPvsREal!$C$6,DN!O:O)</f>
        <v>0</v>
      </c>
      <c r="P6" s="189">
        <f>SUMIF(DN!$B:$B,PPvsREal!$C$6,DN!P:P)</f>
        <v>260871.54</v>
      </c>
      <c r="Q6" s="189">
        <f>SUMIF(DN!$B:$B,PPvsREal!$C$6,DN!Q:Q)</f>
        <v>0</v>
      </c>
      <c r="R6" s="189">
        <f>SUMIF(DN!$B:$B,PPvsREal!$C$6,DN!R:R)</f>
        <v>260871.54</v>
      </c>
      <c r="S6" s="189">
        <f>SUMIF(DN!$B:$B,PPvsREal!$C$6,DN!S:S)</f>
        <v>0</v>
      </c>
      <c r="T6" s="189">
        <f>SUMIF(DN!$B:$B,PPvsREal!$C$6,DN!T:T)</f>
        <v>260871.54</v>
      </c>
      <c r="U6" s="189">
        <f>SUMIF(DN!$B:$B,PPvsREal!$C$6,DN!U:U)</f>
        <v>0</v>
      </c>
      <c r="V6" s="189">
        <f>SUMIF(DN!$B:$B,PPvsREal!$C$6,DN!V:V)</f>
        <v>260871.54</v>
      </c>
      <c r="W6" s="189">
        <f>SUMIF(DN!$B:$B,PPvsREal!$C$6,DN!W:W)</f>
        <v>0</v>
      </c>
      <c r="X6" s="189">
        <f>SUMIF(DN!$B:$B,PPvsREal!$C$6,DN!X:X)</f>
        <v>260871.54</v>
      </c>
      <c r="Y6" s="189">
        <f>SUMIF(DN!$B:$B,PPvsREal!$C$6,DN!Y:Y)</f>
        <v>0</v>
      </c>
      <c r="Z6" s="189">
        <f>SUMIF(DN!$B:$B,PPvsREal!$C$6,DN!Z:Z)</f>
        <v>260871.54</v>
      </c>
      <c r="AA6" s="190">
        <f>SUMIF(DN!$B:$B,PPvsREal!$C$6,DN!AA:AA)</f>
        <v>0</v>
      </c>
    </row>
    <row r="7" ht="12.75" customHeight="1">
      <c r="A7" s="111"/>
      <c r="B7" s="188" t="s">
        <v>417</v>
      </c>
      <c r="C7" s="2" t="s">
        <v>108</v>
      </c>
      <c r="D7" s="189">
        <f>SUMIF(DN!$B:$B,PPvsREal!$C$7,DN!D:D)</f>
        <v>42036</v>
      </c>
      <c r="E7" s="189">
        <f>SUMIF(DN!$B:$B,PPvsREal!$C$7,DN!E:E)</f>
        <v>0</v>
      </c>
      <c r="F7" s="189">
        <f>SUMIF(DN!$B:$B,PPvsREal!$C$7,DN!F:F)</f>
        <v>74015</v>
      </c>
      <c r="G7" s="189">
        <f>SUMIF(DN!$B:$B,PPvsREal!$C$7,DN!G:G)</f>
        <v>0</v>
      </c>
      <c r="H7" s="189">
        <f>SUMIF(DN!$B:$B,PPvsREal!$C$7,DN!H:H)</f>
        <v>25425</v>
      </c>
      <c r="I7" s="189">
        <f>SUMIF(DN!$B:$B,PPvsREal!$C$7,DN!I:I)</f>
        <v>0</v>
      </c>
      <c r="J7" s="189">
        <f>SUMIF(DN!$B:$B,PPvsREal!$C$7,DN!J:J)</f>
        <v>27685</v>
      </c>
      <c r="K7" s="189">
        <f>SUMIF(DN!$B:$B,PPvsREal!$C$7,DN!K:K)</f>
        <v>0</v>
      </c>
      <c r="L7" s="189">
        <f>SUMIF(DN!$B:$B,PPvsREal!$C$7,DN!L:L)</f>
        <v>0</v>
      </c>
      <c r="M7" s="189">
        <f>SUMIF(DN!$B:$B,PPvsREal!$C$7,DN!M:M)</f>
        <v>0</v>
      </c>
      <c r="N7" s="189">
        <f>SUMIF(DN!$B:$B,PPvsREal!$C$7,DN!N:N)</f>
        <v>33335</v>
      </c>
      <c r="O7" s="189">
        <f>SUMIF(DN!$B:$B,PPvsREal!$C$7,DN!O:O)</f>
        <v>0</v>
      </c>
      <c r="P7" s="189">
        <f>SUMIF(DN!$B:$B,PPvsREal!$C$7,DN!P:P)</f>
        <v>33335</v>
      </c>
      <c r="Q7" s="189">
        <f>SUMIF(DN!$B:$B,PPvsREal!$C$7,DN!Q:Q)</f>
        <v>0</v>
      </c>
      <c r="R7" s="189">
        <f>SUMIF(DN!$B:$B,PPvsREal!$C$7,DN!R:R)</f>
        <v>18419</v>
      </c>
      <c r="S7" s="189">
        <f>SUMIF(DN!$B:$B,PPvsREal!$C$7,DN!S:S)</f>
        <v>0</v>
      </c>
      <c r="T7" s="189">
        <f>SUMIF(DN!$B:$B,PPvsREal!$C$7,DN!T:T)</f>
        <v>34804</v>
      </c>
      <c r="U7" s="189">
        <f>SUMIF(DN!$B:$B,PPvsREal!$C$7,DN!U:U)</f>
        <v>0</v>
      </c>
      <c r="V7" s="189">
        <f>SUMIF(DN!$B:$B,PPvsREal!$C$7,DN!V:V)</f>
        <v>67800</v>
      </c>
      <c r="W7" s="189">
        <f>SUMIF(DN!$B:$B,PPvsREal!$C$7,DN!W:W)</f>
        <v>0</v>
      </c>
      <c r="X7" s="189">
        <f>SUMIF(DN!$B:$B,PPvsREal!$C$7,DN!X:X)</f>
        <v>80230</v>
      </c>
      <c r="Y7" s="189">
        <f>SUMIF(DN!$B:$B,PPvsREal!$C$7,DN!Y:Y)</f>
        <v>0</v>
      </c>
      <c r="Z7" s="189">
        <f>SUMIF(DN!$B:$B,PPvsREal!$C$7,DN!Z:Z)</f>
        <v>73450</v>
      </c>
      <c r="AA7" s="190">
        <f>SUMIF(DN!$B:$B,PPvsREal!$C$7,DN!AA:AA)</f>
        <v>0</v>
      </c>
    </row>
    <row r="8" ht="12.75" customHeight="1">
      <c r="A8" s="111"/>
      <c r="B8" s="188" t="s">
        <v>417</v>
      </c>
      <c r="C8" s="2" t="s">
        <v>112</v>
      </c>
      <c r="D8" s="189">
        <f>SUMIF(DN!$B:$B,$C$8,DN!D:D)</f>
        <v>0</v>
      </c>
      <c r="E8" s="189">
        <f>SUMIF(DN!$B:$B,$C$8,DN!E:E)</f>
        <v>0</v>
      </c>
      <c r="F8" s="189">
        <f>SUMIF(DN!$B:$B,$C$8,DN!F:F)</f>
        <v>0</v>
      </c>
      <c r="G8" s="189">
        <f>SUMIF(DN!$B:$B,$C$8,DN!G:G)</f>
        <v>0</v>
      </c>
      <c r="H8" s="189">
        <f>SUMIF(DN!$B:$B,$C$8,DN!H:H)</f>
        <v>0</v>
      </c>
      <c r="I8" s="189">
        <f>SUMIF(DN!$B:$B,$C$8,DN!I:I)</f>
        <v>0</v>
      </c>
      <c r="J8" s="189">
        <f>SUMIF(DN!$B:$B,$C$8,DN!J:J)</f>
        <v>0</v>
      </c>
      <c r="K8" s="189">
        <f>SUMIF(DN!$B:$B,$C$8,DN!K:K)</f>
        <v>0</v>
      </c>
      <c r="L8" s="189">
        <f>SUMIF(DN!$B:$B,$C$8,DN!L:L)</f>
        <v>0</v>
      </c>
      <c r="M8" s="189">
        <f>SUMIF(DN!$B:$B,$C$8,DN!M:M)</f>
        <v>0</v>
      </c>
      <c r="N8" s="189">
        <f>SUMIF(DN!$B:$B,$C$8,DN!N:N)</f>
        <v>0</v>
      </c>
      <c r="O8" s="189">
        <f>SUMIF(DN!$B:$B,$C$8,DN!O:O)</f>
        <v>0</v>
      </c>
      <c r="P8" s="189">
        <f>SUMIF(DN!$B:$B,$C$8,DN!P:P)</f>
        <v>0</v>
      </c>
      <c r="Q8" s="189">
        <f>SUMIF(DN!$B:$B,$C$8,DN!Q:Q)</f>
        <v>0</v>
      </c>
      <c r="R8" s="189">
        <f>SUMIF(DN!$B:$B,$C$8,DN!R:R)</f>
        <v>0</v>
      </c>
      <c r="S8" s="189">
        <f>SUMIF(DN!$B:$B,$C$8,DN!S:S)</f>
        <v>0</v>
      </c>
      <c r="T8" s="189">
        <f>SUMIF(DN!$B:$B,$C$8,DN!T:T)</f>
        <v>0</v>
      </c>
      <c r="U8" s="189">
        <f>SUMIF(DN!$B:$B,$C$8,DN!U:U)</f>
        <v>0</v>
      </c>
      <c r="V8" s="189">
        <f>SUMIF(DN!$B:$B,$C$8,DN!V:V)</f>
        <v>0</v>
      </c>
      <c r="W8" s="189">
        <f>SUMIF(DN!$B:$B,$C$8,DN!W:W)</f>
        <v>0</v>
      </c>
      <c r="X8" s="189">
        <f>SUMIF(DN!$B:$B,$C$8,DN!X:X)</f>
        <v>0</v>
      </c>
      <c r="Y8" s="189">
        <f>SUMIF(DN!$B:$B,$C$8,DN!Y:Y)</f>
        <v>0</v>
      </c>
      <c r="Z8" s="189">
        <f>SUMIF(DN!$B:$B,$C$8,DN!Z:Z)</f>
        <v>0</v>
      </c>
      <c r="AA8" s="190">
        <f>SUMIF(DN!$B:$B,$C$8,DN!AA:AA)</f>
        <v>0</v>
      </c>
    </row>
    <row r="9" ht="12.75" customHeight="1">
      <c r="A9" s="111"/>
      <c r="B9" s="188" t="s">
        <v>417</v>
      </c>
      <c r="C9" s="2" t="s">
        <v>114</v>
      </c>
      <c r="D9" s="189">
        <f>SUMIF(DN!$B:$B,$C$9,DN!D:D)</f>
        <v>38293.58</v>
      </c>
      <c r="E9" s="189">
        <f>SUMIF(DN!$B:$B,$C$9,DN!E:E)</f>
        <v>0</v>
      </c>
      <c r="F9" s="189">
        <f>SUMIF(DN!$B:$B,$C$9,DN!F:F)</f>
        <v>38293.58</v>
      </c>
      <c r="G9" s="189">
        <f>SUMIF(DN!$B:$B,$C$9,DN!G:G)</f>
        <v>0</v>
      </c>
      <c r="H9" s="189">
        <f>SUMIF(DN!$B:$B,$C$9,DN!H:H)</f>
        <v>38293.58</v>
      </c>
      <c r="I9" s="189">
        <f>SUMIF(DN!$B:$B,$C$9,DN!I:I)</f>
        <v>0</v>
      </c>
      <c r="J9" s="189">
        <f>SUMIF(DN!$B:$B,$C$9,DN!J:J)</f>
        <v>38293.58</v>
      </c>
      <c r="K9" s="189">
        <f>SUMIF(DN!$B:$B,$C$9,DN!K:K)</f>
        <v>0</v>
      </c>
      <c r="L9" s="189">
        <f>SUMIF(DN!$B:$B,$C$9,DN!L:L)</f>
        <v>38293.58</v>
      </c>
      <c r="M9" s="189">
        <f>SUMIF(DN!$B:$B,$C$9,DN!M:M)</f>
        <v>0</v>
      </c>
      <c r="N9" s="189">
        <f>SUMIF(DN!$B:$B,$C$9,DN!N:N)</f>
        <v>38293.58</v>
      </c>
      <c r="O9" s="189">
        <f>SUMIF(DN!$B:$B,$C$9,DN!O:O)</f>
        <v>0</v>
      </c>
      <c r="P9" s="189">
        <f>SUMIF(DN!$B:$B,$C$9,DN!P:P)</f>
        <v>38293.58</v>
      </c>
      <c r="Q9" s="189">
        <f>SUMIF(DN!$B:$B,$C$9,DN!Q:Q)</f>
        <v>0</v>
      </c>
      <c r="R9" s="189">
        <f>SUMIF(DN!$B:$B,$C$9,DN!R:R)</f>
        <v>38293.58</v>
      </c>
      <c r="S9" s="189">
        <f>SUMIF(DN!$B:$B,$C$9,DN!S:S)</f>
        <v>0</v>
      </c>
      <c r="T9" s="189">
        <f>SUMIF(DN!$B:$B,$C$9,DN!T:T)</f>
        <v>38293.58</v>
      </c>
      <c r="U9" s="189">
        <f>SUMIF(DN!$B:$B,$C$9,DN!U:U)</f>
        <v>0</v>
      </c>
      <c r="V9" s="189">
        <f>SUMIF(DN!$B:$B,$C$9,DN!V:V)</f>
        <v>38293.58</v>
      </c>
      <c r="W9" s="189">
        <f>SUMIF(DN!$B:$B,$C$9,DN!W:W)</f>
        <v>0</v>
      </c>
      <c r="X9" s="189">
        <f>SUMIF(DN!$B:$B,$C$9,DN!X:X)</f>
        <v>38293.58</v>
      </c>
      <c r="Y9" s="189">
        <f>SUMIF(DN!$B:$B,$C$9,DN!Y:Y)</f>
        <v>0</v>
      </c>
      <c r="Z9" s="189">
        <f>SUMIF(DN!$B:$B,$C$9,DN!Z:Z)</f>
        <v>38293.58</v>
      </c>
      <c r="AA9" s="190">
        <f>SUMIF(DN!$B:$B,$C$9,DN!AA:AA)</f>
        <v>0</v>
      </c>
    </row>
    <row r="10" ht="12.75" customHeight="1">
      <c r="A10" s="111"/>
      <c r="B10" s="188" t="s">
        <v>417</v>
      </c>
      <c r="C10" s="2" t="s">
        <v>116</v>
      </c>
      <c r="D10" s="189">
        <f>SUMIF(DN!$B:$B,PPvsREal!$C$10,DN!D:D)</f>
        <v>1657.0026</v>
      </c>
      <c r="E10" s="189">
        <f>SUMIF(DN!$B:$B,PPvsREal!$C$10,DN!E:E)</f>
        <v>0</v>
      </c>
      <c r="F10" s="189">
        <f>SUMIF(DN!$B:$B,PPvsREal!$C$10,DN!F:F)</f>
        <v>1923.9636</v>
      </c>
      <c r="G10" s="189">
        <f>SUMIF(DN!$B:$B,PPvsREal!$C$10,DN!G:G)</f>
        <v>0</v>
      </c>
      <c r="H10" s="189">
        <f>SUMIF(DN!$B:$B,PPvsREal!$C$10,DN!H:H)</f>
        <v>0</v>
      </c>
      <c r="I10" s="189">
        <f>SUMIF(DN!$B:$B,PPvsREal!$C$10,DN!I:I)</f>
        <v>0</v>
      </c>
      <c r="J10" s="189">
        <f>SUMIF(DN!$B:$B,PPvsREal!$C$10,DN!J:J)</f>
        <v>860.031</v>
      </c>
      <c r="K10" s="189">
        <f>SUMIF(DN!$B:$B,PPvsREal!$C$10,DN!K:K)</f>
        <v>0</v>
      </c>
      <c r="L10" s="189">
        <f>SUMIF(DN!$B:$B,PPvsREal!$C$10,DN!L:L)</f>
        <v>0</v>
      </c>
      <c r="M10" s="189">
        <f>SUMIF(DN!$B:$B,PPvsREal!$C$10,DN!M:M)</f>
        <v>0</v>
      </c>
      <c r="N10" s="189">
        <f>SUMIF(DN!$B:$B,PPvsREal!$C$10,DN!N:N)</f>
        <v>4139.247</v>
      </c>
      <c r="O10" s="189">
        <f>SUMIF(DN!$B:$B,PPvsREal!$C$10,DN!O:O)</f>
        <v>0</v>
      </c>
      <c r="P10" s="189">
        <f>SUMIF(DN!$B:$B,PPvsREal!$C$10,DN!P:P)</f>
        <v>0</v>
      </c>
      <c r="Q10" s="189">
        <f>SUMIF(DN!$B:$B,PPvsREal!$C$10,DN!Q:Q)</f>
        <v>0</v>
      </c>
      <c r="R10" s="189">
        <f>SUMIF(DN!$B:$B,PPvsREal!$C$10,DN!R:R)</f>
        <v>0</v>
      </c>
      <c r="S10" s="189">
        <f>SUMIF(DN!$B:$B,PPvsREal!$C$10,DN!S:S)</f>
        <v>0</v>
      </c>
      <c r="T10" s="189">
        <f>SUMIF(DN!$B:$B,PPvsREal!$C$10,DN!T:T)</f>
        <v>2339.314</v>
      </c>
      <c r="U10" s="189">
        <f>SUMIF(DN!$B:$B,PPvsREal!$C$10,DN!U:U)</f>
        <v>0</v>
      </c>
      <c r="V10" s="189">
        <f>SUMIF(DN!$B:$B,PPvsREal!$C$10,DN!V:V)</f>
        <v>0</v>
      </c>
      <c r="W10" s="189">
        <f>SUMIF(DN!$B:$B,PPvsREal!$C$10,DN!W:W)</f>
        <v>0</v>
      </c>
      <c r="X10" s="189">
        <f>SUMIF(DN!$B:$B,PPvsREal!$C$10,DN!X:X)</f>
        <v>22600</v>
      </c>
      <c r="Y10" s="189">
        <f>SUMIF(DN!$B:$B,PPvsREal!$C$10,DN!Y:Y)</f>
        <v>0</v>
      </c>
      <c r="Z10" s="189">
        <f>SUMIF(DN!$B:$B,PPvsREal!$C$10,DN!Z:Z)</f>
        <v>0</v>
      </c>
      <c r="AA10" s="190">
        <f>SUMIF(DN!$B:$B,PPvsREal!$C$10,DN!AA:AA)</f>
        <v>0</v>
      </c>
    </row>
    <row r="11" ht="12.75" customHeight="1">
      <c r="A11" s="111"/>
      <c r="B11" s="184" t="s">
        <v>21</v>
      </c>
      <c r="C11" s="185" t="s">
        <v>124</v>
      </c>
      <c r="D11" s="186">
        <f>SUMIF('Comités'!$B:$B,PPvsREal!$C$11,'Comités'!D:D)</f>
        <v>0</v>
      </c>
      <c r="E11" s="186">
        <f>SUMIF('Comités'!$B:$B,PPvsREal!$C$11,'Comités'!E:E)</f>
        <v>0</v>
      </c>
      <c r="F11" s="186">
        <f>SUMIF('Comités'!$B:$B,PPvsREal!$C$11,'Comités'!F:F)</f>
        <v>0</v>
      </c>
      <c r="G11" s="186">
        <f>SUMIF('Comités'!$B:$B,PPvsREal!$C$11,'Comités'!G:G)</f>
        <v>0</v>
      </c>
      <c r="H11" s="186">
        <f>SUMIF('Comités'!$B:$B,PPvsREal!$C$11,'Comités'!H:H)</f>
        <v>0</v>
      </c>
      <c r="I11" s="186">
        <f>SUMIF('Comités'!$B:$B,PPvsREal!$C$11,'Comités'!I:I)</f>
        <v>0</v>
      </c>
      <c r="J11" s="186">
        <f>SUMIF('Comités'!$B:$B,PPvsREal!$C$11,'Comités'!J:J)</f>
        <v>0</v>
      </c>
      <c r="K11" s="186">
        <f>SUMIF('Comités'!$B:$B,PPvsREal!$C$11,'Comités'!K:K)</f>
        <v>0</v>
      </c>
      <c r="L11" s="186">
        <f>SUMIF('Comités'!$B:$B,PPvsREal!$C$11,'Comités'!L:L)</f>
        <v>0</v>
      </c>
      <c r="M11" s="186">
        <f>SUMIF('Comités'!$B:$B,PPvsREal!$C$11,'Comités'!M:M)</f>
        <v>0</v>
      </c>
      <c r="N11" s="186">
        <f>SUMIF('Comités'!$B:$B,PPvsREal!$C$11,'Comités'!N:N)</f>
        <v>0</v>
      </c>
      <c r="O11" s="186">
        <f>SUMIF('Comités'!$B:$B,PPvsREal!$C$11,'Comités'!O:O)</f>
        <v>0</v>
      </c>
      <c r="P11" s="186">
        <f>SUMIF('Comités'!$B:$B,PPvsREal!$C$11,'Comités'!P:P)</f>
        <v>5000</v>
      </c>
      <c r="Q11" s="186">
        <f>SUMIF('Comités'!$B:$B,PPvsREal!$C$11,'Comités'!Q:Q)</f>
        <v>0</v>
      </c>
      <c r="R11" s="186">
        <f>SUMIF('Comités'!$B:$B,PPvsREal!$C$11,'Comités'!R:R)</f>
        <v>0</v>
      </c>
      <c r="S11" s="186">
        <f>SUMIF('Comités'!$B:$B,PPvsREal!$C$11,'Comités'!S:S)</f>
        <v>0</v>
      </c>
      <c r="T11" s="186">
        <f>SUMIF('Comités'!$B:$B,PPvsREal!$C$11,'Comités'!T:T)</f>
        <v>0</v>
      </c>
      <c r="U11" s="186">
        <f>SUMIF('Comités'!$B:$B,PPvsREal!$C$11,'Comités'!U:U)</f>
        <v>0</v>
      </c>
      <c r="V11" s="186">
        <f>SUMIF('Comités'!$B:$B,PPvsREal!$C$11,'Comités'!V:V)</f>
        <v>0</v>
      </c>
      <c r="W11" s="186">
        <f>SUMIF('Comités'!$B:$B,PPvsREal!$C$11,'Comités'!W:W)</f>
        <v>0</v>
      </c>
      <c r="X11" s="186">
        <f>SUMIF('Comités'!$B:$B,PPvsREal!$C$11,'Comités'!X:X)</f>
        <v>0</v>
      </c>
      <c r="Y11" s="186">
        <f>SUMIF('Comités'!$B:$B,PPvsREal!$C$11,'Comités'!Y:Y)</f>
        <v>0</v>
      </c>
      <c r="Z11" s="186">
        <f>SUMIF('Comités'!$B:$B,PPvsREal!$C$11,'Comités'!Z:Z)</f>
        <v>0</v>
      </c>
      <c r="AA11" s="187">
        <f>SUMIF('Comités'!$B:$B,PPvsREal!$C$11,'Comités'!AA:AA)</f>
        <v>0</v>
      </c>
    </row>
    <row r="12" ht="12.75" customHeight="1">
      <c r="A12" s="111"/>
      <c r="B12" s="188" t="s">
        <v>21</v>
      </c>
      <c r="C12" s="2" t="s">
        <v>127</v>
      </c>
      <c r="D12" s="189">
        <f>SUMIF('Comités'!$B:$B,PPvsREal!$C$12,'Comités'!D:D)</f>
        <v>13500</v>
      </c>
      <c r="E12" s="189">
        <f>SUMIF('Comités'!$B:$B,PPvsREal!$C$12,'Comités'!E:E)</f>
        <v>0</v>
      </c>
      <c r="F12" s="189">
        <f>SUMIF('Comités'!$B:$B,PPvsREal!$C$12,'Comités'!F:F)</f>
        <v>13500</v>
      </c>
      <c r="G12" s="189">
        <f>SUMIF('Comités'!$B:$B,PPvsREal!$C$12,'Comités'!G:G)</f>
        <v>0</v>
      </c>
      <c r="H12" s="189">
        <f>SUMIF('Comités'!$B:$B,PPvsREal!$C$12,'Comités'!H:H)</f>
        <v>13500</v>
      </c>
      <c r="I12" s="189">
        <f>SUMIF('Comités'!$B:$B,PPvsREal!$C$12,'Comités'!I:I)</f>
        <v>0</v>
      </c>
      <c r="J12" s="189">
        <f>SUMIF('Comités'!$B:$B,PPvsREal!$C$12,'Comités'!J:J)</f>
        <v>13500</v>
      </c>
      <c r="K12" s="189">
        <f>SUMIF('Comités'!$B:$B,PPvsREal!$C$12,'Comités'!K:K)</f>
        <v>0</v>
      </c>
      <c r="L12" s="189">
        <f>SUMIF('Comités'!$B:$B,PPvsREal!$C$12,'Comités'!L:L)</f>
        <v>13500</v>
      </c>
      <c r="M12" s="189">
        <f>SUMIF('Comités'!$B:$B,PPvsREal!$C$12,'Comités'!M:M)</f>
        <v>0</v>
      </c>
      <c r="N12" s="189">
        <f>SUMIF('Comités'!$B:$B,PPvsREal!$C$12,'Comités'!N:N)</f>
        <v>13500</v>
      </c>
      <c r="O12" s="189">
        <f>SUMIF('Comités'!$B:$B,PPvsREal!$C$12,'Comités'!O:O)</f>
        <v>0</v>
      </c>
      <c r="P12" s="189">
        <f>SUMIF('Comités'!$B:$B,PPvsREal!$C$12,'Comités'!P:P)</f>
        <v>13500</v>
      </c>
      <c r="Q12" s="189">
        <f>SUMIF('Comités'!$B:$B,PPvsREal!$C$12,'Comités'!Q:Q)</f>
        <v>0</v>
      </c>
      <c r="R12" s="189">
        <f>SUMIF('Comités'!$B:$B,PPvsREal!$C$12,'Comités'!R:R)</f>
        <v>13500</v>
      </c>
      <c r="S12" s="189">
        <f>SUMIF('Comités'!$B:$B,PPvsREal!$C$12,'Comités'!S:S)</f>
        <v>0</v>
      </c>
      <c r="T12" s="189">
        <f>SUMIF('Comités'!$B:$B,PPvsREal!$C$12,'Comités'!T:T)</f>
        <v>13500</v>
      </c>
      <c r="U12" s="189">
        <f>SUMIF('Comités'!$B:$B,PPvsREal!$C$12,'Comités'!U:U)</f>
        <v>0</v>
      </c>
      <c r="V12" s="189">
        <f>SUMIF('Comités'!$B:$B,PPvsREal!$C$12,'Comités'!V:V)</f>
        <v>13500</v>
      </c>
      <c r="W12" s="189">
        <f>SUMIF('Comités'!$B:$B,PPvsREal!$C$12,'Comités'!W:W)</f>
        <v>0</v>
      </c>
      <c r="X12" s="189">
        <f>SUMIF('Comités'!$B:$B,PPvsREal!$C$12,'Comités'!X:X)</f>
        <v>13500</v>
      </c>
      <c r="Y12" s="189">
        <f>SUMIF('Comités'!$B:$B,PPvsREal!$C$12,'Comités'!Y:Y)</f>
        <v>0</v>
      </c>
      <c r="Z12" s="189">
        <f>SUMIF('Comités'!$B:$B,PPvsREal!$C$12,'Comités'!Z:Z)</f>
        <v>0</v>
      </c>
      <c r="AA12" s="190">
        <f>SUMIF('Comités'!$B:$B,PPvsREal!$C$12,'Comités'!AA:AA)</f>
        <v>0</v>
      </c>
    </row>
    <row r="13" ht="12.75" customHeight="1">
      <c r="A13" s="111"/>
      <c r="B13" s="188" t="s">
        <v>21</v>
      </c>
      <c r="C13" s="2" t="s">
        <v>130</v>
      </c>
      <c r="D13" s="189">
        <f>SUMIF('Comités'!$B:$B,PPvsREal!$C$13,'Comités'!D:D)</f>
        <v>13500</v>
      </c>
      <c r="E13" s="189">
        <f>SUMIF('Comités'!$B:$B,PPvsREal!$C$13,'Comités'!E:E)</f>
        <v>0</v>
      </c>
      <c r="F13" s="189">
        <f>SUMIF('Comités'!$B:$B,PPvsREal!$C$13,'Comités'!F:F)</f>
        <v>13500</v>
      </c>
      <c r="G13" s="189">
        <f>SUMIF('Comités'!$B:$B,PPvsREal!$C$13,'Comités'!G:G)</f>
        <v>0</v>
      </c>
      <c r="H13" s="189">
        <f>SUMIF('Comités'!$B:$B,PPvsREal!$C$13,'Comités'!H:H)</f>
        <v>13500</v>
      </c>
      <c r="I13" s="189">
        <f>SUMIF('Comités'!$B:$B,PPvsREal!$C$13,'Comités'!I:I)</f>
        <v>0</v>
      </c>
      <c r="J13" s="189">
        <f>SUMIF('Comités'!$B:$B,PPvsREal!$C$13,'Comités'!J:J)</f>
        <v>13500</v>
      </c>
      <c r="K13" s="189">
        <f>SUMIF('Comités'!$B:$B,PPvsREal!$C$13,'Comités'!K:K)</f>
        <v>0</v>
      </c>
      <c r="L13" s="189">
        <f>SUMIF('Comités'!$B:$B,PPvsREal!$C$13,'Comités'!L:L)</f>
        <v>13500</v>
      </c>
      <c r="M13" s="189">
        <f>SUMIF('Comités'!$B:$B,PPvsREal!$C$13,'Comités'!M:M)</f>
        <v>0</v>
      </c>
      <c r="N13" s="189">
        <f>SUMIF('Comités'!$B:$B,PPvsREal!$C$13,'Comités'!N:N)</f>
        <v>13500</v>
      </c>
      <c r="O13" s="189">
        <f>SUMIF('Comités'!$B:$B,PPvsREal!$C$13,'Comités'!O:O)</f>
        <v>0</v>
      </c>
      <c r="P13" s="189">
        <f>SUMIF('Comités'!$B:$B,PPvsREal!$C$13,'Comités'!P:P)</f>
        <v>13500</v>
      </c>
      <c r="Q13" s="189">
        <f>SUMIF('Comités'!$B:$B,PPvsREal!$C$13,'Comités'!Q:Q)</f>
        <v>0</v>
      </c>
      <c r="R13" s="189">
        <f>SUMIF('Comités'!$B:$B,PPvsREal!$C$13,'Comités'!R:R)</f>
        <v>13500</v>
      </c>
      <c r="S13" s="189">
        <f>SUMIF('Comités'!$B:$B,PPvsREal!$C$13,'Comités'!S:S)</f>
        <v>0</v>
      </c>
      <c r="T13" s="189">
        <f>SUMIF('Comités'!$B:$B,PPvsREal!$C$13,'Comités'!T:T)</f>
        <v>13500</v>
      </c>
      <c r="U13" s="189">
        <f>SUMIF('Comités'!$B:$B,PPvsREal!$C$13,'Comités'!U:U)</f>
        <v>0</v>
      </c>
      <c r="V13" s="189">
        <f>SUMIF('Comités'!$B:$B,PPvsREal!$C$13,'Comités'!V:V)</f>
        <v>13500</v>
      </c>
      <c r="W13" s="189">
        <f>SUMIF('Comités'!$B:$B,PPvsREal!$C$13,'Comités'!W:W)</f>
        <v>0</v>
      </c>
      <c r="X13" s="189">
        <f>SUMIF('Comités'!$B:$B,PPvsREal!$C$13,'Comités'!X:X)</f>
        <v>13500</v>
      </c>
      <c r="Y13" s="189">
        <f>SUMIF('Comités'!$B:$B,PPvsREal!$C$13,'Comités'!Y:Y)</f>
        <v>0</v>
      </c>
      <c r="Z13" s="189">
        <f>SUMIF('Comités'!$B:$B,PPvsREal!$C$13,'Comités'!Z:Z)</f>
        <v>0</v>
      </c>
      <c r="AA13" s="190">
        <f>SUMIF('Comités'!$B:$B,PPvsREal!$C$13,'Comités'!AA:AA)</f>
        <v>0</v>
      </c>
    </row>
    <row r="14" ht="12.75" customHeight="1">
      <c r="A14" s="111"/>
      <c r="B14" s="188" t="s">
        <v>21</v>
      </c>
      <c r="C14" s="97" t="s">
        <v>132</v>
      </c>
      <c r="D14" s="189">
        <f>SUMIF('Comités'!$B:$B,PPvsREal!$C$14,'Comités'!D:D)</f>
        <v>0</v>
      </c>
      <c r="E14" s="189">
        <f>SUMIF('Comités'!$B:$B,PPvsREal!$C$14,'Comités'!E:E)</f>
        <v>0</v>
      </c>
      <c r="F14" s="189">
        <f>SUMIF('Comités'!$B:$B,PPvsREal!$C$14,'Comités'!F:F)</f>
        <v>0</v>
      </c>
      <c r="G14" s="189">
        <f>SUMIF('Comités'!$B:$B,PPvsREal!$C$14,'Comités'!G:G)</f>
        <v>0</v>
      </c>
      <c r="H14" s="189">
        <f>SUMIF('Comités'!$B:$B,PPvsREal!$C$14,'Comités'!H:H)</f>
        <v>0</v>
      </c>
      <c r="I14" s="189">
        <f>SUMIF('Comités'!$B:$B,PPvsREal!$C$14,'Comités'!I:I)</f>
        <v>0</v>
      </c>
      <c r="J14" s="189">
        <f>SUMIF('Comités'!$B:$B,PPvsREal!$C$14,'Comités'!J:J)</f>
        <v>0</v>
      </c>
      <c r="K14" s="189">
        <f>SUMIF('Comités'!$B:$B,PPvsREal!$C$14,'Comités'!K:K)</f>
        <v>0</v>
      </c>
      <c r="L14" s="189">
        <f>SUMIF('Comités'!$B:$B,PPvsREal!$C$14,'Comités'!L:L)</f>
        <v>0</v>
      </c>
      <c r="M14" s="189">
        <f>SUMIF('Comités'!$B:$B,PPvsREal!$C$14,'Comités'!M:M)</f>
        <v>0</v>
      </c>
      <c r="N14" s="189">
        <f>SUMIF('Comités'!$B:$B,PPvsREal!$C$14,'Comités'!N:N)</f>
        <v>0</v>
      </c>
      <c r="O14" s="189">
        <f>SUMIF('Comités'!$B:$B,PPvsREal!$C$14,'Comités'!O:O)</f>
        <v>0</v>
      </c>
      <c r="P14" s="189">
        <f>SUMIF('Comités'!$B:$B,PPvsREal!$C$14,'Comités'!P:P)</f>
        <v>0</v>
      </c>
      <c r="Q14" s="189">
        <f>SUMIF('Comités'!$B:$B,PPvsREal!$C$14,'Comités'!Q:Q)</f>
        <v>0</v>
      </c>
      <c r="R14" s="189">
        <f>SUMIF('Comités'!$B:$B,PPvsREal!$C$14,'Comités'!R:R)</f>
        <v>0</v>
      </c>
      <c r="S14" s="189">
        <f>SUMIF('Comités'!$B:$B,PPvsREal!$C$14,'Comités'!S:S)</f>
        <v>0</v>
      </c>
      <c r="T14" s="189">
        <f>SUMIF('Comités'!$B:$B,PPvsREal!$C$14,'Comités'!T:T)</f>
        <v>0</v>
      </c>
      <c r="U14" s="189">
        <f>SUMIF('Comités'!$B:$B,PPvsREal!$C$14,'Comités'!U:U)</f>
        <v>0</v>
      </c>
      <c r="V14" s="189">
        <f>SUMIF('Comités'!$B:$B,PPvsREal!$C$14,'Comités'!V:V)</f>
        <v>0</v>
      </c>
      <c r="W14" s="189">
        <f>SUMIF('Comités'!$B:$B,PPvsREal!$C$14,'Comités'!W:W)</f>
        <v>0</v>
      </c>
      <c r="X14" s="189">
        <f>SUMIF('Comités'!$B:$B,PPvsREal!$C$14,'Comités'!X:X)</f>
        <v>0</v>
      </c>
      <c r="Y14" s="189">
        <f>SUMIF('Comités'!$B:$B,PPvsREal!$C$14,'Comités'!Y:Y)</f>
        <v>0</v>
      </c>
      <c r="Z14" s="189">
        <f>SUMIF('Comités'!$B:$B,PPvsREal!$C$14,'Comités'!Z:Z)</f>
        <v>0</v>
      </c>
      <c r="AA14" s="190">
        <f>SUMIF('Comités'!$B:$B,PPvsREal!$C$14,'Comités'!AA:AA)</f>
        <v>0</v>
      </c>
    </row>
    <row r="15" ht="12.75" customHeight="1">
      <c r="A15" s="111"/>
      <c r="B15" s="188" t="s">
        <v>21</v>
      </c>
      <c r="C15" s="2" t="s">
        <v>134</v>
      </c>
      <c r="D15" s="189">
        <f>SUMIF('Comités'!$B:$B,PPvsREal!$C$15,'Comités'!D:D)</f>
        <v>13500</v>
      </c>
      <c r="E15" s="189">
        <f>SUMIF('Comités'!$B:$B,PPvsREal!$C$15,'Comités'!E:E)</f>
        <v>0</v>
      </c>
      <c r="F15" s="189">
        <f>SUMIF('Comités'!$B:$B,PPvsREal!$C$15,'Comités'!F:F)</f>
        <v>13500</v>
      </c>
      <c r="G15" s="189">
        <f>SUMIF('Comités'!$B:$B,PPvsREal!$C$15,'Comités'!G:G)</f>
        <v>0</v>
      </c>
      <c r="H15" s="189">
        <f>SUMIF('Comités'!$B:$B,PPvsREal!$C$15,'Comités'!H:H)</f>
        <v>13500</v>
      </c>
      <c r="I15" s="189">
        <f>SUMIF('Comités'!$B:$B,PPvsREal!$C$15,'Comités'!I:I)</f>
        <v>0</v>
      </c>
      <c r="J15" s="189">
        <f>SUMIF('Comités'!$B:$B,PPvsREal!$C$15,'Comités'!J:J)</f>
        <v>13500</v>
      </c>
      <c r="K15" s="189">
        <f>SUMIF('Comités'!$B:$B,PPvsREal!$C$15,'Comités'!K:K)</f>
        <v>0</v>
      </c>
      <c r="L15" s="189">
        <f>SUMIF('Comités'!$B:$B,PPvsREal!$C$15,'Comités'!L:L)</f>
        <v>13500</v>
      </c>
      <c r="M15" s="189">
        <f>SUMIF('Comités'!$B:$B,PPvsREal!$C$15,'Comités'!M:M)</f>
        <v>0</v>
      </c>
      <c r="N15" s="189">
        <f>SUMIF('Comités'!$B:$B,PPvsREal!$C$15,'Comités'!N:N)</f>
        <v>13500</v>
      </c>
      <c r="O15" s="189">
        <f>SUMIF('Comités'!$B:$B,PPvsREal!$C$15,'Comités'!O:O)</f>
        <v>0</v>
      </c>
      <c r="P15" s="189">
        <f>SUMIF('Comités'!$B:$B,PPvsREal!$C$15,'Comités'!P:P)</f>
        <v>13500</v>
      </c>
      <c r="Q15" s="189">
        <f>SUMIF('Comités'!$B:$B,PPvsREal!$C$15,'Comités'!Q:Q)</f>
        <v>0</v>
      </c>
      <c r="R15" s="189">
        <f>SUMIF('Comités'!$B:$B,PPvsREal!$C$15,'Comités'!R:R)</f>
        <v>13500</v>
      </c>
      <c r="S15" s="189">
        <f>SUMIF('Comités'!$B:$B,PPvsREal!$C$15,'Comités'!S:S)</f>
        <v>0</v>
      </c>
      <c r="T15" s="189">
        <f>SUMIF('Comités'!$B:$B,PPvsREal!$C$15,'Comités'!T:T)</f>
        <v>13500</v>
      </c>
      <c r="U15" s="189">
        <f>SUMIF('Comités'!$B:$B,PPvsREal!$C$15,'Comités'!U:U)</f>
        <v>0</v>
      </c>
      <c r="V15" s="189">
        <f>SUMIF('Comités'!$B:$B,PPvsREal!$C$15,'Comités'!V:V)</f>
        <v>13500</v>
      </c>
      <c r="W15" s="189">
        <f>SUMIF('Comités'!$B:$B,PPvsREal!$C$15,'Comités'!W:W)</f>
        <v>0</v>
      </c>
      <c r="X15" s="189">
        <f>SUMIF('Comités'!$B:$B,PPvsREal!$C$15,'Comités'!X:X)</f>
        <v>13500</v>
      </c>
      <c r="Y15" s="189">
        <f>SUMIF('Comités'!$B:$B,PPvsREal!$C$15,'Comités'!Y:Y)</f>
        <v>0</v>
      </c>
      <c r="Z15" s="189">
        <f>SUMIF('Comités'!$B:$B,PPvsREal!$C$15,'Comités'!Z:Z)</f>
        <v>0</v>
      </c>
      <c r="AA15" s="190">
        <f>SUMIF('Comités'!$B:$B,PPvsREal!$C$15,'Comités'!AA:AA)</f>
        <v>0</v>
      </c>
    </row>
    <row r="16" ht="12.75" customHeight="1">
      <c r="A16" s="111"/>
      <c r="B16" s="188" t="s">
        <v>21</v>
      </c>
      <c r="C16" s="2" t="s">
        <v>136</v>
      </c>
      <c r="D16" s="189">
        <f>SUMIF('Comités'!$B:$B,PPvsREal!$C$16,'Comités'!D:D)</f>
        <v>0</v>
      </c>
      <c r="E16" s="189">
        <f>SUMIF('Comités'!$B:$B,PPvsREal!$C$16,'Comités'!E:E)</f>
        <v>0</v>
      </c>
      <c r="F16" s="189">
        <f>SUMIF('Comités'!$B:$B,PPvsREal!$C$16,'Comités'!F:F)</f>
        <v>0</v>
      </c>
      <c r="G16" s="189">
        <f>SUMIF('Comités'!$B:$B,PPvsREal!$C$16,'Comités'!G:G)</f>
        <v>0</v>
      </c>
      <c r="H16" s="189">
        <f>SUMIF('Comités'!$B:$B,PPvsREal!$C$16,'Comités'!H:H)</f>
        <v>0</v>
      </c>
      <c r="I16" s="189">
        <f>SUMIF('Comités'!$B:$B,PPvsREal!$C$16,'Comités'!I:I)</f>
        <v>0</v>
      </c>
      <c r="J16" s="189">
        <f>SUMIF('Comités'!$B:$B,PPvsREal!$C$16,'Comités'!J:J)</f>
        <v>0</v>
      </c>
      <c r="K16" s="189">
        <f>SUMIF('Comités'!$B:$B,PPvsREal!$C$16,'Comités'!K:K)</f>
        <v>0</v>
      </c>
      <c r="L16" s="189">
        <f>SUMIF('Comités'!$B:$B,PPvsREal!$C$16,'Comités'!L:L)</f>
        <v>0</v>
      </c>
      <c r="M16" s="189">
        <f>SUMIF('Comités'!$B:$B,PPvsREal!$C$16,'Comités'!M:M)</f>
        <v>0</v>
      </c>
      <c r="N16" s="189">
        <f>SUMIF('Comités'!$B:$B,PPvsREal!$C$16,'Comités'!N:N)</f>
        <v>0</v>
      </c>
      <c r="O16" s="189">
        <f>SUMIF('Comités'!$B:$B,PPvsREal!$C$16,'Comités'!O:O)</f>
        <v>0</v>
      </c>
      <c r="P16" s="189">
        <f>SUMIF('Comités'!$B:$B,PPvsREal!$C$16,'Comités'!P:P)</f>
        <v>0</v>
      </c>
      <c r="Q16" s="189">
        <f>SUMIF('Comités'!$B:$B,PPvsREal!$C$16,'Comités'!Q:Q)</f>
        <v>0</v>
      </c>
      <c r="R16" s="189">
        <f>SUMIF('Comités'!$B:$B,PPvsREal!$C$16,'Comités'!R:R)</f>
        <v>0</v>
      </c>
      <c r="S16" s="189">
        <f>SUMIF('Comités'!$B:$B,PPvsREal!$C$16,'Comités'!S:S)</f>
        <v>0</v>
      </c>
      <c r="T16" s="189">
        <f>SUMIF('Comités'!$B:$B,PPvsREal!$C$16,'Comités'!T:T)</f>
        <v>0</v>
      </c>
      <c r="U16" s="189">
        <f>SUMIF('Comités'!$B:$B,PPvsREal!$C$16,'Comités'!U:U)</f>
        <v>0</v>
      </c>
      <c r="V16" s="189">
        <f>SUMIF('Comités'!$B:$B,PPvsREal!$C$16,'Comités'!V:V)</f>
        <v>0</v>
      </c>
      <c r="W16" s="189">
        <f>SUMIF('Comités'!$B:$B,PPvsREal!$C$16,'Comités'!W:W)</f>
        <v>0</v>
      </c>
      <c r="X16" s="189">
        <f>SUMIF('Comités'!$B:$B,PPvsREal!$C$16,'Comités'!X:X)</f>
        <v>0</v>
      </c>
      <c r="Y16" s="189">
        <f>SUMIF('Comités'!$B:$B,PPvsREal!$C$16,'Comités'!Y:Y)</f>
        <v>0</v>
      </c>
      <c r="Z16" s="189">
        <f>SUMIF('Comités'!$B:$B,PPvsREal!$C$16,'Comités'!Z:Z)</f>
        <v>0</v>
      </c>
      <c r="AA16" s="190">
        <f>SUMIF('Comités'!$B:$B,PPvsREal!$C$16,'Comités'!AA:AA)</f>
        <v>0</v>
      </c>
    </row>
    <row r="17" ht="12.75" customHeight="1">
      <c r="A17" s="111"/>
      <c r="B17" s="188" t="s">
        <v>21</v>
      </c>
      <c r="C17" s="2" t="s">
        <v>139</v>
      </c>
      <c r="D17" s="189">
        <f>SUMIF('Comités'!$B:$B,PPvsREal!$C$17,'Comités'!D:D)</f>
        <v>0</v>
      </c>
      <c r="E17" s="189">
        <f>SUMIF('Comités'!$B:$B,PPvsREal!$C$17,'Comités'!E:E)</f>
        <v>0</v>
      </c>
      <c r="F17" s="189">
        <f>SUMIF('Comités'!$B:$B,PPvsREal!$C$17,'Comités'!F:F)</f>
        <v>0</v>
      </c>
      <c r="G17" s="189">
        <f>SUMIF('Comités'!$B:$B,PPvsREal!$C$17,'Comités'!G:G)</f>
        <v>0</v>
      </c>
      <c r="H17" s="189">
        <f>SUMIF('Comités'!$B:$B,PPvsREal!$C$17,'Comités'!H:H)</f>
        <v>0</v>
      </c>
      <c r="I17" s="189">
        <f>SUMIF('Comités'!$B:$B,PPvsREal!$C$17,'Comités'!I:I)</f>
        <v>0</v>
      </c>
      <c r="J17" s="189">
        <f>SUMIF('Comités'!$B:$B,PPvsREal!$C$17,'Comités'!J:J)</f>
        <v>0</v>
      </c>
      <c r="K17" s="189">
        <f>SUMIF('Comités'!$B:$B,PPvsREal!$C$17,'Comités'!K:K)</f>
        <v>0</v>
      </c>
      <c r="L17" s="189">
        <f>SUMIF('Comités'!$B:$B,PPvsREal!$C$17,'Comités'!L:L)</f>
        <v>0</v>
      </c>
      <c r="M17" s="189">
        <f>SUMIF('Comités'!$B:$B,PPvsREal!$C$17,'Comités'!M:M)</f>
        <v>0</v>
      </c>
      <c r="N17" s="189">
        <f>SUMIF('Comités'!$B:$B,PPvsREal!$C$17,'Comités'!N:N)</f>
        <v>0</v>
      </c>
      <c r="O17" s="189">
        <f>SUMIF('Comités'!$B:$B,PPvsREal!$C$17,'Comités'!O:O)</f>
        <v>0</v>
      </c>
      <c r="P17" s="189">
        <f>SUMIF('Comités'!$B:$B,PPvsREal!$C$17,'Comités'!P:P)</f>
        <v>0</v>
      </c>
      <c r="Q17" s="189">
        <f>SUMIF('Comités'!$B:$B,PPvsREal!$C$17,'Comités'!Q:Q)</f>
        <v>0</v>
      </c>
      <c r="R17" s="189">
        <f>SUMIF('Comités'!$B:$B,PPvsREal!$C$17,'Comités'!R:R)</f>
        <v>0</v>
      </c>
      <c r="S17" s="189">
        <f>SUMIF('Comités'!$B:$B,PPvsREal!$C$17,'Comités'!S:S)</f>
        <v>0</v>
      </c>
      <c r="T17" s="189">
        <f>SUMIF('Comités'!$B:$B,PPvsREal!$C$17,'Comités'!T:T)</f>
        <v>0</v>
      </c>
      <c r="U17" s="189">
        <f>SUMIF('Comités'!$B:$B,PPvsREal!$C$17,'Comités'!U:U)</f>
        <v>0</v>
      </c>
      <c r="V17" s="189">
        <f>SUMIF('Comités'!$B:$B,PPvsREal!$C$17,'Comités'!V:V)</f>
        <v>0</v>
      </c>
      <c r="W17" s="189">
        <f>SUMIF('Comités'!$B:$B,PPvsREal!$C$17,'Comités'!W:W)</f>
        <v>0</v>
      </c>
      <c r="X17" s="189">
        <f>SUMIF('Comités'!$B:$B,PPvsREal!$C$17,'Comités'!X:X)</f>
        <v>0</v>
      </c>
      <c r="Y17" s="189">
        <f>SUMIF('Comités'!$B:$B,PPvsREal!$C$17,'Comités'!Y:Y)</f>
        <v>0</v>
      </c>
      <c r="Z17" s="189">
        <f>SUMIF('Comités'!$B:$B,PPvsREal!$C$17,'Comités'!Z:Z)</f>
        <v>0</v>
      </c>
      <c r="AA17" s="190">
        <f>SUMIF('Comités'!$B:$B,PPvsREal!$C$17,'Comités'!AA:AA)</f>
        <v>0</v>
      </c>
    </row>
    <row r="18" ht="12.75" customHeight="1">
      <c r="A18" s="111"/>
      <c r="B18" s="188" t="s">
        <v>21</v>
      </c>
      <c r="C18" s="2" t="s">
        <v>141</v>
      </c>
      <c r="D18" s="189">
        <f>SUMIF('Comités'!$B:$B,PPvsREal!$C$18,'Comités'!D:D)</f>
        <v>0</v>
      </c>
      <c r="E18" s="189">
        <f>SUMIF('Comités'!$B:$B,PPvsREal!$C$18,'Comités'!E:E)</f>
        <v>0</v>
      </c>
      <c r="F18" s="189">
        <f>SUMIF('Comités'!$B:$B,PPvsREal!$C$18,'Comités'!F:F)</f>
        <v>0</v>
      </c>
      <c r="G18" s="189">
        <f>SUMIF('Comités'!$B:$B,PPvsREal!$C$18,'Comités'!G:G)</f>
        <v>0</v>
      </c>
      <c r="H18" s="189">
        <f>SUMIF('Comités'!$B:$B,PPvsREal!$C$18,'Comités'!H:H)</f>
        <v>0</v>
      </c>
      <c r="I18" s="189">
        <f>SUMIF('Comités'!$B:$B,PPvsREal!$C$18,'Comités'!I:I)</f>
        <v>0</v>
      </c>
      <c r="J18" s="189">
        <f>SUMIF('Comités'!$B:$B,PPvsREal!$C$18,'Comités'!J:J)</f>
        <v>0</v>
      </c>
      <c r="K18" s="189">
        <f>SUMIF('Comités'!$B:$B,PPvsREal!$C$18,'Comités'!K:K)</f>
        <v>0</v>
      </c>
      <c r="L18" s="189">
        <f>SUMIF('Comités'!$B:$B,PPvsREal!$C$18,'Comités'!L:L)</f>
        <v>0</v>
      </c>
      <c r="M18" s="189">
        <f>SUMIF('Comités'!$B:$B,PPvsREal!$C$18,'Comités'!M:M)</f>
        <v>0</v>
      </c>
      <c r="N18" s="189">
        <f>SUMIF('Comités'!$B:$B,PPvsREal!$C$18,'Comités'!N:N)</f>
        <v>0</v>
      </c>
      <c r="O18" s="189">
        <f>SUMIF('Comités'!$B:$B,PPvsREal!$C$18,'Comités'!O:O)</f>
        <v>0</v>
      </c>
      <c r="P18" s="189">
        <f>SUMIF('Comités'!$B:$B,PPvsREal!$C$18,'Comités'!P:P)</f>
        <v>0</v>
      </c>
      <c r="Q18" s="189">
        <f>SUMIF('Comités'!$B:$B,PPvsREal!$C$18,'Comités'!Q:Q)</f>
        <v>0</v>
      </c>
      <c r="R18" s="189">
        <f>SUMIF('Comités'!$B:$B,PPvsREal!$C$18,'Comités'!R:R)</f>
        <v>0</v>
      </c>
      <c r="S18" s="189">
        <f>SUMIF('Comités'!$B:$B,PPvsREal!$C$18,'Comités'!S:S)</f>
        <v>0</v>
      </c>
      <c r="T18" s="189">
        <f>SUMIF('Comités'!$B:$B,PPvsREal!$C$18,'Comités'!T:T)</f>
        <v>0</v>
      </c>
      <c r="U18" s="189">
        <f>SUMIF('Comités'!$B:$B,PPvsREal!$C$18,'Comités'!U:U)</f>
        <v>0</v>
      </c>
      <c r="V18" s="189">
        <f>SUMIF('Comités'!$B:$B,PPvsREal!$C$18,'Comités'!V:V)</f>
        <v>0</v>
      </c>
      <c r="W18" s="189">
        <f>SUMIF('Comités'!$B:$B,PPvsREal!$C$18,'Comités'!W:W)</f>
        <v>0</v>
      </c>
      <c r="X18" s="189">
        <f>SUMIF('Comités'!$B:$B,PPvsREal!$C$18,'Comités'!X:X)</f>
        <v>0</v>
      </c>
      <c r="Y18" s="189">
        <f>SUMIF('Comités'!$B:$B,PPvsREal!$C$18,'Comités'!Y:Y)</f>
        <v>0</v>
      </c>
      <c r="Z18" s="189">
        <f>SUMIF('Comités'!$B:$B,PPvsREal!$C$18,'Comités'!Z:Z)</f>
        <v>0</v>
      </c>
      <c r="AA18" s="190">
        <f>SUMIF('Comités'!$B:$B,PPvsREal!$C$18,'Comités'!AA:AA)</f>
        <v>0</v>
      </c>
    </row>
    <row r="19" ht="12.75" customHeight="1">
      <c r="A19" s="111"/>
      <c r="B19" s="188" t="s">
        <v>21</v>
      </c>
      <c r="C19" s="2" t="s">
        <v>143</v>
      </c>
      <c r="D19" s="189">
        <f>SUMIF('Comités'!$B:$B,PPvsREal!$C$19,'Comités'!D:D)</f>
        <v>0</v>
      </c>
      <c r="E19" s="189">
        <f>SUMIF('Comités'!$B:$B,PPvsREal!$C$19,'Comités'!E:E)</f>
        <v>0</v>
      </c>
      <c r="F19" s="189">
        <f>SUMIF('Comités'!$B:$B,PPvsREal!$C$19,'Comités'!F:F)</f>
        <v>0</v>
      </c>
      <c r="G19" s="189">
        <f>SUMIF('Comités'!$B:$B,PPvsREal!$C$19,'Comités'!G:G)</f>
        <v>0</v>
      </c>
      <c r="H19" s="189">
        <f>SUMIF('Comités'!$B:$B,PPvsREal!$C$19,'Comités'!H:H)</f>
        <v>0</v>
      </c>
      <c r="I19" s="189">
        <f>SUMIF('Comités'!$B:$B,PPvsREal!$C$19,'Comités'!I:I)</f>
        <v>0</v>
      </c>
      <c r="J19" s="189">
        <f>SUMIF('Comités'!$B:$B,PPvsREal!$C$19,'Comités'!J:J)</f>
        <v>0</v>
      </c>
      <c r="K19" s="189">
        <f>SUMIF('Comités'!$B:$B,PPvsREal!$C$19,'Comités'!K:K)</f>
        <v>0</v>
      </c>
      <c r="L19" s="189">
        <f>SUMIF('Comités'!$B:$B,PPvsREal!$C$19,'Comités'!L:L)</f>
        <v>0</v>
      </c>
      <c r="M19" s="189">
        <f>SUMIF('Comités'!$B:$B,PPvsREal!$C$19,'Comités'!M:M)</f>
        <v>0</v>
      </c>
      <c r="N19" s="189">
        <f>SUMIF('Comités'!$B:$B,PPvsREal!$C$19,'Comités'!N:N)</f>
        <v>0</v>
      </c>
      <c r="O19" s="189">
        <f>SUMIF('Comités'!$B:$B,PPvsREal!$C$19,'Comités'!O:O)</f>
        <v>0</v>
      </c>
      <c r="P19" s="189">
        <f>SUMIF('Comités'!$B:$B,PPvsREal!$C$19,'Comités'!P:P)</f>
        <v>0</v>
      </c>
      <c r="Q19" s="189">
        <f>SUMIF('Comités'!$B:$B,PPvsREal!$C$19,'Comités'!Q:Q)</f>
        <v>0</v>
      </c>
      <c r="R19" s="189">
        <f>SUMIF('Comités'!$B:$B,PPvsREal!$C$19,'Comités'!R:R)</f>
        <v>0</v>
      </c>
      <c r="S19" s="189">
        <f>SUMIF('Comités'!$B:$B,PPvsREal!$C$19,'Comités'!S:S)</f>
        <v>0</v>
      </c>
      <c r="T19" s="189">
        <f>SUMIF('Comités'!$B:$B,PPvsREal!$C$19,'Comités'!T:T)</f>
        <v>0</v>
      </c>
      <c r="U19" s="189">
        <f>SUMIF('Comités'!$B:$B,PPvsREal!$C$19,'Comités'!U:U)</f>
        <v>0</v>
      </c>
      <c r="V19" s="189">
        <f>SUMIF('Comités'!$B:$B,PPvsREal!$C$19,'Comités'!V:V)</f>
        <v>0</v>
      </c>
      <c r="W19" s="189">
        <f>SUMIF('Comités'!$B:$B,PPvsREal!$C$19,'Comités'!W:W)</f>
        <v>0</v>
      </c>
      <c r="X19" s="189">
        <f>SUMIF('Comités'!$B:$B,PPvsREal!$C$19,'Comités'!X:X)</f>
        <v>0</v>
      </c>
      <c r="Y19" s="189">
        <f>SUMIF('Comités'!$B:$B,PPvsREal!$C$19,'Comités'!Y:Y)</f>
        <v>0</v>
      </c>
      <c r="Z19" s="189">
        <f>SUMIF('Comités'!$B:$B,PPvsREal!$C$19,'Comités'!Z:Z)</f>
        <v>0</v>
      </c>
      <c r="AA19" s="190">
        <f>SUMIF('Comités'!$B:$B,PPvsREal!$C$19,'Comités'!AA:AA)</f>
        <v>0</v>
      </c>
    </row>
    <row r="20" ht="12.75" customHeight="1">
      <c r="A20" s="111"/>
      <c r="B20" s="188" t="s">
        <v>21</v>
      </c>
      <c r="C20" s="2" t="s">
        <v>145</v>
      </c>
      <c r="D20" s="189">
        <f>SUMIF('Comités'!$B:$B,PPvsREal!$C$20,'Comités'!D:D)</f>
        <v>0</v>
      </c>
      <c r="E20" s="189">
        <f>SUMIF('Comités'!$B:$B,PPvsREal!$C$20,'Comités'!E:E)</f>
        <v>0</v>
      </c>
      <c r="F20" s="189">
        <f>SUMIF('Comités'!$B:$B,PPvsREal!$C$20,'Comités'!F:F)</f>
        <v>0</v>
      </c>
      <c r="G20" s="189">
        <f>SUMIF('Comités'!$B:$B,PPvsREal!$C$20,'Comités'!G:G)</f>
        <v>0</v>
      </c>
      <c r="H20" s="189">
        <f>SUMIF('Comités'!$B:$B,PPvsREal!$C$20,'Comités'!H:H)</f>
        <v>0</v>
      </c>
      <c r="I20" s="189">
        <f>SUMIF('Comités'!$B:$B,PPvsREal!$C$20,'Comités'!I:I)</f>
        <v>0</v>
      </c>
      <c r="J20" s="189">
        <f>SUMIF('Comités'!$B:$B,PPvsREal!$C$20,'Comités'!J:J)</f>
        <v>0</v>
      </c>
      <c r="K20" s="189">
        <f>SUMIF('Comités'!$B:$B,PPvsREal!$C$20,'Comités'!K:K)</f>
        <v>0</v>
      </c>
      <c r="L20" s="189">
        <f>SUMIF('Comités'!$B:$B,PPvsREal!$C$20,'Comités'!L:L)</f>
        <v>0</v>
      </c>
      <c r="M20" s="189">
        <f>SUMIF('Comités'!$B:$B,PPvsREal!$C$20,'Comités'!M:M)</f>
        <v>0</v>
      </c>
      <c r="N20" s="189">
        <f>SUMIF('Comités'!$B:$B,PPvsREal!$C$20,'Comités'!N:N)</f>
        <v>0</v>
      </c>
      <c r="O20" s="189">
        <f>SUMIF('Comités'!$B:$B,PPvsREal!$C$20,'Comités'!O:O)</f>
        <v>0</v>
      </c>
      <c r="P20" s="189">
        <f>SUMIF('Comités'!$B:$B,PPvsREal!$C$20,'Comités'!P:P)</f>
        <v>0</v>
      </c>
      <c r="Q20" s="189">
        <f>SUMIF('Comités'!$B:$B,PPvsREal!$C$20,'Comités'!Q:Q)</f>
        <v>0</v>
      </c>
      <c r="R20" s="189">
        <f>SUMIF('Comités'!$B:$B,PPvsREal!$C$20,'Comités'!R:R)</f>
        <v>0</v>
      </c>
      <c r="S20" s="189">
        <f>SUMIF('Comités'!$B:$B,PPvsREal!$C$20,'Comités'!S:S)</f>
        <v>0</v>
      </c>
      <c r="T20" s="189">
        <f>SUMIF('Comités'!$B:$B,PPvsREal!$C$20,'Comités'!T:T)</f>
        <v>0</v>
      </c>
      <c r="U20" s="189">
        <f>SUMIF('Comités'!$B:$B,PPvsREal!$C$20,'Comités'!U:U)</f>
        <v>0</v>
      </c>
      <c r="V20" s="189">
        <f>SUMIF('Comités'!$B:$B,PPvsREal!$C$20,'Comités'!V:V)</f>
        <v>0</v>
      </c>
      <c r="W20" s="189">
        <f>SUMIF('Comités'!$B:$B,PPvsREal!$C$20,'Comités'!W:W)</f>
        <v>0</v>
      </c>
      <c r="X20" s="189">
        <f>SUMIF('Comités'!$B:$B,PPvsREal!$C$20,'Comités'!X:X)</f>
        <v>0</v>
      </c>
      <c r="Y20" s="189">
        <f>SUMIF('Comités'!$B:$B,PPvsREal!$C$20,'Comités'!Y:Y)</f>
        <v>0</v>
      </c>
      <c r="Z20" s="189">
        <f>SUMIF('Comités'!$B:$B,PPvsREal!$C$20,'Comités'!Z:Z)</f>
        <v>0</v>
      </c>
      <c r="AA20" s="190">
        <f>SUMIF('Comités'!$B:$B,PPvsREal!$C$20,'Comités'!AA:AA)</f>
        <v>0</v>
      </c>
    </row>
    <row r="21" ht="12.75" customHeight="1">
      <c r="A21" s="111"/>
      <c r="B21" s="188" t="s">
        <v>21</v>
      </c>
      <c r="C21" s="2" t="s">
        <v>147</v>
      </c>
      <c r="D21" s="189">
        <f>SUMIF('Comités'!$B:$B,PPvsREal!$C$21,'Comités'!D:D)</f>
        <v>0</v>
      </c>
      <c r="E21" s="189">
        <f>SUMIF('Comités'!$B:$B,PPvsREal!$C$21,'Comités'!E:E)</f>
        <v>0</v>
      </c>
      <c r="F21" s="189">
        <f>SUMIF('Comités'!$B:$B,PPvsREal!$C$21,'Comités'!F:F)</f>
        <v>0</v>
      </c>
      <c r="G21" s="189">
        <f>SUMIF('Comités'!$B:$B,PPvsREal!$C$21,'Comités'!G:G)</f>
        <v>0</v>
      </c>
      <c r="H21" s="189">
        <f>SUMIF('Comités'!$B:$B,PPvsREal!$C$21,'Comités'!H:H)</f>
        <v>0</v>
      </c>
      <c r="I21" s="189">
        <f>SUMIF('Comités'!$B:$B,PPvsREal!$C$21,'Comités'!I:I)</f>
        <v>0</v>
      </c>
      <c r="J21" s="189">
        <f>SUMIF('Comités'!$B:$B,PPvsREal!$C$21,'Comités'!J:J)</f>
        <v>0</v>
      </c>
      <c r="K21" s="189">
        <f>SUMIF('Comités'!$B:$B,PPvsREal!$C$21,'Comités'!K:K)</f>
        <v>0</v>
      </c>
      <c r="L21" s="189">
        <f>SUMIF('Comités'!$B:$B,PPvsREal!$C$21,'Comités'!L:L)</f>
        <v>0</v>
      </c>
      <c r="M21" s="189">
        <f>SUMIF('Comités'!$B:$B,PPvsREal!$C$21,'Comités'!M:M)</f>
        <v>0</v>
      </c>
      <c r="N21" s="189">
        <f>SUMIF('Comités'!$B:$B,PPvsREal!$C$21,'Comités'!N:N)</f>
        <v>0</v>
      </c>
      <c r="O21" s="189">
        <f>SUMIF('Comités'!$B:$B,PPvsREal!$C$21,'Comités'!O:O)</f>
        <v>0</v>
      </c>
      <c r="P21" s="189">
        <f>SUMIF('Comités'!$B:$B,PPvsREal!$C$21,'Comités'!P:P)</f>
        <v>0</v>
      </c>
      <c r="Q21" s="189">
        <f>SUMIF('Comités'!$B:$B,PPvsREal!$C$21,'Comités'!Q:Q)</f>
        <v>0</v>
      </c>
      <c r="R21" s="189">
        <f>SUMIF('Comités'!$B:$B,PPvsREal!$C$21,'Comités'!R:R)</f>
        <v>0</v>
      </c>
      <c r="S21" s="189">
        <f>SUMIF('Comités'!$B:$B,PPvsREal!$C$21,'Comités'!S:S)</f>
        <v>0</v>
      </c>
      <c r="T21" s="189">
        <f>SUMIF('Comités'!$B:$B,PPvsREal!$C$21,'Comités'!T:T)</f>
        <v>0</v>
      </c>
      <c r="U21" s="189">
        <f>SUMIF('Comités'!$B:$B,PPvsREal!$C$21,'Comités'!U:U)</f>
        <v>0</v>
      </c>
      <c r="V21" s="189">
        <f>SUMIF('Comités'!$B:$B,PPvsREal!$C$21,'Comités'!V:V)</f>
        <v>0</v>
      </c>
      <c r="W21" s="189">
        <f>SUMIF('Comités'!$B:$B,PPvsREal!$C$21,'Comités'!W:W)</f>
        <v>0</v>
      </c>
      <c r="X21" s="189">
        <f>SUMIF('Comités'!$B:$B,PPvsREal!$C$21,'Comités'!X:X)</f>
        <v>0</v>
      </c>
      <c r="Y21" s="189">
        <f>SUMIF('Comités'!$B:$B,PPvsREal!$C$21,'Comités'!Y:Y)</f>
        <v>0</v>
      </c>
      <c r="Z21" s="189">
        <f>SUMIF('Comités'!$B:$B,PPvsREal!$C$21,'Comités'!Z:Z)</f>
        <v>0</v>
      </c>
      <c r="AA21" s="190">
        <f>SUMIF('Comités'!$B:$B,PPvsREal!$C$21,'Comités'!AA:AA)</f>
        <v>0</v>
      </c>
    </row>
    <row r="22" ht="12.75" customHeight="1">
      <c r="A22" s="111"/>
      <c r="B22" s="188" t="s">
        <v>21</v>
      </c>
      <c r="C22" s="2" t="s">
        <v>149</v>
      </c>
      <c r="D22" s="189">
        <f>SUMIF('Comités'!$B:$B,PPvsREal!$C$22,'Comités'!D:D)</f>
        <v>0</v>
      </c>
      <c r="E22" s="189">
        <f>SUMIF('Comités'!$B:$B,PPvsREal!$C$22,'Comités'!E:E)</f>
        <v>0</v>
      </c>
      <c r="F22" s="189">
        <f>SUMIF('Comités'!$B:$B,PPvsREal!$C$22,'Comités'!F:F)</f>
        <v>0</v>
      </c>
      <c r="G22" s="189">
        <f>SUMIF('Comités'!$B:$B,PPvsREal!$C$22,'Comités'!G:G)</f>
        <v>0</v>
      </c>
      <c r="H22" s="189">
        <f>SUMIF('Comités'!$B:$B,PPvsREal!$C$22,'Comités'!H:H)</f>
        <v>0</v>
      </c>
      <c r="I22" s="189">
        <f>SUMIF('Comités'!$B:$B,PPvsREal!$C$22,'Comités'!I:I)</f>
        <v>0</v>
      </c>
      <c r="J22" s="189">
        <f>SUMIF('Comités'!$B:$B,PPvsREal!$C$22,'Comités'!J:J)</f>
        <v>0</v>
      </c>
      <c r="K22" s="189">
        <f>SUMIF('Comités'!$B:$B,PPvsREal!$C$22,'Comités'!K:K)</f>
        <v>0</v>
      </c>
      <c r="L22" s="189">
        <f>SUMIF('Comités'!$B:$B,PPvsREal!$C$22,'Comités'!L:L)</f>
        <v>142928.57</v>
      </c>
      <c r="M22" s="189">
        <f>SUMIF('Comités'!$B:$B,PPvsREal!$C$22,'Comités'!M:M)</f>
        <v>0</v>
      </c>
      <c r="N22" s="189">
        <f>SUMIF('Comités'!$B:$B,PPvsREal!$C$22,'Comités'!N:N)</f>
        <v>286845.23</v>
      </c>
      <c r="O22" s="189">
        <f>SUMIF('Comités'!$B:$B,PPvsREal!$C$22,'Comités'!O:O)</f>
        <v>0</v>
      </c>
      <c r="P22" s="189">
        <f>SUMIF('Comités'!$B:$B,PPvsREal!$C$22,'Comités'!P:P)</f>
        <v>239178.56</v>
      </c>
      <c r="Q22" s="189">
        <f>SUMIF('Comités'!$B:$B,PPvsREal!$C$22,'Comités'!Q:Q)</f>
        <v>0</v>
      </c>
      <c r="R22" s="189">
        <f>SUMIF('Comités'!$B:$B,PPvsREal!$C$22,'Comités'!R:R)</f>
        <v>183345.23</v>
      </c>
      <c r="S22" s="189">
        <f>SUMIF('Comités'!$B:$B,PPvsREal!$C$22,'Comités'!S:S)</f>
        <v>0</v>
      </c>
      <c r="T22" s="189">
        <f>SUMIF('Comités'!$B:$B,PPvsREal!$C$22,'Comités'!T:T)</f>
        <v>83345.23</v>
      </c>
      <c r="U22" s="189">
        <f>SUMIF('Comités'!$B:$B,PPvsREal!$C$22,'Comités'!U:U)</f>
        <v>0</v>
      </c>
      <c r="V22" s="189">
        <f>SUMIF('Comités'!$B:$B,PPvsREal!$C$22,'Comités'!V:V)</f>
        <v>71428.57</v>
      </c>
      <c r="W22" s="189">
        <f>SUMIF('Comités'!$B:$B,PPvsREal!$C$22,'Comités'!W:W)</f>
        <v>0</v>
      </c>
      <c r="X22" s="189">
        <f>SUMIF('Comités'!$B:$B,PPvsREal!$C$22,'Comités'!X:X)</f>
        <v>71428.57</v>
      </c>
      <c r="Y22" s="189">
        <f>SUMIF('Comités'!$B:$B,PPvsREal!$C$22,'Comités'!Y:Y)</f>
        <v>0</v>
      </c>
      <c r="Z22" s="189">
        <f>SUMIF('Comités'!$B:$B,PPvsREal!$C$22,'Comités'!Z:Z)</f>
        <v>0</v>
      </c>
      <c r="AA22" s="190">
        <f>SUMIF('Comités'!$B:$B,PPvsREal!$C$22,'Comités'!AA:AA)</f>
        <v>0</v>
      </c>
    </row>
    <row r="23" ht="12.75" customHeight="1">
      <c r="A23" s="111"/>
      <c r="B23" s="188" t="s">
        <v>21</v>
      </c>
      <c r="C23" s="2" t="s">
        <v>154</v>
      </c>
      <c r="D23" s="189">
        <f>SUMIF('Comités'!$B:$B,PPvsREal!$C$23,'Comités'!D:D)</f>
        <v>0</v>
      </c>
      <c r="E23" s="189">
        <f>SUMIF('Comités'!$B:$B,PPvsREal!$C$23,'Comités'!E:E)</f>
        <v>0</v>
      </c>
      <c r="F23" s="189">
        <f>SUMIF('Comités'!$B:$B,PPvsREal!$C$23,'Comités'!F:F)</f>
        <v>500</v>
      </c>
      <c r="G23" s="189">
        <f>SUMIF('Comités'!$B:$B,PPvsREal!$C$23,'Comités'!G:G)</f>
        <v>0</v>
      </c>
      <c r="H23" s="189">
        <f>SUMIF('Comités'!$B:$B,PPvsREal!$C$23,'Comités'!H:H)</f>
        <v>500</v>
      </c>
      <c r="I23" s="189">
        <f>SUMIF('Comités'!$B:$B,PPvsREal!$C$23,'Comités'!I:I)</f>
        <v>0</v>
      </c>
      <c r="J23" s="189">
        <f>SUMIF('Comités'!$B:$B,PPvsREal!$C$23,'Comités'!J:J)</f>
        <v>500</v>
      </c>
      <c r="K23" s="189">
        <f>SUMIF('Comités'!$B:$B,PPvsREal!$C$23,'Comités'!K:K)</f>
        <v>0</v>
      </c>
      <c r="L23" s="189">
        <f>SUMIF('Comités'!$B:$B,PPvsREal!$C$23,'Comités'!L:L)</f>
        <v>500</v>
      </c>
      <c r="M23" s="189">
        <f>SUMIF('Comités'!$B:$B,PPvsREal!$C$23,'Comités'!M:M)</f>
        <v>0</v>
      </c>
      <c r="N23" s="189">
        <f>SUMIF('Comités'!$B:$B,PPvsREal!$C$23,'Comités'!N:N)</f>
        <v>500</v>
      </c>
      <c r="O23" s="189">
        <f>SUMIF('Comités'!$B:$B,PPvsREal!$C$23,'Comités'!O:O)</f>
        <v>0</v>
      </c>
      <c r="P23" s="189">
        <f>SUMIF('Comités'!$B:$B,PPvsREal!$C$23,'Comités'!P:P)</f>
        <v>500</v>
      </c>
      <c r="Q23" s="189">
        <f>SUMIF('Comités'!$B:$B,PPvsREal!$C$23,'Comités'!Q:Q)</f>
        <v>0</v>
      </c>
      <c r="R23" s="189">
        <f>SUMIF('Comités'!$B:$B,PPvsREal!$C$23,'Comités'!R:R)</f>
        <v>500</v>
      </c>
      <c r="S23" s="189">
        <f>SUMIF('Comités'!$B:$B,PPvsREal!$C$23,'Comités'!S:S)</f>
        <v>0</v>
      </c>
      <c r="T23" s="189">
        <f>SUMIF('Comités'!$B:$B,PPvsREal!$C$23,'Comités'!T:T)</f>
        <v>500</v>
      </c>
      <c r="U23" s="189">
        <f>SUMIF('Comités'!$B:$B,PPvsREal!$C$23,'Comités'!U:U)</f>
        <v>0</v>
      </c>
      <c r="V23" s="189">
        <f>SUMIF('Comités'!$B:$B,PPvsREal!$C$23,'Comités'!V:V)</f>
        <v>500</v>
      </c>
      <c r="W23" s="189">
        <f>SUMIF('Comités'!$B:$B,PPvsREal!$C$23,'Comités'!W:W)</f>
        <v>0</v>
      </c>
      <c r="X23" s="189">
        <f>SUMIF('Comités'!$B:$B,PPvsREal!$C$23,'Comités'!X:X)</f>
        <v>500</v>
      </c>
      <c r="Y23" s="189">
        <f>SUMIF('Comités'!$B:$B,PPvsREal!$C$23,'Comités'!Y:Y)</f>
        <v>0</v>
      </c>
      <c r="Z23" s="189">
        <f>SUMIF('Comités'!$B:$B,PPvsREal!$C$23,'Comités'!Z:Z)</f>
        <v>0</v>
      </c>
      <c r="AA23" s="190">
        <f>SUMIF('Comités'!$B:$B,PPvsREal!$C$23,'Comités'!AA:AA)</f>
        <v>0</v>
      </c>
    </row>
    <row r="24" ht="12.75" customHeight="1">
      <c r="A24" s="111"/>
      <c r="B24" s="188" t="s">
        <v>21</v>
      </c>
      <c r="C24" s="2" t="s">
        <v>155</v>
      </c>
      <c r="D24" s="189">
        <f>SUMIF('Comités'!$B:$B,PPvsREal!$C$24,'Comités'!D:D)</f>
        <v>12000</v>
      </c>
      <c r="E24" s="189">
        <f>SUMIF('Comités'!$B:$B,PPvsREal!$C$24,'Comités'!E:E)</f>
        <v>0</v>
      </c>
      <c r="F24" s="189">
        <f>SUMIF('Comités'!$B:$B,PPvsREal!$C$24,'Comités'!F:F)</f>
        <v>12000</v>
      </c>
      <c r="G24" s="189">
        <f>SUMIF('Comités'!$B:$B,PPvsREal!$C$24,'Comités'!G:G)</f>
        <v>0</v>
      </c>
      <c r="H24" s="189">
        <f>SUMIF('Comités'!$B:$B,PPvsREal!$C$24,'Comités'!H:H)</f>
        <v>12000</v>
      </c>
      <c r="I24" s="189">
        <f>SUMIF('Comités'!$B:$B,PPvsREal!$C$24,'Comités'!I:I)</f>
        <v>0</v>
      </c>
      <c r="J24" s="189">
        <f>SUMIF('Comités'!$B:$B,PPvsREal!$C$24,'Comités'!J:J)</f>
        <v>12000</v>
      </c>
      <c r="K24" s="189">
        <f>SUMIF('Comités'!$B:$B,PPvsREal!$C$24,'Comités'!K:K)</f>
        <v>0</v>
      </c>
      <c r="L24" s="189">
        <f>SUMIF('Comités'!$B:$B,PPvsREal!$C$24,'Comités'!L:L)</f>
        <v>12000</v>
      </c>
      <c r="M24" s="189">
        <f>SUMIF('Comités'!$B:$B,PPvsREal!$C$24,'Comités'!M:M)</f>
        <v>0</v>
      </c>
      <c r="N24" s="189">
        <f>SUMIF('Comités'!$B:$B,PPvsREal!$C$24,'Comités'!N:N)</f>
        <v>12000</v>
      </c>
      <c r="O24" s="189">
        <f>SUMIF('Comités'!$B:$B,PPvsREal!$C$24,'Comités'!O:O)</f>
        <v>0</v>
      </c>
      <c r="P24" s="189">
        <f>SUMIF('Comités'!$B:$B,PPvsREal!$C$24,'Comités'!P:P)</f>
        <v>12000</v>
      </c>
      <c r="Q24" s="189">
        <f>SUMIF('Comités'!$B:$B,PPvsREal!$C$24,'Comités'!Q:Q)</f>
        <v>0</v>
      </c>
      <c r="R24" s="189">
        <f>SUMIF('Comités'!$B:$B,PPvsREal!$C$24,'Comités'!R:R)</f>
        <v>12000</v>
      </c>
      <c r="S24" s="189">
        <f>SUMIF('Comités'!$B:$B,PPvsREal!$C$24,'Comités'!S:S)</f>
        <v>0</v>
      </c>
      <c r="T24" s="189">
        <f>SUMIF('Comités'!$B:$B,PPvsREal!$C$24,'Comités'!T:T)</f>
        <v>12000</v>
      </c>
      <c r="U24" s="189">
        <f>SUMIF('Comités'!$B:$B,PPvsREal!$C$24,'Comités'!U:U)</f>
        <v>0</v>
      </c>
      <c r="V24" s="189">
        <f>SUMIF('Comités'!$B:$B,PPvsREal!$C$24,'Comités'!V:V)</f>
        <v>12000</v>
      </c>
      <c r="W24" s="189">
        <f>SUMIF('Comités'!$B:$B,PPvsREal!$C$24,'Comités'!W:W)</f>
        <v>0</v>
      </c>
      <c r="X24" s="189">
        <f>SUMIF('Comités'!$B:$B,PPvsREal!$C$24,'Comités'!X:X)</f>
        <v>12000</v>
      </c>
      <c r="Y24" s="189">
        <f>SUMIF('Comités'!$B:$B,PPvsREal!$C$24,'Comités'!Y:Y)</f>
        <v>0</v>
      </c>
      <c r="Z24" s="189">
        <f>SUMIF('Comités'!$B:$B,PPvsREal!$C$24,'Comités'!Z:Z)</f>
        <v>0</v>
      </c>
      <c r="AA24" s="190">
        <f>SUMIF('Comités'!$B:$B,PPvsREal!$C$24,'Comités'!AA:AA)</f>
        <v>0</v>
      </c>
    </row>
    <row r="25" ht="12.75" customHeight="1">
      <c r="A25" s="111"/>
      <c r="B25" s="188" t="s">
        <v>21</v>
      </c>
      <c r="C25" s="2" t="s">
        <v>156</v>
      </c>
      <c r="D25" s="189">
        <f>SUMIF('Comités'!$B:$B,PPvsREal!$C$25,'Comités'!D:D)</f>
        <v>12000</v>
      </c>
      <c r="E25" s="189">
        <f>SUMIF('Comités'!$B:$B,PPvsREal!$C$25,'Comités'!E:E)</f>
        <v>0</v>
      </c>
      <c r="F25" s="189">
        <f>SUMIF('Comités'!$B:$B,PPvsREal!$C$25,'Comités'!F:F)</f>
        <v>12000</v>
      </c>
      <c r="G25" s="189">
        <f>SUMIF('Comités'!$B:$B,PPvsREal!$C$25,'Comités'!G:G)</f>
        <v>0</v>
      </c>
      <c r="H25" s="189">
        <f>SUMIF('Comités'!$B:$B,PPvsREal!$C$25,'Comités'!H:H)</f>
        <v>12000</v>
      </c>
      <c r="I25" s="189">
        <f>SUMIF('Comités'!$B:$B,PPvsREal!$C$25,'Comités'!I:I)</f>
        <v>0</v>
      </c>
      <c r="J25" s="189">
        <f>SUMIF('Comités'!$B:$B,PPvsREal!$C$25,'Comités'!J:J)</f>
        <v>12000</v>
      </c>
      <c r="K25" s="189">
        <f>SUMIF('Comités'!$B:$B,PPvsREal!$C$25,'Comités'!K:K)</f>
        <v>0</v>
      </c>
      <c r="L25" s="189">
        <f>SUMIF('Comités'!$B:$B,PPvsREal!$C$25,'Comités'!L:L)</f>
        <v>12000</v>
      </c>
      <c r="M25" s="189">
        <f>SUMIF('Comités'!$B:$B,PPvsREal!$C$25,'Comités'!M:M)</f>
        <v>0</v>
      </c>
      <c r="N25" s="189">
        <f>SUMIF('Comités'!$B:$B,PPvsREal!$C$25,'Comités'!N:N)</f>
        <v>12000</v>
      </c>
      <c r="O25" s="189">
        <f>SUMIF('Comités'!$B:$B,PPvsREal!$C$25,'Comités'!O:O)</f>
        <v>0</v>
      </c>
      <c r="P25" s="189">
        <f>SUMIF('Comités'!$B:$B,PPvsREal!$C$25,'Comités'!P:P)</f>
        <v>12000</v>
      </c>
      <c r="Q25" s="189">
        <f>SUMIF('Comités'!$B:$B,PPvsREal!$C$25,'Comités'!Q:Q)</f>
        <v>0</v>
      </c>
      <c r="R25" s="189">
        <f>SUMIF('Comités'!$B:$B,PPvsREal!$C$25,'Comités'!R:R)</f>
        <v>12000</v>
      </c>
      <c r="S25" s="189">
        <f>SUMIF('Comités'!$B:$B,PPvsREal!$C$25,'Comités'!S:S)</f>
        <v>0</v>
      </c>
      <c r="T25" s="189">
        <f>SUMIF('Comités'!$B:$B,PPvsREal!$C$25,'Comités'!T:T)</f>
        <v>12000</v>
      </c>
      <c r="U25" s="189">
        <f>SUMIF('Comités'!$B:$B,PPvsREal!$C$25,'Comités'!U:U)</f>
        <v>0</v>
      </c>
      <c r="V25" s="189">
        <f>SUMIF('Comités'!$B:$B,PPvsREal!$C$25,'Comités'!V:V)</f>
        <v>12000</v>
      </c>
      <c r="W25" s="189">
        <f>SUMIF('Comités'!$B:$B,PPvsREal!$C$25,'Comités'!W:W)</f>
        <v>0</v>
      </c>
      <c r="X25" s="189">
        <f>SUMIF('Comités'!$B:$B,PPvsREal!$C$25,'Comités'!X:X)</f>
        <v>12000</v>
      </c>
      <c r="Y25" s="189">
        <f>SUMIF('Comités'!$B:$B,PPvsREal!$C$25,'Comités'!Y:Y)</f>
        <v>0</v>
      </c>
      <c r="Z25" s="189">
        <f>SUMIF('Comités'!$B:$B,PPvsREal!$C$25,'Comités'!Z:Z)</f>
        <v>0</v>
      </c>
      <c r="AA25" s="190">
        <f>SUMIF('Comités'!$B:$B,PPvsREal!$C$25,'Comités'!AA:AA)</f>
        <v>0</v>
      </c>
    </row>
    <row r="26" ht="12.75" customHeight="1">
      <c r="A26" s="111"/>
      <c r="B26" s="188" t="s">
        <v>21</v>
      </c>
      <c r="C26" s="97" t="s">
        <v>157</v>
      </c>
      <c r="D26" s="189">
        <f>SUMIF('Comités'!$B:$B,PPvsREal!$C$26,'Comités'!D:D)</f>
        <v>0</v>
      </c>
      <c r="E26" s="189">
        <f>SUMIF('Comités'!$B:$B,PPvsREal!$C$26,'Comités'!E:E)</f>
        <v>0</v>
      </c>
      <c r="F26" s="189">
        <f>SUMIF('Comités'!$B:$B,PPvsREal!$C$26,'Comités'!F:F)</f>
        <v>500</v>
      </c>
      <c r="G26" s="189">
        <f>SUMIF('Comités'!$B:$B,PPvsREal!$C$26,'Comités'!G:G)</f>
        <v>0</v>
      </c>
      <c r="H26" s="189">
        <f>SUMIF('Comités'!$B:$B,PPvsREal!$C$26,'Comités'!H:H)</f>
        <v>500</v>
      </c>
      <c r="I26" s="189">
        <f>SUMIF('Comités'!$B:$B,PPvsREal!$C$26,'Comités'!I:I)</f>
        <v>0</v>
      </c>
      <c r="J26" s="189">
        <f>SUMIF('Comités'!$B:$B,PPvsREal!$C$26,'Comités'!J:J)</f>
        <v>500</v>
      </c>
      <c r="K26" s="189">
        <f>SUMIF('Comités'!$B:$B,PPvsREal!$C$26,'Comités'!K:K)</f>
        <v>0</v>
      </c>
      <c r="L26" s="189">
        <f>SUMIF('Comités'!$B:$B,PPvsREal!$C$26,'Comités'!L:L)</f>
        <v>500</v>
      </c>
      <c r="M26" s="189">
        <f>SUMIF('Comités'!$B:$B,PPvsREal!$C$26,'Comités'!M:M)</f>
        <v>0</v>
      </c>
      <c r="N26" s="189">
        <f>SUMIF('Comités'!$B:$B,PPvsREal!$C$26,'Comités'!N:N)</f>
        <v>500</v>
      </c>
      <c r="O26" s="189">
        <f>SUMIF('Comités'!$B:$B,PPvsREal!$C$26,'Comités'!O:O)</f>
        <v>0</v>
      </c>
      <c r="P26" s="189">
        <f>SUMIF('Comités'!$B:$B,PPvsREal!$C$26,'Comités'!P:P)</f>
        <v>500</v>
      </c>
      <c r="Q26" s="189">
        <f>SUMIF('Comités'!$B:$B,PPvsREal!$C$26,'Comités'!Q:Q)</f>
        <v>0</v>
      </c>
      <c r="R26" s="189">
        <f>SUMIF('Comités'!$B:$B,PPvsREal!$C$26,'Comités'!R:R)</f>
        <v>500</v>
      </c>
      <c r="S26" s="189">
        <f>SUMIF('Comités'!$B:$B,PPvsREal!$C$26,'Comités'!S:S)</f>
        <v>0</v>
      </c>
      <c r="T26" s="189">
        <f>SUMIF('Comités'!$B:$B,PPvsREal!$C$26,'Comités'!T:T)</f>
        <v>500</v>
      </c>
      <c r="U26" s="189">
        <f>SUMIF('Comités'!$B:$B,PPvsREal!$C$26,'Comités'!U:U)</f>
        <v>0</v>
      </c>
      <c r="V26" s="189">
        <f>SUMIF('Comités'!$B:$B,PPvsREal!$C$26,'Comités'!V:V)</f>
        <v>500</v>
      </c>
      <c r="W26" s="189">
        <f>SUMIF('Comités'!$B:$B,PPvsREal!$C$26,'Comités'!W:W)</f>
        <v>0</v>
      </c>
      <c r="X26" s="189">
        <f>SUMIF('Comités'!$B:$B,PPvsREal!$C$26,'Comités'!X:X)</f>
        <v>500</v>
      </c>
      <c r="Y26" s="189">
        <f>SUMIF('Comités'!$B:$B,PPvsREal!$C$26,'Comités'!Y:Y)</f>
        <v>0</v>
      </c>
      <c r="Z26" s="189">
        <f>SUMIF('Comités'!$B:$B,PPvsREal!$C$26,'Comités'!Z:Z)</f>
        <v>0</v>
      </c>
      <c r="AA26" s="190">
        <f>SUMIF('Comités'!$B:$B,PPvsREal!$C$26,'Comités'!AA:AA)</f>
        <v>0</v>
      </c>
    </row>
    <row r="27" ht="12.75" customHeight="1">
      <c r="A27" s="111"/>
      <c r="B27" s="188" t="s">
        <v>21</v>
      </c>
      <c r="C27" s="2" t="s">
        <v>158</v>
      </c>
      <c r="D27" s="189">
        <f>SUMIF('Comités'!$B:$B,PPvsREal!$C$27,'Comités'!D:D)</f>
        <v>12000</v>
      </c>
      <c r="E27" s="189">
        <f>SUMIF('Comités'!$B:$B,PPvsREal!$C$27,'Comités'!E:E)</f>
        <v>0</v>
      </c>
      <c r="F27" s="189">
        <f>SUMIF('Comités'!$B:$B,PPvsREal!$C$27,'Comités'!F:F)</f>
        <v>12000</v>
      </c>
      <c r="G27" s="189">
        <f>SUMIF('Comités'!$B:$B,PPvsREal!$C$27,'Comités'!G:G)</f>
        <v>0</v>
      </c>
      <c r="H27" s="189">
        <f>SUMIF('Comités'!$B:$B,PPvsREal!$C$27,'Comités'!H:H)</f>
        <v>12000</v>
      </c>
      <c r="I27" s="189">
        <f>SUMIF('Comités'!$B:$B,PPvsREal!$C$27,'Comités'!I:I)</f>
        <v>0</v>
      </c>
      <c r="J27" s="189">
        <f>SUMIF('Comités'!$B:$B,PPvsREal!$C$27,'Comités'!J:J)</f>
        <v>12000</v>
      </c>
      <c r="K27" s="189">
        <f>SUMIF('Comités'!$B:$B,PPvsREal!$C$27,'Comités'!K:K)</f>
        <v>0</v>
      </c>
      <c r="L27" s="189">
        <f>SUMIF('Comités'!$B:$B,PPvsREal!$C$27,'Comités'!L:L)</f>
        <v>12000</v>
      </c>
      <c r="M27" s="189">
        <f>SUMIF('Comités'!$B:$B,PPvsREal!$C$27,'Comités'!M:M)</f>
        <v>0</v>
      </c>
      <c r="N27" s="189">
        <f>SUMIF('Comités'!$B:$B,PPvsREal!$C$27,'Comités'!N:N)</f>
        <v>12000</v>
      </c>
      <c r="O27" s="189">
        <f>SUMIF('Comités'!$B:$B,PPvsREal!$C$27,'Comités'!O:O)</f>
        <v>0</v>
      </c>
      <c r="P27" s="189">
        <f>SUMIF('Comités'!$B:$B,PPvsREal!$C$27,'Comités'!P:P)</f>
        <v>12000</v>
      </c>
      <c r="Q27" s="189">
        <f>SUMIF('Comités'!$B:$B,PPvsREal!$C$27,'Comités'!Q:Q)</f>
        <v>0</v>
      </c>
      <c r="R27" s="189">
        <f>SUMIF('Comités'!$B:$B,PPvsREal!$C$27,'Comités'!R:R)</f>
        <v>12000</v>
      </c>
      <c r="S27" s="189">
        <f>SUMIF('Comités'!$B:$B,PPvsREal!$C$27,'Comités'!S:S)</f>
        <v>0</v>
      </c>
      <c r="T27" s="189">
        <f>SUMIF('Comités'!$B:$B,PPvsREal!$C$27,'Comités'!T:T)</f>
        <v>12000</v>
      </c>
      <c r="U27" s="189">
        <f>SUMIF('Comités'!$B:$B,PPvsREal!$C$27,'Comités'!U:U)</f>
        <v>0</v>
      </c>
      <c r="V27" s="189">
        <f>SUMIF('Comités'!$B:$B,PPvsREal!$C$27,'Comités'!V:V)</f>
        <v>12000</v>
      </c>
      <c r="W27" s="189">
        <f>SUMIF('Comités'!$B:$B,PPvsREal!$C$27,'Comités'!W:W)</f>
        <v>0</v>
      </c>
      <c r="X27" s="189">
        <f>SUMIF('Comités'!$B:$B,PPvsREal!$C$27,'Comités'!X:X)</f>
        <v>12000</v>
      </c>
      <c r="Y27" s="189">
        <f>SUMIF('Comités'!$B:$B,PPvsREal!$C$27,'Comités'!Y:Y)</f>
        <v>0</v>
      </c>
      <c r="Z27" s="189">
        <f>SUMIF('Comités'!$B:$B,PPvsREal!$C$27,'Comités'!Z:Z)</f>
        <v>0</v>
      </c>
      <c r="AA27" s="190">
        <f>SUMIF('Comités'!$B:$B,PPvsREal!$C$27,'Comités'!AA:AA)</f>
        <v>0</v>
      </c>
    </row>
    <row r="28" ht="12.75" customHeight="1">
      <c r="A28" s="111"/>
      <c r="B28" s="188" t="s">
        <v>21</v>
      </c>
      <c r="C28" s="2" t="s">
        <v>159</v>
      </c>
      <c r="D28" s="189">
        <f>SUMIF('Comités'!$B:$B,PPvsREal!$C$28,'Comités'!D:D)</f>
        <v>0</v>
      </c>
      <c r="E28" s="189">
        <f>SUMIF('Comités'!$B:$B,PPvsREal!$C$28,'Comités'!E:E)</f>
        <v>0</v>
      </c>
      <c r="F28" s="189">
        <f>SUMIF('Comités'!$B:$B,PPvsREal!$C$28,'Comités'!F:F)</f>
        <v>500</v>
      </c>
      <c r="G28" s="189">
        <f>SUMIF('Comités'!$B:$B,PPvsREal!$C$28,'Comités'!G:G)</f>
        <v>0</v>
      </c>
      <c r="H28" s="189">
        <f>SUMIF('Comités'!$B:$B,PPvsREal!$C$28,'Comités'!H:H)</f>
        <v>500</v>
      </c>
      <c r="I28" s="189">
        <f>SUMIF('Comités'!$B:$B,PPvsREal!$C$28,'Comités'!I:I)</f>
        <v>0</v>
      </c>
      <c r="J28" s="189">
        <f>SUMIF('Comités'!$B:$B,PPvsREal!$C$28,'Comités'!J:J)</f>
        <v>500</v>
      </c>
      <c r="K28" s="189">
        <f>SUMIF('Comités'!$B:$B,PPvsREal!$C$28,'Comités'!K:K)</f>
        <v>0</v>
      </c>
      <c r="L28" s="189">
        <f>SUMIF('Comités'!$B:$B,PPvsREal!$C$28,'Comités'!L:L)</f>
        <v>500</v>
      </c>
      <c r="M28" s="189">
        <f>SUMIF('Comités'!$B:$B,PPvsREal!$C$28,'Comités'!M:M)</f>
        <v>0</v>
      </c>
      <c r="N28" s="189">
        <f>SUMIF('Comités'!$B:$B,PPvsREal!$C$28,'Comités'!N:N)</f>
        <v>500</v>
      </c>
      <c r="O28" s="189">
        <f>SUMIF('Comités'!$B:$B,PPvsREal!$C$28,'Comités'!O:O)</f>
        <v>0</v>
      </c>
      <c r="P28" s="189">
        <f>SUMIF('Comités'!$B:$B,PPvsREal!$C$28,'Comités'!P:P)</f>
        <v>500</v>
      </c>
      <c r="Q28" s="189">
        <f>SUMIF('Comités'!$B:$B,PPvsREal!$C$28,'Comités'!Q:Q)</f>
        <v>0</v>
      </c>
      <c r="R28" s="189">
        <f>SUMIF('Comités'!$B:$B,PPvsREal!$C$28,'Comités'!R:R)</f>
        <v>500</v>
      </c>
      <c r="S28" s="189">
        <f>SUMIF('Comités'!$B:$B,PPvsREal!$C$28,'Comités'!S:S)</f>
        <v>0</v>
      </c>
      <c r="T28" s="189">
        <f>SUMIF('Comités'!$B:$B,PPvsREal!$C$28,'Comités'!T:T)</f>
        <v>500</v>
      </c>
      <c r="U28" s="189">
        <f>SUMIF('Comités'!$B:$B,PPvsREal!$C$28,'Comités'!U:U)</f>
        <v>0</v>
      </c>
      <c r="V28" s="189">
        <f>SUMIF('Comités'!$B:$B,PPvsREal!$C$28,'Comités'!V:V)</f>
        <v>500</v>
      </c>
      <c r="W28" s="189">
        <f>SUMIF('Comités'!$B:$B,PPvsREal!$C$28,'Comités'!W:W)</f>
        <v>0</v>
      </c>
      <c r="X28" s="189">
        <f>SUMIF('Comités'!$B:$B,PPvsREal!$C$28,'Comités'!X:X)</f>
        <v>500</v>
      </c>
      <c r="Y28" s="189">
        <f>SUMIF('Comités'!$B:$B,PPvsREal!$C$28,'Comités'!Y:Y)</f>
        <v>0</v>
      </c>
      <c r="Z28" s="189">
        <f>SUMIF('Comités'!$B:$B,PPvsREal!$C$28,'Comités'!Z:Z)</f>
        <v>0</v>
      </c>
      <c r="AA28" s="190">
        <f>SUMIF('Comités'!$B:$B,PPvsREal!$C$28,'Comités'!AA:AA)</f>
        <v>0</v>
      </c>
    </row>
    <row r="29" ht="12.75" customHeight="1">
      <c r="A29" s="111"/>
      <c r="B29" s="188" t="s">
        <v>21</v>
      </c>
      <c r="C29" s="2" t="s">
        <v>160</v>
      </c>
      <c r="D29" s="189">
        <f>SUMIF('Comités'!$B:$B,PPvsREal!$C$29,'Comités'!D:D)</f>
        <v>0</v>
      </c>
      <c r="E29" s="189">
        <f>SUMIF('Comités'!$B:$B,PPvsREal!$C$29,'Comités'!E:E)</f>
        <v>0</v>
      </c>
      <c r="F29" s="189">
        <f>SUMIF('Comités'!$B:$B,PPvsREal!$C$29,'Comités'!F:F)</f>
        <v>500</v>
      </c>
      <c r="G29" s="189">
        <f>SUMIF('Comités'!$B:$B,PPvsREal!$C$29,'Comités'!G:G)</f>
        <v>0</v>
      </c>
      <c r="H29" s="189">
        <f>SUMIF('Comités'!$B:$B,PPvsREal!$C$29,'Comités'!H:H)</f>
        <v>500</v>
      </c>
      <c r="I29" s="189">
        <f>SUMIF('Comités'!$B:$B,PPvsREal!$C$29,'Comités'!I:I)</f>
        <v>0</v>
      </c>
      <c r="J29" s="189">
        <f>SUMIF('Comités'!$B:$B,PPvsREal!$C$29,'Comités'!J:J)</f>
        <v>500</v>
      </c>
      <c r="K29" s="189">
        <f>SUMIF('Comités'!$B:$B,PPvsREal!$C$29,'Comités'!K:K)</f>
        <v>0</v>
      </c>
      <c r="L29" s="189">
        <f>SUMIF('Comités'!$B:$B,PPvsREal!$C$29,'Comités'!L:L)</f>
        <v>500</v>
      </c>
      <c r="M29" s="189">
        <f>SUMIF('Comités'!$B:$B,PPvsREal!$C$29,'Comités'!M:M)</f>
        <v>0</v>
      </c>
      <c r="N29" s="189">
        <f>SUMIF('Comités'!$B:$B,PPvsREal!$C$29,'Comités'!N:N)</f>
        <v>500</v>
      </c>
      <c r="O29" s="189">
        <f>SUMIF('Comités'!$B:$B,PPvsREal!$C$29,'Comités'!O:O)</f>
        <v>0</v>
      </c>
      <c r="P29" s="189">
        <f>SUMIF('Comités'!$B:$B,PPvsREal!$C$29,'Comités'!P:P)</f>
        <v>500</v>
      </c>
      <c r="Q29" s="189">
        <f>SUMIF('Comités'!$B:$B,PPvsREal!$C$29,'Comités'!Q:Q)</f>
        <v>0</v>
      </c>
      <c r="R29" s="189">
        <f>SUMIF('Comités'!$B:$B,PPvsREal!$C$29,'Comités'!R:R)</f>
        <v>500</v>
      </c>
      <c r="S29" s="189">
        <f>SUMIF('Comités'!$B:$B,PPvsREal!$C$29,'Comités'!S:S)</f>
        <v>0</v>
      </c>
      <c r="T29" s="189">
        <f>SUMIF('Comités'!$B:$B,PPvsREal!$C$29,'Comités'!T:T)</f>
        <v>500</v>
      </c>
      <c r="U29" s="189">
        <f>SUMIF('Comités'!$B:$B,PPvsREal!$C$29,'Comités'!U:U)</f>
        <v>0</v>
      </c>
      <c r="V29" s="189">
        <f>SUMIF('Comités'!$B:$B,PPvsREal!$C$29,'Comités'!V:V)</f>
        <v>500</v>
      </c>
      <c r="W29" s="189">
        <f>SUMIF('Comités'!$B:$B,PPvsREal!$C$29,'Comités'!W:W)</f>
        <v>0</v>
      </c>
      <c r="X29" s="189">
        <f>SUMIF('Comités'!$B:$B,PPvsREal!$C$29,'Comités'!X:X)</f>
        <v>500</v>
      </c>
      <c r="Y29" s="189">
        <f>SUMIF('Comités'!$B:$B,PPvsREal!$C$29,'Comités'!Y:Y)</f>
        <v>0</v>
      </c>
      <c r="Z29" s="189">
        <f>SUMIF('Comités'!$B:$B,PPvsREal!$C$29,'Comités'!Z:Z)</f>
        <v>0</v>
      </c>
      <c r="AA29" s="190">
        <f>SUMIF('Comités'!$B:$B,PPvsREal!$C$29,'Comités'!AA:AA)</f>
        <v>0</v>
      </c>
    </row>
    <row r="30" ht="12.75" customHeight="1">
      <c r="A30" s="111"/>
      <c r="B30" s="188" t="s">
        <v>21</v>
      </c>
      <c r="C30" s="2" t="s">
        <v>161</v>
      </c>
      <c r="D30" s="189">
        <f>SUMIF('Comités'!$B:$B,PPvsREal!$C$30,'Comités'!D:D)</f>
        <v>0</v>
      </c>
      <c r="E30" s="189">
        <f>SUMIF('Comités'!$B:$B,PPvsREal!$C$30,'Comités'!E:E)</f>
        <v>0</v>
      </c>
      <c r="F30" s="189">
        <f>SUMIF('Comités'!$B:$B,PPvsREal!$C$30,'Comités'!F:F)</f>
        <v>500</v>
      </c>
      <c r="G30" s="189">
        <f>SUMIF('Comités'!$B:$B,PPvsREal!$C$30,'Comités'!G:G)</f>
        <v>0</v>
      </c>
      <c r="H30" s="189">
        <f>SUMIF('Comités'!$B:$B,PPvsREal!$C$30,'Comités'!H:H)</f>
        <v>500</v>
      </c>
      <c r="I30" s="189">
        <f>SUMIF('Comités'!$B:$B,PPvsREal!$C$30,'Comités'!I:I)</f>
        <v>0</v>
      </c>
      <c r="J30" s="189">
        <f>SUMIF('Comités'!$B:$B,PPvsREal!$C$30,'Comités'!J:J)</f>
        <v>500</v>
      </c>
      <c r="K30" s="189">
        <f>SUMIF('Comités'!$B:$B,PPvsREal!$C$30,'Comités'!K:K)</f>
        <v>0</v>
      </c>
      <c r="L30" s="189">
        <f>SUMIF('Comités'!$B:$B,PPvsREal!$C$30,'Comités'!L:L)</f>
        <v>500</v>
      </c>
      <c r="M30" s="189">
        <f>SUMIF('Comités'!$B:$B,PPvsREal!$C$30,'Comités'!M:M)</f>
        <v>0</v>
      </c>
      <c r="N30" s="189">
        <f>SUMIF('Comités'!$B:$B,PPvsREal!$C$30,'Comités'!N:N)</f>
        <v>500</v>
      </c>
      <c r="O30" s="189">
        <f>SUMIF('Comités'!$B:$B,PPvsREal!$C$30,'Comités'!O:O)</f>
        <v>0</v>
      </c>
      <c r="P30" s="189">
        <f>SUMIF('Comités'!$B:$B,PPvsREal!$C$30,'Comités'!P:P)</f>
        <v>500</v>
      </c>
      <c r="Q30" s="189">
        <f>SUMIF('Comités'!$B:$B,PPvsREal!$C$30,'Comités'!Q:Q)</f>
        <v>0</v>
      </c>
      <c r="R30" s="189">
        <f>SUMIF('Comités'!$B:$B,PPvsREal!$C$30,'Comités'!R:R)</f>
        <v>500</v>
      </c>
      <c r="S30" s="189">
        <f>SUMIF('Comités'!$B:$B,PPvsREal!$C$30,'Comités'!S:S)</f>
        <v>0</v>
      </c>
      <c r="T30" s="189">
        <f>SUMIF('Comités'!$B:$B,PPvsREal!$C$30,'Comités'!T:T)</f>
        <v>500</v>
      </c>
      <c r="U30" s="189">
        <f>SUMIF('Comités'!$B:$B,PPvsREal!$C$30,'Comités'!U:U)</f>
        <v>0</v>
      </c>
      <c r="V30" s="189">
        <f>SUMIF('Comités'!$B:$B,PPvsREal!$C$30,'Comités'!V:V)</f>
        <v>500</v>
      </c>
      <c r="W30" s="189">
        <f>SUMIF('Comités'!$B:$B,PPvsREal!$C$30,'Comités'!W:W)</f>
        <v>0</v>
      </c>
      <c r="X30" s="189">
        <f>SUMIF('Comités'!$B:$B,PPvsREal!$C$30,'Comités'!X:X)</f>
        <v>500</v>
      </c>
      <c r="Y30" s="189">
        <f>SUMIF('Comités'!$B:$B,PPvsREal!$C$30,'Comités'!Y:Y)</f>
        <v>0</v>
      </c>
      <c r="Z30" s="189">
        <f>SUMIF('Comités'!$B:$B,PPvsREal!$C$30,'Comités'!Z:Z)</f>
        <v>0</v>
      </c>
      <c r="AA30" s="190">
        <f>SUMIF('Comités'!$B:$B,PPvsREal!$C$30,'Comités'!AA:AA)</f>
        <v>0</v>
      </c>
    </row>
    <row r="31" ht="12.75" customHeight="1">
      <c r="A31" s="111"/>
      <c r="B31" s="188" t="s">
        <v>21</v>
      </c>
      <c r="C31" s="2" t="s">
        <v>162</v>
      </c>
      <c r="D31" s="189">
        <f>SUMIF('Comités'!$B:$B,PPvsREal!$C$31,'Comités'!D:D)</f>
        <v>0</v>
      </c>
      <c r="E31" s="189">
        <f>SUMIF('Comités'!$B:$B,PPvsREal!$C$31,'Comités'!E:E)</f>
        <v>0</v>
      </c>
      <c r="F31" s="189">
        <f>SUMIF('Comités'!$B:$B,PPvsREal!$C$31,'Comités'!F:F)</f>
        <v>500</v>
      </c>
      <c r="G31" s="189">
        <f>SUMIF('Comités'!$B:$B,PPvsREal!$C$31,'Comités'!G:G)</f>
        <v>0</v>
      </c>
      <c r="H31" s="189">
        <f>SUMIF('Comités'!$B:$B,PPvsREal!$C$31,'Comités'!H:H)</f>
        <v>500</v>
      </c>
      <c r="I31" s="189">
        <f>SUMIF('Comités'!$B:$B,PPvsREal!$C$31,'Comités'!I:I)</f>
        <v>0</v>
      </c>
      <c r="J31" s="189">
        <f>SUMIF('Comités'!$B:$B,PPvsREal!$C$31,'Comités'!J:J)</f>
        <v>500</v>
      </c>
      <c r="K31" s="189">
        <f>SUMIF('Comités'!$B:$B,PPvsREal!$C$31,'Comités'!K:K)</f>
        <v>0</v>
      </c>
      <c r="L31" s="189">
        <f>SUMIF('Comités'!$B:$B,PPvsREal!$C$31,'Comités'!L:L)</f>
        <v>500</v>
      </c>
      <c r="M31" s="189">
        <f>SUMIF('Comités'!$B:$B,PPvsREal!$C$31,'Comités'!M:M)</f>
        <v>0</v>
      </c>
      <c r="N31" s="189">
        <f>SUMIF('Comités'!$B:$B,PPvsREal!$C$31,'Comités'!N:N)</f>
        <v>500</v>
      </c>
      <c r="O31" s="189">
        <f>SUMIF('Comités'!$B:$B,PPvsREal!$C$31,'Comités'!O:O)</f>
        <v>0</v>
      </c>
      <c r="P31" s="189">
        <f>SUMIF('Comités'!$B:$B,PPvsREal!$C$31,'Comités'!P:P)</f>
        <v>500</v>
      </c>
      <c r="Q31" s="189">
        <f>SUMIF('Comités'!$B:$B,PPvsREal!$C$31,'Comités'!Q:Q)</f>
        <v>0</v>
      </c>
      <c r="R31" s="189">
        <f>SUMIF('Comités'!$B:$B,PPvsREal!$C$31,'Comités'!R:R)</f>
        <v>500</v>
      </c>
      <c r="S31" s="189">
        <f>SUMIF('Comités'!$B:$B,PPvsREal!$C$31,'Comités'!S:S)</f>
        <v>0</v>
      </c>
      <c r="T31" s="189">
        <f>SUMIF('Comités'!$B:$B,PPvsREal!$C$31,'Comités'!T:T)</f>
        <v>500</v>
      </c>
      <c r="U31" s="189">
        <f>SUMIF('Comités'!$B:$B,PPvsREal!$C$31,'Comités'!U:U)</f>
        <v>0</v>
      </c>
      <c r="V31" s="189">
        <f>SUMIF('Comités'!$B:$B,PPvsREal!$C$31,'Comités'!V:V)</f>
        <v>500</v>
      </c>
      <c r="W31" s="189">
        <f>SUMIF('Comités'!$B:$B,PPvsREal!$C$31,'Comités'!W:W)</f>
        <v>0</v>
      </c>
      <c r="X31" s="189">
        <f>SUMIF('Comités'!$B:$B,PPvsREal!$C$31,'Comités'!X:X)</f>
        <v>500</v>
      </c>
      <c r="Y31" s="189">
        <f>SUMIF('Comités'!$B:$B,PPvsREal!$C$31,'Comités'!Y:Y)</f>
        <v>0</v>
      </c>
      <c r="Z31" s="189">
        <f>SUMIF('Comités'!$B:$B,PPvsREal!$C$31,'Comités'!Z:Z)</f>
        <v>0</v>
      </c>
      <c r="AA31" s="190">
        <f>SUMIF('Comités'!$B:$B,PPvsREal!$C$31,'Comités'!AA:AA)</f>
        <v>0</v>
      </c>
    </row>
    <row r="32" ht="12.75" customHeight="1">
      <c r="A32" s="111"/>
      <c r="B32" s="188" t="s">
        <v>21</v>
      </c>
      <c r="C32" s="2" t="s">
        <v>163</v>
      </c>
      <c r="D32" s="189">
        <f>SUMIF('Comités'!$B:$B,PPvsREal!$C$32,'Comités'!D:D)</f>
        <v>0</v>
      </c>
      <c r="E32" s="189">
        <f>SUMIF('Comités'!$B:$B,PPvsREal!$C$32,'Comités'!E:E)</f>
        <v>0</v>
      </c>
      <c r="F32" s="189">
        <f>SUMIF('Comités'!$B:$B,PPvsREal!$C$32,'Comités'!F:F)</f>
        <v>500</v>
      </c>
      <c r="G32" s="189">
        <f>SUMIF('Comités'!$B:$B,PPvsREal!$C$32,'Comités'!G:G)</f>
        <v>0</v>
      </c>
      <c r="H32" s="189">
        <f>SUMIF('Comités'!$B:$B,PPvsREal!$C$32,'Comités'!H:H)</f>
        <v>500</v>
      </c>
      <c r="I32" s="189">
        <f>SUMIF('Comités'!$B:$B,PPvsREal!$C$32,'Comités'!I:I)</f>
        <v>0</v>
      </c>
      <c r="J32" s="189">
        <f>SUMIF('Comités'!$B:$B,PPvsREal!$C$32,'Comités'!J:J)</f>
        <v>500</v>
      </c>
      <c r="K32" s="189">
        <f>SUMIF('Comités'!$B:$B,PPvsREal!$C$32,'Comités'!K:K)</f>
        <v>0</v>
      </c>
      <c r="L32" s="189">
        <f>SUMIF('Comités'!$B:$B,PPvsREal!$C$32,'Comités'!L:L)</f>
        <v>500</v>
      </c>
      <c r="M32" s="189">
        <f>SUMIF('Comités'!$B:$B,PPvsREal!$C$32,'Comités'!M:M)</f>
        <v>0</v>
      </c>
      <c r="N32" s="189">
        <f>SUMIF('Comités'!$B:$B,PPvsREal!$C$32,'Comités'!N:N)</f>
        <v>500</v>
      </c>
      <c r="O32" s="189">
        <f>SUMIF('Comités'!$B:$B,PPvsREal!$C$32,'Comités'!O:O)</f>
        <v>0</v>
      </c>
      <c r="P32" s="189">
        <f>SUMIF('Comités'!$B:$B,PPvsREal!$C$32,'Comités'!P:P)</f>
        <v>500</v>
      </c>
      <c r="Q32" s="189">
        <f>SUMIF('Comités'!$B:$B,PPvsREal!$C$32,'Comités'!Q:Q)</f>
        <v>0</v>
      </c>
      <c r="R32" s="189">
        <f>SUMIF('Comités'!$B:$B,PPvsREal!$C$32,'Comités'!R:R)</f>
        <v>500</v>
      </c>
      <c r="S32" s="189">
        <f>SUMIF('Comités'!$B:$B,PPvsREal!$C$32,'Comités'!S:S)</f>
        <v>0</v>
      </c>
      <c r="T32" s="189">
        <f>SUMIF('Comités'!$B:$B,PPvsREal!$C$32,'Comités'!T:T)</f>
        <v>500</v>
      </c>
      <c r="U32" s="189">
        <f>SUMIF('Comités'!$B:$B,PPvsREal!$C$32,'Comités'!U:U)</f>
        <v>0</v>
      </c>
      <c r="V32" s="189">
        <f>SUMIF('Comités'!$B:$B,PPvsREal!$C$32,'Comités'!V:V)</f>
        <v>500</v>
      </c>
      <c r="W32" s="189">
        <f>SUMIF('Comités'!$B:$B,PPvsREal!$C$32,'Comités'!W:W)</f>
        <v>0</v>
      </c>
      <c r="X32" s="189">
        <f>SUMIF('Comités'!$B:$B,PPvsREal!$C$32,'Comités'!X:X)</f>
        <v>500</v>
      </c>
      <c r="Y32" s="189">
        <f>SUMIF('Comités'!$B:$B,PPvsREal!$C$32,'Comités'!Y:Y)</f>
        <v>0</v>
      </c>
      <c r="Z32" s="189">
        <f>SUMIF('Comités'!$B:$B,PPvsREal!$C$32,'Comités'!Z:Z)</f>
        <v>0</v>
      </c>
      <c r="AA32" s="190">
        <f>SUMIF('Comités'!$B:$B,PPvsREal!$C$32,'Comités'!AA:AA)</f>
        <v>0</v>
      </c>
    </row>
    <row r="33" ht="12.75" customHeight="1">
      <c r="A33" s="111"/>
      <c r="B33" s="188" t="s">
        <v>21</v>
      </c>
      <c r="C33" s="2" t="s">
        <v>164</v>
      </c>
      <c r="D33" s="189">
        <f>SUMIF('Comités'!$B:$B,$C$33,'Comités'!D:D)</f>
        <v>0</v>
      </c>
      <c r="E33" s="189">
        <f>SUMIF('Comités'!$B:$B,$C$33,'Comités'!E:E)</f>
        <v>0</v>
      </c>
      <c r="F33" s="189">
        <f>SUMIF('Comités'!$B:$B,$C$33,'Comités'!F:F)</f>
        <v>500</v>
      </c>
      <c r="G33" s="189">
        <f>SUMIF('Comités'!$B:$B,$C$33,'Comités'!G:G)</f>
        <v>0</v>
      </c>
      <c r="H33" s="189">
        <f>SUMIF('Comités'!$B:$B,$C$33,'Comités'!H:H)</f>
        <v>500</v>
      </c>
      <c r="I33" s="189">
        <f>SUMIF('Comités'!$B:$B,$C$33,'Comités'!I:I)</f>
        <v>0</v>
      </c>
      <c r="J33" s="189">
        <f>SUMIF('Comités'!$B:$B,$C$33,'Comités'!J:J)</f>
        <v>500</v>
      </c>
      <c r="K33" s="189">
        <f>SUMIF('Comités'!$B:$B,$C$33,'Comités'!K:K)</f>
        <v>0</v>
      </c>
      <c r="L33" s="189">
        <f>SUMIF('Comités'!$B:$B,$C$33,'Comités'!L:L)</f>
        <v>500</v>
      </c>
      <c r="M33" s="189">
        <f>SUMIF('Comités'!$B:$B,$C$33,'Comités'!M:M)</f>
        <v>0</v>
      </c>
      <c r="N33" s="189">
        <f>SUMIF('Comités'!$B:$B,$C$33,'Comités'!N:N)</f>
        <v>500</v>
      </c>
      <c r="O33" s="189">
        <f>SUMIF('Comités'!$B:$B,$C$33,'Comités'!O:O)</f>
        <v>0</v>
      </c>
      <c r="P33" s="189">
        <f>SUMIF('Comités'!$B:$B,$C$33,'Comités'!P:P)</f>
        <v>500</v>
      </c>
      <c r="Q33" s="189">
        <f>SUMIF('Comités'!$B:$B,$C$33,'Comités'!Q:Q)</f>
        <v>0</v>
      </c>
      <c r="R33" s="189">
        <f>SUMIF('Comités'!$B:$B,$C$33,'Comités'!R:R)</f>
        <v>500</v>
      </c>
      <c r="S33" s="189">
        <f>SUMIF('Comités'!$B:$B,$C$33,'Comités'!S:S)</f>
        <v>0</v>
      </c>
      <c r="T33" s="189">
        <f>SUMIF('Comités'!$B:$B,$C$33,'Comités'!T:T)</f>
        <v>500</v>
      </c>
      <c r="U33" s="189">
        <f>SUMIF('Comités'!$B:$B,$C$33,'Comités'!U:U)</f>
        <v>0</v>
      </c>
      <c r="V33" s="189">
        <f>SUMIF('Comités'!$B:$B,$C$33,'Comités'!V:V)</f>
        <v>500</v>
      </c>
      <c r="W33" s="189">
        <f>SUMIF('Comités'!$B:$B,$C$33,'Comités'!W:W)</f>
        <v>0</v>
      </c>
      <c r="X33" s="189">
        <f>SUMIF('Comités'!$B:$B,$C$33,'Comités'!X:X)</f>
        <v>500</v>
      </c>
      <c r="Y33" s="189">
        <f>SUMIF('Comités'!$B:$B,$C$33,'Comités'!Y:Y)</f>
        <v>0</v>
      </c>
      <c r="Z33" s="189">
        <f>SUMIF('Comités'!$B:$B,$C$33,'Comités'!Z:Z)</f>
        <v>0</v>
      </c>
      <c r="AA33" s="190">
        <f>SUMIF('Comités'!$B:$B,$C$33,'Comités'!AA:AA)</f>
        <v>0</v>
      </c>
    </row>
    <row r="34" ht="12.75" customHeight="1">
      <c r="A34" s="111"/>
      <c r="B34" s="188" t="s">
        <v>21</v>
      </c>
      <c r="C34" s="97" t="s">
        <v>165</v>
      </c>
      <c r="D34" s="189">
        <f>SUMIF('Comités'!$B:$B,$C$34,'Comités'!D:D)</f>
        <v>0</v>
      </c>
      <c r="E34" s="189">
        <f>SUMIF('Comités'!$B:$B,$C$34,'Comités'!E:E)</f>
        <v>0</v>
      </c>
      <c r="F34" s="189">
        <f>SUMIF('Comités'!$B:$B,$C$34,'Comités'!F:F)</f>
        <v>500</v>
      </c>
      <c r="G34" s="189">
        <f>SUMIF('Comités'!$B:$B,$C$34,'Comités'!G:G)</f>
        <v>0</v>
      </c>
      <c r="H34" s="189">
        <f>SUMIF('Comités'!$B:$B,$C$34,'Comités'!H:H)</f>
        <v>500</v>
      </c>
      <c r="I34" s="189">
        <f>SUMIF('Comités'!$B:$B,$C$34,'Comités'!I:I)</f>
        <v>0</v>
      </c>
      <c r="J34" s="189">
        <f>SUMIF('Comités'!$B:$B,$C$34,'Comités'!J:J)</f>
        <v>500</v>
      </c>
      <c r="K34" s="189">
        <f>SUMIF('Comités'!$B:$B,$C$34,'Comités'!K:K)</f>
        <v>0</v>
      </c>
      <c r="L34" s="189">
        <f>SUMIF('Comités'!$B:$B,$C$34,'Comités'!L:L)</f>
        <v>500</v>
      </c>
      <c r="M34" s="189">
        <f>SUMIF('Comités'!$B:$B,$C$34,'Comités'!M:M)</f>
        <v>0</v>
      </c>
      <c r="N34" s="189">
        <f>SUMIF('Comités'!$B:$B,$C$34,'Comités'!N:N)</f>
        <v>500</v>
      </c>
      <c r="O34" s="189">
        <f>SUMIF('Comités'!$B:$B,$C$34,'Comités'!O:O)</f>
        <v>0</v>
      </c>
      <c r="P34" s="189">
        <f>SUMIF('Comités'!$B:$B,$C$34,'Comités'!P:P)</f>
        <v>500</v>
      </c>
      <c r="Q34" s="189">
        <f>SUMIF('Comités'!$B:$B,$C$34,'Comités'!Q:Q)</f>
        <v>0</v>
      </c>
      <c r="R34" s="189">
        <f>SUMIF('Comités'!$B:$B,$C$34,'Comités'!R:R)</f>
        <v>500</v>
      </c>
      <c r="S34" s="189">
        <f>SUMIF('Comités'!$B:$B,$C$34,'Comités'!S:S)</f>
        <v>0</v>
      </c>
      <c r="T34" s="189">
        <f>SUMIF('Comités'!$B:$B,$C$34,'Comités'!T:T)</f>
        <v>500</v>
      </c>
      <c r="U34" s="189">
        <f>SUMIF('Comités'!$B:$B,$C$34,'Comités'!U:U)</f>
        <v>0</v>
      </c>
      <c r="V34" s="189">
        <f>SUMIF('Comités'!$B:$B,$C$34,'Comités'!V:V)</f>
        <v>500</v>
      </c>
      <c r="W34" s="189">
        <f>SUMIF('Comités'!$B:$B,$C$34,'Comités'!W:W)</f>
        <v>0</v>
      </c>
      <c r="X34" s="189">
        <f>SUMIF('Comités'!$B:$B,$C$34,'Comités'!X:X)</f>
        <v>500</v>
      </c>
      <c r="Y34" s="189">
        <f>SUMIF('Comités'!$B:$B,$C$34,'Comités'!Y:Y)</f>
        <v>0</v>
      </c>
      <c r="Z34" s="189">
        <f>SUMIF('Comités'!$B:$B,$C$34,'Comités'!Z:Z)</f>
        <v>0</v>
      </c>
      <c r="AA34" s="190">
        <f>SUMIF('Comités'!$B:$B,$C$34,'Comités'!AA:AA)</f>
        <v>0</v>
      </c>
    </row>
    <row r="35" ht="12.75" customHeight="1">
      <c r="A35" s="111"/>
      <c r="B35" s="188" t="s">
        <v>21</v>
      </c>
      <c r="C35" s="2" t="s">
        <v>167</v>
      </c>
      <c r="D35" s="189">
        <f>SUMIF('Comités'!$B:$B,$C$35,'Comités'!D:D)</f>
        <v>0</v>
      </c>
      <c r="E35" s="189">
        <f>SUMIF('Comités'!$B:$B,$C$35,'Comités'!E:E)</f>
        <v>0</v>
      </c>
      <c r="F35" s="189">
        <f>SUMIF('Comités'!$B:$B,$C$35,'Comités'!F:F)</f>
        <v>0</v>
      </c>
      <c r="G35" s="189">
        <f>SUMIF('Comités'!$B:$B,$C$35,'Comités'!G:G)</f>
        <v>0</v>
      </c>
      <c r="H35" s="189">
        <f>SUMIF('Comités'!$B:$B,$C$35,'Comités'!H:H)</f>
        <v>0</v>
      </c>
      <c r="I35" s="189">
        <f>SUMIF('Comités'!$B:$B,$C$35,'Comités'!I:I)</f>
        <v>0</v>
      </c>
      <c r="J35" s="189">
        <f>SUMIF('Comités'!$B:$B,$C$35,'Comités'!J:J)</f>
        <v>0</v>
      </c>
      <c r="K35" s="189">
        <f>SUMIF('Comités'!$B:$B,$C$35,'Comités'!K:K)</f>
        <v>0</v>
      </c>
      <c r="L35" s="189">
        <f>SUMIF('Comités'!$B:$B,$C$35,'Comités'!L:L)</f>
        <v>357564.9</v>
      </c>
      <c r="M35" s="189">
        <f>SUMIF('Comités'!$B:$B,$C$35,'Comités'!M:M)</f>
        <v>0</v>
      </c>
      <c r="N35" s="189">
        <f>SUMIF('Comités'!$B:$B,$C$35,'Comités'!N:N)</f>
        <v>3352.745</v>
      </c>
      <c r="O35" s="189">
        <f>SUMIF('Comités'!$B:$B,$C$35,'Comités'!O:O)</f>
        <v>0</v>
      </c>
      <c r="P35" s="189">
        <f>SUMIF('Comités'!$B:$B,$C$35,'Comités'!P:P)</f>
        <v>4062.531</v>
      </c>
      <c r="Q35" s="189">
        <f>SUMIF('Comités'!$B:$B,$C$35,'Comités'!Q:Q)</f>
        <v>0</v>
      </c>
      <c r="R35" s="189">
        <f>SUMIF('Comités'!$B:$B,$C$35,'Comités'!R:R)</f>
        <v>72123.964</v>
      </c>
      <c r="S35" s="189">
        <f>SUMIF('Comités'!$B:$B,$C$35,'Comités'!S:S)</f>
        <v>0</v>
      </c>
      <c r="T35" s="189">
        <f>SUMIF('Comités'!$B:$B,$C$35,'Comités'!T:T)</f>
        <v>5170.869</v>
      </c>
      <c r="U35" s="189">
        <f>SUMIF('Comités'!$B:$B,$C$35,'Comités'!U:U)</f>
        <v>0</v>
      </c>
      <c r="V35" s="189">
        <f>SUMIF('Comités'!$B:$B,$C$35,'Comités'!V:V)</f>
        <v>0</v>
      </c>
      <c r="W35" s="189">
        <f>SUMIF('Comités'!$B:$B,$C$35,'Comités'!W:W)</f>
        <v>0</v>
      </c>
      <c r="X35" s="189">
        <f>SUMIF('Comités'!$B:$B,$C$35,'Comités'!X:X)</f>
        <v>0</v>
      </c>
      <c r="Y35" s="189">
        <f>SUMIF('Comités'!$B:$B,$C$35,'Comités'!Y:Y)</f>
        <v>0</v>
      </c>
      <c r="Z35" s="189">
        <f>SUMIF('Comités'!$B:$B,$C$35,'Comités'!Z:Z)</f>
        <v>44000</v>
      </c>
      <c r="AA35" s="190">
        <f>SUMIF('Comités'!$B:$B,$C$35,'Comités'!AA:AA)</f>
        <v>0</v>
      </c>
    </row>
    <row r="36" ht="12.75" customHeight="1">
      <c r="A36" s="111"/>
      <c r="B36" s="188" t="s">
        <v>21</v>
      </c>
      <c r="C36" s="2" t="s">
        <v>170</v>
      </c>
      <c r="D36" s="189">
        <f>SUMIF('Comités'!$B:$B,PPvsREal!$C$36,'Comités'!D:D)</f>
        <v>0</v>
      </c>
      <c r="E36" s="189">
        <f>SUMIF('Comités'!$B:$B,PPvsREal!$C$36,'Comités'!E:E)</f>
        <v>0</v>
      </c>
      <c r="F36" s="189">
        <f>SUMIF('Comités'!$B:$B,PPvsREal!$C$36,'Comités'!F:F)</f>
        <v>0</v>
      </c>
      <c r="G36" s="189">
        <f>SUMIF('Comités'!$B:$B,PPvsREal!$C$36,'Comités'!G:G)</f>
        <v>0</v>
      </c>
      <c r="H36" s="189">
        <f>SUMIF('Comités'!$B:$B,PPvsREal!$C$36,'Comités'!H:H)</f>
        <v>0</v>
      </c>
      <c r="I36" s="189">
        <f>SUMIF('Comités'!$B:$B,PPvsREal!$C$36,'Comités'!I:I)</f>
        <v>0</v>
      </c>
      <c r="J36" s="189">
        <f>SUMIF('Comités'!$B:$B,PPvsREal!$C$36,'Comités'!J:J)</f>
        <v>0</v>
      </c>
      <c r="K36" s="189">
        <f>SUMIF('Comités'!$B:$B,PPvsREal!$C$36,'Comités'!K:K)</f>
        <v>0</v>
      </c>
      <c r="L36" s="189">
        <f>SUMIF('Comités'!$B:$B,PPvsREal!$C$36,'Comités'!L:L)</f>
        <v>0</v>
      </c>
      <c r="M36" s="189">
        <f>SUMIF('Comités'!$B:$B,PPvsREal!$C$36,'Comités'!M:M)</f>
        <v>0</v>
      </c>
      <c r="N36" s="189">
        <f>SUMIF('Comités'!$B:$B,PPvsREal!$C$36,'Comités'!N:N)</f>
        <v>0</v>
      </c>
      <c r="O36" s="189">
        <f>SUMIF('Comités'!$B:$B,PPvsREal!$C$36,'Comités'!O:O)</f>
        <v>0</v>
      </c>
      <c r="P36" s="189">
        <f>SUMIF('Comités'!$B:$B,PPvsREal!$C$36,'Comités'!P:P)</f>
        <v>0</v>
      </c>
      <c r="Q36" s="189">
        <f>SUMIF('Comités'!$B:$B,PPvsREal!$C$36,'Comités'!Q:Q)</f>
        <v>0</v>
      </c>
      <c r="R36" s="189">
        <f>SUMIF('Comités'!$B:$B,PPvsREal!$C$36,'Comités'!R:R)</f>
        <v>0</v>
      </c>
      <c r="S36" s="189">
        <f>SUMIF('Comités'!$B:$B,PPvsREal!$C$36,'Comités'!S:S)</f>
        <v>0</v>
      </c>
      <c r="T36" s="189">
        <f>SUMIF('Comités'!$B:$B,PPvsREal!$C$36,'Comités'!T:T)</f>
        <v>0</v>
      </c>
      <c r="U36" s="189">
        <f>SUMIF('Comités'!$B:$B,PPvsREal!$C$36,'Comités'!U:U)</f>
        <v>0</v>
      </c>
      <c r="V36" s="189">
        <f>SUMIF('Comités'!$B:$B,PPvsREal!$C$36,'Comités'!V:V)</f>
        <v>0</v>
      </c>
      <c r="W36" s="189">
        <f>SUMIF('Comités'!$B:$B,PPvsREal!$C$36,'Comités'!W:W)</f>
        <v>0</v>
      </c>
      <c r="X36" s="189">
        <f>SUMIF('Comités'!$B:$B,PPvsREal!$C$36,'Comités'!X:X)</f>
        <v>0</v>
      </c>
      <c r="Y36" s="189">
        <f>SUMIF('Comités'!$B:$B,PPvsREal!$C$36,'Comités'!Y:Y)</f>
        <v>0</v>
      </c>
      <c r="Z36" s="189">
        <f>SUMIF('Comités'!$B:$B,PPvsREal!$C$36,'Comités'!Z:Z)</f>
        <v>0</v>
      </c>
      <c r="AA36" s="190">
        <f>SUMIF('Comités'!$B:$B,PPvsREal!$C$36,'Comités'!AA:AA)</f>
        <v>0</v>
      </c>
    </row>
    <row r="37" ht="12.75" customHeight="1">
      <c r="A37" s="111"/>
      <c r="B37" s="184" t="s">
        <v>22</v>
      </c>
      <c r="C37" s="185" t="s">
        <v>176</v>
      </c>
      <c r="D37" s="186">
        <f>SUMIF('T&amp;IC'!$B:$B,PPvsREal!$C$37,'T&amp;IC'!D:D)</f>
        <v>0</v>
      </c>
      <c r="E37" s="186">
        <f>SUMIF('T&amp;IC'!$B:$B,PPvsREal!$C$37,'T&amp;IC'!E:E)</f>
        <v>0</v>
      </c>
      <c r="F37" s="186">
        <f>SUMIF('T&amp;IC'!$B:$B,PPvsREal!$C$37,'T&amp;IC'!F:F)</f>
        <v>0</v>
      </c>
      <c r="G37" s="186">
        <f>SUMIF('T&amp;IC'!$B:$B,PPvsREal!$C$37,'T&amp;IC'!G:G)</f>
        <v>0</v>
      </c>
      <c r="H37" s="186">
        <f>SUMIF('T&amp;IC'!$B:$B,PPvsREal!$C$37,'T&amp;IC'!H:H)</f>
        <v>0</v>
      </c>
      <c r="I37" s="186">
        <f>SUMIF('T&amp;IC'!$B:$B,PPvsREal!$C$37,'T&amp;IC'!I:I)</f>
        <v>0</v>
      </c>
      <c r="J37" s="186">
        <f>SUMIF('T&amp;IC'!$B:$B,PPvsREal!$C$37,'T&amp;IC'!J:J)</f>
        <v>0</v>
      </c>
      <c r="K37" s="186">
        <f>SUMIF('T&amp;IC'!$B:$B,PPvsREal!$C$37,'T&amp;IC'!K:K)</f>
        <v>0</v>
      </c>
      <c r="L37" s="186">
        <f>SUMIF('T&amp;IC'!$B:$B,PPvsREal!$C$37,'T&amp;IC'!L:L)</f>
        <v>0</v>
      </c>
      <c r="M37" s="186">
        <f>SUMIF('T&amp;IC'!$B:$B,PPvsREal!$C$37,'T&amp;IC'!M:M)</f>
        <v>0</v>
      </c>
      <c r="N37" s="186">
        <f>SUMIF('T&amp;IC'!$B:$B,PPvsREal!$C$37,'T&amp;IC'!N:N)</f>
        <v>0</v>
      </c>
      <c r="O37" s="186">
        <f>SUMIF('T&amp;IC'!$B:$B,PPvsREal!$C$37,'T&amp;IC'!O:O)</f>
        <v>0</v>
      </c>
      <c r="P37" s="186">
        <f>SUMIF('T&amp;IC'!$B:$B,PPvsREal!$C$37,'T&amp;IC'!P:P)</f>
        <v>0</v>
      </c>
      <c r="Q37" s="186">
        <f>SUMIF('T&amp;IC'!$B:$B,PPvsREal!$C$37,'T&amp;IC'!Q:Q)</f>
        <v>0</v>
      </c>
      <c r="R37" s="186">
        <f>SUMIF('T&amp;IC'!$B:$B,PPvsREal!$C$37,'T&amp;IC'!R:R)</f>
        <v>0</v>
      </c>
      <c r="S37" s="186">
        <f>SUMIF('T&amp;IC'!$B:$B,PPvsREal!$C$37,'T&amp;IC'!S:S)</f>
        <v>0</v>
      </c>
      <c r="T37" s="186">
        <f>SUMIF('T&amp;IC'!$B:$B,PPvsREal!$C$37,'T&amp;IC'!T:T)</f>
        <v>0</v>
      </c>
      <c r="U37" s="186">
        <f>SUMIF('T&amp;IC'!$B:$B,PPvsREal!$C$37,'T&amp;IC'!U:U)</f>
        <v>0</v>
      </c>
      <c r="V37" s="186">
        <f>SUMIF('T&amp;IC'!$B:$B,PPvsREal!$C$37,'T&amp;IC'!V:V)</f>
        <v>50000</v>
      </c>
      <c r="W37" s="186">
        <f>SUMIF('T&amp;IC'!$B:$B,PPvsREal!$C$37,'T&amp;IC'!W:W)</f>
        <v>0</v>
      </c>
      <c r="X37" s="186">
        <f>SUMIF('T&amp;IC'!$B:$B,PPvsREal!$C$37,'T&amp;IC'!X:X)</f>
        <v>0</v>
      </c>
      <c r="Y37" s="186">
        <f>SUMIF('T&amp;IC'!$B:$B,PPvsREal!$C$37,'T&amp;IC'!Y:Y)</f>
        <v>0</v>
      </c>
      <c r="Z37" s="186">
        <f>SUMIF('T&amp;IC'!$B:$B,PPvsREal!$C$37,'T&amp;IC'!Z:Z)</f>
        <v>0</v>
      </c>
      <c r="AA37" s="187">
        <f>SUMIF('T&amp;IC'!$B:$B,PPvsREal!$C$37,'T&amp;IC'!AA:AA)</f>
        <v>0</v>
      </c>
    </row>
    <row r="38" ht="12.75" customHeight="1">
      <c r="A38" s="111"/>
      <c r="B38" s="188" t="s">
        <v>22</v>
      </c>
      <c r="C38" s="2" t="s">
        <v>180</v>
      </c>
      <c r="D38" s="189">
        <f>SUMIF('T&amp;IC'!$B:$B,PPvsREal!$C$38,'T&amp;IC'!D:D)</f>
        <v>0</v>
      </c>
      <c r="E38" s="189">
        <f>SUMIF('T&amp;IC'!$B:$B,PPvsREal!$C$38,'T&amp;IC'!E:E)</f>
        <v>0</v>
      </c>
      <c r="F38" s="189">
        <f>SUMIF('T&amp;IC'!$B:$B,PPvsREal!$C$38,'T&amp;IC'!F:F)</f>
        <v>0</v>
      </c>
      <c r="G38" s="189">
        <f>SUMIF('T&amp;IC'!$B:$B,PPvsREal!$C$38,'T&amp;IC'!G:G)</f>
        <v>0</v>
      </c>
      <c r="H38" s="189">
        <f>SUMIF('T&amp;IC'!$B:$B,PPvsREal!$C$38,'T&amp;IC'!H:H)</f>
        <v>0</v>
      </c>
      <c r="I38" s="189">
        <f>SUMIF('T&amp;IC'!$B:$B,PPvsREal!$C$38,'T&amp;IC'!I:I)</f>
        <v>0</v>
      </c>
      <c r="J38" s="189">
        <f>SUMIF('T&amp;IC'!$B:$B,PPvsREal!$C$38,'T&amp;IC'!J:J)</f>
        <v>0</v>
      </c>
      <c r="K38" s="189">
        <f>SUMIF('T&amp;IC'!$B:$B,PPvsREal!$C$38,'T&amp;IC'!K:K)</f>
        <v>0</v>
      </c>
      <c r="L38" s="189">
        <f>SUMIF('T&amp;IC'!$B:$B,PPvsREal!$C$38,'T&amp;IC'!L:L)</f>
        <v>0</v>
      </c>
      <c r="M38" s="189">
        <f>SUMIF('T&amp;IC'!$B:$B,PPvsREal!$C$38,'T&amp;IC'!M:M)</f>
        <v>0</v>
      </c>
      <c r="N38" s="189">
        <f>SUMIF('T&amp;IC'!$B:$B,PPvsREal!$C$38,'T&amp;IC'!N:N)</f>
        <v>0</v>
      </c>
      <c r="O38" s="189">
        <f>SUMIF('T&amp;IC'!$B:$B,PPvsREal!$C$38,'T&amp;IC'!O:O)</f>
        <v>0</v>
      </c>
      <c r="P38" s="189">
        <f>SUMIF('T&amp;IC'!$B:$B,PPvsREal!$C$38,'T&amp;IC'!P:P)</f>
        <v>0</v>
      </c>
      <c r="Q38" s="189">
        <f>SUMIF('T&amp;IC'!$B:$B,PPvsREal!$C$38,'T&amp;IC'!Q:Q)</f>
        <v>0</v>
      </c>
      <c r="R38" s="189">
        <f>SUMIF('T&amp;IC'!$B:$B,PPvsREal!$C$38,'T&amp;IC'!R:R)</f>
        <v>0</v>
      </c>
      <c r="S38" s="189">
        <f>SUMIF('T&amp;IC'!$B:$B,PPvsREal!$C$38,'T&amp;IC'!S:S)</f>
        <v>0</v>
      </c>
      <c r="T38" s="189">
        <f>SUMIF('T&amp;IC'!$B:$B,PPvsREal!$C$38,'T&amp;IC'!T:T)</f>
        <v>0</v>
      </c>
      <c r="U38" s="189">
        <f>SUMIF('T&amp;IC'!$B:$B,PPvsREal!$C$38,'T&amp;IC'!U:U)</f>
        <v>0</v>
      </c>
      <c r="V38" s="189">
        <f>SUMIF('T&amp;IC'!$B:$B,PPvsREal!$C$38,'T&amp;IC'!V:V)</f>
        <v>0</v>
      </c>
      <c r="W38" s="189">
        <f>SUMIF('T&amp;IC'!$B:$B,PPvsREal!$C$38,'T&amp;IC'!W:W)</f>
        <v>0</v>
      </c>
      <c r="X38" s="189">
        <f>SUMIF('T&amp;IC'!$B:$B,PPvsREal!$C$38,'T&amp;IC'!X:X)</f>
        <v>0</v>
      </c>
      <c r="Y38" s="189">
        <f>SUMIF('T&amp;IC'!$B:$B,PPvsREal!$C$38,'T&amp;IC'!Y:Y)</f>
        <v>0</v>
      </c>
      <c r="Z38" s="189">
        <f>SUMIF('T&amp;IC'!$B:$B,PPvsREal!$C$38,'T&amp;IC'!Z:Z)</f>
        <v>0</v>
      </c>
      <c r="AA38" s="190">
        <f>SUMIF('T&amp;IC'!$B:$B,PPvsREal!$C$38,'T&amp;IC'!AA:AA)</f>
        <v>0</v>
      </c>
    </row>
    <row r="39" ht="12.75" customHeight="1">
      <c r="A39" s="111"/>
      <c r="B39" s="188" t="s">
        <v>22</v>
      </c>
      <c r="C39" s="2" t="s">
        <v>184</v>
      </c>
      <c r="D39" s="189">
        <f>SUMIF('T&amp;IC'!$B:$B,PPvsREal!$C$39,'T&amp;IC'!D:D)</f>
        <v>0</v>
      </c>
      <c r="E39" s="189">
        <f>SUMIF('T&amp;IC'!$B:$B,PPvsREal!$C$39,'T&amp;IC'!E:E)</f>
        <v>0</v>
      </c>
      <c r="F39" s="189">
        <f>SUMIF('T&amp;IC'!$B:$B,PPvsREal!$C$39,'T&amp;IC'!F:F)</f>
        <v>0</v>
      </c>
      <c r="G39" s="189">
        <f>SUMIF('T&amp;IC'!$B:$B,PPvsREal!$C$39,'T&amp;IC'!G:G)</f>
        <v>0</v>
      </c>
      <c r="H39" s="189">
        <f>SUMIF('T&amp;IC'!$B:$B,PPvsREal!$C$39,'T&amp;IC'!H:H)</f>
        <v>0</v>
      </c>
      <c r="I39" s="189">
        <f>SUMIF('T&amp;IC'!$B:$B,PPvsREal!$C$39,'T&amp;IC'!I:I)</f>
        <v>0</v>
      </c>
      <c r="J39" s="189">
        <f>SUMIF('T&amp;IC'!$B:$B,PPvsREal!$C$39,'T&amp;IC'!J:J)</f>
        <v>0</v>
      </c>
      <c r="K39" s="189">
        <f>SUMIF('T&amp;IC'!$B:$B,PPvsREal!$C$39,'T&amp;IC'!K:K)</f>
        <v>0</v>
      </c>
      <c r="L39" s="189">
        <f>SUMIF('T&amp;IC'!$B:$B,PPvsREal!$C$39,'T&amp;IC'!L:L)</f>
        <v>0</v>
      </c>
      <c r="M39" s="189">
        <f>SUMIF('T&amp;IC'!$B:$B,PPvsREal!$C$39,'T&amp;IC'!M:M)</f>
        <v>0</v>
      </c>
      <c r="N39" s="189">
        <f>SUMIF('T&amp;IC'!$B:$B,PPvsREal!$C$39,'T&amp;IC'!N:N)</f>
        <v>0</v>
      </c>
      <c r="O39" s="189">
        <f>SUMIF('T&amp;IC'!$B:$B,PPvsREal!$C$39,'T&amp;IC'!O:O)</f>
        <v>0</v>
      </c>
      <c r="P39" s="189">
        <f>SUMIF('T&amp;IC'!$B:$B,PPvsREal!$C$39,'T&amp;IC'!P:P)</f>
        <v>0</v>
      </c>
      <c r="Q39" s="189">
        <f>SUMIF('T&amp;IC'!$B:$B,PPvsREal!$C$39,'T&amp;IC'!Q:Q)</f>
        <v>0</v>
      </c>
      <c r="R39" s="189">
        <f>SUMIF('T&amp;IC'!$B:$B,PPvsREal!$C$39,'T&amp;IC'!R:R)</f>
        <v>0</v>
      </c>
      <c r="S39" s="189">
        <f>SUMIF('T&amp;IC'!$B:$B,PPvsREal!$C$39,'T&amp;IC'!S:S)</f>
        <v>0</v>
      </c>
      <c r="T39" s="189">
        <f>SUMIF('T&amp;IC'!$B:$B,PPvsREal!$C$39,'T&amp;IC'!T:T)</f>
        <v>0</v>
      </c>
      <c r="U39" s="189">
        <f>SUMIF('T&amp;IC'!$B:$B,PPvsREal!$C$39,'T&amp;IC'!U:U)</f>
        <v>0</v>
      </c>
      <c r="V39" s="189">
        <f>SUMIF('T&amp;IC'!$B:$B,PPvsREal!$C$39,'T&amp;IC'!V:V)</f>
        <v>25000</v>
      </c>
      <c r="W39" s="189">
        <f>SUMIF('T&amp;IC'!$B:$B,PPvsREal!$C$39,'T&amp;IC'!W:W)</f>
        <v>0</v>
      </c>
      <c r="X39" s="189">
        <f>SUMIF('T&amp;IC'!$B:$B,PPvsREal!$C$39,'T&amp;IC'!X:X)</f>
        <v>0</v>
      </c>
      <c r="Y39" s="189">
        <f>SUMIF('T&amp;IC'!$B:$B,PPvsREal!$C$39,'T&amp;IC'!Y:Y)</f>
        <v>0</v>
      </c>
      <c r="Z39" s="189">
        <f>SUMIF('T&amp;IC'!$B:$B,PPvsREal!$C$39,'T&amp;IC'!Z:Z)</f>
        <v>0</v>
      </c>
      <c r="AA39" s="190">
        <f>SUMIF('T&amp;IC'!$B:$B,PPvsREal!$C$39,'T&amp;IC'!AA:AA)</f>
        <v>0</v>
      </c>
    </row>
    <row r="40" ht="12.75" customHeight="1">
      <c r="A40" s="111"/>
      <c r="B40" s="191" t="s">
        <v>22</v>
      </c>
      <c r="C40" s="192" t="s">
        <v>186</v>
      </c>
      <c r="D40" s="193">
        <f>SUMIF('T&amp;IC'!$B:$B,PPvsREal!$C$40,'T&amp;IC'!D:D)</f>
        <v>0</v>
      </c>
      <c r="E40" s="193">
        <f>SUMIF('T&amp;IC'!$B:$B,PPvsREal!$C$40,'T&amp;IC'!E:E)</f>
        <v>0</v>
      </c>
      <c r="F40" s="193">
        <f>SUMIF('T&amp;IC'!$B:$B,PPvsREal!$C$40,'T&amp;IC'!F:F)</f>
        <v>0</v>
      </c>
      <c r="G40" s="193">
        <f>SUMIF('T&amp;IC'!$B:$B,PPvsREal!$C$40,'T&amp;IC'!G:G)</f>
        <v>0</v>
      </c>
      <c r="H40" s="193">
        <f>SUMIF('T&amp;IC'!$B:$B,PPvsREal!$C$40,'T&amp;IC'!H:H)</f>
        <v>0</v>
      </c>
      <c r="I40" s="193">
        <f>SUMIF('T&amp;IC'!$B:$B,PPvsREal!$C$40,'T&amp;IC'!I:I)</f>
        <v>0</v>
      </c>
      <c r="J40" s="193">
        <f>SUMIF('T&amp;IC'!$B:$B,PPvsREal!$C$40,'T&amp;IC'!J:J)</f>
        <v>0</v>
      </c>
      <c r="K40" s="193">
        <f>SUMIF('T&amp;IC'!$B:$B,PPvsREal!$C$40,'T&amp;IC'!K:K)</f>
        <v>0</v>
      </c>
      <c r="L40" s="193">
        <f>SUMIF('T&amp;IC'!$B:$B,PPvsREal!$C$40,'T&amp;IC'!L:L)</f>
        <v>0</v>
      </c>
      <c r="M40" s="193">
        <f>SUMIF('T&amp;IC'!$B:$B,PPvsREal!$C$40,'T&amp;IC'!M:M)</f>
        <v>0</v>
      </c>
      <c r="N40" s="193">
        <f>SUMIF('T&amp;IC'!$B:$B,PPvsREal!$C$40,'T&amp;IC'!N:N)</f>
        <v>0</v>
      </c>
      <c r="O40" s="193">
        <f>SUMIF('T&amp;IC'!$B:$B,PPvsREal!$C$40,'T&amp;IC'!O:O)</f>
        <v>0</v>
      </c>
      <c r="P40" s="193">
        <f>SUMIF('T&amp;IC'!$B:$B,PPvsREal!$C$40,'T&amp;IC'!P:P)</f>
        <v>0</v>
      </c>
      <c r="Q40" s="193">
        <f>SUMIF('T&amp;IC'!$B:$B,PPvsREal!$C$40,'T&amp;IC'!Q:Q)</f>
        <v>0</v>
      </c>
      <c r="R40" s="193">
        <f>SUMIF('T&amp;IC'!$B:$B,PPvsREal!$C$40,'T&amp;IC'!R:R)</f>
        <v>0</v>
      </c>
      <c r="S40" s="193">
        <f>SUMIF('T&amp;IC'!$B:$B,PPvsREal!$C$40,'T&amp;IC'!S:S)</f>
        <v>0</v>
      </c>
      <c r="T40" s="193">
        <f>SUMIF('T&amp;IC'!$B:$B,PPvsREal!$C$40,'T&amp;IC'!T:T)</f>
        <v>0</v>
      </c>
      <c r="U40" s="193">
        <f>SUMIF('T&amp;IC'!$B:$B,PPvsREal!$C$40,'T&amp;IC'!U:U)</f>
        <v>0</v>
      </c>
      <c r="V40" s="193">
        <f>SUMIF('T&amp;IC'!$B:$B,PPvsREal!$C$40,'T&amp;IC'!V:V)</f>
        <v>0</v>
      </c>
      <c r="W40" s="193">
        <f>SUMIF('T&amp;IC'!$B:$B,PPvsREal!$C$40,'T&amp;IC'!W:W)</f>
        <v>0</v>
      </c>
      <c r="X40" s="193">
        <f>SUMIF('T&amp;IC'!$B:$B,PPvsREal!$C$40,'T&amp;IC'!X:X)</f>
        <v>0</v>
      </c>
      <c r="Y40" s="193">
        <f>SUMIF('T&amp;IC'!$B:$B,PPvsREal!$C$40,'T&amp;IC'!Y:Y)</f>
        <v>0</v>
      </c>
      <c r="Z40" s="193">
        <f>SUMIF('T&amp;IC'!$B:$B,PPvsREal!$C$40,'T&amp;IC'!Z:Z)</f>
        <v>0</v>
      </c>
      <c r="AA40" s="194">
        <f>SUMIF('T&amp;IC'!$B:$B,PPvsREal!$C$40,'T&amp;IC'!AA:AA)</f>
        <v>0</v>
      </c>
    </row>
    <row r="41" ht="12.75" customHeight="1">
      <c r="A41" s="111"/>
      <c r="B41" s="188" t="s">
        <v>18</v>
      </c>
      <c r="C41" s="2" t="s">
        <v>194</v>
      </c>
      <c r="D41" s="189">
        <f>SUMIF(Eventos!$B:$B,PPvsREal!$C$41,Eventos!D:D)</f>
        <v>0</v>
      </c>
      <c r="E41" s="189">
        <f>SUMIF(Eventos!$B:$B,PPvsREal!$C$41,Eventos!E:E)</f>
        <v>0</v>
      </c>
      <c r="F41" s="189">
        <f>SUMIF(Eventos!$B:$B,PPvsREal!$C$41,Eventos!F:F)</f>
        <v>0</v>
      </c>
      <c r="G41" s="189">
        <f>SUMIF(Eventos!$B:$B,PPvsREal!$C$41,Eventos!G:G)</f>
        <v>0</v>
      </c>
      <c r="H41" s="189">
        <f>SUMIF(Eventos!$B:$B,PPvsREal!$C$41,Eventos!H:H)</f>
        <v>220000</v>
      </c>
      <c r="I41" s="189">
        <f>SUMIF(Eventos!$B:$B,PPvsREal!$C$41,Eventos!I:I)</f>
        <v>0</v>
      </c>
      <c r="J41" s="189">
        <f>SUMIF(Eventos!$B:$B,PPvsREal!$C$41,Eventos!J:J)</f>
        <v>30000</v>
      </c>
      <c r="K41" s="189">
        <f>SUMIF(Eventos!$B:$B,PPvsREal!$C$41,Eventos!K:K)</f>
        <v>0</v>
      </c>
      <c r="L41" s="189">
        <f>SUMIF(Eventos!$B:$B,PPvsREal!$C$41,Eventos!L:L)</f>
        <v>0</v>
      </c>
      <c r="M41" s="189">
        <f>SUMIF(Eventos!$B:$B,PPvsREal!$C$41,Eventos!M:M)</f>
        <v>0</v>
      </c>
      <c r="N41" s="189">
        <f>SUMIF(Eventos!$B:$B,PPvsREal!$C$41,Eventos!N:N)</f>
        <v>0</v>
      </c>
      <c r="O41" s="189">
        <f>SUMIF(Eventos!$B:$B,PPvsREal!$C$41,Eventos!O:O)</f>
        <v>0</v>
      </c>
      <c r="P41" s="189">
        <f>SUMIF(Eventos!$B:$B,PPvsREal!$C$41,Eventos!P:P)</f>
        <v>0</v>
      </c>
      <c r="Q41" s="189">
        <f>SUMIF(Eventos!$B:$B,PPvsREal!$C$41,Eventos!Q:Q)</f>
        <v>0</v>
      </c>
      <c r="R41" s="189">
        <f>SUMIF(Eventos!$B:$B,PPvsREal!$C$41,Eventos!R:R)</f>
        <v>0</v>
      </c>
      <c r="S41" s="189">
        <f>SUMIF(Eventos!$B:$B,PPvsREal!$C$41,Eventos!S:S)</f>
        <v>0</v>
      </c>
      <c r="T41" s="189">
        <f>SUMIF(Eventos!$B:$B,PPvsREal!$C$41,Eventos!T:T)</f>
        <v>0</v>
      </c>
      <c r="U41" s="189">
        <f>SUMIF(Eventos!$B:$B,PPvsREal!$C$41,Eventos!U:U)</f>
        <v>0</v>
      </c>
      <c r="V41" s="189">
        <f>SUMIF(Eventos!$B:$B,PPvsREal!$C$41,Eventos!V:V)</f>
        <v>0</v>
      </c>
      <c r="W41" s="189">
        <f>SUMIF(Eventos!$B:$B,PPvsREal!$C$41,Eventos!W:W)</f>
        <v>0</v>
      </c>
      <c r="X41" s="189">
        <f>SUMIF(Eventos!$B:$B,PPvsREal!$C$41,Eventos!X:X)</f>
        <v>0</v>
      </c>
      <c r="Y41" s="189">
        <f>SUMIF(Eventos!$B:$B,PPvsREal!$C$41,Eventos!Y:Y)</f>
        <v>0</v>
      </c>
      <c r="Z41" s="189">
        <f>SUMIF(Eventos!$B:$B,PPvsREal!$C$41,Eventos!Z:Z)</f>
        <v>0</v>
      </c>
      <c r="AA41" s="190">
        <f>SUMIF(Eventos!$B:$B,PPvsREal!$C$41,Eventos!AA:AA)</f>
        <v>0</v>
      </c>
    </row>
    <row r="42" ht="12.75" customHeight="1">
      <c r="A42" s="111"/>
      <c r="B42" s="188" t="s">
        <v>18</v>
      </c>
      <c r="C42" s="2" t="s">
        <v>196</v>
      </c>
      <c r="D42" s="189">
        <f>SUMIF(Eventos!$B:$B,PPvsREal!$C$42,Eventos!D:D)</f>
        <v>475000</v>
      </c>
      <c r="E42" s="189">
        <f>SUMIF(Eventos!$B:$B,PPvsREal!$C$42,Eventos!E:E)</f>
        <v>0</v>
      </c>
      <c r="F42" s="189">
        <f>SUMIF(Eventos!$B:$B,PPvsREal!$C$42,Eventos!F:F)</f>
        <v>25000</v>
      </c>
      <c r="G42" s="189">
        <f>SUMIF(Eventos!$B:$B,PPvsREal!$C$42,Eventos!G:G)</f>
        <v>0</v>
      </c>
      <c r="H42" s="189">
        <f>SUMIF(Eventos!$B:$B,PPvsREal!$C$42,Eventos!H:H)</f>
        <v>0</v>
      </c>
      <c r="I42" s="189">
        <f>SUMIF(Eventos!$B:$B,PPvsREal!$C$42,Eventos!I:I)</f>
        <v>0</v>
      </c>
      <c r="J42" s="189">
        <f>SUMIF(Eventos!$B:$B,PPvsREal!$C$42,Eventos!J:J)</f>
        <v>0</v>
      </c>
      <c r="K42" s="189">
        <f>SUMIF(Eventos!$B:$B,PPvsREal!$C$42,Eventos!K:K)</f>
        <v>0</v>
      </c>
      <c r="L42" s="189">
        <f>SUMIF(Eventos!$B:$B,PPvsREal!$C$42,Eventos!L:L)</f>
        <v>0</v>
      </c>
      <c r="M42" s="189">
        <f>SUMIF(Eventos!$B:$B,PPvsREal!$C$42,Eventos!M:M)</f>
        <v>0</v>
      </c>
      <c r="N42" s="189">
        <f>SUMIF(Eventos!$B:$B,PPvsREal!$C$42,Eventos!N:N)</f>
        <v>0</v>
      </c>
      <c r="O42" s="189">
        <f>SUMIF(Eventos!$B:$B,PPvsREal!$C$42,Eventos!O:O)</f>
        <v>0</v>
      </c>
      <c r="P42" s="189">
        <f>SUMIF(Eventos!$B:$B,PPvsREal!$C$42,Eventos!P:P)</f>
        <v>0</v>
      </c>
      <c r="Q42" s="189">
        <f>SUMIF(Eventos!$B:$B,PPvsREal!$C$42,Eventos!Q:Q)</f>
        <v>0</v>
      </c>
      <c r="R42" s="189">
        <f>SUMIF(Eventos!$B:$B,PPvsREal!$C$42,Eventos!R:R)</f>
        <v>0</v>
      </c>
      <c r="S42" s="189">
        <f>SUMIF(Eventos!$B:$B,PPvsREal!$C$42,Eventos!S:S)</f>
        <v>0</v>
      </c>
      <c r="T42" s="189">
        <f>SUMIF(Eventos!$B:$B,PPvsREal!$C$42,Eventos!T:T)</f>
        <v>0</v>
      </c>
      <c r="U42" s="189">
        <f>SUMIF(Eventos!$B:$B,PPvsREal!$C$42,Eventos!U:U)</f>
        <v>0</v>
      </c>
      <c r="V42" s="189">
        <f>SUMIF(Eventos!$B:$B,PPvsREal!$C$42,Eventos!V:V)</f>
        <v>0</v>
      </c>
      <c r="W42" s="189">
        <f>SUMIF(Eventos!$B:$B,PPvsREal!$C$42,Eventos!W:W)</f>
        <v>0</v>
      </c>
      <c r="X42" s="189">
        <f>SUMIF(Eventos!$B:$B,PPvsREal!$C$42,Eventos!X:X)</f>
        <v>0</v>
      </c>
      <c r="Y42" s="189">
        <f>SUMIF(Eventos!$B:$B,PPvsREal!$C$42,Eventos!Y:Y)</f>
        <v>0</v>
      </c>
      <c r="Z42" s="189">
        <f>SUMIF(Eventos!$B:$B,PPvsREal!$C$42,Eventos!Z:Z)</f>
        <v>0</v>
      </c>
      <c r="AA42" s="190">
        <f>SUMIF(Eventos!$B:$B,PPvsREal!$C$42,Eventos!AA:AA)</f>
        <v>0</v>
      </c>
    </row>
    <row r="43" ht="12.75" customHeight="1">
      <c r="A43" s="111"/>
      <c r="B43" s="188" t="s">
        <v>18</v>
      </c>
      <c r="C43" s="2" t="s">
        <v>198</v>
      </c>
      <c r="D43" s="189">
        <f>SUMIF(Eventos!$B:$B,PPvsREal!$C$43,Eventos!D:D)</f>
        <v>0</v>
      </c>
      <c r="E43" s="189">
        <f>SUMIF(Eventos!$B:$B,PPvsREal!$C$43,Eventos!E:E)</f>
        <v>0</v>
      </c>
      <c r="F43" s="189">
        <f>SUMIF(Eventos!$B:$B,PPvsREal!$C$43,Eventos!F:F)</f>
        <v>0</v>
      </c>
      <c r="G43" s="189">
        <f>SUMIF(Eventos!$B:$B,PPvsREal!$C$43,Eventos!G:G)</f>
        <v>0</v>
      </c>
      <c r="H43" s="189">
        <f>SUMIF(Eventos!$B:$B,PPvsREal!$C$43,Eventos!H:H)</f>
        <v>0</v>
      </c>
      <c r="I43" s="189">
        <f>SUMIF(Eventos!$B:$B,PPvsREal!$C$43,Eventos!I:I)</f>
        <v>0</v>
      </c>
      <c r="J43" s="189">
        <f>SUMIF(Eventos!$B:$B,PPvsREal!$C$43,Eventos!J:J)</f>
        <v>0</v>
      </c>
      <c r="K43" s="189">
        <f>SUMIF(Eventos!$B:$B,PPvsREal!$C$43,Eventos!K:K)</f>
        <v>0</v>
      </c>
      <c r="L43" s="189">
        <f>SUMIF(Eventos!$B:$B,PPvsREal!$C$43,Eventos!L:L)</f>
        <v>0</v>
      </c>
      <c r="M43" s="189">
        <f>SUMIF(Eventos!$B:$B,PPvsREal!$C$43,Eventos!M:M)</f>
        <v>0</v>
      </c>
      <c r="N43" s="189">
        <f>SUMIF(Eventos!$B:$B,PPvsREal!$C$43,Eventos!N:N)</f>
        <v>0</v>
      </c>
      <c r="O43" s="189">
        <f>SUMIF(Eventos!$B:$B,PPvsREal!$C$43,Eventos!O:O)</f>
        <v>0</v>
      </c>
      <c r="P43" s="189">
        <f>SUMIF(Eventos!$B:$B,PPvsREal!$C$43,Eventos!P:P)</f>
        <v>0</v>
      </c>
      <c r="Q43" s="189">
        <f>SUMIF(Eventos!$B:$B,PPvsREal!$C$43,Eventos!Q:Q)</f>
        <v>0</v>
      </c>
      <c r="R43" s="189">
        <f>SUMIF(Eventos!$B:$B,PPvsREal!$C$43,Eventos!R:R)</f>
        <v>0</v>
      </c>
      <c r="S43" s="189">
        <f>SUMIF(Eventos!$B:$B,PPvsREal!$C$43,Eventos!S:S)</f>
        <v>0</v>
      </c>
      <c r="T43" s="189">
        <f>SUMIF(Eventos!$B:$B,PPvsREal!$C$43,Eventos!T:T)</f>
        <v>0</v>
      </c>
      <c r="U43" s="189">
        <f>SUMIF(Eventos!$B:$B,PPvsREal!$C$43,Eventos!U:U)</f>
        <v>0</v>
      </c>
      <c r="V43" s="189">
        <f>SUMIF(Eventos!$B:$B,PPvsREal!$C$43,Eventos!V:V)</f>
        <v>90000</v>
      </c>
      <c r="W43" s="189">
        <f>SUMIF(Eventos!$B:$B,PPvsREal!$C$43,Eventos!W:W)</f>
        <v>0</v>
      </c>
      <c r="X43" s="189">
        <f>SUMIF(Eventos!$B:$B,PPvsREal!$C$43,Eventos!X:X)</f>
        <v>10000</v>
      </c>
      <c r="Y43" s="189">
        <f>SUMIF(Eventos!$B:$B,PPvsREal!$C$43,Eventos!Y:Y)</f>
        <v>0</v>
      </c>
      <c r="Z43" s="189">
        <f>SUMIF(Eventos!$B:$B,PPvsREal!$C$43,Eventos!Z:Z)</f>
        <v>0</v>
      </c>
      <c r="AA43" s="190">
        <f>SUMIF(Eventos!$B:$B,PPvsREal!$C$43,Eventos!AA:AA)</f>
        <v>0</v>
      </c>
    </row>
    <row r="44" ht="12.75" customHeight="1">
      <c r="A44" s="111"/>
      <c r="B44" s="188" t="s">
        <v>18</v>
      </c>
      <c r="C44" s="2" t="s">
        <v>418</v>
      </c>
      <c r="D44" s="189">
        <f>SUMIF(Eventos!$B:$B,PPvsREal!$C$44,Eventos!D:D)</f>
        <v>0</v>
      </c>
      <c r="E44" s="189">
        <f>SUMIF(Eventos!$B:$B,PPvsREal!$C$44,Eventos!E:E)</f>
        <v>0</v>
      </c>
      <c r="F44" s="189">
        <f>SUMIF(Eventos!$B:$B,PPvsREal!$C$44,Eventos!F:F)</f>
        <v>0</v>
      </c>
      <c r="G44" s="189">
        <f>SUMIF(Eventos!$B:$B,PPvsREal!$C$44,Eventos!G:G)</f>
        <v>0</v>
      </c>
      <c r="H44" s="189">
        <f>SUMIF(Eventos!$B:$B,PPvsREal!$C$44,Eventos!H:H)</f>
        <v>0</v>
      </c>
      <c r="I44" s="189">
        <f>SUMIF(Eventos!$B:$B,PPvsREal!$C$44,Eventos!I:I)</f>
        <v>0</v>
      </c>
      <c r="J44" s="189">
        <f>SUMIF(Eventos!$B:$B,PPvsREal!$C$44,Eventos!J:J)</f>
        <v>0</v>
      </c>
      <c r="K44" s="189">
        <f>SUMIF(Eventos!$B:$B,PPvsREal!$C$44,Eventos!K:K)</f>
        <v>0</v>
      </c>
      <c r="L44" s="189">
        <f>SUMIF(Eventos!$B:$B,PPvsREal!$C$44,Eventos!L:L)</f>
        <v>0</v>
      </c>
      <c r="M44" s="189">
        <f>SUMIF(Eventos!$B:$B,PPvsREal!$C$44,Eventos!M:M)</f>
        <v>0</v>
      </c>
      <c r="N44" s="189">
        <f>SUMIF(Eventos!$B:$B,PPvsREal!$C$44,Eventos!N:N)</f>
        <v>0</v>
      </c>
      <c r="O44" s="189">
        <f>SUMIF(Eventos!$B:$B,PPvsREal!$C$44,Eventos!O:O)</f>
        <v>0</v>
      </c>
      <c r="P44" s="189">
        <f>SUMIF(Eventos!$B:$B,PPvsREal!$C$44,Eventos!P:P)</f>
        <v>0</v>
      </c>
      <c r="Q44" s="189">
        <f>SUMIF(Eventos!$B:$B,PPvsREal!$C$44,Eventos!Q:Q)</f>
        <v>0</v>
      </c>
      <c r="R44" s="189">
        <f>SUMIF(Eventos!$B:$B,PPvsREal!$C$44,Eventos!R:R)</f>
        <v>0</v>
      </c>
      <c r="S44" s="189">
        <f>SUMIF(Eventos!$B:$B,PPvsREal!$C$44,Eventos!S:S)</f>
        <v>0</v>
      </c>
      <c r="T44" s="189">
        <f>SUMIF(Eventos!$B:$B,PPvsREal!$C$44,Eventos!T:T)</f>
        <v>0</v>
      </c>
      <c r="U44" s="189">
        <f>SUMIF(Eventos!$B:$B,PPvsREal!$C$44,Eventos!U:U)</f>
        <v>0</v>
      </c>
      <c r="V44" s="189">
        <f>SUMIF(Eventos!$B:$B,PPvsREal!$C$44,Eventos!V:V)</f>
        <v>0</v>
      </c>
      <c r="W44" s="189">
        <f>SUMIF(Eventos!$B:$B,PPvsREal!$C$44,Eventos!W:W)</f>
        <v>0</v>
      </c>
      <c r="X44" s="189">
        <f>SUMIF(Eventos!$B:$B,PPvsREal!$C$44,Eventos!X:X)</f>
        <v>0</v>
      </c>
      <c r="Y44" s="189">
        <f>SUMIF(Eventos!$B:$B,PPvsREal!$C$44,Eventos!Y:Y)</f>
        <v>0</v>
      </c>
      <c r="Z44" s="189">
        <f>SUMIF(Eventos!$B:$B,PPvsREal!$C$44,Eventos!Z:Z)</f>
        <v>0</v>
      </c>
      <c r="AA44" s="190">
        <f>SUMIF(Eventos!$B:$B,PPvsREal!$C$44,Eventos!AA:AA)</f>
        <v>0</v>
      </c>
    </row>
    <row r="45" ht="12.75" customHeight="1">
      <c r="A45" s="111"/>
      <c r="B45" s="188" t="s">
        <v>18</v>
      </c>
      <c r="C45" s="2" t="s">
        <v>202</v>
      </c>
      <c r="D45" s="189">
        <f>SUMIF(Eventos!$B:$B,PPvsREal!$C$45,Eventos!D:D)</f>
        <v>0</v>
      </c>
      <c r="E45" s="189">
        <f>SUMIF(Eventos!$B:$B,PPvsREal!$C$45,Eventos!E:E)</f>
        <v>0</v>
      </c>
      <c r="F45" s="189">
        <f>SUMIF(Eventos!$B:$B,PPvsREal!$C$45,Eventos!F:F)</f>
        <v>0</v>
      </c>
      <c r="G45" s="189">
        <f>SUMIF(Eventos!$B:$B,PPvsREal!$C$45,Eventos!G:G)</f>
        <v>0</v>
      </c>
      <c r="H45" s="189">
        <f>SUMIF(Eventos!$B:$B,PPvsREal!$C$45,Eventos!H:H)</f>
        <v>0</v>
      </c>
      <c r="I45" s="189">
        <f>SUMIF(Eventos!$B:$B,PPvsREal!$C$45,Eventos!I:I)</f>
        <v>0</v>
      </c>
      <c r="J45" s="189">
        <f>SUMIF(Eventos!$B:$B,PPvsREal!$C$45,Eventos!J:J)</f>
        <v>0</v>
      </c>
      <c r="K45" s="189">
        <f>SUMIF(Eventos!$B:$B,PPvsREal!$C$45,Eventos!K:K)</f>
        <v>0</v>
      </c>
      <c r="L45" s="189">
        <f>SUMIF(Eventos!$B:$B,PPvsREal!$C$45,Eventos!L:L)</f>
        <v>35000</v>
      </c>
      <c r="M45" s="189">
        <f>SUMIF(Eventos!$B:$B,PPvsREal!$C$45,Eventos!M:M)</f>
        <v>0</v>
      </c>
      <c r="N45" s="189">
        <f>SUMIF(Eventos!$B:$B,PPvsREal!$C$45,Eventos!N:N)</f>
        <v>5000</v>
      </c>
      <c r="O45" s="189">
        <f>SUMIF(Eventos!$B:$B,PPvsREal!$C$45,Eventos!O:O)</f>
        <v>0</v>
      </c>
      <c r="P45" s="189">
        <f>SUMIF(Eventos!$B:$B,PPvsREal!$C$45,Eventos!P:P)</f>
        <v>0</v>
      </c>
      <c r="Q45" s="189">
        <f>SUMIF(Eventos!$B:$B,PPvsREal!$C$45,Eventos!Q:Q)</f>
        <v>0</v>
      </c>
      <c r="R45" s="189">
        <f>SUMIF(Eventos!$B:$B,PPvsREal!$C$45,Eventos!R:R)</f>
        <v>0</v>
      </c>
      <c r="S45" s="189">
        <f>SUMIF(Eventos!$B:$B,PPvsREal!$C$45,Eventos!S:S)</f>
        <v>0</v>
      </c>
      <c r="T45" s="189">
        <f>SUMIF(Eventos!$B:$B,PPvsREal!$C$45,Eventos!T:T)</f>
        <v>0</v>
      </c>
      <c r="U45" s="189">
        <f>SUMIF(Eventos!$B:$B,PPvsREal!$C$45,Eventos!U:U)</f>
        <v>0</v>
      </c>
      <c r="V45" s="189">
        <f>SUMIF(Eventos!$B:$B,PPvsREal!$C$45,Eventos!V:V)</f>
        <v>0</v>
      </c>
      <c r="W45" s="189">
        <f>SUMIF(Eventos!$B:$B,PPvsREal!$C$45,Eventos!W:W)</f>
        <v>0</v>
      </c>
      <c r="X45" s="189">
        <f>SUMIF(Eventos!$B:$B,PPvsREal!$C$45,Eventos!X:X)</f>
        <v>0</v>
      </c>
      <c r="Y45" s="189">
        <f>SUMIF(Eventos!$B:$B,PPvsREal!$C$45,Eventos!Y:Y)</f>
        <v>0</v>
      </c>
      <c r="Z45" s="189">
        <f>SUMIF(Eventos!$B:$B,PPvsREal!$C$45,Eventos!Z:Z)</f>
        <v>0</v>
      </c>
      <c r="AA45" s="190">
        <f>SUMIF(Eventos!$B:$B,PPvsREal!$C$45,Eventos!AA:AA)</f>
        <v>0</v>
      </c>
    </row>
    <row r="46" ht="12.75" customHeight="1">
      <c r="A46" s="111"/>
      <c r="B46" s="188" t="s">
        <v>18</v>
      </c>
      <c r="C46" s="97" t="s">
        <v>204</v>
      </c>
      <c r="D46" s="189">
        <f>SUMIF(Eventos!$B:$B,PPvsREal!$C$46,Eventos!D:D)</f>
        <v>0</v>
      </c>
      <c r="E46" s="189">
        <f>SUMIF(Eventos!$B:$B,PPvsREal!$C$46,Eventos!E:E)</f>
        <v>0</v>
      </c>
      <c r="F46" s="189">
        <f>SUMIF(Eventos!$B:$B,PPvsREal!$C$46,Eventos!F:F)</f>
        <v>0</v>
      </c>
      <c r="G46" s="189">
        <f>SUMIF(Eventos!$B:$B,PPvsREal!$C$46,Eventos!G:G)</f>
        <v>0</v>
      </c>
      <c r="H46" s="189">
        <f>SUMIF(Eventos!$B:$B,PPvsREal!$C$46,Eventos!H:H)</f>
        <v>0</v>
      </c>
      <c r="I46" s="189">
        <f>SUMIF(Eventos!$B:$B,PPvsREal!$C$46,Eventos!I:I)</f>
        <v>0</v>
      </c>
      <c r="J46" s="189">
        <f>SUMIF(Eventos!$B:$B,PPvsREal!$C$46,Eventos!J:J)</f>
        <v>0</v>
      </c>
      <c r="K46" s="189">
        <f>SUMIF(Eventos!$B:$B,PPvsREal!$C$46,Eventos!K:K)</f>
        <v>0</v>
      </c>
      <c r="L46" s="189">
        <f>SUMIF(Eventos!$B:$B,PPvsREal!$C$46,Eventos!L:L)</f>
        <v>40000</v>
      </c>
      <c r="M46" s="189">
        <f>SUMIF(Eventos!$B:$B,PPvsREal!$C$46,Eventos!M:M)</f>
        <v>0</v>
      </c>
      <c r="N46" s="189">
        <f>SUMIF(Eventos!$B:$B,PPvsREal!$C$46,Eventos!N:N)</f>
        <v>0</v>
      </c>
      <c r="O46" s="189">
        <f>SUMIF(Eventos!$B:$B,PPvsREal!$C$46,Eventos!O:O)</f>
        <v>0</v>
      </c>
      <c r="P46" s="189">
        <f>SUMIF(Eventos!$B:$B,PPvsREal!$C$46,Eventos!P:P)</f>
        <v>0</v>
      </c>
      <c r="Q46" s="189">
        <f>SUMIF(Eventos!$B:$B,PPvsREal!$C$46,Eventos!Q:Q)</f>
        <v>0</v>
      </c>
      <c r="R46" s="189">
        <f>SUMIF(Eventos!$B:$B,PPvsREal!$C$46,Eventos!R:R)</f>
        <v>0</v>
      </c>
      <c r="S46" s="189">
        <f>SUMIF(Eventos!$B:$B,PPvsREal!$C$46,Eventos!S:S)</f>
        <v>0</v>
      </c>
      <c r="T46" s="189">
        <f>SUMIF(Eventos!$B:$B,PPvsREal!$C$46,Eventos!T:T)</f>
        <v>0</v>
      </c>
      <c r="U46" s="189">
        <f>SUMIF(Eventos!$B:$B,PPvsREal!$C$46,Eventos!U:U)</f>
        <v>0</v>
      </c>
      <c r="V46" s="189">
        <f>SUMIF(Eventos!$B:$B,PPvsREal!$C$46,Eventos!V:V)</f>
        <v>0</v>
      </c>
      <c r="W46" s="189">
        <f>SUMIF(Eventos!$B:$B,PPvsREal!$C$46,Eventos!W:W)</f>
        <v>0</v>
      </c>
      <c r="X46" s="189">
        <f>SUMIF(Eventos!$B:$B,PPvsREal!$C$46,Eventos!X:X)</f>
        <v>0</v>
      </c>
      <c r="Y46" s="189">
        <f>SUMIF(Eventos!$B:$B,PPvsREal!$C$46,Eventos!Y:Y)</f>
        <v>0</v>
      </c>
      <c r="Z46" s="189">
        <f>SUMIF(Eventos!$B:$B,PPvsREal!$C$46,Eventos!Z:Z)</f>
        <v>0</v>
      </c>
      <c r="AA46" s="190">
        <f>SUMIF(Eventos!$B:$B,PPvsREal!$C$46,Eventos!AA:AA)</f>
        <v>0</v>
      </c>
    </row>
    <row r="47" ht="12.75" customHeight="1">
      <c r="A47" s="111"/>
      <c r="B47" s="188" t="s">
        <v>18</v>
      </c>
      <c r="C47" s="2" t="s">
        <v>419</v>
      </c>
      <c r="D47" s="189">
        <f>SUMIF(Eventos!$B:$B,PPvsREal!$C$47,Eventos!D:D)</f>
        <v>0</v>
      </c>
      <c r="E47" s="189">
        <f>SUMIF(Eventos!$B:$B,PPvsREal!$C$47,Eventos!E:E)</f>
        <v>0</v>
      </c>
      <c r="F47" s="189">
        <f>SUMIF(Eventos!$B:$B,PPvsREal!$C$47,Eventos!F:F)</f>
        <v>0</v>
      </c>
      <c r="G47" s="189">
        <f>SUMIF(Eventos!$B:$B,PPvsREal!$C$47,Eventos!G:G)</f>
        <v>0</v>
      </c>
      <c r="H47" s="189">
        <f>SUMIF(Eventos!$B:$B,PPvsREal!$C$47,Eventos!H:H)</f>
        <v>0</v>
      </c>
      <c r="I47" s="189">
        <f>SUMIF(Eventos!$B:$B,PPvsREal!$C$47,Eventos!I:I)</f>
        <v>0</v>
      </c>
      <c r="J47" s="189">
        <f>SUMIF(Eventos!$B:$B,PPvsREal!$C$47,Eventos!J:J)</f>
        <v>0</v>
      </c>
      <c r="K47" s="189">
        <f>SUMIF(Eventos!$B:$B,PPvsREal!$C$47,Eventos!K:K)</f>
        <v>0</v>
      </c>
      <c r="L47" s="189">
        <f>SUMIF(Eventos!$B:$B,PPvsREal!$C$47,Eventos!L:L)</f>
        <v>0</v>
      </c>
      <c r="M47" s="189">
        <f>SUMIF(Eventos!$B:$B,PPvsREal!$C$47,Eventos!M:M)</f>
        <v>0</v>
      </c>
      <c r="N47" s="189">
        <f>SUMIF(Eventos!$B:$B,PPvsREal!$C$47,Eventos!N:N)</f>
        <v>0</v>
      </c>
      <c r="O47" s="189">
        <f>SUMIF(Eventos!$B:$B,PPvsREal!$C$47,Eventos!O:O)</f>
        <v>0</v>
      </c>
      <c r="P47" s="189">
        <f>SUMIF(Eventos!$B:$B,PPvsREal!$C$47,Eventos!P:P)</f>
        <v>0</v>
      </c>
      <c r="Q47" s="189">
        <f>SUMIF(Eventos!$B:$B,PPvsREal!$C$47,Eventos!Q:Q)</f>
        <v>0</v>
      </c>
      <c r="R47" s="189">
        <f>SUMIF(Eventos!$B:$B,PPvsREal!$C$47,Eventos!R:R)</f>
        <v>0</v>
      </c>
      <c r="S47" s="189">
        <f>SUMIF(Eventos!$B:$B,PPvsREal!$C$47,Eventos!S:S)</f>
        <v>0</v>
      </c>
      <c r="T47" s="189">
        <f>SUMIF(Eventos!$B:$B,PPvsREal!$C$47,Eventos!T:T)</f>
        <v>0</v>
      </c>
      <c r="U47" s="189">
        <f>SUMIF(Eventos!$B:$B,PPvsREal!$C$47,Eventos!U:U)</f>
        <v>0</v>
      </c>
      <c r="V47" s="189">
        <f>SUMIF(Eventos!$B:$B,PPvsREal!$C$47,Eventos!V:V)</f>
        <v>0</v>
      </c>
      <c r="W47" s="189">
        <f>SUMIF(Eventos!$B:$B,PPvsREal!$C$47,Eventos!W:W)</f>
        <v>0</v>
      </c>
      <c r="X47" s="189">
        <f>SUMIF(Eventos!$B:$B,PPvsREal!$C$47,Eventos!X:X)</f>
        <v>0</v>
      </c>
      <c r="Y47" s="189">
        <f>SUMIF(Eventos!$B:$B,PPvsREal!$C$47,Eventos!Y:Y)</f>
        <v>0</v>
      </c>
      <c r="Z47" s="189">
        <f>SUMIF(Eventos!$B:$B,PPvsREal!$C$47,Eventos!Z:Z)</f>
        <v>0</v>
      </c>
      <c r="AA47" s="190">
        <f>SUMIF(Eventos!$B:$B,PPvsREal!$C$47,Eventos!AA:AA)</f>
        <v>0</v>
      </c>
    </row>
    <row r="48" ht="12.75" customHeight="1">
      <c r="A48" s="111"/>
      <c r="B48" s="188" t="s">
        <v>18</v>
      </c>
      <c r="C48" s="2" t="s">
        <v>200</v>
      </c>
      <c r="D48" s="189">
        <f>SUMIF(Eventos!$B:$B,PPvsREal!$C$48,Eventos!D:D)</f>
        <v>0</v>
      </c>
      <c r="E48" s="189">
        <f>SUMIF(Eventos!$B:$B,PPvsREal!$C$48,Eventos!E:E)</f>
        <v>0</v>
      </c>
      <c r="F48" s="189">
        <f>SUMIF(Eventos!$B:$B,PPvsREal!$C$48,Eventos!F:F)</f>
        <v>0</v>
      </c>
      <c r="G48" s="189">
        <f>SUMIF(Eventos!$B:$B,PPvsREal!$C$48,Eventos!G:G)</f>
        <v>0</v>
      </c>
      <c r="H48" s="189">
        <f>SUMIF(Eventos!$B:$B,PPvsREal!$C$48,Eventos!H:H)</f>
        <v>60000</v>
      </c>
      <c r="I48" s="189">
        <f>SUMIF(Eventos!$B:$B,PPvsREal!$C$48,Eventos!I:I)</f>
        <v>0</v>
      </c>
      <c r="J48" s="189">
        <f>SUMIF(Eventos!$B:$B,PPvsREal!$C$48,Eventos!J:J)</f>
        <v>0</v>
      </c>
      <c r="K48" s="189">
        <f>SUMIF(Eventos!$B:$B,PPvsREal!$C$48,Eventos!K:K)</f>
        <v>0</v>
      </c>
      <c r="L48" s="189">
        <f>SUMIF(Eventos!$B:$B,PPvsREal!$C$48,Eventos!L:L)</f>
        <v>0</v>
      </c>
      <c r="M48" s="189">
        <f>SUMIF(Eventos!$B:$B,PPvsREal!$C$48,Eventos!M:M)</f>
        <v>0</v>
      </c>
      <c r="N48" s="189">
        <f>SUMIF(Eventos!$B:$B,PPvsREal!$C$48,Eventos!N:N)</f>
        <v>0</v>
      </c>
      <c r="O48" s="189">
        <f>SUMIF(Eventos!$B:$B,PPvsREal!$C$48,Eventos!O:O)</f>
        <v>0</v>
      </c>
      <c r="P48" s="189">
        <f>SUMIF(Eventos!$B:$B,PPvsREal!$C$48,Eventos!P:P)</f>
        <v>0</v>
      </c>
      <c r="Q48" s="189">
        <f>SUMIF(Eventos!$B:$B,PPvsREal!$C$48,Eventos!Q:Q)</f>
        <v>0</v>
      </c>
      <c r="R48" s="189">
        <f>SUMIF(Eventos!$B:$B,PPvsREal!$C$48,Eventos!R:R)</f>
        <v>0</v>
      </c>
      <c r="S48" s="189">
        <f>SUMIF(Eventos!$B:$B,PPvsREal!$C$48,Eventos!S:S)</f>
        <v>0</v>
      </c>
      <c r="T48" s="189">
        <f>SUMIF(Eventos!$B:$B,PPvsREal!$C$48,Eventos!T:T)</f>
        <v>0</v>
      </c>
      <c r="U48" s="189">
        <f>SUMIF(Eventos!$B:$B,PPvsREal!$C$48,Eventos!U:U)</f>
        <v>0</v>
      </c>
      <c r="V48" s="189">
        <f>SUMIF(Eventos!$B:$B,PPvsREal!$C$48,Eventos!V:V)</f>
        <v>0</v>
      </c>
      <c r="W48" s="189">
        <f>SUMIF(Eventos!$B:$B,PPvsREal!$C$48,Eventos!W:W)</f>
        <v>0</v>
      </c>
      <c r="X48" s="189">
        <f>SUMIF(Eventos!$B:$B,PPvsREal!$C$48,Eventos!X:X)</f>
        <v>0</v>
      </c>
      <c r="Y48" s="189">
        <f>SUMIF(Eventos!$B:$B,PPvsREal!$C$48,Eventos!Y:Y)</f>
        <v>0</v>
      </c>
      <c r="Z48" s="189">
        <f>SUMIF(Eventos!$B:$B,PPvsREal!$C$48,Eventos!Z:Z)</f>
        <v>0</v>
      </c>
      <c r="AA48" s="190">
        <f>SUMIF(Eventos!$B:$B,PPvsREal!$C$48,Eventos!AA:AA)</f>
        <v>0</v>
      </c>
    </row>
    <row r="49" ht="12.75" customHeight="1">
      <c r="A49" s="111"/>
      <c r="B49" s="188" t="s">
        <v>18</v>
      </c>
      <c r="C49" s="2" t="s">
        <v>206</v>
      </c>
      <c r="D49" s="189">
        <f>SUMIF(Eventos!$B:$B,PPvsREal!$C$49,Eventos!D:D)</f>
        <v>0</v>
      </c>
      <c r="E49" s="189">
        <f>SUMIF(Eventos!$B:$B,PPvsREal!$C$49,Eventos!E:E)</f>
        <v>0</v>
      </c>
      <c r="F49" s="189">
        <f>SUMIF(Eventos!$B:$B,PPvsREal!$C$49,Eventos!F:F)</f>
        <v>0</v>
      </c>
      <c r="G49" s="189">
        <f>SUMIF(Eventos!$B:$B,PPvsREal!$C$49,Eventos!G:G)</f>
        <v>0</v>
      </c>
      <c r="H49" s="189">
        <f>SUMIF(Eventos!$B:$B,PPvsREal!$C$49,Eventos!H:H)</f>
        <v>0</v>
      </c>
      <c r="I49" s="189">
        <f>SUMIF(Eventos!$B:$B,PPvsREal!$C$49,Eventos!I:I)</f>
        <v>0</v>
      </c>
      <c r="J49" s="189">
        <f>SUMIF(Eventos!$B:$B,PPvsREal!$C$49,Eventos!J:J)</f>
        <v>0</v>
      </c>
      <c r="K49" s="189">
        <f>SUMIF(Eventos!$B:$B,PPvsREal!$C$49,Eventos!K:K)</f>
        <v>0</v>
      </c>
      <c r="L49" s="189">
        <f>SUMIF(Eventos!$B:$B,PPvsREal!$C$49,Eventos!L:L)</f>
        <v>0</v>
      </c>
      <c r="M49" s="189">
        <f>SUMIF(Eventos!$B:$B,PPvsREal!$C$49,Eventos!M:M)</f>
        <v>0</v>
      </c>
      <c r="N49" s="189">
        <f>SUMIF(Eventos!$B:$B,PPvsREal!$C$49,Eventos!N:N)</f>
        <v>0</v>
      </c>
      <c r="O49" s="189">
        <f>SUMIF(Eventos!$B:$B,PPvsREal!$C$49,Eventos!O:O)</f>
        <v>0</v>
      </c>
      <c r="P49" s="189">
        <f>SUMIF(Eventos!$B:$B,PPvsREal!$C$49,Eventos!P:P)</f>
        <v>0</v>
      </c>
      <c r="Q49" s="189">
        <f>SUMIF(Eventos!$B:$B,PPvsREal!$C$49,Eventos!Q:Q)</f>
        <v>0</v>
      </c>
      <c r="R49" s="189">
        <f>SUMIF(Eventos!$B:$B,PPvsREal!$C$49,Eventos!R:R)</f>
        <v>0</v>
      </c>
      <c r="S49" s="189">
        <f>SUMIF(Eventos!$B:$B,PPvsREal!$C$49,Eventos!S:S)</f>
        <v>0</v>
      </c>
      <c r="T49" s="189">
        <f>SUMIF(Eventos!$B:$B,PPvsREal!$C$49,Eventos!T:T)</f>
        <v>0</v>
      </c>
      <c r="U49" s="189">
        <f>SUMIF(Eventos!$B:$B,PPvsREal!$C$49,Eventos!U:U)</f>
        <v>0</v>
      </c>
      <c r="V49" s="189">
        <f>SUMIF(Eventos!$B:$B,PPvsREal!$C$49,Eventos!V:V)</f>
        <v>0</v>
      </c>
      <c r="W49" s="189">
        <f>SUMIF(Eventos!$B:$B,PPvsREal!$C$49,Eventos!W:W)</f>
        <v>0</v>
      </c>
      <c r="X49" s="189">
        <f>SUMIF(Eventos!$B:$B,PPvsREal!$C$49,Eventos!X:X)</f>
        <v>0</v>
      </c>
      <c r="Y49" s="189">
        <f>SUMIF(Eventos!$B:$B,PPvsREal!$C$49,Eventos!Y:Y)</f>
        <v>0</v>
      </c>
      <c r="Z49" s="189">
        <f>SUMIF(Eventos!$B:$B,PPvsREal!$C$49,Eventos!Z:Z)</f>
        <v>0</v>
      </c>
      <c r="AA49" s="190">
        <f>SUMIF(Eventos!$B:$B,PPvsREal!$C$49,Eventos!AA:AA)</f>
        <v>0</v>
      </c>
    </row>
    <row r="50" ht="12.75" customHeight="1">
      <c r="A50" s="111"/>
      <c r="B50" s="188" t="s">
        <v>18</v>
      </c>
      <c r="C50" s="2" t="s">
        <v>208</v>
      </c>
      <c r="D50" s="189">
        <f>SUMIF(Eventos!$B:$B,PPvsREal!$C$50,Eventos!D:D)</f>
        <v>0</v>
      </c>
      <c r="E50" s="189">
        <f>SUMIF(Eventos!$B:$B,PPvsREal!$C$50,Eventos!E:E)</f>
        <v>0</v>
      </c>
      <c r="F50" s="189">
        <f>SUMIF(Eventos!$B:$B,PPvsREal!$C$50,Eventos!F:F)</f>
        <v>0</v>
      </c>
      <c r="G50" s="189">
        <f>SUMIF(Eventos!$B:$B,PPvsREal!$C$50,Eventos!G:G)</f>
        <v>0</v>
      </c>
      <c r="H50" s="189">
        <f>SUMIF(Eventos!$B:$B,PPvsREal!$C$50,Eventos!H:H)</f>
        <v>0</v>
      </c>
      <c r="I50" s="189">
        <f>SUMIF(Eventos!$B:$B,PPvsREal!$C$50,Eventos!I:I)</f>
        <v>0</v>
      </c>
      <c r="J50" s="189">
        <f>SUMIF(Eventos!$B:$B,PPvsREal!$C$50,Eventos!J:J)</f>
        <v>0</v>
      </c>
      <c r="K50" s="189">
        <f>SUMIF(Eventos!$B:$B,PPvsREal!$C$50,Eventos!K:K)</f>
        <v>0</v>
      </c>
      <c r="L50" s="189">
        <f>SUMIF(Eventos!$B:$B,PPvsREal!$C$50,Eventos!L:L)</f>
        <v>0</v>
      </c>
      <c r="M50" s="189">
        <f>SUMIF(Eventos!$B:$B,PPvsREal!$C$50,Eventos!M:M)</f>
        <v>0</v>
      </c>
      <c r="N50" s="189">
        <f>SUMIF(Eventos!$B:$B,PPvsREal!$C$50,Eventos!N:N)</f>
        <v>0</v>
      </c>
      <c r="O50" s="189">
        <f>SUMIF(Eventos!$B:$B,PPvsREal!$C$50,Eventos!O:O)</f>
        <v>0</v>
      </c>
      <c r="P50" s="189">
        <f>SUMIF(Eventos!$B:$B,PPvsREal!$C$50,Eventos!P:P)</f>
        <v>0</v>
      </c>
      <c r="Q50" s="189">
        <f>SUMIF(Eventos!$B:$B,PPvsREal!$C$50,Eventos!Q:Q)</f>
        <v>0</v>
      </c>
      <c r="R50" s="189">
        <f>SUMIF(Eventos!$B:$B,PPvsREal!$C$50,Eventos!R:R)</f>
        <v>0</v>
      </c>
      <c r="S50" s="189">
        <f>SUMIF(Eventos!$B:$B,PPvsREal!$C$50,Eventos!S:S)</f>
        <v>0</v>
      </c>
      <c r="T50" s="189">
        <f>SUMIF(Eventos!$B:$B,PPvsREal!$C$50,Eventos!T:T)</f>
        <v>0</v>
      </c>
      <c r="U50" s="189">
        <f>SUMIF(Eventos!$B:$B,PPvsREal!$C$50,Eventos!U:U)</f>
        <v>0</v>
      </c>
      <c r="V50" s="189">
        <f>SUMIF(Eventos!$B:$B,PPvsREal!$C$50,Eventos!V:V)</f>
        <v>0</v>
      </c>
      <c r="W50" s="189">
        <f>SUMIF(Eventos!$B:$B,PPvsREal!$C$50,Eventos!W:W)</f>
        <v>0</v>
      </c>
      <c r="X50" s="189">
        <f>SUMIF(Eventos!$B:$B,PPvsREal!$C$50,Eventos!X:X)</f>
        <v>0</v>
      </c>
      <c r="Y50" s="189">
        <f>SUMIF(Eventos!$B:$B,PPvsREal!$C$50,Eventos!Y:Y)</f>
        <v>0</v>
      </c>
      <c r="Z50" s="189">
        <f>SUMIF(Eventos!$B:$B,PPvsREal!$C$50,Eventos!Z:Z)</f>
        <v>0</v>
      </c>
      <c r="AA50" s="190">
        <f>SUMIF(Eventos!$B:$B,PPvsREal!$C$50,Eventos!AA:AA)</f>
        <v>0</v>
      </c>
    </row>
    <row r="51" ht="12.75" customHeight="1">
      <c r="A51" s="111"/>
      <c r="B51" s="188" t="s">
        <v>18</v>
      </c>
      <c r="C51" s="2" t="s">
        <v>210</v>
      </c>
      <c r="D51" s="189">
        <f>SUMIF(Eventos!$B:$B,PPvsREal!$C$51,Eventos!D:D)</f>
        <v>0</v>
      </c>
      <c r="E51" s="189">
        <f>SUMIF(Eventos!$B:$B,PPvsREal!$C$51,Eventos!E:E)</f>
        <v>0</v>
      </c>
      <c r="F51" s="189">
        <f>SUMIF(Eventos!$B:$B,PPvsREal!$C$51,Eventos!F:F)</f>
        <v>0</v>
      </c>
      <c r="G51" s="189">
        <f>SUMIF(Eventos!$B:$B,PPvsREal!$C$51,Eventos!G:G)</f>
        <v>0</v>
      </c>
      <c r="H51" s="189">
        <f>SUMIF(Eventos!$B:$B,PPvsREal!$C$51,Eventos!H:H)</f>
        <v>0</v>
      </c>
      <c r="I51" s="189">
        <f>SUMIF(Eventos!$B:$B,PPvsREal!$C$51,Eventos!I:I)</f>
        <v>0</v>
      </c>
      <c r="J51" s="189">
        <f>SUMIF(Eventos!$B:$B,PPvsREal!$C$51,Eventos!J:J)</f>
        <v>0</v>
      </c>
      <c r="K51" s="189">
        <f>SUMIF(Eventos!$B:$B,PPvsREal!$C$51,Eventos!K:K)</f>
        <v>0</v>
      </c>
      <c r="L51" s="189">
        <f>SUMIF(Eventos!$B:$B,PPvsREal!$C$51,Eventos!L:L)</f>
        <v>0</v>
      </c>
      <c r="M51" s="189">
        <f>SUMIF(Eventos!$B:$B,PPvsREal!$C$51,Eventos!M:M)</f>
        <v>0</v>
      </c>
      <c r="N51" s="189">
        <f>SUMIF(Eventos!$B:$B,PPvsREal!$C$51,Eventos!N:N)</f>
        <v>0</v>
      </c>
      <c r="O51" s="189">
        <f>SUMIF(Eventos!$B:$B,PPvsREal!$C$51,Eventos!O:O)</f>
        <v>0</v>
      </c>
      <c r="P51" s="189">
        <f>SUMIF(Eventos!$B:$B,PPvsREal!$C$51,Eventos!P:P)</f>
        <v>0</v>
      </c>
      <c r="Q51" s="189">
        <f>SUMIF(Eventos!$B:$B,PPvsREal!$C$51,Eventos!Q:Q)</f>
        <v>0</v>
      </c>
      <c r="R51" s="189">
        <f>SUMIF(Eventos!$B:$B,PPvsREal!$C$51,Eventos!R:R)</f>
        <v>0</v>
      </c>
      <c r="S51" s="189">
        <f>SUMIF(Eventos!$B:$B,PPvsREal!$C$51,Eventos!S:S)</f>
        <v>0</v>
      </c>
      <c r="T51" s="189">
        <f>SUMIF(Eventos!$B:$B,PPvsREal!$C$51,Eventos!T:T)</f>
        <v>0</v>
      </c>
      <c r="U51" s="189">
        <f>SUMIF(Eventos!$B:$B,PPvsREal!$C$51,Eventos!U:U)</f>
        <v>0</v>
      </c>
      <c r="V51" s="189">
        <f>SUMIF(Eventos!$B:$B,PPvsREal!$C$51,Eventos!V:V)</f>
        <v>0</v>
      </c>
      <c r="W51" s="189">
        <f>SUMIF(Eventos!$B:$B,PPvsREal!$C$51,Eventos!W:W)</f>
        <v>0</v>
      </c>
      <c r="X51" s="189">
        <f>SUMIF(Eventos!$B:$B,PPvsREal!$C$51,Eventos!X:X)</f>
        <v>0</v>
      </c>
      <c r="Y51" s="189">
        <f>SUMIF(Eventos!$B:$B,PPvsREal!$C$51,Eventos!Y:Y)</f>
        <v>0</v>
      </c>
      <c r="Z51" s="189">
        <f>SUMIF(Eventos!$B:$B,PPvsREal!$C$51,Eventos!Z:Z)</f>
        <v>0</v>
      </c>
      <c r="AA51" s="190">
        <f>SUMIF(Eventos!$B:$B,PPvsREal!$C$51,Eventos!AA:AA)</f>
        <v>0</v>
      </c>
    </row>
    <row r="52" ht="12.75" customHeight="1">
      <c r="A52" s="111"/>
      <c r="B52" s="188" t="s">
        <v>18</v>
      </c>
      <c r="C52" s="97" t="s">
        <v>212</v>
      </c>
      <c r="D52" s="189">
        <f>SUMIF(Eventos!$B:$B,PPvsREal!$C$52,Eventos!D:D)</f>
        <v>0</v>
      </c>
      <c r="E52" s="189">
        <f>SUMIF(Eventos!$B:$B,PPvsREal!$C$52,Eventos!E:E)</f>
        <v>0</v>
      </c>
      <c r="F52" s="189">
        <f>SUMIF(Eventos!$B:$B,PPvsREal!$C$52,Eventos!F:F)</f>
        <v>0</v>
      </c>
      <c r="G52" s="189">
        <f>SUMIF(Eventos!$B:$B,PPvsREal!$C$52,Eventos!G:G)</f>
        <v>0</v>
      </c>
      <c r="H52" s="189">
        <f>SUMIF(Eventos!$B:$B,PPvsREal!$C$52,Eventos!H:H)</f>
        <v>0</v>
      </c>
      <c r="I52" s="189">
        <f>SUMIF(Eventos!$B:$B,PPvsREal!$C$52,Eventos!I:I)</f>
        <v>0</v>
      </c>
      <c r="J52" s="189">
        <f>SUMIF(Eventos!$B:$B,PPvsREal!$C$52,Eventos!J:J)</f>
        <v>0</v>
      </c>
      <c r="K52" s="189">
        <f>SUMIF(Eventos!$B:$B,PPvsREal!$C$52,Eventos!K:K)</f>
        <v>0</v>
      </c>
      <c r="L52" s="189">
        <f>SUMIF(Eventos!$B:$B,PPvsREal!$C$52,Eventos!L:L)</f>
        <v>0</v>
      </c>
      <c r="M52" s="189">
        <f>SUMIF(Eventos!$B:$B,PPvsREal!$C$52,Eventos!M:M)</f>
        <v>0</v>
      </c>
      <c r="N52" s="189">
        <f>SUMIF(Eventos!$B:$B,PPvsREal!$C$52,Eventos!N:N)</f>
        <v>0</v>
      </c>
      <c r="O52" s="189">
        <f>SUMIF(Eventos!$B:$B,PPvsREal!$C$52,Eventos!O:O)</f>
        <v>0</v>
      </c>
      <c r="P52" s="189">
        <f>SUMIF(Eventos!$B:$B,PPvsREal!$C$52,Eventos!P:P)</f>
        <v>0</v>
      </c>
      <c r="Q52" s="189">
        <f>SUMIF(Eventos!$B:$B,PPvsREal!$C$52,Eventos!Q:Q)</f>
        <v>0</v>
      </c>
      <c r="R52" s="189">
        <f>SUMIF(Eventos!$B:$B,PPvsREal!$C$52,Eventos!R:R)</f>
        <v>0</v>
      </c>
      <c r="S52" s="189">
        <f>SUMIF(Eventos!$B:$B,PPvsREal!$C$52,Eventos!S:S)</f>
        <v>0</v>
      </c>
      <c r="T52" s="189">
        <f>SUMIF(Eventos!$B:$B,PPvsREal!$C$52,Eventos!T:T)</f>
        <v>0</v>
      </c>
      <c r="U52" s="189">
        <f>SUMIF(Eventos!$B:$B,PPvsREal!$C$52,Eventos!U:U)</f>
        <v>0</v>
      </c>
      <c r="V52" s="189">
        <f>SUMIF(Eventos!$B:$B,PPvsREal!$C$52,Eventos!V:V)</f>
        <v>0</v>
      </c>
      <c r="W52" s="189">
        <f>SUMIF(Eventos!$B:$B,PPvsREal!$C$52,Eventos!W:W)</f>
        <v>0</v>
      </c>
      <c r="X52" s="189">
        <f>SUMIF(Eventos!$B:$B,PPvsREal!$C$52,Eventos!X:X)</f>
        <v>0</v>
      </c>
      <c r="Y52" s="189">
        <f>SUMIF(Eventos!$B:$B,PPvsREal!$C$52,Eventos!Y:Y)</f>
        <v>0</v>
      </c>
      <c r="Z52" s="189">
        <f>SUMIF(Eventos!$B:$B,PPvsREal!$C$52,Eventos!Z:Z)</f>
        <v>200000</v>
      </c>
      <c r="AA52" s="190">
        <f>SUMIF(Eventos!$B:$B,PPvsREal!$C$52,Eventos!AA:AA)</f>
        <v>0</v>
      </c>
    </row>
    <row r="53" ht="12.75" customHeight="1">
      <c r="A53" s="111"/>
      <c r="B53" s="188" t="s">
        <v>18</v>
      </c>
      <c r="C53" s="97" t="s">
        <v>214</v>
      </c>
      <c r="D53" s="189">
        <f>SUMIF(Eventos!$B:$B,PPvsREal!$C$53,Eventos!D:D)</f>
        <v>0</v>
      </c>
      <c r="E53" s="189">
        <f>SUMIF(Eventos!$B:$B,PPvsREal!$C$53,Eventos!E:E)</f>
        <v>0</v>
      </c>
      <c r="F53" s="189">
        <f>SUMIF(Eventos!$B:$B,PPvsREal!$C$53,Eventos!F:F)</f>
        <v>0</v>
      </c>
      <c r="G53" s="189">
        <f>SUMIF(Eventos!$B:$B,PPvsREal!$C$53,Eventos!G:G)</f>
        <v>0</v>
      </c>
      <c r="H53" s="189">
        <f>SUMIF(Eventos!$B:$B,PPvsREal!$C$53,Eventos!H:H)</f>
        <v>0</v>
      </c>
      <c r="I53" s="189">
        <f>SUMIF(Eventos!$B:$B,PPvsREal!$C$53,Eventos!I:I)</f>
        <v>0</v>
      </c>
      <c r="J53" s="189">
        <f>SUMIF(Eventos!$B:$B,PPvsREal!$C$53,Eventos!J:J)</f>
        <v>0</v>
      </c>
      <c r="K53" s="189">
        <f>SUMIF(Eventos!$B:$B,PPvsREal!$C$53,Eventos!K:K)</f>
        <v>0</v>
      </c>
      <c r="L53" s="189">
        <f>SUMIF(Eventos!$B:$B,PPvsREal!$C$53,Eventos!L:L)</f>
        <v>0</v>
      </c>
      <c r="M53" s="189">
        <f>SUMIF(Eventos!$B:$B,PPvsREal!$C$53,Eventos!M:M)</f>
        <v>0</v>
      </c>
      <c r="N53" s="189">
        <f>SUMIF(Eventos!$B:$B,PPvsREal!$C$53,Eventos!N:N)</f>
        <v>0</v>
      </c>
      <c r="O53" s="189">
        <f>SUMIF(Eventos!$B:$B,PPvsREal!$C$53,Eventos!O:O)</f>
        <v>0</v>
      </c>
      <c r="P53" s="189">
        <f>SUMIF(Eventos!$B:$B,PPvsREal!$C$53,Eventos!P:P)</f>
        <v>0</v>
      </c>
      <c r="Q53" s="189">
        <f>SUMIF(Eventos!$B:$B,PPvsREal!$C$53,Eventos!Q:Q)</f>
        <v>0</v>
      </c>
      <c r="R53" s="189">
        <f>SUMIF(Eventos!$B:$B,PPvsREal!$C$53,Eventos!R:R)</f>
        <v>0</v>
      </c>
      <c r="S53" s="189">
        <f>SUMIF(Eventos!$B:$B,PPvsREal!$C$53,Eventos!S:S)</f>
        <v>0</v>
      </c>
      <c r="T53" s="189">
        <f>SUMIF(Eventos!$B:$B,PPvsREal!$C$53,Eventos!T:T)</f>
        <v>0</v>
      </c>
      <c r="U53" s="189">
        <f>SUMIF(Eventos!$B:$B,PPvsREal!$C$53,Eventos!U:U)</f>
        <v>0</v>
      </c>
      <c r="V53" s="189">
        <f>SUMIF(Eventos!$B:$B,PPvsREal!$C$53,Eventos!V:V)</f>
        <v>0</v>
      </c>
      <c r="W53" s="189">
        <f>SUMIF(Eventos!$B:$B,PPvsREal!$C$53,Eventos!W:W)</f>
        <v>0</v>
      </c>
      <c r="X53" s="189">
        <f>SUMIF(Eventos!$B:$B,PPvsREal!$C$53,Eventos!X:X)</f>
        <v>0</v>
      </c>
      <c r="Y53" s="189">
        <f>SUMIF(Eventos!$B:$B,PPvsREal!$C$53,Eventos!Y:Y)</f>
        <v>0</v>
      </c>
      <c r="Z53" s="189">
        <f>SUMIF(Eventos!$B:$B,PPvsREal!$C$53,Eventos!Z:Z)</f>
        <v>0</v>
      </c>
      <c r="AA53" s="190">
        <f>SUMIF(Eventos!$B:$B,PPvsREal!$C$53,Eventos!AA:AA)</f>
        <v>0</v>
      </c>
    </row>
    <row r="54" ht="12.75" customHeight="1">
      <c r="A54" s="111"/>
      <c r="B54" s="188" t="s">
        <v>18</v>
      </c>
      <c r="C54" s="97" t="s">
        <v>216</v>
      </c>
      <c r="D54" s="189">
        <f>SUMIF(Eventos!$B:$B,PPvsREal!$C$54,Eventos!D:D)</f>
        <v>0</v>
      </c>
      <c r="E54" s="189">
        <f>SUMIF(Eventos!$B:$B,PPvsREal!$C$54,Eventos!E:E)</f>
        <v>0</v>
      </c>
      <c r="F54" s="189">
        <f>SUMIF(Eventos!$B:$B,PPvsREal!$C$54,Eventos!F:F)</f>
        <v>0</v>
      </c>
      <c r="G54" s="189">
        <f>SUMIF(Eventos!$B:$B,PPvsREal!$C$54,Eventos!G:G)</f>
        <v>0</v>
      </c>
      <c r="H54" s="189">
        <f>SUMIF(Eventos!$B:$B,PPvsREal!$C$54,Eventos!H:H)</f>
        <v>0</v>
      </c>
      <c r="I54" s="189">
        <f>SUMIF(Eventos!$B:$B,PPvsREal!$C$54,Eventos!I:I)</f>
        <v>0</v>
      </c>
      <c r="J54" s="189">
        <f>SUMIF(Eventos!$B:$B,PPvsREal!$C$54,Eventos!J:J)</f>
        <v>0</v>
      </c>
      <c r="K54" s="189">
        <f>SUMIF(Eventos!$B:$B,PPvsREal!$C$54,Eventos!K:K)</f>
        <v>0</v>
      </c>
      <c r="L54" s="189">
        <f>SUMIF(Eventos!$B:$B,PPvsREal!$C$54,Eventos!L:L)</f>
        <v>0</v>
      </c>
      <c r="M54" s="189">
        <f>SUMIF(Eventos!$B:$B,PPvsREal!$C$54,Eventos!M:M)</f>
        <v>0</v>
      </c>
      <c r="N54" s="189">
        <f>SUMIF(Eventos!$B:$B,PPvsREal!$C$54,Eventos!N:N)</f>
        <v>0</v>
      </c>
      <c r="O54" s="189">
        <f>SUMIF(Eventos!$B:$B,PPvsREal!$C$54,Eventos!O:O)</f>
        <v>0</v>
      </c>
      <c r="P54" s="189">
        <f>SUMIF(Eventos!$B:$B,PPvsREal!$C$54,Eventos!P:P)</f>
        <v>0</v>
      </c>
      <c r="Q54" s="189">
        <f>SUMIF(Eventos!$B:$B,PPvsREal!$C$54,Eventos!Q:Q)</f>
        <v>0</v>
      </c>
      <c r="R54" s="189">
        <f>SUMIF(Eventos!$B:$B,PPvsREal!$C$54,Eventos!R:R)</f>
        <v>0</v>
      </c>
      <c r="S54" s="189">
        <f>SUMIF(Eventos!$B:$B,PPvsREal!$C$54,Eventos!S:S)</f>
        <v>0</v>
      </c>
      <c r="T54" s="189">
        <f>SUMIF(Eventos!$B:$B,PPvsREal!$C$54,Eventos!T:T)</f>
        <v>0</v>
      </c>
      <c r="U54" s="189">
        <f>SUMIF(Eventos!$B:$B,PPvsREal!$C$54,Eventos!U:U)</f>
        <v>0</v>
      </c>
      <c r="V54" s="189">
        <f>SUMIF(Eventos!$B:$B,PPvsREal!$C$54,Eventos!V:V)</f>
        <v>0</v>
      </c>
      <c r="W54" s="189">
        <f>SUMIF(Eventos!$B:$B,PPvsREal!$C$54,Eventos!W:W)</f>
        <v>0</v>
      </c>
      <c r="X54" s="189">
        <f>SUMIF(Eventos!$B:$B,PPvsREal!$C$54,Eventos!X:X)</f>
        <v>0</v>
      </c>
      <c r="Y54" s="189">
        <f>SUMIF(Eventos!$B:$B,PPvsREal!$C$54,Eventos!Y:Y)</f>
        <v>0</v>
      </c>
      <c r="Z54" s="189">
        <f>SUMIF(Eventos!$B:$B,PPvsREal!$C$54,Eventos!Z:Z)</f>
        <v>0</v>
      </c>
      <c r="AA54" s="190">
        <f>SUMIF(Eventos!$B:$B,PPvsREal!$C$54,Eventos!AA:AA)</f>
        <v>0</v>
      </c>
    </row>
    <row r="55" ht="12.75" customHeight="1">
      <c r="A55" s="111"/>
      <c r="B55" s="188" t="s">
        <v>18</v>
      </c>
      <c r="C55" s="2" t="s">
        <v>219</v>
      </c>
      <c r="D55" s="189">
        <f>SUMIF(Eventos!$B:$B,PPvsREal!$C$55,Eventos!D:D)</f>
        <v>0</v>
      </c>
      <c r="E55" s="189">
        <f>SUMIF(Eventos!$B:$B,PPvsREal!$C$55,Eventos!E:E)</f>
        <v>0</v>
      </c>
      <c r="F55" s="189">
        <f>SUMIF(Eventos!$B:$B,PPvsREal!$C$55,Eventos!F:F)</f>
        <v>0</v>
      </c>
      <c r="G55" s="189">
        <f>SUMIF(Eventos!$B:$B,PPvsREal!$C$55,Eventos!G:G)</f>
        <v>0</v>
      </c>
      <c r="H55" s="189">
        <f>SUMIF(Eventos!$B:$B,PPvsREal!$C$55,Eventos!H:H)</f>
        <v>300000</v>
      </c>
      <c r="I55" s="189">
        <f>SUMIF(Eventos!$B:$B,PPvsREal!$C$55,Eventos!I:I)</f>
        <v>0</v>
      </c>
      <c r="J55" s="189">
        <f>SUMIF(Eventos!$B:$B,PPvsREal!$C$55,Eventos!J:J)</f>
        <v>50000</v>
      </c>
      <c r="K55" s="189">
        <f>SUMIF(Eventos!$B:$B,PPvsREal!$C$55,Eventos!K:K)</f>
        <v>0</v>
      </c>
      <c r="L55" s="189">
        <f>SUMIF(Eventos!$B:$B,PPvsREal!$C$55,Eventos!L:L)</f>
        <v>0</v>
      </c>
      <c r="M55" s="189">
        <f>SUMIF(Eventos!$B:$B,PPvsREal!$C$55,Eventos!M:M)</f>
        <v>0</v>
      </c>
      <c r="N55" s="189">
        <f>SUMIF(Eventos!$B:$B,PPvsREal!$C$55,Eventos!N:N)</f>
        <v>0</v>
      </c>
      <c r="O55" s="189">
        <f>SUMIF(Eventos!$B:$B,PPvsREal!$C$55,Eventos!O:O)</f>
        <v>0</v>
      </c>
      <c r="P55" s="189">
        <f>SUMIF(Eventos!$B:$B,PPvsREal!$C$55,Eventos!P:P)</f>
        <v>0</v>
      </c>
      <c r="Q55" s="189">
        <f>SUMIF(Eventos!$B:$B,PPvsREal!$C$55,Eventos!Q:Q)</f>
        <v>0</v>
      </c>
      <c r="R55" s="189">
        <f>SUMIF(Eventos!$B:$B,PPvsREal!$C$55,Eventos!R:R)</f>
        <v>0</v>
      </c>
      <c r="S55" s="189">
        <f>SUMIF(Eventos!$B:$B,PPvsREal!$C$55,Eventos!S:S)</f>
        <v>0</v>
      </c>
      <c r="T55" s="189">
        <f>SUMIF(Eventos!$B:$B,PPvsREal!$C$55,Eventos!T:T)</f>
        <v>0</v>
      </c>
      <c r="U55" s="189">
        <f>SUMIF(Eventos!$B:$B,PPvsREal!$C$55,Eventos!U:U)</f>
        <v>0</v>
      </c>
      <c r="V55" s="189">
        <f>SUMIF(Eventos!$B:$B,PPvsREal!$C$55,Eventos!V:V)</f>
        <v>0</v>
      </c>
      <c r="W55" s="189">
        <f>SUMIF(Eventos!$B:$B,PPvsREal!$C$55,Eventos!W:W)</f>
        <v>0</v>
      </c>
      <c r="X55" s="189">
        <f>SUMIF(Eventos!$B:$B,PPvsREal!$C$55,Eventos!X:X)</f>
        <v>0</v>
      </c>
      <c r="Y55" s="189">
        <f>SUMIF(Eventos!$B:$B,PPvsREal!$C$55,Eventos!Y:Y)</f>
        <v>0</v>
      </c>
      <c r="Z55" s="189">
        <f>SUMIF(Eventos!$B:$B,PPvsREal!$C$55,Eventos!Z:Z)</f>
        <v>0</v>
      </c>
      <c r="AA55" s="190">
        <f>SUMIF(Eventos!$B:$B,PPvsREal!$C$55,Eventos!AA:AA)</f>
        <v>0</v>
      </c>
    </row>
    <row r="56" ht="12.75" customHeight="1">
      <c r="A56" s="111"/>
      <c r="B56" s="188" t="s">
        <v>18</v>
      </c>
      <c r="C56" s="2" t="s">
        <v>220</v>
      </c>
      <c r="D56" s="189">
        <f>SUMIF(Eventos!$B:$B,PPvsREal!$C$56,Eventos!D:D)</f>
        <v>450000</v>
      </c>
      <c r="E56" s="189">
        <f>SUMIF(Eventos!$B:$B,PPvsREal!$C$56,Eventos!E:E)</f>
        <v>0</v>
      </c>
      <c r="F56" s="189">
        <f>SUMIF(Eventos!$B:$B,PPvsREal!$C$56,Eventos!F:F)</f>
        <v>50000</v>
      </c>
      <c r="G56" s="189">
        <f>SUMIF(Eventos!$B:$B,PPvsREal!$C$56,Eventos!G:G)</f>
        <v>0</v>
      </c>
      <c r="H56" s="189">
        <f>SUMIF(Eventos!$B:$B,PPvsREal!$C$56,Eventos!H:H)</f>
        <v>0</v>
      </c>
      <c r="I56" s="189">
        <f>SUMIF(Eventos!$B:$B,PPvsREal!$C$56,Eventos!I:I)</f>
        <v>0</v>
      </c>
      <c r="J56" s="189">
        <f>SUMIF(Eventos!$B:$B,PPvsREal!$C$56,Eventos!J:J)</f>
        <v>0</v>
      </c>
      <c r="K56" s="189">
        <f>SUMIF(Eventos!$B:$B,PPvsREal!$C$56,Eventos!K:K)</f>
        <v>0</v>
      </c>
      <c r="L56" s="189">
        <f>SUMIF(Eventos!$B:$B,PPvsREal!$C$56,Eventos!L:L)</f>
        <v>0</v>
      </c>
      <c r="M56" s="189">
        <f>SUMIF(Eventos!$B:$B,PPvsREal!$C$56,Eventos!M:M)</f>
        <v>0</v>
      </c>
      <c r="N56" s="189">
        <f>SUMIF(Eventos!$B:$B,PPvsREal!$C$56,Eventos!N:N)</f>
        <v>0</v>
      </c>
      <c r="O56" s="189">
        <f>SUMIF(Eventos!$B:$B,PPvsREal!$C$56,Eventos!O:O)</f>
        <v>0</v>
      </c>
      <c r="P56" s="189">
        <f>SUMIF(Eventos!$B:$B,PPvsREal!$C$56,Eventos!P:P)</f>
        <v>0</v>
      </c>
      <c r="Q56" s="189">
        <f>SUMIF(Eventos!$B:$B,PPvsREal!$C$56,Eventos!Q:Q)</f>
        <v>0</v>
      </c>
      <c r="R56" s="189">
        <f>SUMIF(Eventos!$B:$B,PPvsREal!$C$56,Eventos!R:R)</f>
        <v>0</v>
      </c>
      <c r="S56" s="189">
        <f>SUMIF(Eventos!$B:$B,PPvsREal!$C$56,Eventos!S:S)</f>
        <v>0</v>
      </c>
      <c r="T56" s="189">
        <f>SUMIF(Eventos!$B:$B,PPvsREal!$C$56,Eventos!T:T)</f>
        <v>0</v>
      </c>
      <c r="U56" s="189">
        <f>SUMIF(Eventos!$B:$B,PPvsREal!$C$56,Eventos!U:U)</f>
        <v>0</v>
      </c>
      <c r="V56" s="189">
        <f>SUMIF(Eventos!$B:$B,PPvsREal!$C$56,Eventos!V:V)</f>
        <v>0</v>
      </c>
      <c r="W56" s="189">
        <f>SUMIF(Eventos!$B:$B,PPvsREal!$C$56,Eventos!W:W)</f>
        <v>0</v>
      </c>
      <c r="X56" s="189">
        <f>SUMIF(Eventos!$B:$B,PPvsREal!$C$56,Eventos!X:X)</f>
        <v>0</v>
      </c>
      <c r="Y56" s="189">
        <f>SUMIF(Eventos!$B:$B,PPvsREal!$C$56,Eventos!Y:Y)</f>
        <v>0</v>
      </c>
      <c r="Z56" s="189">
        <f>SUMIF(Eventos!$B:$B,PPvsREal!$C$56,Eventos!Z:Z)</f>
        <v>0</v>
      </c>
      <c r="AA56" s="190">
        <f>SUMIF(Eventos!$B:$B,PPvsREal!$C$56,Eventos!AA:AA)</f>
        <v>0</v>
      </c>
    </row>
    <row r="57" ht="12.75" customHeight="1">
      <c r="A57" s="111"/>
      <c r="B57" s="188" t="s">
        <v>18</v>
      </c>
      <c r="C57" s="2" t="s">
        <v>221</v>
      </c>
      <c r="D57" s="189">
        <f>SUMIF(Eventos!$B:$B,PPvsREal!$C$57,Eventos!D:D)</f>
        <v>0</v>
      </c>
      <c r="E57" s="189">
        <f>SUMIF(Eventos!$B:$B,PPvsREal!$C$57,Eventos!E:E)</f>
        <v>0</v>
      </c>
      <c r="F57" s="189">
        <f>SUMIF(Eventos!$B:$B,PPvsREal!$C$57,Eventos!F:F)</f>
        <v>0</v>
      </c>
      <c r="G57" s="189">
        <f>SUMIF(Eventos!$B:$B,PPvsREal!$C$57,Eventos!G:G)</f>
        <v>0</v>
      </c>
      <c r="H57" s="189">
        <f>SUMIF(Eventos!$B:$B,PPvsREal!$C$57,Eventos!H:H)</f>
        <v>0</v>
      </c>
      <c r="I57" s="189">
        <f>SUMIF(Eventos!$B:$B,PPvsREal!$C$57,Eventos!I:I)</f>
        <v>0</v>
      </c>
      <c r="J57" s="189">
        <f>SUMIF(Eventos!$B:$B,PPvsREal!$C$57,Eventos!J:J)</f>
        <v>0</v>
      </c>
      <c r="K57" s="189">
        <f>SUMIF(Eventos!$B:$B,PPvsREal!$C$57,Eventos!K:K)</f>
        <v>0</v>
      </c>
      <c r="L57" s="189">
        <f>SUMIF(Eventos!$B:$B,PPvsREal!$C$57,Eventos!L:L)</f>
        <v>0</v>
      </c>
      <c r="M57" s="189">
        <f>SUMIF(Eventos!$B:$B,PPvsREal!$C$57,Eventos!M:M)</f>
        <v>0</v>
      </c>
      <c r="N57" s="189">
        <f>SUMIF(Eventos!$B:$B,PPvsREal!$C$57,Eventos!N:N)</f>
        <v>0</v>
      </c>
      <c r="O57" s="189">
        <f>SUMIF(Eventos!$B:$B,PPvsREal!$C$57,Eventos!O:O)</f>
        <v>0</v>
      </c>
      <c r="P57" s="189">
        <f>SUMIF(Eventos!$B:$B,PPvsREal!$C$57,Eventos!P:P)</f>
        <v>0</v>
      </c>
      <c r="Q57" s="189">
        <f>SUMIF(Eventos!$B:$B,PPvsREal!$C$57,Eventos!Q:Q)</f>
        <v>0</v>
      </c>
      <c r="R57" s="189">
        <f>SUMIF(Eventos!$B:$B,PPvsREal!$C$57,Eventos!R:R)</f>
        <v>0</v>
      </c>
      <c r="S57" s="189">
        <f>SUMIF(Eventos!$B:$B,PPvsREal!$C$57,Eventos!S:S)</f>
        <v>0</v>
      </c>
      <c r="T57" s="189">
        <f>SUMIF(Eventos!$B:$B,PPvsREal!$C$57,Eventos!T:T)</f>
        <v>0</v>
      </c>
      <c r="U57" s="189">
        <f>SUMIF(Eventos!$B:$B,PPvsREal!$C$57,Eventos!U:U)</f>
        <v>0</v>
      </c>
      <c r="V57" s="189">
        <f>SUMIF(Eventos!$B:$B,PPvsREal!$C$57,Eventos!V:V)</f>
        <v>300000</v>
      </c>
      <c r="W57" s="189">
        <f>SUMIF(Eventos!$B:$B,PPvsREal!$C$57,Eventos!W:W)</f>
        <v>0</v>
      </c>
      <c r="X57" s="189">
        <f>SUMIF(Eventos!$B:$B,PPvsREal!$C$57,Eventos!X:X)</f>
        <v>50000</v>
      </c>
      <c r="Y57" s="189">
        <f>SUMIF(Eventos!$B:$B,PPvsREal!$C$57,Eventos!Y:Y)</f>
        <v>0</v>
      </c>
      <c r="Z57" s="189">
        <f>SUMIF(Eventos!$B:$B,PPvsREal!$C$57,Eventos!Z:Z)</f>
        <v>0</v>
      </c>
      <c r="AA57" s="190">
        <f>SUMIF(Eventos!$B:$B,PPvsREal!$C$57,Eventos!AA:AA)</f>
        <v>0</v>
      </c>
    </row>
    <row r="58" ht="12.75" customHeight="1">
      <c r="A58" s="111"/>
      <c r="B58" s="188" t="s">
        <v>18</v>
      </c>
      <c r="C58" s="2" t="s">
        <v>420</v>
      </c>
      <c r="D58" s="189">
        <f>SUMIF(Eventos!$B:$B,PPvsREal!$C$58,Eventos!D:D)</f>
        <v>0</v>
      </c>
      <c r="E58" s="189">
        <f>SUMIF(Eventos!$B:$B,PPvsREal!$C$58,Eventos!E:E)</f>
        <v>0</v>
      </c>
      <c r="F58" s="189">
        <f>SUMIF(Eventos!$B:$B,PPvsREal!$C$58,Eventos!F:F)</f>
        <v>0</v>
      </c>
      <c r="G58" s="189">
        <f>SUMIF(Eventos!$B:$B,PPvsREal!$C$58,Eventos!G:G)</f>
        <v>0</v>
      </c>
      <c r="H58" s="189">
        <f>SUMIF(Eventos!$B:$B,PPvsREal!$C$58,Eventos!H:H)</f>
        <v>0</v>
      </c>
      <c r="I58" s="189">
        <f>SUMIF(Eventos!$B:$B,PPvsREal!$C$58,Eventos!I:I)</f>
        <v>0</v>
      </c>
      <c r="J58" s="189">
        <f>SUMIF(Eventos!$B:$B,PPvsREal!$C$58,Eventos!J:J)</f>
        <v>0</v>
      </c>
      <c r="K58" s="189">
        <f>SUMIF(Eventos!$B:$B,PPvsREal!$C$58,Eventos!K:K)</f>
        <v>0</v>
      </c>
      <c r="L58" s="189">
        <f>SUMIF(Eventos!$B:$B,PPvsREal!$C$58,Eventos!L:L)</f>
        <v>0</v>
      </c>
      <c r="M58" s="189">
        <f>SUMIF(Eventos!$B:$B,PPvsREal!$C$58,Eventos!M:M)</f>
        <v>0</v>
      </c>
      <c r="N58" s="189">
        <f>SUMIF(Eventos!$B:$B,PPvsREal!$C$58,Eventos!N:N)</f>
        <v>0</v>
      </c>
      <c r="O58" s="189">
        <f>SUMIF(Eventos!$B:$B,PPvsREal!$C$58,Eventos!O:O)</f>
        <v>0</v>
      </c>
      <c r="P58" s="189">
        <f>SUMIF(Eventos!$B:$B,PPvsREal!$C$58,Eventos!P:P)</f>
        <v>0</v>
      </c>
      <c r="Q58" s="189">
        <f>SUMIF(Eventos!$B:$B,PPvsREal!$C$58,Eventos!Q:Q)</f>
        <v>0</v>
      </c>
      <c r="R58" s="189">
        <f>SUMIF(Eventos!$B:$B,PPvsREal!$C$58,Eventos!R:R)</f>
        <v>0</v>
      </c>
      <c r="S58" s="189">
        <f>SUMIF(Eventos!$B:$B,PPvsREal!$C$58,Eventos!S:S)</f>
        <v>0</v>
      </c>
      <c r="T58" s="189">
        <f>SUMIF(Eventos!$B:$B,PPvsREal!$C$58,Eventos!T:T)</f>
        <v>0</v>
      </c>
      <c r="U58" s="189">
        <f>SUMIF(Eventos!$B:$B,PPvsREal!$C$58,Eventos!U:U)</f>
        <v>0</v>
      </c>
      <c r="V58" s="189">
        <f>SUMIF(Eventos!$B:$B,PPvsREal!$C$58,Eventos!V:V)</f>
        <v>0</v>
      </c>
      <c r="W58" s="189">
        <f>SUMIF(Eventos!$B:$B,PPvsREal!$C$58,Eventos!W:W)</f>
        <v>0</v>
      </c>
      <c r="X58" s="189">
        <f>SUMIF(Eventos!$B:$B,PPvsREal!$C$58,Eventos!X:X)</f>
        <v>0</v>
      </c>
      <c r="Y58" s="189">
        <f>SUMIF(Eventos!$B:$B,PPvsREal!$C$58,Eventos!Y:Y)</f>
        <v>0</v>
      </c>
      <c r="Z58" s="189">
        <f>SUMIF(Eventos!$B:$B,PPvsREal!$C$58,Eventos!Z:Z)</f>
        <v>0</v>
      </c>
      <c r="AA58" s="190">
        <f>SUMIF(Eventos!$B:$B,PPvsREal!$C$58,Eventos!AA:AA)</f>
        <v>0</v>
      </c>
    </row>
    <row r="59" ht="12.75" customHeight="1">
      <c r="A59" s="111"/>
      <c r="B59" s="188" t="s">
        <v>18</v>
      </c>
      <c r="C59" s="2" t="s">
        <v>223</v>
      </c>
      <c r="D59" s="189">
        <f>SUMIF(Eventos!$B:$B,PPvsREal!$C$59,Eventos!D:D)</f>
        <v>0</v>
      </c>
      <c r="E59" s="189">
        <f>SUMIF(Eventos!$B:$B,PPvsREal!$C$59,Eventos!E:E)</f>
        <v>0</v>
      </c>
      <c r="F59" s="189">
        <f>SUMIF(Eventos!$B:$B,PPvsREal!$C$59,Eventos!F:F)</f>
        <v>0</v>
      </c>
      <c r="G59" s="189">
        <f>SUMIF(Eventos!$B:$B,PPvsREal!$C$59,Eventos!G:G)</f>
        <v>0</v>
      </c>
      <c r="H59" s="189">
        <f>SUMIF(Eventos!$B:$B,PPvsREal!$C$59,Eventos!H:H)</f>
        <v>0</v>
      </c>
      <c r="I59" s="189">
        <f>SUMIF(Eventos!$B:$B,PPvsREal!$C$59,Eventos!I:I)</f>
        <v>0</v>
      </c>
      <c r="J59" s="189">
        <f>SUMIF(Eventos!$B:$B,PPvsREal!$C$59,Eventos!J:J)</f>
        <v>0</v>
      </c>
      <c r="K59" s="189">
        <f>SUMIF(Eventos!$B:$B,PPvsREal!$C$59,Eventos!K:K)</f>
        <v>0</v>
      </c>
      <c r="L59" s="189">
        <f>SUMIF(Eventos!$B:$B,PPvsREal!$C$59,Eventos!L:L)</f>
        <v>210000</v>
      </c>
      <c r="M59" s="189">
        <f>SUMIF(Eventos!$B:$B,PPvsREal!$C$59,Eventos!M:M)</f>
        <v>0</v>
      </c>
      <c r="N59" s="189">
        <f>SUMIF(Eventos!$B:$B,PPvsREal!$C$59,Eventos!N:N)</f>
        <v>20000</v>
      </c>
      <c r="O59" s="189">
        <f>SUMIF(Eventos!$B:$B,PPvsREal!$C$59,Eventos!O:O)</f>
        <v>0</v>
      </c>
      <c r="P59" s="189">
        <f>SUMIF(Eventos!$B:$B,PPvsREal!$C$59,Eventos!P:P)</f>
        <v>0</v>
      </c>
      <c r="Q59" s="189">
        <f>SUMIF(Eventos!$B:$B,PPvsREal!$C$59,Eventos!Q:Q)</f>
        <v>0</v>
      </c>
      <c r="R59" s="189">
        <f>SUMIF(Eventos!$B:$B,PPvsREal!$C$59,Eventos!R:R)</f>
        <v>0</v>
      </c>
      <c r="S59" s="189">
        <f>SUMIF(Eventos!$B:$B,PPvsREal!$C$59,Eventos!S:S)</f>
        <v>0</v>
      </c>
      <c r="T59" s="189">
        <f>SUMIF(Eventos!$B:$B,PPvsREal!$C$59,Eventos!T:T)</f>
        <v>0</v>
      </c>
      <c r="U59" s="189">
        <f>SUMIF(Eventos!$B:$B,PPvsREal!$C$59,Eventos!U:U)</f>
        <v>0</v>
      </c>
      <c r="V59" s="189">
        <f>SUMIF(Eventos!$B:$B,PPvsREal!$C$59,Eventos!V:V)</f>
        <v>0</v>
      </c>
      <c r="W59" s="189">
        <f>SUMIF(Eventos!$B:$B,PPvsREal!$C$59,Eventos!W:W)</f>
        <v>0</v>
      </c>
      <c r="X59" s="189">
        <f>SUMIF(Eventos!$B:$B,PPvsREal!$C$59,Eventos!X:X)</f>
        <v>0</v>
      </c>
      <c r="Y59" s="189">
        <f>SUMIF(Eventos!$B:$B,PPvsREal!$C$59,Eventos!Y:Y)</f>
        <v>0</v>
      </c>
      <c r="Z59" s="189">
        <f>SUMIF(Eventos!$B:$B,PPvsREal!$C$59,Eventos!Z:Z)</f>
        <v>0</v>
      </c>
      <c r="AA59" s="190">
        <f>SUMIF(Eventos!$B:$B,PPvsREal!$C$59,Eventos!AA:AA)</f>
        <v>0</v>
      </c>
    </row>
    <row r="60" ht="12.75" customHeight="1">
      <c r="A60" s="111"/>
      <c r="B60" s="188" t="s">
        <v>18</v>
      </c>
      <c r="C60" s="2" t="s">
        <v>224</v>
      </c>
      <c r="D60" s="189">
        <f>SUMIF(Eventos!$B:$B,PPvsREal!$C$60,Eventos!D:D)</f>
        <v>0</v>
      </c>
      <c r="E60" s="189">
        <f>SUMIF(Eventos!$B:$B,PPvsREal!$C$60,Eventos!E:E)</f>
        <v>0</v>
      </c>
      <c r="F60" s="189">
        <f>SUMIF(Eventos!$B:$B,PPvsREal!$C$60,Eventos!F:F)</f>
        <v>0</v>
      </c>
      <c r="G60" s="189">
        <f>SUMIF(Eventos!$B:$B,PPvsREal!$C$60,Eventos!G:G)</f>
        <v>0</v>
      </c>
      <c r="H60" s="189">
        <f>SUMIF(Eventos!$B:$B,PPvsREal!$C$60,Eventos!H:H)</f>
        <v>0</v>
      </c>
      <c r="I60" s="189">
        <f>SUMIF(Eventos!$B:$B,PPvsREal!$C$60,Eventos!I:I)</f>
        <v>0</v>
      </c>
      <c r="J60" s="189">
        <f>SUMIF(Eventos!$B:$B,PPvsREal!$C$60,Eventos!J:J)</f>
        <v>0</v>
      </c>
      <c r="K60" s="189">
        <f>SUMIF(Eventos!$B:$B,PPvsREal!$C$60,Eventos!K:K)</f>
        <v>0</v>
      </c>
      <c r="L60" s="189">
        <f>SUMIF(Eventos!$B:$B,PPvsREal!$C$60,Eventos!L:L)</f>
        <v>170000</v>
      </c>
      <c r="M60" s="189">
        <f>SUMIF(Eventos!$B:$B,PPvsREal!$C$60,Eventos!M:M)</f>
        <v>0</v>
      </c>
      <c r="N60" s="189">
        <f>SUMIF(Eventos!$B:$B,PPvsREal!$C$60,Eventos!N:N)</f>
        <v>0</v>
      </c>
      <c r="O60" s="189">
        <f>SUMIF(Eventos!$B:$B,PPvsREal!$C$60,Eventos!O:O)</f>
        <v>0</v>
      </c>
      <c r="P60" s="189">
        <f>SUMIF(Eventos!$B:$B,PPvsREal!$C$60,Eventos!P:P)</f>
        <v>0</v>
      </c>
      <c r="Q60" s="189">
        <f>SUMIF(Eventos!$B:$B,PPvsREal!$C$60,Eventos!Q:Q)</f>
        <v>0</v>
      </c>
      <c r="R60" s="189">
        <f>SUMIF(Eventos!$B:$B,PPvsREal!$C$60,Eventos!R:R)</f>
        <v>0</v>
      </c>
      <c r="S60" s="189">
        <f>SUMIF(Eventos!$B:$B,PPvsREal!$C$60,Eventos!S:S)</f>
        <v>0</v>
      </c>
      <c r="T60" s="189">
        <f>SUMIF(Eventos!$B:$B,PPvsREal!$C$60,Eventos!T:T)</f>
        <v>0</v>
      </c>
      <c r="U60" s="189">
        <f>SUMIF(Eventos!$B:$B,PPvsREal!$C$60,Eventos!U:U)</f>
        <v>0</v>
      </c>
      <c r="V60" s="189">
        <f>SUMIF(Eventos!$B:$B,PPvsREal!$C$60,Eventos!V:V)</f>
        <v>0</v>
      </c>
      <c r="W60" s="189">
        <f>SUMIF(Eventos!$B:$B,PPvsREal!$C$60,Eventos!W:W)</f>
        <v>0</v>
      </c>
      <c r="X60" s="189">
        <f>SUMIF(Eventos!$B:$B,PPvsREal!$C$60,Eventos!X:X)</f>
        <v>0</v>
      </c>
      <c r="Y60" s="189">
        <f>SUMIF(Eventos!$B:$B,PPvsREal!$C$60,Eventos!Y:Y)</f>
        <v>0</v>
      </c>
      <c r="Z60" s="189">
        <f>SUMIF(Eventos!$B:$B,PPvsREal!$C$60,Eventos!Z:Z)</f>
        <v>0</v>
      </c>
      <c r="AA60" s="190">
        <f>SUMIF(Eventos!$B:$B,PPvsREal!$C$60,Eventos!AA:AA)</f>
        <v>0</v>
      </c>
    </row>
    <row r="61" ht="12.75" customHeight="1">
      <c r="A61" s="111"/>
      <c r="B61" s="188" t="s">
        <v>18</v>
      </c>
      <c r="C61" s="2" t="s">
        <v>421</v>
      </c>
      <c r="D61" s="189">
        <f>SUMIF(Eventos!$B:$B,PPvsREal!$C$61,Eventos!D:D)</f>
        <v>0</v>
      </c>
      <c r="E61" s="189">
        <f>SUMIF(Eventos!$B:$B,PPvsREal!$C$61,Eventos!E:E)</f>
        <v>0</v>
      </c>
      <c r="F61" s="189">
        <f>SUMIF(Eventos!$B:$B,PPvsREal!$C$61,Eventos!F:F)</f>
        <v>0</v>
      </c>
      <c r="G61" s="189">
        <f>SUMIF(Eventos!$B:$B,PPvsREal!$C$61,Eventos!G:G)</f>
        <v>0</v>
      </c>
      <c r="H61" s="189">
        <f>SUMIF(Eventos!$B:$B,PPvsREal!$C$61,Eventos!H:H)</f>
        <v>0</v>
      </c>
      <c r="I61" s="189">
        <f>SUMIF(Eventos!$B:$B,PPvsREal!$C$61,Eventos!I:I)</f>
        <v>0</v>
      </c>
      <c r="J61" s="189">
        <f>SUMIF(Eventos!$B:$B,PPvsREal!$C$61,Eventos!J:J)</f>
        <v>0</v>
      </c>
      <c r="K61" s="189">
        <f>SUMIF(Eventos!$B:$B,PPvsREal!$C$61,Eventos!K:K)</f>
        <v>0</v>
      </c>
      <c r="L61" s="189">
        <f>SUMIF(Eventos!$B:$B,PPvsREal!$C$61,Eventos!L:L)</f>
        <v>0</v>
      </c>
      <c r="M61" s="189">
        <f>SUMIF(Eventos!$B:$B,PPvsREal!$C$61,Eventos!M:M)</f>
        <v>0</v>
      </c>
      <c r="N61" s="189">
        <f>SUMIF(Eventos!$B:$B,PPvsREal!$C$61,Eventos!N:N)</f>
        <v>0</v>
      </c>
      <c r="O61" s="189">
        <f>SUMIF(Eventos!$B:$B,PPvsREal!$C$61,Eventos!O:O)</f>
        <v>0</v>
      </c>
      <c r="P61" s="189">
        <f>SUMIF(Eventos!$B:$B,PPvsREal!$C$61,Eventos!P:P)</f>
        <v>0</v>
      </c>
      <c r="Q61" s="189">
        <f>SUMIF(Eventos!$B:$B,PPvsREal!$C$61,Eventos!Q:Q)</f>
        <v>0</v>
      </c>
      <c r="R61" s="189">
        <f>SUMIF(Eventos!$B:$B,PPvsREal!$C$61,Eventos!R:R)</f>
        <v>0</v>
      </c>
      <c r="S61" s="189">
        <f>SUMIF(Eventos!$B:$B,PPvsREal!$C$61,Eventos!S:S)</f>
        <v>0</v>
      </c>
      <c r="T61" s="189">
        <f>SUMIF(Eventos!$B:$B,PPvsREal!$C$61,Eventos!T:T)</f>
        <v>0</v>
      </c>
      <c r="U61" s="189">
        <f>SUMIF(Eventos!$B:$B,PPvsREal!$C$61,Eventos!U:U)</f>
        <v>0</v>
      </c>
      <c r="V61" s="189">
        <f>SUMIF(Eventos!$B:$B,PPvsREal!$C$61,Eventos!V:V)</f>
        <v>0</v>
      </c>
      <c r="W61" s="189">
        <f>SUMIF(Eventos!$B:$B,PPvsREal!$C$61,Eventos!W:W)</f>
        <v>0</v>
      </c>
      <c r="X61" s="189">
        <f>SUMIF(Eventos!$B:$B,PPvsREal!$C$61,Eventos!X:X)</f>
        <v>0</v>
      </c>
      <c r="Y61" s="189">
        <f>SUMIF(Eventos!$B:$B,PPvsREal!$C$61,Eventos!Y:Y)</f>
        <v>0</v>
      </c>
      <c r="Z61" s="189">
        <f>SUMIF(Eventos!$B:$B,PPvsREal!$C$61,Eventos!Z:Z)</f>
        <v>0</v>
      </c>
      <c r="AA61" s="190">
        <f>SUMIF(Eventos!$B:$B,PPvsREal!$C$61,Eventos!AA:AA)</f>
        <v>0</v>
      </c>
    </row>
    <row r="62" ht="12.75" customHeight="1">
      <c r="A62" s="111"/>
      <c r="B62" s="188" t="s">
        <v>18</v>
      </c>
      <c r="C62" s="2" t="s">
        <v>222</v>
      </c>
      <c r="D62" s="189">
        <f>SUMIF(Eventos!$B:$B,PPvsREal!$C$62,Eventos!D:D)</f>
        <v>0</v>
      </c>
      <c r="E62" s="189">
        <f>SUMIF(Eventos!$B:$B,PPvsREal!$C$62,Eventos!E:E)</f>
        <v>0</v>
      </c>
      <c r="F62" s="189">
        <f>SUMIF(Eventos!$B:$B,PPvsREal!$C$62,Eventos!F:F)</f>
        <v>0</v>
      </c>
      <c r="G62" s="189">
        <f>SUMIF(Eventos!$B:$B,PPvsREal!$C$62,Eventos!G:G)</f>
        <v>0</v>
      </c>
      <c r="H62" s="189">
        <f>SUMIF(Eventos!$B:$B,PPvsREal!$C$62,Eventos!H:H)</f>
        <v>180000</v>
      </c>
      <c r="I62" s="189">
        <f>SUMIF(Eventos!$B:$B,PPvsREal!$C$62,Eventos!I:I)</f>
        <v>0</v>
      </c>
      <c r="J62" s="189">
        <f>SUMIF(Eventos!$B:$B,PPvsREal!$C$62,Eventos!J:J)</f>
        <v>0</v>
      </c>
      <c r="K62" s="189">
        <f>SUMIF(Eventos!$B:$B,PPvsREal!$C$62,Eventos!K:K)</f>
        <v>0</v>
      </c>
      <c r="L62" s="189">
        <f>SUMIF(Eventos!$B:$B,PPvsREal!$C$62,Eventos!L:L)</f>
        <v>0</v>
      </c>
      <c r="M62" s="189">
        <f>SUMIF(Eventos!$B:$B,PPvsREal!$C$62,Eventos!M:M)</f>
        <v>0</v>
      </c>
      <c r="N62" s="189">
        <f>SUMIF(Eventos!$B:$B,PPvsREal!$C$62,Eventos!N:N)</f>
        <v>0</v>
      </c>
      <c r="O62" s="189">
        <f>SUMIF(Eventos!$B:$B,PPvsREal!$C$62,Eventos!O:O)</f>
        <v>0</v>
      </c>
      <c r="P62" s="189">
        <f>SUMIF(Eventos!$B:$B,PPvsREal!$C$62,Eventos!P:P)</f>
        <v>0</v>
      </c>
      <c r="Q62" s="189">
        <f>SUMIF(Eventos!$B:$B,PPvsREal!$C$62,Eventos!Q:Q)</f>
        <v>0</v>
      </c>
      <c r="R62" s="189">
        <f>SUMIF(Eventos!$B:$B,PPvsREal!$C$62,Eventos!R:R)</f>
        <v>0</v>
      </c>
      <c r="S62" s="189">
        <f>SUMIF(Eventos!$B:$B,PPvsREal!$C$62,Eventos!S:S)</f>
        <v>0</v>
      </c>
      <c r="T62" s="189">
        <f>SUMIF(Eventos!$B:$B,PPvsREal!$C$62,Eventos!T:T)</f>
        <v>0</v>
      </c>
      <c r="U62" s="189">
        <f>SUMIF(Eventos!$B:$B,PPvsREal!$C$62,Eventos!U:U)</f>
        <v>0</v>
      </c>
      <c r="V62" s="189">
        <f>SUMIF(Eventos!$B:$B,PPvsREal!$C$62,Eventos!V:V)</f>
        <v>0</v>
      </c>
      <c r="W62" s="189">
        <f>SUMIF(Eventos!$B:$B,PPvsREal!$C$62,Eventos!W:W)</f>
        <v>0</v>
      </c>
      <c r="X62" s="189">
        <f>SUMIF(Eventos!$B:$B,PPvsREal!$C$62,Eventos!X:X)</f>
        <v>0</v>
      </c>
      <c r="Y62" s="189">
        <f>SUMIF(Eventos!$B:$B,PPvsREal!$C$62,Eventos!Y:Y)</f>
        <v>0</v>
      </c>
      <c r="Z62" s="189">
        <f>SUMIF(Eventos!$B:$B,PPvsREal!$C$62,Eventos!Z:Z)</f>
        <v>0</v>
      </c>
      <c r="AA62" s="190">
        <f>SUMIF(Eventos!$B:$B,PPvsREal!$C$62,Eventos!AA:AA)</f>
        <v>0</v>
      </c>
    </row>
    <row r="63" ht="12.75" customHeight="1">
      <c r="A63" s="111"/>
      <c r="B63" s="188" t="s">
        <v>18</v>
      </c>
      <c r="C63" s="2" t="s">
        <v>225</v>
      </c>
      <c r="D63" s="189">
        <f>SUMIF(Eventos!$B:$B,PPvsREal!$C$63,Eventos!D:D)</f>
        <v>0</v>
      </c>
      <c r="E63" s="189">
        <f>SUMIF(Eventos!$B:$B,PPvsREal!$C$63,Eventos!E:E)</f>
        <v>0</v>
      </c>
      <c r="F63" s="189">
        <f>SUMIF(Eventos!$B:$B,PPvsREal!$C$63,Eventos!F:F)</f>
        <v>100000</v>
      </c>
      <c r="G63" s="189">
        <f>SUMIF(Eventos!$B:$B,PPvsREal!$C$63,Eventos!G:G)</f>
        <v>0</v>
      </c>
      <c r="H63" s="189">
        <f>SUMIF(Eventos!$B:$B,PPvsREal!$C$63,Eventos!H:H)</f>
        <v>0</v>
      </c>
      <c r="I63" s="189">
        <f>SUMIF(Eventos!$B:$B,PPvsREal!$C$63,Eventos!I:I)</f>
        <v>0</v>
      </c>
      <c r="J63" s="189">
        <f>SUMIF(Eventos!$B:$B,PPvsREal!$C$63,Eventos!J:J)</f>
        <v>0</v>
      </c>
      <c r="K63" s="189">
        <f>SUMIF(Eventos!$B:$B,PPvsREal!$C$63,Eventos!K:K)</f>
        <v>0</v>
      </c>
      <c r="L63" s="189">
        <f>SUMIF(Eventos!$B:$B,PPvsREal!$C$63,Eventos!L:L)</f>
        <v>0</v>
      </c>
      <c r="M63" s="189">
        <f>SUMIF(Eventos!$B:$B,PPvsREal!$C$63,Eventos!M:M)</f>
        <v>0</v>
      </c>
      <c r="N63" s="189">
        <f>SUMIF(Eventos!$B:$B,PPvsREal!$C$63,Eventos!N:N)</f>
        <v>0</v>
      </c>
      <c r="O63" s="189">
        <f>SUMIF(Eventos!$B:$B,PPvsREal!$C$63,Eventos!O:O)</f>
        <v>0</v>
      </c>
      <c r="P63" s="189">
        <f>SUMIF(Eventos!$B:$B,PPvsREal!$C$63,Eventos!P:P)</f>
        <v>100000</v>
      </c>
      <c r="Q63" s="189">
        <f>SUMIF(Eventos!$B:$B,PPvsREal!$C$63,Eventos!Q:Q)</f>
        <v>0</v>
      </c>
      <c r="R63" s="189">
        <f>SUMIF(Eventos!$B:$B,PPvsREal!$C$63,Eventos!R:R)</f>
        <v>0</v>
      </c>
      <c r="S63" s="189">
        <f>SUMIF(Eventos!$B:$B,PPvsREal!$C$63,Eventos!S:S)</f>
        <v>0</v>
      </c>
      <c r="T63" s="189">
        <f>SUMIF(Eventos!$B:$B,PPvsREal!$C$63,Eventos!T:T)</f>
        <v>0</v>
      </c>
      <c r="U63" s="189">
        <f>SUMIF(Eventos!$B:$B,PPvsREal!$C$63,Eventos!U:U)</f>
        <v>0</v>
      </c>
      <c r="V63" s="189">
        <f>SUMIF(Eventos!$B:$B,PPvsREal!$C$63,Eventos!V:V)</f>
        <v>0</v>
      </c>
      <c r="W63" s="189">
        <f>SUMIF(Eventos!$B:$B,PPvsREal!$C$63,Eventos!W:W)</f>
        <v>0</v>
      </c>
      <c r="X63" s="189">
        <f>SUMIF(Eventos!$B:$B,PPvsREal!$C$63,Eventos!X:X)</f>
        <v>100000</v>
      </c>
      <c r="Y63" s="189">
        <f>SUMIF(Eventos!$B:$B,PPvsREal!$C$63,Eventos!Y:Y)</f>
        <v>0</v>
      </c>
      <c r="Z63" s="189">
        <f>SUMIF(Eventos!$B:$B,PPvsREal!$C$63,Eventos!Z:Z)</f>
        <v>0</v>
      </c>
      <c r="AA63" s="190">
        <f>SUMIF(Eventos!$B:$B,PPvsREal!$C$63,Eventos!AA:AA)</f>
        <v>0</v>
      </c>
    </row>
    <row r="64" ht="12.75" customHeight="1">
      <c r="A64" s="111"/>
      <c r="B64" s="188" t="s">
        <v>18</v>
      </c>
      <c r="C64" s="2" t="s">
        <v>226</v>
      </c>
      <c r="D64" s="189">
        <f>SUMIF(Eventos!$B:$B,PPvsREal!$C$64,Eventos!D:D)</f>
        <v>0</v>
      </c>
      <c r="E64" s="189">
        <f>SUMIF(Eventos!$B:$B,PPvsREal!$C$64,Eventos!E:E)</f>
        <v>0</v>
      </c>
      <c r="F64" s="189">
        <f>SUMIF(Eventos!$B:$B,PPvsREal!$C$64,Eventos!F:F)</f>
        <v>0</v>
      </c>
      <c r="G64" s="189">
        <f>SUMIF(Eventos!$B:$B,PPvsREal!$C$64,Eventos!G:G)</f>
        <v>0</v>
      </c>
      <c r="H64" s="189">
        <f>SUMIF(Eventos!$B:$B,PPvsREal!$C$64,Eventos!H:H)</f>
        <v>0</v>
      </c>
      <c r="I64" s="189">
        <f>SUMIF(Eventos!$B:$B,PPvsREal!$C$64,Eventos!I:I)</f>
        <v>0</v>
      </c>
      <c r="J64" s="189">
        <f>SUMIF(Eventos!$B:$B,PPvsREal!$C$64,Eventos!J:J)</f>
        <v>0</v>
      </c>
      <c r="K64" s="189">
        <f>SUMIF(Eventos!$B:$B,PPvsREal!$C$64,Eventos!K:K)</f>
        <v>0</v>
      </c>
      <c r="L64" s="189">
        <f>SUMIF(Eventos!$B:$B,PPvsREal!$C$64,Eventos!L:L)</f>
        <v>0</v>
      </c>
      <c r="M64" s="189">
        <f>SUMIF(Eventos!$B:$B,PPvsREal!$C$64,Eventos!M:M)</f>
        <v>0</v>
      </c>
      <c r="N64" s="189">
        <f>SUMIF(Eventos!$B:$B,PPvsREal!$C$64,Eventos!N:N)</f>
        <v>0</v>
      </c>
      <c r="O64" s="189">
        <f>SUMIF(Eventos!$B:$B,PPvsREal!$C$64,Eventos!O:O)</f>
        <v>0</v>
      </c>
      <c r="P64" s="189">
        <f>SUMIF(Eventos!$B:$B,PPvsREal!$C$64,Eventos!P:P)</f>
        <v>0</v>
      </c>
      <c r="Q64" s="189">
        <f>SUMIF(Eventos!$B:$B,PPvsREal!$C$64,Eventos!Q:Q)</f>
        <v>0</v>
      </c>
      <c r="R64" s="189">
        <f>SUMIF(Eventos!$B:$B,PPvsREal!$C$64,Eventos!R:R)</f>
        <v>0</v>
      </c>
      <c r="S64" s="189">
        <f>SUMIF(Eventos!$B:$B,PPvsREal!$C$64,Eventos!S:S)</f>
        <v>0</v>
      </c>
      <c r="T64" s="189">
        <f>SUMIF(Eventos!$B:$B,PPvsREal!$C$64,Eventos!T:T)</f>
        <v>0</v>
      </c>
      <c r="U64" s="189">
        <f>SUMIF(Eventos!$B:$B,PPvsREal!$C$64,Eventos!U:U)</f>
        <v>0</v>
      </c>
      <c r="V64" s="189">
        <f>SUMIF(Eventos!$B:$B,PPvsREal!$C$64,Eventos!V:V)</f>
        <v>0</v>
      </c>
      <c r="W64" s="189">
        <f>SUMIF(Eventos!$B:$B,PPvsREal!$C$64,Eventos!W:W)</f>
        <v>0</v>
      </c>
      <c r="X64" s="189">
        <f>SUMIF(Eventos!$B:$B,PPvsREal!$C$64,Eventos!X:X)</f>
        <v>0</v>
      </c>
      <c r="Y64" s="189">
        <f>SUMIF(Eventos!$B:$B,PPvsREal!$C$64,Eventos!Y:Y)</f>
        <v>0</v>
      </c>
      <c r="Z64" s="189">
        <f>SUMIF(Eventos!$B:$B,PPvsREal!$C$64,Eventos!Z:Z)</f>
        <v>0</v>
      </c>
      <c r="AA64" s="190">
        <f>SUMIF(Eventos!$B:$B,PPvsREal!$C$64,Eventos!AA:AA)</f>
        <v>0</v>
      </c>
    </row>
    <row r="65" ht="12.75" customHeight="1">
      <c r="A65" s="111"/>
      <c r="B65" s="188" t="s">
        <v>18</v>
      </c>
      <c r="C65" s="2" t="s">
        <v>227</v>
      </c>
      <c r="D65" s="189">
        <f>SUMIF(Eventos!$B:$B,PPvsREal!$C$65,Eventos!D:D)</f>
        <v>0</v>
      </c>
      <c r="E65" s="189">
        <f>SUMIF(Eventos!$B:$B,PPvsREal!$C$65,Eventos!E:E)</f>
        <v>0</v>
      </c>
      <c r="F65" s="189">
        <f>SUMIF(Eventos!$B:$B,PPvsREal!$C$65,Eventos!F:F)</f>
        <v>0</v>
      </c>
      <c r="G65" s="189">
        <f>SUMIF(Eventos!$B:$B,PPvsREal!$C$65,Eventos!G:G)</f>
        <v>0</v>
      </c>
      <c r="H65" s="189">
        <f>SUMIF(Eventos!$B:$B,PPvsREal!$C$65,Eventos!H:H)</f>
        <v>0</v>
      </c>
      <c r="I65" s="189">
        <f>SUMIF(Eventos!$B:$B,PPvsREal!$C$65,Eventos!I:I)</f>
        <v>0</v>
      </c>
      <c r="J65" s="189">
        <f>SUMIF(Eventos!$B:$B,PPvsREal!$C$65,Eventos!J:J)</f>
        <v>0</v>
      </c>
      <c r="K65" s="189">
        <f>SUMIF(Eventos!$B:$B,PPvsREal!$C$65,Eventos!K:K)</f>
        <v>0</v>
      </c>
      <c r="L65" s="189">
        <f>SUMIF(Eventos!$B:$B,PPvsREal!$C$65,Eventos!L:L)</f>
        <v>0</v>
      </c>
      <c r="M65" s="189">
        <f>SUMIF(Eventos!$B:$B,PPvsREal!$C$65,Eventos!M:M)</f>
        <v>0</v>
      </c>
      <c r="N65" s="189">
        <f>SUMIF(Eventos!$B:$B,PPvsREal!$C$65,Eventos!N:N)</f>
        <v>0</v>
      </c>
      <c r="O65" s="189">
        <f>SUMIF(Eventos!$B:$B,PPvsREal!$C$65,Eventos!O:O)</f>
        <v>0</v>
      </c>
      <c r="P65" s="189">
        <f>SUMIF(Eventos!$B:$B,PPvsREal!$C$65,Eventos!P:P)</f>
        <v>0</v>
      </c>
      <c r="Q65" s="189">
        <f>SUMIF(Eventos!$B:$B,PPvsREal!$C$65,Eventos!Q:Q)</f>
        <v>0</v>
      </c>
      <c r="R65" s="189">
        <f>SUMIF(Eventos!$B:$B,PPvsREal!$C$65,Eventos!R:R)</f>
        <v>0</v>
      </c>
      <c r="S65" s="189">
        <f>SUMIF(Eventos!$B:$B,PPvsREal!$C$65,Eventos!S:S)</f>
        <v>0</v>
      </c>
      <c r="T65" s="189">
        <f>SUMIF(Eventos!$B:$B,PPvsREal!$C$65,Eventos!T:T)</f>
        <v>0</v>
      </c>
      <c r="U65" s="189">
        <f>SUMIF(Eventos!$B:$B,PPvsREal!$C$65,Eventos!U:U)</f>
        <v>0</v>
      </c>
      <c r="V65" s="189">
        <f>SUMIF(Eventos!$B:$B,PPvsREal!$C$65,Eventos!V:V)</f>
        <v>0</v>
      </c>
      <c r="W65" s="189">
        <f>SUMIF(Eventos!$B:$B,PPvsREal!$C$65,Eventos!W:W)</f>
        <v>0</v>
      </c>
      <c r="X65" s="189">
        <f>SUMIF(Eventos!$B:$B,PPvsREal!$C$65,Eventos!X:X)</f>
        <v>0</v>
      </c>
      <c r="Y65" s="189">
        <f>SUMIF(Eventos!$B:$B,PPvsREal!$C$65,Eventos!Y:Y)</f>
        <v>0</v>
      </c>
      <c r="Z65" s="189">
        <f>SUMIF(Eventos!$B:$B,PPvsREal!$C$65,Eventos!Z:Z)</f>
        <v>0</v>
      </c>
      <c r="AA65" s="190">
        <f>SUMIF(Eventos!$B:$B,PPvsREal!$C$65,Eventos!AA:AA)</f>
        <v>0</v>
      </c>
    </row>
    <row r="66" ht="12.75" customHeight="1">
      <c r="A66" s="111"/>
      <c r="B66" s="188" t="s">
        <v>18</v>
      </c>
      <c r="C66" s="97" t="s">
        <v>228</v>
      </c>
      <c r="D66" s="189">
        <f>SUMIF(Eventos!$B:$B,$C$66,Eventos!D:D)</f>
        <v>0</v>
      </c>
      <c r="E66" s="189">
        <f>SUMIF(Eventos!$B:$B,$C$66,Eventos!E:E)</f>
        <v>0</v>
      </c>
      <c r="F66" s="189">
        <f>SUMIF(Eventos!$B:$B,$C$66,Eventos!F:F)</f>
        <v>0</v>
      </c>
      <c r="G66" s="189">
        <f>SUMIF(Eventos!$B:$B,$C$66,Eventos!G:G)</f>
        <v>0</v>
      </c>
      <c r="H66" s="189">
        <f>SUMIF(Eventos!$B:$B,$C$66,Eventos!H:H)</f>
        <v>0</v>
      </c>
      <c r="I66" s="189">
        <f>SUMIF(Eventos!$B:$B,$C$66,Eventos!I:I)</f>
        <v>0</v>
      </c>
      <c r="J66" s="189">
        <f>SUMIF(Eventos!$B:$B,$C$66,Eventos!J:J)</f>
        <v>0</v>
      </c>
      <c r="K66" s="189">
        <f>SUMIF(Eventos!$B:$B,$C$66,Eventos!K:K)</f>
        <v>0</v>
      </c>
      <c r="L66" s="189">
        <f>SUMIF(Eventos!$B:$B,$C$66,Eventos!L:L)</f>
        <v>0</v>
      </c>
      <c r="M66" s="189">
        <f>SUMIF(Eventos!$B:$B,$C$66,Eventos!M:M)</f>
        <v>0</v>
      </c>
      <c r="N66" s="189">
        <f>SUMIF(Eventos!$B:$B,$C$66,Eventos!N:N)</f>
        <v>0</v>
      </c>
      <c r="O66" s="189">
        <f>SUMIF(Eventos!$B:$B,$C$66,Eventos!O:O)</f>
        <v>0</v>
      </c>
      <c r="P66" s="189">
        <f>SUMIF(Eventos!$B:$B,$C$66,Eventos!P:P)</f>
        <v>0</v>
      </c>
      <c r="Q66" s="189">
        <f>SUMIF(Eventos!$B:$B,$C$66,Eventos!Q:Q)</f>
        <v>0</v>
      </c>
      <c r="R66" s="189">
        <f>SUMIF(Eventos!$B:$B,$C$66,Eventos!R:R)</f>
        <v>0</v>
      </c>
      <c r="S66" s="189">
        <f>SUMIF(Eventos!$B:$B,$C$66,Eventos!S:S)</f>
        <v>0</v>
      </c>
      <c r="T66" s="189">
        <f>SUMIF(Eventos!$B:$B,$C$66,Eventos!T:T)</f>
        <v>0</v>
      </c>
      <c r="U66" s="189">
        <f>SUMIF(Eventos!$B:$B,$C$66,Eventos!U:U)</f>
        <v>0</v>
      </c>
      <c r="V66" s="189">
        <f>SUMIF(Eventos!$B:$B,$C$66,Eventos!V:V)</f>
        <v>0</v>
      </c>
      <c r="W66" s="189">
        <f>SUMIF(Eventos!$B:$B,$C$66,Eventos!W:W)</f>
        <v>0</v>
      </c>
      <c r="X66" s="189">
        <f>SUMIF(Eventos!$B:$B,$C$66,Eventos!X:X)</f>
        <v>0</v>
      </c>
      <c r="Y66" s="189">
        <f>SUMIF(Eventos!$B:$B,$C$66,Eventos!Y:Y)</f>
        <v>0</v>
      </c>
      <c r="Z66" s="189">
        <f>SUMIF(Eventos!$B:$B,$C$66,Eventos!Z:Z)</f>
        <v>400000</v>
      </c>
      <c r="AA66" s="190">
        <f>SUMIF(Eventos!$B:$B,$C$66,Eventos!AA:AA)</f>
        <v>0</v>
      </c>
    </row>
    <row r="67" ht="12.75" customHeight="1">
      <c r="A67" s="111"/>
      <c r="B67" s="188" t="s">
        <v>18</v>
      </c>
      <c r="C67" s="97" t="s">
        <v>229</v>
      </c>
      <c r="D67" s="189">
        <f>SUMIF(Eventos!$B:$B,$C$67,Eventos!D:D)</f>
        <v>0</v>
      </c>
      <c r="E67" s="189">
        <f>SUMIF(Eventos!$B:$B,$C$67,Eventos!E:E)</f>
        <v>0</v>
      </c>
      <c r="F67" s="189">
        <f>SUMIF(Eventos!$B:$B,$C$67,Eventos!F:F)</f>
        <v>0</v>
      </c>
      <c r="G67" s="189">
        <f>SUMIF(Eventos!$B:$B,$C$67,Eventos!G:G)</f>
        <v>0</v>
      </c>
      <c r="H67" s="189">
        <f>SUMIF(Eventos!$B:$B,$C$67,Eventos!H:H)</f>
        <v>0</v>
      </c>
      <c r="I67" s="189">
        <f>SUMIF(Eventos!$B:$B,$C$67,Eventos!I:I)</f>
        <v>0</v>
      </c>
      <c r="J67" s="189">
        <f>SUMIF(Eventos!$B:$B,$C$67,Eventos!J:J)</f>
        <v>0</v>
      </c>
      <c r="K67" s="189">
        <f>SUMIF(Eventos!$B:$B,$C$67,Eventos!K:K)</f>
        <v>0</v>
      </c>
      <c r="L67" s="189">
        <f>SUMIF(Eventos!$B:$B,$C$67,Eventos!L:L)</f>
        <v>0</v>
      </c>
      <c r="M67" s="189">
        <f>SUMIF(Eventos!$B:$B,$C$67,Eventos!M:M)</f>
        <v>0</v>
      </c>
      <c r="N67" s="189">
        <f>SUMIF(Eventos!$B:$B,$C$67,Eventos!N:N)</f>
        <v>50000</v>
      </c>
      <c r="O67" s="189">
        <f>SUMIF(Eventos!$B:$B,$C$67,Eventos!O:O)</f>
        <v>0</v>
      </c>
      <c r="P67" s="189">
        <f>SUMIF(Eventos!$B:$B,$C$67,Eventos!P:P)</f>
        <v>0</v>
      </c>
      <c r="Q67" s="189">
        <f>SUMIF(Eventos!$B:$B,$C$67,Eventos!Q:Q)</f>
        <v>0</v>
      </c>
      <c r="R67" s="189">
        <f>SUMIF(Eventos!$B:$B,$C$67,Eventos!R:R)</f>
        <v>0</v>
      </c>
      <c r="S67" s="189">
        <f>SUMIF(Eventos!$B:$B,$C$67,Eventos!S:S)</f>
        <v>0</v>
      </c>
      <c r="T67" s="189">
        <f>SUMIF(Eventos!$B:$B,$C$67,Eventos!T:T)</f>
        <v>0</v>
      </c>
      <c r="U67" s="189">
        <f>SUMIF(Eventos!$B:$B,$C$67,Eventos!U:U)</f>
        <v>0</v>
      </c>
      <c r="V67" s="189">
        <f>SUMIF(Eventos!$B:$B,$C$67,Eventos!V:V)</f>
        <v>50000</v>
      </c>
      <c r="W67" s="189">
        <f>SUMIF(Eventos!$B:$B,$C$67,Eventos!W:W)</f>
        <v>0</v>
      </c>
      <c r="X67" s="189">
        <f>SUMIF(Eventos!$B:$B,$C$67,Eventos!X:X)</f>
        <v>0</v>
      </c>
      <c r="Y67" s="189">
        <f>SUMIF(Eventos!$B:$B,$C$67,Eventos!Y:Y)</f>
        <v>0</v>
      </c>
      <c r="Z67" s="189">
        <f>SUMIF(Eventos!$B:$B,$C$67,Eventos!Z:Z)</f>
        <v>0</v>
      </c>
      <c r="AA67" s="190">
        <f>SUMIF(Eventos!$B:$B,$C$67,Eventos!AA:AA)</f>
        <v>0</v>
      </c>
    </row>
    <row r="68" ht="12.75" customHeight="1">
      <c r="A68" s="111"/>
      <c r="B68" s="188" t="s">
        <v>18</v>
      </c>
      <c r="C68" s="97" t="s">
        <v>230</v>
      </c>
      <c r="D68" s="189">
        <f>SUMIF(Eventos!$B:$B,$C$68,Eventos!D:D)</f>
        <v>0</v>
      </c>
      <c r="E68" s="189">
        <f>SUMIF(Eventos!$B:$B,$C$68,Eventos!E:E)</f>
        <v>0</v>
      </c>
      <c r="F68" s="189">
        <f>SUMIF(Eventos!$B:$B,$C$68,Eventos!F:F)</f>
        <v>0</v>
      </c>
      <c r="G68" s="189">
        <f>SUMIF(Eventos!$B:$B,$C$68,Eventos!G:G)</f>
        <v>0</v>
      </c>
      <c r="H68" s="189">
        <f>SUMIF(Eventos!$B:$B,$C$68,Eventos!H:H)</f>
        <v>0</v>
      </c>
      <c r="I68" s="189">
        <f>SUMIF(Eventos!$B:$B,$C$68,Eventos!I:I)</f>
        <v>0</v>
      </c>
      <c r="J68" s="189">
        <f>SUMIF(Eventos!$B:$B,$C$68,Eventos!J:J)</f>
        <v>0</v>
      </c>
      <c r="K68" s="189">
        <f>SUMIF(Eventos!$B:$B,$C$68,Eventos!K:K)</f>
        <v>0</v>
      </c>
      <c r="L68" s="189">
        <f>SUMIF(Eventos!$B:$B,$C$68,Eventos!L:L)</f>
        <v>0</v>
      </c>
      <c r="M68" s="189">
        <f>SUMIF(Eventos!$B:$B,$C$68,Eventos!M:M)</f>
        <v>0</v>
      </c>
      <c r="N68" s="189">
        <f>SUMIF(Eventos!$B:$B,$C$68,Eventos!N:N)</f>
        <v>0</v>
      </c>
      <c r="O68" s="189">
        <f>SUMIF(Eventos!$B:$B,$C$68,Eventos!O:O)</f>
        <v>0</v>
      </c>
      <c r="P68" s="189">
        <f>SUMIF(Eventos!$B:$B,$C$68,Eventos!P:P)</f>
        <v>0</v>
      </c>
      <c r="Q68" s="189">
        <f>SUMIF(Eventos!$B:$B,$C$68,Eventos!Q:Q)</f>
        <v>0</v>
      </c>
      <c r="R68" s="189">
        <f>SUMIF(Eventos!$B:$B,$C$68,Eventos!R:R)</f>
        <v>50000</v>
      </c>
      <c r="S68" s="189">
        <f>SUMIF(Eventos!$B:$B,$C$68,Eventos!S:S)</f>
        <v>0</v>
      </c>
      <c r="T68" s="189">
        <f>SUMIF(Eventos!$B:$B,$C$68,Eventos!T:T)</f>
        <v>0</v>
      </c>
      <c r="U68" s="189">
        <f>SUMIF(Eventos!$B:$B,$C$68,Eventos!U:U)</f>
        <v>0</v>
      </c>
      <c r="V68" s="189">
        <f>SUMIF(Eventos!$B:$B,$C$68,Eventos!V:V)</f>
        <v>0</v>
      </c>
      <c r="W68" s="189">
        <f>SUMIF(Eventos!$B:$B,$C$68,Eventos!W:W)</f>
        <v>0</v>
      </c>
      <c r="X68" s="189">
        <f>SUMIF(Eventos!$B:$B,$C$68,Eventos!X:X)</f>
        <v>0</v>
      </c>
      <c r="Y68" s="189">
        <f>SUMIF(Eventos!$B:$B,$C$68,Eventos!Y:Y)</f>
        <v>0</v>
      </c>
      <c r="Z68" s="189">
        <f>SUMIF(Eventos!$B:$B,$C$68,Eventos!Z:Z)</f>
        <v>0</v>
      </c>
      <c r="AA68" s="190">
        <f>SUMIF(Eventos!$B:$B,$C$68,Eventos!AA:AA)</f>
        <v>0</v>
      </c>
    </row>
    <row r="69" ht="12.75" customHeight="1">
      <c r="A69" s="111"/>
      <c r="B69" s="188" t="s">
        <v>18</v>
      </c>
      <c r="C69" s="2" t="s">
        <v>234</v>
      </c>
      <c r="D69" s="189">
        <f>SUMIF(Eventos!$B:$B,$C$69,Eventos!D:D)</f>
        <v>0</v>
      </c>
      <c r="E69" s="189">
        <f>SUMIF(Eventos!$B:$B,$C$69,Eventos!E:E)</f>
        <v>0</v>
      </c>
      <c r="F69" s="189">
        <f>SUMIF(Eventos!$B:$B,$C$69,Eventos!F:F)</f>
        <v>0</v>
      </c>
      <c r="G69" s="189">
        <f>SUMIF(Eventos!$B:$B,$C$69,Eventos!G:G)</f>
        <v>0</v>
      </c>
      <c r="H69" s="189">
        <f>SUMIF(Eventos!$B:$B,$C$69,Eventos!H:H)</f>
        <v>400000</v>
      </c>
      <c r="I69" s="189">
        <f>SUMIF(Eventos!$B:$B,$C$69,Eventos!I:I)</f>
        <v>0</v>
      </c>
      <c r="J69" s="189">
        <f>SUMIF(Eventos!$B:$B,$C$69,Eventos!J:J)</f>
        <v>50000</v>
      </c>
      <c r="K69" s="189">
        <f>SUMIF(Eventos!$B:$B,$C$69,Eventos!K:K)</f>
        <v>0</v>
      </c>
      <c r="L69" s="189">
        <f>SUMIF(Eventos!$B:$B,$C$69,Eventos!L:L)</f>
        <v>0</v>
      </c>
      <c r="M69" s="189">
        <f>SUMIF(Eventos!$B:$B,$C$69,Eventos!M:M)</f>
        <v>0</v>
      </c>
      <c r="N69" s="189">
        <f>SUMIF(Eventos!$B:$B,$C$69,Eventos!N:N)</f>
        <v>0</v>
      </c>
      <c r="O69" s="189">
        <f>SUMIF(Eventos!$B:$B,$C$69,Eventos!O:O)</f>
        <v>0</v>
      </c>
      <c r="P69" s="189">
        <f>SUMIF(Eventos!$B:$B,$C$69,Eventos!P:P)</f>
        <v>0</v>
      </c>
      <c r="Q69" s="189">
        <f>SUMIF(Eventos!$B:$B,$C$69,Eventos!Q:Q)</f>
        <v>0</v>
      </c>
      <c r="R69" s="189">
        <f>SUMIF(Eventos!$B:$B,$C$69,Eventos!R:R)</f>
        <v>0</v>
      </c>
      <c r="S69" s="189">
        <f>SUMIF(Eventos!$B:$B,$C$69,Eventos!S:S)</f>
        <v>0</v>
      </c>
      <c r="T69" s="189">
        <f>SUMIF(Eventos!$B:$B,$C$69,Eventos!T:T)</f>
        <v>0</v>
      </c>
      <c r="U69" s="189">
        <f>SUMIF(Eventos!$B:$B,$C$69,Eventos!U:U)</f>
        <v>0</v>
      </c>
      <c r="V69" s="189">
        <f>SUMIF(Eventos!$B:$B,$C$69,Eventos!V:V)</f>
        <v>0</v>
      </c>
      <c r="W69" s="189">
        <f>SUMIF(Eventos!$B:$B,$C$69,Eventos!W:W)</f>
        <v>0</v>
      </c>
      <c r="X69" s="189">
        <f>SUMIF(Eventos!$B:$B,$C$69,Eventos!X:X)</f>
        <v>0</v>
      </c>
      <c r="Y69" s="189">
        <f>SUMIF(Eventos!$B:$B,$C$69,Eventos!Y:Y)</f>
        <v>0</v>
      </c>
      <c r="Z69" s="189">
        <f>SUMIF(Eventos!$B:$B,$C$69,Eventos!Z:Z)</f>
        <v>0</v>
      </c>
      <c r="AA69" s="190">
        <f>SUMIF(Eventos!$B:$B,$C$69,Eventos!AA:AA)</f>
        <v>0</v>
      </c>
    </row>
    <row r="70" ht="12.75" customHeight="1">
      <c r="A70" s="111"/>
      <c r="B70" s="188" t="s">
        <v>18</v>
      </c>
      <c r="C70" s="2" t="s">
        <v>235</v>
      </c>
      <c r="D70" s="189">
        <f>SUMIF(Eventos!$B:$B,$C$70,Eventos!D:D)</f>
        <v>700000</v>
      </c>
      <c r="E70" s="189">
        <f>SUMIF(Eventos!$B:$B,$C$70,Eventos!E:E)</f>
        <v>0</v>
      </c>
      <c r="F70" s="189">
        <f>SUMIF(Eventos!$B:$B,$C$70,Eventos!F:F)</f>
        <v>150000</v>
      </c>
      <c r="G70" s="189">
        <f>SUMIF(Eventos!$B:$B,$C$70,Eventos!G:G)</f>
        <v>0</v>
      </c>
      <c r="H70" s="189">
        <f>SUMIF(Eventos!$B:$B,$C$70,Eventos!H:H)</f>
        <v>0</v>
      </c>
      <c r="I70" s="189">
        <f>SUMIF(Eventos!$B:$B,$C$70,Eventos!I:I)</f>
        <v>0</v>
      </c>
      <c r="J70" s="189">
        <f>SUMIF(Eventos!$B:$B,$C$70,Eventos!J:J)</f>
        <v>0</v>
      </c>
      <c r="K70" s="189">
        <f>SUMIF(Eventos!$B:$B,$C$70,Eventos!K:K)</f>
        <v>0</v>
      </c>
      <c r="L70" s="189">
        <f>SUMIF(Eventos!$B:$B,$C$70,Eventos!L:L)</f>
        <v>0</v>
      </c>
      <c r="M70" s="189">
        <f>SUMIF(Eventos!$B:$B,$C$70,Eventos!M:M)</f>
        <v>0</v>
      </c>
      <c r="N70" s="189">
        <f>SUMIF(Eventos!$B:$B,$C$70,Eventos!N:N)</f>
        <v>0</v>
      </c>
      <c r="O70" s="189">
        <f>SUMIF(Eventos!$B:$B,$C$70,Eventos!O:O)</f>
        <v>0</v>
      </c>
      <c r="P70" s="189">
        <f>SUMIF(Eventos!$B:$B,$C$70,Eventos!P:P)</f>
        <v>0</v>
      </c>
      <c r="Q70" s="189">
        <f>SUMIF(Eventos!$B:$B,$C$70,Eventos!Q:Q)</f>
        <v>0</v>
      </c>
      <c r="R70" s="189">
        <f>SUMIF(Eventos!$B:$B,$C$70,Eventos!R:R)</f>
        <v>0</v>
      </c>
      <c r="S70" s="189">
        <f>SUMIF(Eventos!$B:$B,$C$70,Eventos!S:S)</f>
        <v>0</v>
      </c>
      <c r="T70" s="189">
        <f>SUMIF(Eventos!$B:$B,$C$70,Eventos!T:T)</f>
        <v>0</v>
      </c>
      <c r="U70" s="189">
        <f>SUMIF(Eventos!$B:$B,$C$70,Eventos!U:U)</f>
        <v>0</v>
      </c>
      <c r="V70" s="189">
        <f>SUMIF(Eventos!$B:$B,$C$70,Eventos!V:V)</f>
        <v>0</v>
      </c>
      <c r="W70" s="189">
        <f>SUMIF(Eventos!$B:$B,$C$70,Eventos!W:W)</f>
        <v>0</v>
      </c>
      <c r="X70" s="189">
        <f>SUMIF(Eventos!$B:$B,$C$70,Eventos!X:X)</f>
        <v>0</v>
      </c>
      <c r="Y70" s="189">
        <f>SUMIF(Eventos!$B:$B,$C$70,Eventos!Y:Y)</f>
        <v>0</v>
      </c>
      <c r="Z70" s="189">
        <f>SUMIF(Eventos!$B:$B,$C$70,Eventos!Z:Z)</f>
        <v>0</v>
      </c>
      <c r="AA70" s="190">
        <f>SUMIF(Eventos!$B:$B,$C$70,Eventos!AA:AA)</f>
        <v>0</v>
      </c>
    </row>
    <row r="71" ht="12.75" customHeight="1">
      <c r="A71" s="111"/>
      <c r="B71" s="188" t="s">
        <v>18</v>
      </c>
      <c r="C71" s="2" t="s">
        <v>236</v>
      </c>
      <c r="D71" s="189">
        <f>SUMIF(Eventos!$B:$B,$C$71,Eventos!D:D)</f>
        <v>0</v>
      </c>
      <c r="E71" s="189">
        <f>SUMIF(Eventos!$B:$B,$C$71,Eventos!E:E)</f>
        <v>0</v>
      </c>
      <c r="F71" s="189">
        <f>SUMIF(Eventos!$B:$B,$C$71,Eventos!F:F)</f>
        <v>0</v>
      </c>
      <c r="G71" s="189">
        <f>SUMIF(Eventos!$B:$B,$C$71,Eventos!G:G)</f>
        <v>0</v>
      </c>
      <c r="H71" s="189">
        <f>SUMIF(Eventos!$B:$B,$C$71,Eventos!H:H)</f>
        <v>0</v>
      </c>
      <c r="I71" s="189">
        <f>SUMIF(Eventos!$B:$B,$C$71,Eventos!I:I)</f>
        <v>0</v>
      </c>
      <c r="J71" s="189">
        <f>SUMIF(Eventos!$B:$B,$C$71,Eventos!J:J)</f>
        <v>0</v>
      </c>
      <c r="K71" s="189">
        <f>SUMIF(Eventos!$B:$B,$C$71,Eventos!K:K)</f>
        <v>0</v>
      </c>
      <c r="L71" s="189">
        <f>SUMIF(Eventos!$B:$B,$C$71,Eventos!L:L)</f>
        <v>0</v>
      </c>
      <c r="M71" s="189">
        <f>SUMIF(Eventos!$B:$B,$C$71,Eventos!M:M)</f>
        <v>0</v>
      </c>
      <c r="N71" s="189">
        <f>SUMIF(Eventos!$B:$B,$C$71,Eventos!N:N)</f>
        <v>0</v>
      </c>
      <c r="O71" s="189">
        <f>SUMIF(Eventos!$B:$B,$C$71,Eventos!O:O)</f>
        <v>0</v>
      </c>
      <c r="P71" s="189">
        <f>SUMIF(Eventos!$B:$B,$C$71,Eventos!P:P)</f>
        <v>0</v>
      </c>
      <c r="Q71" s="189">
        <f>SUMIF(Eventos!$B:$B,$C$71,Eventos!Q:Q)</f>
        <v>0</v>
      </c>
      <c r="R71" s="189">
        <f>SUMIF(Eventos!$B:$B,$C$71,Eventos!R:R)</f>
        <v>0</v>
      </c>
      <c r="S71" s="189">
        <f>SUMIF(Eventos!$B:$B,$C$71,Eventos!S:S)</f>
        <v>0</v>
      </c>
      <c r="T71" s="189">
        <f>SUMIF(Eventos!$B:$B,$C$71,Eventos!T:T)</f>
        <v>0</v>
      </c>
      <c r="U71" s="189">
        <f>SUMIF(Eventos!$B:$B,$C$71,Eventos!U:U)</f>
        <v>0</v>
      </c>
      <c r="V71" s="189">
        <f>SUMIF(Eventos!$B:$B,$C$71,Eventos!V:V)</f>
        <v>285000</v>
      </c>
      <c r="W71" s="189">
        <f>SUMIF(Eventos!$B:$B,$C$71,Eventos!W:W)</f>
        <v>0</v>
      </c>
      <c r="X71" s="189">
        <f>SUMIF(Eventos!$B:$B,$C$71,Eventos!X:X)</f>
        <v>15000</v>
      </c>
      <c r="Y71" s="189">
        <f>SUMIF(Eventos!$B:$B,$C$71,Eventos!Y:Y)</f>
        <v>0</v>
      </c>
      <c r="Z71" s="189">
        <f>SUMIF(Eventos!$B:$B,$C$71,Eventos!Z:Z)</f>
        <v>0</v>
      </c>
      <c r="AA71" s="190">
        <f>SUMIF(Eventos!$B:$B,$C$71,Eventos!AA:AA)</f>
        <v>0</v>
      </c>
    </row>
    <row r="72" ht="12.75" customHeight="1">
      <c r="A72" s="111"/>
      <c r="B72" s="188" t="s">
        <v>18</v>
      </c>
      <c r="C72" s="2" t="s">
        <v>422</v>
      </c>
      <c r="D72" s="189">
        <f>SUMIF(Eventos!$B:$B,$C$72,Eventos!D:D)</f>
        <v>0</v>
      </c>
      <c r="E72" s="189">
        <f>SUMIF(Eventos!$B:$B,$C$72,Eventos!E:E)</f>
        <v>0</v>
      </c>
      <c r="F72" s="189">
        <f>SUMIF(Eventos!$B:$B,$C$72,Eventos!F:F)</f>
        <v>0</v>
      </c>
      <c r="G72" s="189">
        <f>SUMIF(Eventos!$B:$B,$C$72,Eventos!G:G)</f>
        <v>0</v>
      </c>
      <c r="H72" s="189">
        <f>SUMIF(Eventos!$B:$B,$C$72,Eventos!H:H)</f>
        <v>0</v>
      </c>
      <c r="I72" s="189">
        <f>SUMIF(Eventos!$B:$B,$C$72,Eventos!I:I)</f>
        <v>0</v>
      </c>
      <c r="J72" s="189">
        <f>SUMIF(Eventos!$B:$B,$C$72,Eventos!J:J)</f>
        <v>0</v>
      </c>
      <c r="K72" s="189">
        <f>SUMIF(Eventos!$B:$B,$C$72,Eventos!K:K)</f>
        <v>0</v>
      </c>
      <c r="L72" s="189">
        <f>SUMIF(Eventos!$B:$B,$C$72,Eventos!L:L)</f>
        <v>0</v>
      </c>
      <c r="M72" s="189">
        <f>SUMIF(Eventos!$B:$B,$C$72,Eventos!M:M)</f>
        <v>0</v>
      </c>
      <c r="N72" s="189">
        <f>SUMIF(Eventos!$B:$B,$C$72,Eventos!N:N)</f>
        <v>0</v>
      </c>
      <c r="O72" s="189">
        <f>SUMIF(Eventos!$B:$B,$C$72,Eventos!O:O)</f>
        <v>0</v>
      </c>
      <c r="P72" s="189">
        <f>SUMIF(Eventos!$B:$B,$C$72,Eventos!P:P)</f>
        <v>0</v>
      </c>
      <c r="Q72" s="189">
        <f>SUMIF(Eventos!$B:$B,$C$72,Eventos!Q:Q)</f>
        <v>0</v>
      </c>
      <c r="R72" s="189">
        <f>SUMIF(Eventos!$B:$B,$C$72,Eventos!R:R)</f>
        <v>0</v>
      </c>
      <c r="S72" s="189">
        <f>SUMIF(Eventos!$B:$B,$C$72,Eventos!S:S)</f>
        <v>0</v>
      </c>
      <c r="T72" s="189">
        <f>SUMIF(Eventos!$B:$B,$C$72,Eventos!T:T)</f>
        <v>0</v>
      </c>
      <c r="U72" s="189">
        <f>SUMIF(Eventos!$B:$B,$C$72,Eventos!U:U)</f>
        <v>0</v>
      </c>
      <c r="V72" s="189">
        <f>SUMIF(Eventos!$B:$B,$C$72,Eventos!V:V)</f>
        <v>0</v>
      </c>
      <c r="W72" s="189">
        <f>SUMIF(Eventos!$B:$B,$C$72,Eventos!W:W)</f>
        <v>0</v>
      </c>
      <c r="X72" s="189">
        <f>SUMIF(Eventos!$B:$B,$C$72,Eventos!X:X)</f>
        <v>0</v>
      </c>
      <c r="Y72" s="189">
        <f>SUMIF(Eventos!$B:$B,$C$72,Eventos!Y:Y)</f>
        <v>0</v>
      </c>
      <c r="Z72" s="189">
        <f>SUMIF(Eventos!$B:$B,$C$72,Eventos!Z:Z)</f>
        <v>0</v>
      </c>
      <c r="AA72" s="190">
        <f>SUMIF(Eventos!$B:$B,$C$72,Eventos!AA:AA)</f>
        <v>0</v>
      </c>
    </row>
    <row r="73" ht="12.75" customHeight="1">
      <c r="A73" s="111"/>
      <c r="B73" s="188" t="s">
        <v>18</v>
      </c>
      <c r="C73" s="2" t="s">
        <v>238</v>
      </c>
      <c r="D73" s="189">
        <f>SUMIF(Eventos!$B:$B,$C$73,Eventos!D:D)</f>
        <v>0</v>
      </c>
      <c r="E73" s="189">
        <f>SUMIF(Eventos!$B:$B,$C$73,Eventos!E:E)</f>
        <v>0</v>
      </c>
      <c r="F73" s="189">
        <f>SUMIF(Eventos!$B:$B,$C$73,Eventos!F:F)</f>
        <v>0</v>
      </c>
      <c r="G73" s="189">
        <f>SUMIF(Eventos!$B:$B,$C$73,Eventos!G:G)</f>
        <v>0</v>
      </c>
      <c r="H73" s="189">
        <f>SUMIF(Eventos!$B:$B,$C$73,Eventos!H:H)</f>
        <v>0</v>
      </c>
      <c r="I73" s="189">
        <f>SUMIF(Eventos!$B:$B,$C$73,Eventos!I:I)</f>
        <v>0</v>
      </c>
      <c r="J73" s="189">
        <f>SUMIF(Eventos!$B:$B,$C$73,Eventos!J:J)</f>
        <v>0</v>
      </c>
      <c r="K73" s="189">
        <f>SUMIF(Eventos!$B:$B,$C$73,Eventos!K:K)</f>
        <v>0</v>
      </c>
      <c r="L73" s="189">
        <f>SUMIF(Eventos!$B:$B,$C$73,Eventos!L:L)</f>
        <v>100000</v>
      </c>
      <c r="M73" s="189">
        <f>SUMIF(Eventos!$B:$B,$C$73,Eventos!M:M)</f>
        <v>0</v>
      </c>
      <c r="N73" s="189">
        <f>SUMIF(Eventos!$B:$B,$C$73,Eventos!N:N)</f>
        <v>20000</v>
      </c>
      <c r="O73" s="189">
        <f>SUMIF(Eventos!$B:$B,$C$73,Eventos!O:O)</f>
        <v>0</v>
      </c>
      <c r="P73" s="189">
        <f>SUMIF(Eventos!$B:$B,$C$73,Eventos!P:P)</f>
        <v>0</v>
      </c>
      <c r="Q73" s="189">
        <f>SUMIF(Eventos!$B:$B,$C$73,Eventos!Q:Q)</f>
        <v>0</v>
      </c>
      <c r="R73" s="189">
        <f>SUMIF(Eventos!$B:$B,$C$73,Eventos!R:R)</f>
        <v>0</v>
      </c>
      <c r="S73" s="189">
        <f>SUMIF(Eventos!$B:$B,$C$73,Eventos!S:S)</f>
        <v>0</v>
      </c>
      <c r="T73" s="189">
        <f>SUMIF(Eventos!$B:$B,$C$73,Eventos!T:T)</f>
        <v>0</v>
      </c>
      <c r="U73" s="189">
        <f>SUMIF(Eventos!$B:$B,$C$73,Eventos!U:U)</f>
        <v>0</v>
      </c>
      <c r="V73" s="189">
        <f>SUMIF(Eventos!$B:$B,$C$73,Eventos!V:V)</f>
        <v>0</v>
      </c>
      <c r="W73" s="189">
        <f>SUMIF(Eventos!$B:$B,$C$73,Eventos!W:W)</f>
        <v>0</v>
      </c>
      <c r="X73" s="189">
        <f>SUMIF(Eventos!$B:$B,$C$73,Eventos!X:X)</f>
        <v>0</v>
      </c>
      <c r="Y73" s="189">
        <f>SUMIF(Eventos!$B:$B,$C$73,Eventos!Y:Y)</f>
        <v>0</v>
      </c>
      <c r="Z73" s="189">
        <f>SUMIF(Eventos!$B:$B,$C$73,Eventos!Z:Z)</f>
        <v>0</v>
      </c>
      <c r="AA73" s="190">
        <f>SUMIF(Eventos!$B:$B,$C$73,Eventos!AA:AA)</f>
        <v>0</v>
      </c>
    </row>
    <row r="74" ht="12.75" customHeight="1">
      <c r="A74" s="111"/>
      <c r="B74" s="188" t="s">
        <v>18</v>
      </c>
      <c r="C74" s="97" t="s">
        <v>239</v>
      </c>
      <c r="D74" s="189">
        <f>SUMIF(Eventos!$B:$B,$C$74,Eventos!D:D)</f>
        <v>0</v>
      </c>
      <c r="E74" s="189">
        <f>SUMIF(Eventos!$B:$B,$C$74,Eventos!E:E)</f>
        <v>0</v>
      </c>
      <c r="F74" s="189">
        <f>SUMIF(Eventos!$B:$B,$C$74,Eventos!F:F)</f>
        <v>0</v>
      </c>
      <c r="G74" s="189">
        <f>SUMIF(Eventos!$B:$B,$C$74,Eventos!G:G)</f>
        <v>0</v>
      </c>
      <c r="H74" s="189">
        <f>SUMIF(Eventos!$B:$B,$C$74,Eventos!H:H)</f>
        <v>0</v>
      </c>
      <c r="I74" s="189">
        <f>SUMIF(Eventos!$B:$B,$C$74,Eventos!I:I)</f>
        <v>0</v>
      </c>
      <c r="J74" s="189">
        <f>SUMIF(Eventos!$B:$B,$C$74,Eventos!J:J)</f>
        <v>0</v>
      </c>
      <c r="K74" s="189">
        <f>SUMIF(Eventos!$B:$B,$C$74,Eventos!K:K)</f>
        <v>0</v>
      </c>
      <c r="L74" s="189">
        <f>SUMIF(Eventos!$B:$B,$C$74,Eventos!L:L)</f>
        <v>100000</v>
      </c>
      <c r="M74" s="189">
        <f>SUMIF(Eventos!$B:$B,$C$74,Eventos!M:M)</f>
        <v>0</v>
      </c>
      <c r="N74" s="189">
        <f>SUMIF(Eventos!$B:$B,$C$74,Eventos!N:N)</f>
        <v>0</v>
      </c>
      <c r="O74" s="189">
        <f>SUMIF(Eventos!$B:$B,$C$74,Eventos!O:O)</f>
        <v>0</v>
      </c>
      <c r="P74" s="189">
        <f>SUMIF(Eventos!$B:$B,$C$74,Eventos!P:P)</f>
        <v>0</v>
      </c>
      <c r="Q74" s="189">
        <f>SUMIF(Eventos!$B:$B,$C$74,Eventos!Q:Q)</f>
        <v>0</v>
      </c>
      <c r="R74" s="189">
        <f>SUMIF(Eventos!$B:$B,$C$74,Eventos!R:R)</f>
        <v>0</v>
      </c>
      <c r="S74" s="189">
        <f>SUMIF(Eventos!$B:$B,$C$74,Eventos!S:S)</f>
        <v>0</v>
      </c>
      <c r="T74" s="189">
        <f>SUMIF(Eventos!$B:$B,$C$74,Eventos!T:T)</f>
        <v>0</v>
      </c>
      <c r="U74" s="189">
        <f>SUMIF(Eventos!$B:$B,$C$74,Eventos!U:U)</f>
        <v>0</v>
      </c>
      <c r="V74" s="189">
        <f>SUMIF(Eventos!$B:$B,$C$74,Eventos!V:V)</f>
        <v>0</v>
      </c>
      <c r="W74" s="189">
        <f>SUMIF(Eventos!$B:$B,$C$74,Eventos!W:W)</f>
        <v>0</v>
      </c>
      <c r="X74" s="189">
        <f>SUMIF(Eventos!$B:$B,$C$74,Eventos!X:X)</f>
        <v>0</v>
      </c>
      <c r="Y74" s="189">
        <f>SUMIF(Eventos!$B:$B,$C$74,Eventos!Y:Y)</f>
        <v>0</v>
      </c>
      <c r="Z74" s="189">
        <f>SUMIF(Eventos!$B:$B,$C$74,Eventos!Z:Z)</f>
        <v>0</v>
      </c>
      <c r="AA74" s="190">
        <f>SUMIF(Eventos!$B:$B,$C$74,Eventos!AA:AA)</f>
        <v>0</v>
      </c>
    </row>
    <row r="75" ht="12.75" customHeight="1">
      <c r="A75" s="111"/>
      <c r="B75" s="188" t="s">
        <v>18</v>
      </c>
      <c r="C75" s="2" t="s">
        <v>423</v>
      </c>
      <c r="D75" s="189">
        <f>SUMIF(Eventos!$B:$B,$C$75,Eventos!D:D)</f>
        <v>0</v>
      </c>
      <c r="E75" s="189">
        <f>SUMIF(Eventos!$B:$B,$C$75,Eventos!E:E)</f>
        <v>0</v>
      </c>
      <c r="F75" s="189">
        <f>SUMIF(Eventos!$B:$B,$C$75,Eventos!F:F)</f>
        <v>0</v>
      </c>
      <c r="G75" s="189">
        <f>SUMIF(Eventos!$B:$B,$C$75,Eventos!G:G)</f>
        <v>0</v>
      </c>
      <c r="H75" s="189">
        <f>SUMIF(Eventos!$B:$B,$C$75,Eventos!H:H)</f>
        <v>0</v>
      </c>
      <c r="I75" s="189">
        <f>SUMIF(Eventos!$B:$B,$C$75,Eventos!I:I)</f>
        <v>0</v>
      </c>
      <c r="J75" s="189">
        <f>SUMIF(Eventos!$B:$B,$C$75,Eventos!J:J)</f>
        <v>0</v>
      </c>
      <c r="K75" s="189">
        <f>SUMIF(Eventos!$B:$B,$C$75,Eventos!K:K)</f>
        <v>0</v>
      </c>
      <c r="L75" s="189">
        <f>SUMIF(Eventos!$B:$B,$C$75,Eventos!L:L)</f>
        <v>0</v>
      </c>
      <c r="M75" s="189">
        <f>SUMIF(Eventos!$B:$B,$C$75,Eventos!M:M)</f>
        <v>0</v>
      </c>
      <c r="N75" s="189">
        <f>SUMIF(Eventos!$B:$B,$C$75,Eventos!N:N)</f>
        <v>0</v>
      </c>
      <c r="O75" s="189">
        <f>SUMIF(Eventos!$B:$B,$C$75,Eventos!O:O)</f>
        <v>0</v>
      </c>
      <c r="P75" s="189">
        <f>SUMIF(Eventos!$B:$B,$C$75,Eventos!P:P)</f>
        <v>0</v>
      </c>
      <c r="Q75" s="189">
        <f>SUMIF(Eventos!$B:$B,$C$75,Eventos!Q:Q)</f>
        <v>0</v>
      </c>
      <c r="R75" s="189">
        <f>SUMIF(Eventos!$B:$B,$C$75,Eventos!R:R)</f>
        <v>0</v>
      </c>
      <c r="S75" s="189">
        <f>SUMIF(Eventos!$B:$B,$C$75,Eventos!S:S)</f>
        <v>0</v>
      </c>
      <c r="T75" s="189">
        <f>SUMIF(Eventos!$B:$B,$C$75,Eventos!T:T)</f>
        <v>0</v>
      </c>
      <c r="U75" s="189">
        <f>SUMIF(Eventos!$B:$B,$C$75,Eventos!U:U)</f>
        <v>0</v>
      </c>
      <c r="V75" s="189">
        <f>SUMIF(Eventos!$B:$B,$C$75,Eventos!V:V)</f>
        <v>0</v>
      </c>
      <c r="W75" s="189">
        <f>SUMIF(Eventos!$B:$B,$C$75,Eventos!W:W)</f>
        <v>0</v>
      </c>
      <c r="X75" s="189">
        <f>SUMIF(Eventos!$B:$B,$C$75,Eventos!X:X)</f>
        <v>0</v>
      </c>
      <c r="Y75" s="189">
        <f>SUMIF(Eventos!$B:$B,$C$75,Eventos!Y:Y)</f>
        <v>0</v>
      </c>
      <c r="Z75" s="189">
        <f>SUMIF(Eventos!$B:$B,$C$75,Eventos!Z:Z)</f>
        <v>0</v>
      </c>
      <c r="AA75" s="190">
        <f>SUMIF(Eventos!$B:$B,$C$75,Eventos!AA:AA)</f>
        <v>0</v>
      </c>
    </row>
    <row r="76" ht="12.75" customHeight="1">
      <c r="A76" s="111"/>
      <c r="B76" s="188" t="s">
        <v>18</v>
      </c>
      <c r="C76" s="2" t="s">
        <v>237</v>
      </c>
      <c r="D76" s="189">
        <f>SUMIF(Eventos!$B:$B,$C$76,Eventos!D:D)</f>
        <v>0</v>
      </c>
      <c r="E76" s="189">
        <f>SUMIF(Eventos!$B:$B,$C$76,Eventos!E:E)</f>
        <v>0</v>
      </c>
      <c r="F76" s="189">
        <f>SUMIF(Eventos!$B:$B,$C$76,Eventos!F:F)</f>
        <v>0</v>
      </c>
      <c r="G76" s="189">
        <f>SUMIF(Eventos!$B:$B,$C$76,Eventos!G:G)</f>
        <v>0</v>
      </c>
      <c r="H76" s="189">
        <f>SUMIF(Eventos!$B:$B,$C$76,Eventos!H:H)</f>
        <v>120000</v>
      </c>
      <c r="I76" s="189">
        <f>SUMIF(Eventos!$B:$B,$C$76,Eventos!I:I)</f>
        <v>0</v>
      </c>
      <c r="J76" s="189">
        <f>SUMIF(Eventos!$B:$B,$C$76,Eventos!J:J)</f>
        <v>0</v>
      </c>
      <c r="K76" s="189">
        <f>SUMIF(Eventos!$B:$B,$C$76,Eventos!K:K)</f>
        <v>0</v>
      </c>
      <c r="L76" s="189">
        <f>SUMIF(Eventos!$B:$B,$C$76,Eventos!L:L)</f>
        <v>0</v>
      </c>
      <c r="M76" s="189">
        <f>SUMIF(Eventos!$B:$B,$C$76,Eventos!M:M)</f>
        <v>0</v>
      </c>
      <c r="N76" s="189">
        <f>SUMIF(Eventos!$B:$B,$C$76,Eventos!N:N)</f>
        <v>0</v>
      </c>
      <c r="O76" s="189">
        <f>SUMIF(Eventos!$B:$B,$C$76,Eventos!O:O)</f>
        <v>0</v>
      </c>
      <c r="P76" s="189">
        <f>SUMIF(Eventos!$B:$B,$C$76,Eventos!P:P)</f>
        <v>0</v>
      </c>
      <c r="Q76" s="189">
        <f>SUMIF(Eventos!$B:$B,$C$76,Eventos!Q:Q)</f>
        <v>0</v>
      </c>
      <c r="R76" s="189">
        <f>SUMIF(Eventos!$B:$B,$C$76,Eventos!R:R)</f>
        <v>0</v>
      </c>
      <c r="S76" s="189">
        <f>SUMIF(Eventos!$B:$B,$C$76,Eventos!S:S)</f>
        <v>0</v>
      </c>
      <c r="T76" s="189">
        <f>SUMIF(Eventos!$B:$B,$C$76,Eventos!T:T)</f>
        <v>0</v>
      </c>
      <c r="U76" s="189">
        <f>SUMIF(Eventos!$B:$B,$C$76,Eventos!U:U)</f>
        <v>0</v>
      </c>
      <c r="V76" s="189">
        <f>SUMIF(Eventos!$B:$B,$C$76,Eventos!V:V)</f>
        <v>0</v>
      </c>
      <c r="W76" s="189">
        <f>SUMIF(Eventos!$B:$B,$C$76,Eventos!W:W)</f>
        <v>0</v>
      </c>
      <c r="X76" s="189">
        <f>SUMIF(Eventos!$B:$B,$C$76,Eventos!X:X)</f>
        <v>0</v>
      </c>
      <c r="Y76" s="189">
        <f>SUMIF(Eventos!$B:$B,$C$76,Eventos!Y:Y)</f>
        <v>0</v>
      </c>
      <c r="Z76" s="189">
        <f>SUMIF(Eventos!$B:$B,$C$76,Eventos!Z:Z)</f>
        <v>0</v>
      </c>
      <c r="AA76" s="190">
        <f>SUMIF(Eventos!$B:$B,$C$76,Eventos!AA:AA)</f>
        <v>0</v>
      </c>
    </row>
    <row r="77" ht="12.75" customHeight="1">
      <c r="A77" s="111"/>
      <c r="B77" s="188" t="s">
        <v>18</v>
      </c>
      <c r="C77" s="2" t="s">
        <v>241</v>
      </c>
      <c r="D77" s="189">
        <f>SUMIF(Eventos!$B:$B,$C$77,Eventos!D:D)</f>
        <v>0</v>
      </c>
      <c r="E77" s="189">
        <f>SUMIF(Eventos!$B:$B,$C$77,Eventos!E:E)</f>
        <v>0</v>
      </c>
      <c r="F77" s="189">
        <f>SUMIF(Eventos!$B:$B,$C$77,Eventos!F:F)</f>
        <v>50000</v>
      </c>
      <c r="G77" s="189">
        <f>SUMIF(Eventos!$B:$B,$C$77,Eventos!G:G)</f>
        <v>0</v>
      </c>
      <c r="H77" s="189">
        <f>SUMIF(Eventos!$B:$B,$C$77,Eventos!H:H)</f>
        <v>0</v>
      </c>
      <c r="I77" s="189">
        <f>SUMIF(Eventos!$B:$B,$C$77,Eventos!I:I)</f>
        <v>0</v>
      </c>
      <c r="J77" s="189">
        <f>SUMIF(Eventos!$B:$B,$C$77,Eventos!J:J)</f>
        <v>0</v>
      </c>
      <c r="K77" s="189">
        <f>SUMIF(Eventos!$B:$B,$C$77,Eventos!K:K)</f>
        <v>0</v>
      </c>
      <c r="L77" s="189">
        <f>SUMIF(Eventos!$B:$B,$C$77,Eventos!L:L)</f>
        <v>0</v>
      </c>
      <c r="M77" s="189">
        <f>SUMIF(Eventos!$B:$B,$C$77,Eventos!M:M)</f>
        <v>0</v>
      </c>
      <c r="N77" s="189">
        <f>SUMIF(Eventos!$B:$B,$C$77,Eventos!N:N)</f>
        <v>0</v>
      </c>
      <c r="O77" s="189">
        <f>SUMIF(Eventos!$B:$B,$C$77,Eventos!O:O)</f>
        <v>0</v>
      </c>
      <c r="P77" s="189">
        <f>SUMIF(Eventos!$B:$B,$C$77,Eventos!P:P)</f>
        <v>50000</v>
      </c>
      <c r="Q77" s="189">
        <f>SUMIF(Eventos!$B:$B,$C$77,Eventos!Q:Q)</f>
        <v>0</v>
      </c>
      <c r="R77" s="189">
        <f>SUMIF(Eventos!$B:$B,$C$77,Eventos!R:R)</f>
        <v>0</v>
      </c>
      <c r="S77" s="189">
        <f>SUMIF(Eventos!$B:$B,$C$77,Eventos!S:S)</f>
        <v>0</v>
      </c>
      <c r="T77" s="189">
        <f>SUMIF(Eventos!$B:$B,$C$77,Eventos!T:T)</f>
        <v>0</v>
      </c>
      <c r="U77" s="189">
        <f>SUMIF(Eventos!$B:$B,$C$77,Eventos!U:U)</f>
        <v>0</v>
      </c>
      <c r="V77" s="189">
        <f>SUMIF(Eventos!$B:$B,$C$77,Eventos!V:V)</f>
        <v>0</v>
      </c>
      <c r="W77" s="189">
        <f>SUMIF(Eventos!$B:$B,$C$77,Eventos!W:W)</f>
        <v>0</v>
      </c>
      <c r="X77" s="189">
        <f>SUMIF(Eventos!$B:$B,$C$77,Eventos!X:X)</f>
        <v>50000</v>
      </c>
      <c r="Y77" s="189">
        <f>SUMIF(Eventos!$B:$B,$C$77,Eventos!Y:Y)</f>
        <v>0</v>
      </c>
      <c r="Z77" s="189">
        <f>SUMIF(Eventos!$B:$B,$C$77,Eventos!Z:Z)</f>
        <v>0</v>
      </c>
      <c r="AA77" s="190">
        <f>SUMIF(Eventos!$B:$B,$C$77,Eventos!AA:AA)</f>
        <v>0</v>
      </c>
    </row>
    <row r="78" ht="12.75" customHeight="1">
      <c r="A78" s="111"/>
      <c r="B78" s="188" t="s">
        <v>18</v>
      </c>
      <c r="C78" s="2" t="s">
        <v>242</v>
      </c>
      <c r="D78" s="189">
        <f>SUMIF(Eventos!$B:$B,$C$78,Eventos!D:D)</f>
        <v>0</v>
      </c>
      <c r="E78" s="189">
        <f>SUMIF(Eventos!$B:$B,$C$78,Eventos!E:E)</f>
        <v>0</v>
      </c>
      <c r="F78" s="189">
        <f>SUMIF(Eventos!$B:$B,$C$78,Eventos!F:F)</f>
        <v>0</v>
      </c>
      <c r="G78" s="189">
        <f>SUMIF(Eventos!$B:$B,$C$78,Eventos!G:G)</f>
        <v>0</v>
      </c>
      <c r="H78" s="189">
        <f>SUMIF(Eventos!$B:$B,$C$78,Eventos!H:H)</f>
        <v>0</v>
      </c>
      <c r="I78" s="189">
        <f>SUMIF(Eventos!$B:$B,$C$78,Eventos!I:I)</f>
        <v>0</v>
      </c>
      <c r="J78" s="189">
        <f>SUMIF(Eventos!$B:$B,$C$78,Eventos!J:J)</f>
        <v>0</v>
      </c>
      <c r="K78" s="189">
        <f>SUMIF(Eventos!$B:$B,$C$78,Eventos!K:K)</f>
        <v>0</v>
      </c>
      <c r="L78" s="189">
        <f>SUMIF(Eventos!$B:$B,$C$78,Eventos!L:L)</f>
        <v>0</v>
      </c>
      <c r="M78" s="189">
        <f>SUMIF(Eventos!$B:$B,$C$78,Eventos!M:M)</f>
        <v>0</v>
      </c>
      <c r="N78" s="189">
        <f>SUMIF(Eventos!$B:$B,$C$78,Eventos!N:N)</f>
        <v>0</v>
      </c>
      <c r="O78" s="189">
        <f>SUMIF(Eventos!$B:$B,$C$78,Eventos!O:O)</f>
        <v>0</v>
      </c>
      <c r="P78" s="189">
        <f>SUMIF(Eventos!$B:$B,$C$78,Eventos!P:P)</f>
        <v>0</v>
      </c>
      <c r="Q78" s="189">
        <f>SUMIF(Eventos!$B:$B,$C$78,Eventos!Q:Q)</f>
        <v>0</v>
      </c>
      <c r="R78" s="189">
        <f>SUMIF(Eventos!$B:$B,$C$78,Eventos!R:R)</f>
        <v>0</v>
      </c>
      <c r="S78" s="189">
        <f>SUMIF(Eventos!$B:$B,$C$78,Eventos!S:S)</f>
        <v>0</v>
      </c>
      <c r="T78" s="189">
        <f>SUMIF(Eventos!$B:$B,$C$78,Eventos!T:T)</f>
        <v>0</v>
      </c>
      <c r="U78" s="189">
        <f>SUMIF(Eventos!$B:$B,$C$78,Eventos!U:U)</f>
        <v>0</v>
      </c>
      <c r="V78" s="189">
        <f>SUMIF(Eventos!$B:$B,$C$78,Eventos!V:V)</f>
        <v>0</v>
      </c>
      <c r="W78" s="189">
        <f>SUMIF(Eventos!$B:$B,$C$78,Eventos!W:W)</f>
        <v>0</v>
      </c>
      <c r="X78" s="189">
        <f>SUMIF(Eventos!$B:$B,$C$78,Eventos!X:X)</f>
        <v>0</v>
      </c>
      <c r="Y78" s="189">
        <f>SUMIF(Eventos!$B:$B,$C$78,Eventos!Y:Y)</f>
        <v>0</v>
      </c>
      <c r="Z78" s="189">
        <f>SUMIF(Eventos!$B:$B,$C$78,Eventos!Z:Z)</f>
        <v>0</v>
      </c>
      <c r="AA78" s="190">
        <f>SUMIF(Eventos!$B:$B,$C$78,Eventos!AA:AA)</f>
        <v>0</v>
      </c>
    </row>
    <row r="79" ht="12.75" customHeight="1">
      <c r="A79" s="111"/>
      <c r="B79" s="188" t="s">
        <v>18</v>
      </c>
      <c r="C79" s="2" t="s">
        <v>243</v>
      </c>
      <c r="D79" s="189">
        <f>SUMIF(Eventos!$B:$B,$C$79,Eventos!D:D)</f>
        <v>0</v>
      </c>
      <c r="E79" s="189">
        <f>SUMIF(Eventos!$B:$B,$C$79,Eventos!E:E)</f>
        <v>0</v>
      </c>
      <c r="F79" s="189">
        <f>SUMIF(Eventos!$B:$B,$C$79,Eventos!F:F)</f>
        <v>0</v>
      </c>
      <c r="G79" s="189">
        <f>SUMIF(Eventos!$B:$B,$C$79,Eventos!G:G)</f>
        <v>0</v>
      </c>
      <c r="H79" s="189">
        <f>SUMIF(Eventos!$B:$B,$C$79,Eventos!H:H)</f>
        <v>0</v>
      </c>
      <c r="I79" s="189">
        <f>SUMIF(Eventos!$B:$B,$C$79,Eventos!I:I)</f>
        <v>0</v>
      </c>
      <c r="J79" s="189">
        <f>SUMIF(Eventos!$B:$B,$C$79,Eventos!J:J)</f>
        <v>0</v>
      </c>
      <c r="K79" s="189">
        <f>SUMIF(Eventos!$B:$B,$C$79,Eventos!K:K)</f>
        <v>0</v>
      </c>
      <c r="L79" s="189">
        <f>SUMIF(Eventos!$B:$B,$C$79,Eventos!L:L)</f>
        <v>0</v>
      </c>
      <c r="M79" s="189">
        <f>SUMIF(Eventos!$B:$B,$C$79,Eventos!M:M)</f>
        <v>0</v>
      </c>
      <c r="N79" s="189">
        <f>SUMIF(Eventos!$B:$B,$C$79,Eventos!N:N)</f>
        <v>0</v>
      </c>
      <c r="O79" s="189">
        <f>SUMIF(Eventos!$B:$B,$C$79,Eventos!O:O)</f>
        <v>0</v>
      </c>
      <c r="P79" s="189">
        <f>SUMIF(Eventos!$B:$B,$C$79,Eventos!P:P)</f>
        <v>0</v>
      </c>
      <c r="Q79" s="189">
        <f>SUMIF(Eventos!$B:$B,$C$79,Eventos!Q:Q)</f>
        <v>0</v>
      </c>
      <c r="R79" s="189">
        <f>SUMIF(Eventos!$B:$B,$C$79,Eventos!R:R)</f>
        <v>0</v>
      </c>
      <c r="S79" s="189">
        <f>SUMIF(Eventos!$B:$B,$C$79,Eventos!S:S)</f>
        <v>0</v>
      </c>
      <c r="T79" s="189">
        <f>SUMIF(Eventos!$B:$B,$C$79,Eventos!T:T)</f>
        <v>0</v>
      </c>
      <c r="U79" s="189">
        <f>SUMIF(Eventos!$B:$B,$C$79,Eventos!U:U)</f>
        <v>0</v>
      </c>
      <c r="V79" s="189">
        <f>SUMIF(Eventos!$B:$B,$C$79,Eventos!V:V)</f>
        <v>0</v>
      </c>
      <c r="W79" s="189">
        <f>SUMIF(Eventos!$B:$B,$C$79,Eventos!W:W)</f>
        <v>0</v>
      </c>
      <c r="X79" s="189">
        <f>SUMIF(Eventos!$B:$B,$C$79,Eventos!X:X)</f>
        <v>0</v>
      </c>
      <c r="Y79" s="189">
        <f>SUMIF(Eventos!$B:$B,$C$79,Eventos!Y:Y)</f>
        <v>0</v>
      </c>
      <c r="Z79" s="189">
        <f>SUMIF(Eventos!$B:$B,$C$79,Eventos!Z:Z)</f>
        <v>0</v>
      </c>
      <c r="AA79" s="190">
        <f>SUMIF(Eventos!$B:$B,$C$79,Eventos!AA:AA)</f>
        <v>0</v>
      </c>
    </row>
    <row r="80" ht="12.75" customHeight="1">
      <c r="A80" s="111"/>
      <c r="B80" s="188" t="s">
        <v>18</v>
      </c>
      <c r="C80" s="97" t="s">
        <v>244</v>
      </c>
      <c r="D80" s="189">
        <f>SUMIF(Eventos!$B:$B,$C$80,Eventos!D:D)</f>
        <v>0</v>
      </c>
      <c r="E80" s="189">
        <f>SUMIF(Eventos!$B:$B,$C$80,Eventos!E:E)</f>
        <v>0</v>
      </c>
      <c r="F80" s="189">
        <f>SUMIF(Eventos!$B:$B,$C$80,Eventos!F:F)</f>
        <v>0</v>
      </c>
      <c r="G80" s="189">
        <f>SUMIF(Eventos!$B:$B,$C$80,Eventos!G:G)</f>
        <v>0</v>
      </c>
      <c r="H80" s="189">
        <f>SUMIF(Eventos!$B:$B,$C$80,Eventos!H:H)</f>
        <v>0</v>
      </c>
      <c r="I80" s="189">
        <f>SUMIF(Eventos!$B:$B,$C$80,Eventos!I:I)</f>
        <v>0</v>
      </c>
      <c r="J80" s="189">
        <f>SUMIF(Eventos!$B:$B,$C$80,Eventos!J:J)</f>
        <v>0</v>
      </c>
      <c r="K80" s="189">
        <f>SUMIF(Eventos!$B:$B,$C$80,Eventos!K:K)</f>
        <v>0</v>
      </c>
      <c r="L80" s="189">
        <f>SUMIF(Eventos!$B:$B,$C$80,Eventos!L:L)</f>
        <v>0</v>
      </c>
      <c r="M80" s="189">
        <f>SUMIF(Eventos!$B:$B,$C$80,Eventos!M:M)</f>
        <v>0</v>
      </c>
      <c r="N80" s="189">
        <f>SUMIF(Eventos!$B:$B,$C$80,Eventos!N:N)</f>
        <v>0</v>
      </c>
      <c r="O80" s="189">
        <f>SUMIF(Eventos!$B:$B,$C$80,Eventos!O:O)</f>
        <v>0</v>
      </c>
      <c r="P80" s="189">
        <f>SUMIF(Eventos!$B:$B,$C$80,Eventos!P:P)</f>
        <v>0</v>
      </c>
      <c r="Q80" s="189">
        <f>SUMIF(Eventos!$B:$B,$C$80,Eventos!Q:Q)</f>
        <v>0</v>
      </c>
      <c r="R80" s="189">
        <f>SUMIF(Eventos!$B:$B,$C$80,Eventos!R:R)</f>
        <v>0</v>
      </c>
      <c r="S80" s="189">
        <f>SUMIF(Eventos!$B:$B,$C$80,Eventos!S:S)</f>
        <v>0</v>
      </c>
      <c r="T80" s="189">
        <f>SUMIF(Eventos!$B:$B,$C$80,Eventos!T:T)</f>
        <v>0</v>
      </c>
      <c r="U80" s="189">
        <f>SUMIF(Eventos!$B:$B,$C$80,Eventos!U:U)</f>
        <v>0</v>
      </c>
      <c r="V80" s="189">
        <f>SUMIF(Eventos!$B:$B,$C$80,Eventos!V:V)</f>
        <v>0</v>
      </c>
      <c r="W80" s="189">
        <f>SUMIF(Eventos!$B:$B,$C$80,Eventos!W:W)</f>
        <v>0</v>
      </c>
      <c r="X80" s="189">
        <f>SUMIF(Eventos!$B:$B,$C$80,Eventos!X:X)</f>
        <v>0</v>
      </c>
      <c r="Y80" s="189">
        <f>SUMIF(Eventos!$B:$B,$C$80,Eventos!Y:Y)</f>
        <v>0</v>
      </c>
      <c r="Z80" s="189">
        <f>SUMIF(Eventos!$B:$B,$C$80,Eventos!Z:Z)</f>
        <v>450000</v>
      </c>
      <c r="AA80" s="190">
        <f>SUMIF(Eventos!$B:$B,$C$80,Eventos!AA:AA)</f>
        <v>0</v>
      </c>
    </row>
    <row r="81" ht="12.75" customHeight="1">
      <c r="A81" s="111"/>
      <c r="B81" s="188" t="s">
        <v>18</v>
      </c>
      <c r="C81" s="97" t="s">
        <v>245</v>
      </c>
      <c r="D81" s="189">
        <f>SUMIF(Eventos!$B:$B,$C$81,Eventos!D:D)</f>
        <v>0</v>
      </c>
      <c r="E81" s="189">
        <f>SUMIF(Eventos!$B:$B,$C$81,Eventos!E:E)</f>
        <v>0</v>
      </c>
      <c r="F81" s="189">
        <f>SUMIF(Eventos!$B:$B,$C$81,Eventos!F:F)</f>
        <v>0</v>
      </c>
      <c r="G81" s="189">
        <f>SUMIF(Eventos!$B:$B,$C$81,Eventos!G:G)</f>
        <v>0</v>
      </c>
      <c r="H81" s="189">
        <f>SUMIF(Eventos!$B:$B,$C$81,Eventos!H:H)</f>
        <v>0</v>
      </c>
      <c r="I81" s="189">
        <f>SUMIF(Eventos!$B:$B,$C$81,Eventos!I:I)</f>
        <v>0</v>
      </c>
      <c r="J81" s="189">
        <f>SUMIF(Eventos!$B:$B,$C$81,Eventos!J:J)</f>
        <v>0</v>
      </c>
      <c r="K81" s="189">
        <f>SUMIF(Eventos!$B:$B,$C$81,Eventos!K:K)</f>
        <v>0</v>
      </c>
      <c r="L81" s="189">
        <f>SUMIF(Eventos!$B:$B,$C$81,Eventos!L:L)</f>
        <v>0</v>
      </c>
      <c r="M81" s="189">
        <f>SUMIF(Eventos!$B:$B,$C$81,Eventos!M:M)</f>
        <v>0</v>
      </c>
      <c r="N81" s="189">
        <f>SUMIF(Eventos!$B:$B,$C$81,Eventos!N:N)</f>
        <v>35000</v>
      </c>
      <c r="O81" s="189">
        <f>SUMIF(Eventos!$B:$B,$C$81,Eventos!O:O)</f>
        <v>0</v>
      </c>
      <c r="P81" s="189">
        <f>SUMIF(Eventos!$B:$B,$C$81,Eventos!P:P)</f>
        <v>0</v>
      </c>
      <c r="Q81" s="189">
        <f>SUMIF(Eventos!$B:$B,$C$81,Eventos!Q:Q)</f>
        <v>0</v>
      </c>
      <c r="R81" s="189">
        <f>SUMIF(Eventos!$B:$B,$C$81,Eventos!R:R)</f>
        <v>0</v>
      </c>
      <c r="S81" s="189">
        <f>SUMIF(Eventos!$B:$B,$C$81,Eventos!S:S)</f>
        <v>0</v>
      </c>
      <c r="T81" s="189">
        <f>SUMIF(Eventos!$B:$B,$C$81,Eventos!T:T)</f>
        <v>0</v>
      </c>
      <c r="U81" s="189">
        <f>SUMIF(Eventos!$B:$B,$C$81,Eventos!U:U)</f>
        <v>0</v>
      </c>
      <c r="V81" s="189">
        <f>SUMIF(Eventos!$B:$B,$C$81,Eventos!V:V)</f>
        <v>35000</v>
      </c>
      <c r="W81" s="189">
        <f>SUMIF(Eventos!$B:$B,$C$81,Eventos!W:W)</f>
        <v>0</v>
      </c>
      <c r="X81" s="189">
        <f>SUMIF(Eventos!$B:$B,$C$81,Eventos!X:X)</f>
        <v>0</v>
      </c>
      <c r="Y81" s="189">
        <f>SUMIF(Eventos!$B:$B,$C$81,Eventos!Y:Y)</f>
        <v>0</v>
      </c>
      <c r="Z81" s="189">
        <f>SUMIF(Eventos!$B:$B,$C$81,Eventos!Z:Z)</f>
        <v>0</v>
      </c>
      <c r="AA81" s="190">
        <f>SUMIF(Eventos!$B:$B,$C$81,Eventos!AA:AA)</f>
        <v>0</v>
      </c>
    </row>
    <row r="82" ht="12.75" customHeight="1">
      <c r="A82" s="111"/>
      <c r="B82" s="188" t="s">
        <v>18</v>
      </c>
      <c r="C82" s="97" t="s">
        <v>246</v>
      </c>
      <c r="D82" s="189">
        <f>SUMIF(Eventos!$B:$B,PPvsREal!$C$82,Eventos!D:D)</f>
        <v>0</v>
      </c>
      <c r="E82" s="189">
        <f>SUMIF(Eventos!$B:$B,PPvsREal!$C$82,Eventos!E:E)</f>
        <v>0</v>
      </c>
      <c r="F82" s="189">
        <f>SUMIF(Eventos!$B:$B,PPvsREal!$C$82,Eventos!F:F)</f>
        <v>0</v>
      </c>
      <c r="G82" s="189">
        <f>SUMIF(Eventos!$B:$B,PPvsREal!$C$82,Eventos!G:G)</f>
        <v>0</v>
      </c>
      <c r="H82" s="189">
        <f>SUMIF(Eventos!$B:$B,PPvsREal!$C$82,Eventos!H:H)</f>
        <v>0</v>
      </c>
      <c r="I82" s="189">
        <f>SUMIF(Eventos!$B:$B,PPvsREal!$C$82,Eventos!I:I)</f>
        <v>0</v>
      </c>
      <c r="J82" s="189">
        <f>SUMIF(Eventos!$B:$B,PPvsREal!$C$82,Eventos!J:J)</f>
        <v>0</v>
      </c>
      <c r="K82" s="189">
        <f>SUMIF(Eventos!$B:$B,PPvsREal!$C$82,Eventos!K:K)</f>
        <v>0</v>
      </c>
      <c r="L82" s="189">
        <f>SUMIF(Eventos!$B:$B,PPvsREal!$C$82,Eventos!L:L)</f>
        <v>0</v>
      </c>
      <c r="M82" s="189">
        <f>SUMIF(Eventos!$B:$B,PPvsREal!$C$82,Eventos!M:M)</f>
        <v>0</v>
      </c>
      <c r="N82" s="189">
        <f>SUMIF(Eventos!$B:$B,PPvsREal!$C$82,Eventos!N:N)</f>
        <v>0</v>
      </c>
      <c r="O82" s="189">
        <f>SUMIF(Eventos!$B:$B,PPvsREal!$C$82,Eventos!O:O)</f>
        <v>0</v>
      </c>
      <c r="P82" s="189">
        <f>SUMIF(Eventos!$B:$B,PPvsREal!$C$82,Eventos!P:P)</f>
        <v>0</v>
      </c>
      <c r="Q82" s="189">
        <f>SUMIF(Eventos!$B:$B,PPvsREal!$C$82,Eventos!Q:Q)</f>
        <v>0</v>
      </c>
      <c r="R82" s="189">
        <f>SUMIF(Eventos!$B:$B,PPvsREal!$C$82,Eventos!R:R)</f>
        <v>50000</v>
      </c>
      <c r="S82" s="189">
        <f>SUMIF(Eventos!$B:$B,PPvsREal!$C$82,Eventos!S:S)</f>
        <v>0</v>
      </c>
      <c r="T82" s="189">
        <f>SUMIF(Eventos!$B:$B,PPvsREal!$C$82,Eventos!T:T)</f>
        <v>0</v>
      </c>
      <c r="U82" s="189">
        <f>SUMIF(Eventos!$B:$B,PPvsREal!$C$82,Eventos!U:U)</f>
        <v>0</v>
      </c>
      <c r="V82" s="189">
        <f>SUMIF(Eventos!$B:$B,PPvsREal!$C$82,Eventos!V:V)</f>
        <v>0</v>
      </c>
      <c r="W82" s="189">
        <f>SUMIF(Eventos!$B:$B,PPvsREal!$C$82,Eventos!W:W)</f>
        <v>0</v>
      </c>
      <c r="X82" s="189">
        <f>SUMIF(Eventos!$B:$B,PPvsREal!$C$82,Eventos!X:X)</f>
        <v>0</v>
      </c>
      <c r="Y82" s="189">
        <f>SUMIF(Eventos!$B:$B,PPvsREal!$C$82,Eventos!Y:Y)</f>
        <v>0</v>
      </c>
      <c r="Z82" s="189">
        <f>SUMIF(Eventos!$B:$B,PPvsREal!$C$82,Eventos!Z:Z)</f>
        <v>0</v>
      </c>
      <c r="AA82" s="190">
        <f>SUMIF(Eventos!$B:$B,PPvsREal!$C$82,Eventos!AA:AA)</f>
        <v>0</v>
      </c>
    </row>
    <row r="83" ht="12.75" customHeight="1">
      <c r="A83" s="111"/>
      <c r="B83" s="184" t="s">
        <v>424</v>
      </c>
      <c r="C83" s="185" t="s">
        <v>253</v>
      </c>
      <c r="D83" s="186">
        <f>SUMIF('Serv Membresía'!$B:$B,PPvsREal!$C$83,'Serv Membresía'!D:D)</f>
        <v>82530</v>
      </c>
      <c r="E83" s="186">
        <f>SUMIF('Serv Membresía'!$B:$B,PPvsREal!$C$83,'Serv Membresía'!E:E)</f>
        <v>0</v>
      </c>
      <c r="F83" s="186">
        <f>SUMIF('Serv Membresía'!$B:$B,PPvsREal!$C$83,'Serv Membresía'!F:F)</f>
        <v>55020</v>
      </c>
      <c r="G83" s="186">
        <f>SUMIF('Serv Membresía'!$B:$B,PPvsREal!$C$83,'Serv Membresía'!G:G)</f>
        <v>0</v>
      </c>
      <c r="H83" s="186">
        <f>SUMIF('Serv Membresía'!$B:$B,PPvsREal!$C$83,'Serv Membresía'!H:H)</f>
        <v>82530</v>
      </c>
      <c r="I83" s="186">
        <f>SUMIF('Serv Membresía'!$B:$B,PPvsREal!$C$83,'Serv Membresía'!I:I)</f>
        <v>0</v>
      </c>
      <c r="J83" s="186">
        <f>SUMIF('Serv Membresía'!$B:$B,PPvsREal!$C$83,'Serv Membresía'!J:J)</f>
        <v>82530</v>
      </c>
      <c r="K83" s="186">
        <f>SUMIF('Serv Membresía'!$B:$B,PPvsREal!$C$83,'Serv Membresía'!K:K)</f>
        <v>0</v>
      </c>
      <c r="L83" s="186">
        <f>SUMIF('Serv Membresía'!$B:$B,PPvsREal!$C$83,'Serv Membresía'!L:L)</f>
        <v>55020</v>
      </c>
      <c r="M83" s="186">
        <f>SUMIF('Serv Membresía'!$B:$B,PPvsREal!$C$83,'Serv Membresía'!M:M)</f>
        <v>0</v>
      </c>
      <c r="N83" s="186">
        <f>SUMIF('Serv Membresía'!$B:$B,PPvsREal!$C$83,'Serv Membresía'!N:N)</f>
        <v>55020</v>
      </c>
      <c r="O83" s="186">
        <f>SUMIF('Serv Membresía'!$B:$B,PPvsREal!$C$83,'Serv Membresía'!O:O)</f>
        <v>0</v>
      </c>
      <c r="P83" s="186">
        <f>SUMIF('Serv Membresía'!$B:$B,PPvsREal!$C$83,'Serv Membresía'!P:P)</f>
        <v>55020</v>
      </c>
      <c r="Q83" s="186">
        <f>SUMIF('Serv Membresía'!$B:$B,PPvsREal!$C$83,'Serv Membresía'!Q:Q)</f>
        <v>0</v>
      </c>
      <c r="R83" s="186">
        <f>SUMIF('Serv Membresía'!$B:$B,PPvsREal!$C$83,'Serv Membresía'!R:R)</f>
        <v>16275</v>
      </c>
      <c r="S83" s="186">
        <f>SUMIF('Serv Membresía'!$B:$B,PPvsREal!$C$83,'Serv Membresía'!S:S)</f>
        <v>0</v>
      </c>
      <c r="T83" s="186">
        <f>SUMIF('Serv Membresía'!$B:$B,PPvsREal!$C$83,'Serv Membresía'!T:T)</f>
        <v>81375</v>
      </c>
      <c r="U83" s="186">
        <f>SUMIF('Serv Membresía'!$B:$B,PPvsREal!$C$83,'Serv Membresía'!U:U)</f>
        <v>0</v>
      </c>
      <c r="V83" s="186">
        <f>SUMIF('Serv Membresía'!$B:$B,PPvsREal!$C$83,'Serv Membresía'!V:V)</f>
        <v>49632.345</v>
      </c>
      <c r="W83" s="186">
        <f>SUMIF('Serv Membresía'!$B:$B,PPvsREal!$C$83,'Serv Membresía'!W:W)</f>
        <v>0</v>
      </c>
      <c r="X83" s="186">
        <f>SUMIF('Serv Membresía'!$B:$B,PPvsREal!$C$83,'Serv Membresía'!X:X)</f>
        <v>49632.345</v>
      </c>
      <c r="Y83" s="186">
        <f>SUMIF('Serv Membresía'!$B:$B,PPvsREal!$C$83,'Serv Membresía'!Y:Y)</f>
        <v>0</v>
      </c>
      <c r="Z83" s="186">
        <f>SUMIF('Serv Membresía'!$B:$B,PPvsREal!$C$83,'Serv Membresía'!Z:Z)</f>
        <v>49632.345</v>
      </c>
      <c r="AA83" s="187">
        <f>SUMIF('Serv Membresía'!$B:$B,PPvsREal!$C$83,'Serv Membresía'!AA:AA)</f>
        <v>0</v>
      </c>
    </row>
    <row r="84" ht="12.75" customHeight="1">
      <c r="A84" s="111"/>
      <c r="B84" s="191" t="s">
        <v>424</v>
      </c>
      <c r="C84" s="192" t="s">
        <v>258</v>
      </c>
      <c r="D84" s="193">
        <f>SUMIF('Serv Membresía'!$B:$B,PPvsREal!$C$84,'Serv Membresía'!D:D)</f>
        <v>41265</v>
      </c>
      <c r="E84" s="193">
        <f>SUMIF('Serv Membresía'!$B:$B,PPvsREal!$C$84,'Serv Membresía'!E:E)</f>
        <v>0</v>
      </c>
      <c r="F84" s="193">
        <f>SUMIF('Serv Membresía'!$B:$B,PPvsREal!$C$84,'Serv Membresía'!F:F)</f>
        <v>27510</v>
      </c>
      <c r="G84" s="193">
        <f>SUMIF('Serv Membresía'!$B:$B,PPvsREal!$C$84,'Serv Membresía'!G:G)</f>
        <v>0</v>
      </c>
      <c r="H84" s="193">
        <f>SUMIF('Serv Membresía'!$B:$B,PPvsREal!$C$84,'Serv Membresía'!H:H)</f>
        <v>41265</v>
      </c>
      <c r="I84" s="193">
        <f>SUMIF('Serv Membresía'!$B:$B,PPvsREal!$C$84,'Serv Membresía'!I:I)</f>
        <v>0</v>
      </c>
      <c r="J84" s="193">
        <f>SUMIF('Serv Membresía'!$B:$B,PPvsREal!$C$84,'Serv Membresía'!J:J)</f>
        <v>41265</v>
      </c>
      <c r="K84" s="193">
        <f>SUMIF('Serv Membresía'!$B:$B,PPvsREal!$C$84,'Serv Membresía'!K:K)</f>
        <v>0</v>
      </c>
      <c r="L84" s="193">
        <f>SUMIF('Serv Membresía'!$B:$B,PPvsREal!$C$84,'Serv Membresía'!L:L)</f>
        <v>27510</v>
      </c>
      <c r="M84" s="193">
        <f>SUMIF('Serv Membresía'!$B:$B,PPvsREal!$C$84,'Serv Membresía'!M:M)</f>
        <v>0</v>
      </c>
      <c r="N84" s="193">
        <f>SUMIF('Serv Membresía'!$B:$B,PPvsREal!$C$84,'Serv Membresía'!N:N)</f>
        <v>27510</v>
      </c>
      <c r="O84" s="193">
        <f>SUMIF('Serv Membresía'!$B:$B,PPvsREal!$C$84,'Serv Membresía'!O:O)</f>
        <v>0</v>
      </c>
      <c r="P84" s="193">
        <f>SUMIF('Serv Membresía'!$B:$B,PPvsREal!$C$84,'Serv Membresía'!P:P)</f>
        <v>27510</v>
      </c>
      <c r="Q84" s="193">
        <f>SUMIF('Serv Membresía'!$B:$B,PPvsREal!$C$84,'Serv Membresía'!Q:Q)</f>
        <v>0</v>
      </c>
      <c r="R84" s="193">
        <f>SUMIF('Serv Membresía'!$B:$B,PPvsREal!$C$84,'Serv Membresía'!R:R)</f>
        <v>8137.5</v>
      </c>
      <c r="S84" s="193">
        <f>SUMIF('Serv Membresía'!$B:$B,PPvsREal!$C$84,'Serv Membresía'!S:S)</f>
        <v>0</v>
      </c>
      <c r="T84" s="193">
        <f>SUMIF('Serv Membresía'!$B:$B,PPvsREal!$C$84,'Serv Membresía'!T:T)</f>
        <v>40687.5</v>
      </c>
      <c r="U84" s="193">
        <f>SUMIF('Serv Membresía'!$B:$B,PPvsREal!$C$84,'Serv Membresía'!U:U)</f>
        <v>0</v>
      </c>
      <c r="V84" s="193">
        <f>SUMIF('Serv Membresía'!$B:$B,PPvsREal!$C$84,'Serv Membresía'!V:V)</f>
        <v>24816.1725</v>
      </c>
      <c r="W84" s="193">
        <f>SUMIF('Serv Membresía'!$B:$B,PPvsREal!$C$84,'Serv Membresía'!W:W)</f>
        <v>0</v>
      </c>
      <c r="X84" s="193">
        <f>SUMIF('Serv Membresía'!$B:$B,PPvsREal!$C$84,'Serv Membresía'!X:X)</f>
        <v>24816.1725</v>
      </c>
      <c r="Y84" s="193">
        <f>SUMIF('Serv Membresía'!$B:$B,PPvsREal!$C$84,'Serv Membresía'!Y:Y)</f>
        <v>0</v>
      </c>
      <c r="Z84" s="193">
        <f>SUMIF('Serv Membresía'!$B:$B,PPvsREal!$C$84,'Serv Membresía'!Z:Z)</f>
        <v>24816.1725</v>
      </c>
      <c r="AA84" s="194">
        <f>SUMIF('Serv Membresía'!$B:$B,PPvsREal!$C$84,'Serv Membresía'!AA:AA)</f>
        <v>0</v>
      </c>
    </row>
    <row r="85" ht="12.75" customHeight="1">
      <c r="A85" s="111"/>
      <c r="B85" s="184" t="s">
        <v>425</v>
      </c>
      <c r="C85" s="185" t="s">
        <v>266</v>
      </c>
      <c r="D85" s="186">
        <f>SUMIF('Comunicación'!$B:$B,PPvsREal!$C$85,'Comunicación'!D:D)</f>
        <v>13949.9</v>
      </c>
      <c r="E85" s="186">
        <f>SUMIF('Comunicación'!$B:$B,PPvsREal!$C$85,'Comunicación'!E:E)</f>
        <v>0</v>
      </c>
      <c r="F85" s="186">
        <f>SUMIF('Comunicación'!$B:$B,PPvsREal!$C$85,'Comunicación'!F:F)</f>
        <v>13949.9</v>
      </c>
      <c r="G85" s="186">
        <f>SUMIF('Comunicación'!$B:$B,PPvsREal!$C$85,'Comunicación'!G:G)</f>
        <v>0</v>
      </c>
      <c r="H85" s="186">
        <f>SUMIF('Comunicación'!$B:$B,PPvsREal!$C$85,'Comunicación'!H:H)</f>
        <v>13949.9</v>
      </c>
      <c r="I85" s="186">
        <f>SUMIF('Comunicación'!$B:$B,PPvsREal!$C$85,'Comunicación'!I:I)</f>
        <v>0</v>
      </c>
      <c r="J85" s="186">
        <f>SUMIF('Comunicación'!$B:$B,PPvsREal!$C$85,'Comunicación'!J:J)</f>
        <v>13949.9</v>
      </c>
      <c r="K85" s="186">
        <f>SUMIF('Comunicación'!$B:$B,PPvsREal!$C$85,'Comunicación'!K:K)</f>
        <v>0</v>
      </c>
      <c r="L85" s="186">
        <f>SUMIF('Comunicación'!$B:$B,PPvsREal!$C$85,'Comunicación'!L:L)</f>
        <v>13949.9</v>
      </c>
      <c r="M85" s="186">
        <f>SUMIF('Comunicación'!$B:$B,PPvsREal!$C$85,'Comunicación'!M:M)</f>
        <v>0</v>
      </c>
      <c r="N85" s="186">
        <f>SUMIF('Comunicación'!$B:$B,PPvsREal!$C$85,'Comunicación'!N:N)</f>
        <v>13949.9</v>
      </c>
      <c r="O85" s="186">
        <f>SUMIF('Comunicación'!$B:$B,PPvsREal!$C$85,'Comunicación'!O:O)</f>
        <v>0</v>
      </c>
      <c r="P85" s="186">
        <f>SUMIF('Comunicación'!$B:$B,PPvsREal!$C$85,'Comunicación'!P:P)</f>
        <v>13949.9</v>
      </c>
      <c r="Q85" s="186">
        <f>SUMIF('Comunicación'!$B:$B,PPvsREal!$C$85,'Comunicación'!Q:Q)</f>
        <v>0</v>
      </c>
      <c r="R85" s="186">
        <f>SUMIF('Comunicación'!$B:$B,PPvsREal!$C$85,'Comunicación'!R:R)</f>
        <v>13949.9</v>
      </c>
      <c r="S85" s="186">
        <f>SUMIF('Comunicación'!$B:$B,PPvsREal!$C$85,'Comunicación'!S:S)</f>
        <v>0</v>
      </c>
      <c r="T85" s="186">
        <f>SUMIF('Comunicación'!$B:$B,PPvsREal!$C$85,'Comunicación'!T:T)</f>
        <v>13949.9</v>
      </c>
      <c r="U85" s="186">
        <f>SUMIF('Comunicación'!$B:$B,PPvsREal!$C$85,'Comunicación'!U:U)</f>
        <v>0</v>
      </c>
      <c r="V85" s="186">
        <f>SUMIF('Comunicación'!$B:$B,PPvsREal!$C$85,'Comunicación'!V:V)</f>
        <v>13949.9</v>
      </c>
      <c r="W85" s="186">
        <f>SUMIF('Comunicación'!$B:$B,PPvsREal!$C$85,'Comunicación'!W:W)</f>
        <v>0</v>
      </c>
      <c r="X85" s="186">
        <f>SUMIF('Comunicación'!$B:$B,PPvsREal!$C$85,'Comunicación'!X:X)</f>
        <v>13949.9</v>
      </c>
      <c r="Y85" s="186">
        <f>SUMIF('Comunicación'!$B:$B,PPvsREal!$C$85,'Comunicación'!Y:Y)</f>
        <v>0</v>
      </c>
      <c r="Z85" s="186">
        <f>SUMIF('Comunicación'!$B:$B,PPvsREal!$C$85,'Comunicación'!Z:Z)</f>
        <v>13949.9</v>
      </c>
      <c r="AA85" s="187">
        <f>SUMIF('Comunicación'!$B:$B,PPvsREal!$C$85,'Comunicación'!AA:AA)</f>
        <v>0</v>
      </c>
    </row>
    <row r="86" ht="12.75" customHeight="1">
      <c r="A86" s="111"/>
      <c r="B86" s="188" t="s">
        <v>425</v>
      </c>
      <c r="C86" s="2" t="s">
        <v>268</v>
      </c>
      <c r="D86" s="189">
        <f>SUMIF('Comunicación'!$B:$B,PPvsREal!$C$86,'Comunicación'!D:D)</f>
        <v>127.2</v>
      </c>
      <c r="E86" s="189">
        <f>SUMIF('Comunicación'!$B:$B,PPvsREal!$C$86,'Comunicación'!E:E)</f>
        <v>0</v>
      </c>
      <c r="F86" s="189">
        <f>SUMIF('Comunicación'!$B:$B,PPvsREal!$C$86,'Comunicación'!F:F)</f>
        <v>127.2</v>
      </c>
      <c r="G86" s="189">
        <f>SUMIF('Comunicación'!$B:$B,PPvsREal!$C$86,'Comunicación'!G:G)</f>
        <v>0</v>
      </c>
      <c r="H86" s="189">
        <f>SUMIF('Comunicación'!$B:$B,PPvsREal!$C$86,'Comunicación'!H:H)</f>
        <v>127.2</v>
      </c>
      <c r="I86" s="189">
        <f>SUMIF('Comunicación'!$B:$B,PPvsREal!$C$86,'Comunicación'!I:I)</f>
        <v>0</v>
      </c>
      <c r="J86" s="189">
        <f>SUMIF('Comunicación'!$B:$B,PPvsREal!$C$86,'Comunicación'!J:J)</f>
        <v>127.2</v>
      </c>
      <c r="K86" s="189">
        <f>SUMIF('Comunicación'!$B:$B,PPvsREal!$C$86,'Comunicación'!K:K)</f>
        <v>0</v>
      </c>
      <c r="L86" s="189">
        <f>SUMIF('Comunicación'!$B:$B,PPvsREal!$C$86,'Comunicación'!L:L)</f>
        <v>127.2</v>
      </c>
      <c r="M86" s="189">
        <f>SUMIF('Comunicación'!$B:$B,PPvsREal!$C$86,'Comunicación'!M:M)</f>
        <v>0</v>
      </c>
      <c r="N86" s="189">
        <f>SUMIF('Comunicación'!$B:$B,PPvsREal!$C$86,'Comunicación'!N:N)</f>
        <v>127.2</v>
      </c>
      <c r="O86" s="189">
        <f>SUMIF('Comunicación'!$B:$B,PPvsREal!$C$86,'Comunicación'!O:O)</f>
        <v>0</v>
      </c>
      <c r="P86" s="189">
        <f>SUMIF('Comunicación'!$B:$B,PPvsREal!$C$86,'Comunicación'!P:P)</f>
        <v>127.2</v>
      </c>
      <c r="Q86" s="189">
        <f>SUMIF('Comunicación'!$B:$B,PPvsREal!$C$86,'Comunicación'!Q:Q)</f>
        <v>0</v>
      </c>
      <c r="R86" s="189">
        <f>SUMIF('Comunicación'!$B:$B,PPvsREal!$C$86,'Comunicación'!R:R)</f>
        <v>127.2</v>
      </c>
      <c r="S86" s="189">
        <f>SUMIF('Comunicación'!$B:$B,PPvsREal!$C$86,'Comunicación'!S:S)</f>
        <v>0</v>
      </c>
      <c r="T86" s="189">
        <f>SUMIF('Comunicación'!$B:$B,PPvsREal!$C$86,'Comunicación'!T:T)</f>
        <v>127.2</v>
      </c>
      <c r="U86" s="189">
        <f>SUMIF('Comunicación'!$B:$B,PPvsREal!$C$86,'Comunicación'!U:U)</f>
        <v>0</v>
      </c>
      <c r="V86" s="189">
        <f>SUMIF('Comunicación'!$B:$B,PPvsREal!$C$86,'Comunicación'!V:V)</f>
        <v>127.2</v>
      </c>
      <c r="W86" s="189">
        <f>SUMIF('Comunicación'!$B:$B,PPvsREal!$C$86,'Comunicación'!W:W)</f>
        <v>0</v>
      </c>
      <c r="X86" s="189">
        <f>SUMIF('Comunicación'!$B:$B,PPvsREal!$C$86,'Comunicación'!X:X)</f>
        <v>127.2</v>
      </c>
      <c r="Y86" s="189">
        <f>SUMIF('Comunicación'!$B:$B,PPvsREal!$C$86,'Comunicación'!Y:Y)</f>
        <v>0</v>
      </c>
      <c r="Z86" s="189">
        <f>SUMIF('Comunicación'!$B:$B,PPvsREal!$C$86,'Comunicación'!Z:Z)</f>
        <v>127.2</v>
      </c>
      <c r="AA86" s="190">
        <f>SUMIF('Comunicación'!$B:$B,PPvsREal!$C$86,'Comunicación'!AA:AA)</f>
        <v>0</v>
      </c>
    </row>
    <row r="87" ht="12.75" customHeight="1">
      <c r="A87" s="111"/>
      <c r="B87" s="188" t="s">
        <v>425</v>
      </c>
      <c r="C87" s="2" t="s">
        <v>270</v>
      </c>
      <c r="D87" s="189">
        <f>SUMIF('Comunicación'!$B:$B,PPvsREal!$C$87,'Comunicación'!D:D)</f>
        <v>954</v>
      </c>
      <c r="E87" s="189">
        <f>SUMIF('Comunicación'!$B:$B,PPvsREal!$C$87,'Comunicación'!E:E)</f>
        <v>0</v>
      </c>
      <c r="F87" s="189">
        <f>SUMIF('Comunicación'!$B:$B,PPvsREal!$C$87,'Comunicación'!F:F)</f>
        <v>954</v>
      </c>
      <c r="G87" s="189">
        <f>SUMIF('Comunicación'!$B:$B,PPvsREal!$C$87,'Comunicación'!G:G)</f>
        <v>0</v>
      </c>
      <c r="H87" s="189">
        <f>SUMIF('Comunicación'!$B:$B,PPvsREal!$C$87,'Comunicación'!H:H)</f>
        <v>954</v>
      </c>
      <c r="I87" s="189">
        <f>SUMIF('Comunicación'!$B:$B,PPvsREal!$C$87,'Comunicación'!I:I)</f>
        <v>0</v>
      </c>
      <c r="J87" s="189">
        <f>SUMIF('Comunicación'!$B:$B,PPvsREal!$C$87,'Comunicación'!J:J)</f>
        <v>954</v>
      </c>
      <c r="K87" s="189">
        <f>SUMIF('Comunicación'!$B:$B,PPvsREal!$C$87,'Comunicación'!K:K)</f>
        <v>0</v>
      </c>
      <c r="L87" s="189">
        <f>SUMIF('Comunicación'!$B:$B,PPvsREal!$C$87,'Comunicación'!L:L)</f>
        <v>954</v>
      </c>
      <c r="M87" s="189">
        <f>SUMIF('Comunicación'!$B:$B,PPvsREal!$C$87,'Comunicación'!M:M)</f>
        <v>0</v>
      </c>
      <c r="N87" s="189">
        <f>SUMIF('Comunicación'!$B:$B,PPvsREal!$C$87,'Comunicación'!N:N)</f>
        <v>954</v>
      </c>
      <c r="O87" s="189">
        <f>SUMIF('Comunicación'!$B:$B,PPvsREal!$C$87,'Comunicación'!O:O)</f>
        <v>0</v>
      </c>
      <c r="P87" s="189">
        <f>SUMIF('Comunicación'!$B:$B,PPvsREal!$C$87,'Comunicación'!P:P)</f>
        <v>954</v>
      </c>
      <c r="Q87" s="189">
        <f>SUMIF('Comunicación'!$B:$B,PPvsREal!$C$87,'Comunicación'!Q:Q)</f>
        <v>0</v>
      </c>
      <c r="R87" s="189">
        <f>SUMIF('Comunicación'!$B:$B,PPvsREal!$C$87,'Comunicación'!R:R)</f>
        <v>954</v>
      </c>
      <c r="S87" s="189">
        <f>SUMIF('Comunicación'!$B:$B,PPvsREal!$C$87,'Comunicación'!S:S)</f>
        <v>0</v>
      </c>
      <c r="T87" s="189">
        <f>SUMIF('Comunicación'!$B:$B,PPvsREal!$C$87,'Comunicación'!T:T)</f>
        <v>954</v>
      </c>
      <c r="U87" s="189">
        <f>SUMIF('Comunicación'!$B:$B,PPvsREal!$C$87,'Comunicación'!U:U)</f>
        <v>0</v>
      </c>
      <c r="V87" s="189">
        <f>SUMIF('Comunicación'!$B:$B,PPvsREal!$C$87,'Comunicación'!V:V)</f>
        <v>954</v>
      </c>
      <c r="W87" s="189">
        <f>SUMIF('Comunicación'!$B:$B,PPvsREal!$C$87,'Comunicación'!W:W)</f>
        <v>0</v>
      </c>
      <c r="X87" s="189">
        <f>SUMIF('Comunicación'!$B:$B,PPvsREal!$C$87,'Comunicación'!X:X)</f>
        <v>954</v>
      </c>
      <c r="Y87" s="189">
        <f>SUMIF('Comunicación'!$B:$B,PPvsREal!$C$87,'Comunicación'!Y:Y)</f>
        <v>0</v>
      </c>
      <c r="Z87" s="189">
        <f>SUMIF('Comunicación'!$B:$B,PPvsREal!$C$87,'Comunicación'!Z:Z)</f>
        <v>954</v>
      </c>
      <c r="AA87" s="190">
        <f>SUMIF('Comunicación'!$B:$B,PPvsREal!$C$87,'Comunicación'!AA:AA)</f>
        <v>0</v>
      </c>
    </row>
    <row r="88" ht="12.75" customHeight="1">
      <c r="A88" s="111"/>
      <c r="B88" s="191" t="s">
        <v>425</v>
      </c>
      <c r="C88" s="192" t="s">
        <v>272</v>
      </c>
      <c r="D88" s="193">
        <f>SUMIF('Comunicación'!$B:$B,PPvsREal!$C$88,'Comunicación'!D:D)</f>
        <v>240</v>
      </c>
      <c r="E88" s="193">
        <f>SUMIF('Comunicación'!$B:$B,PPvsREal!$C$88,'Comunicación'!E:E)</f>
        <v>0</v>
      </c>
      <c r="F88" s="193">
        <f>SUMIF('Comunicación'!$B:$B,PPvsREal!$C$88,'Comunicación'!F:F)</f>
        <v>240</v>
      </c>
      <c r="G88" s="193">
        <f>SUMIF('Comunicación'!$B:$B,PPvsREal!$C$88,'Comunicación'!G:G)</f>
        <v>0</v>
      </c>
      <c r="H88" s="193">
        <f>SUMIF('Comunicación'!$B:$B,PPvsREal!$C$88,'Comunicación'!H:H)</f>
        <v>240</v>
      </c>
      <c r="I88" s="193">
        <f>SUMIF('Comunicación'!$B:$B,PPvsREal!$C$88,'Comunicación'!I:I)</f>
        <v>0</v>
      </c>
      <c r="J88" s="193">
        <f>SUMIF('Comunicación'!$B:$B,PPvsREal!$C$88,'Comunicación'!J:J)</f>
        <v>240</v>
      </c>
      <c r="K88" s="193">
        <f>SUMIF('Comunicación'!$B:$B,PPvsREal!$C$88,'Comunicación'!K:K)</f>
        <v>0</v>
      </c>
      <c r="L88" s="193">
        <f>SUMIF('Comunicación'!$B:$B,PPvsREal!$C$88,'Comunicación'!L:L)</f>
        <v>240</v>
      </c>
      <c r="M88" s="193">
        <f>SUMIF('Comunicación'!$B:$B,PPvsREal!$C$88,'Comunicación'!M:M)</f>
        <v>0</v>
      </c>
      <c r="N88" s="193">
        <f>SUMIF('Comunicación'!$B:$B,PPvsREal!$C$88,'Comunicación'!N:N)</f>
        <v>240</v>
      </c>
      <c r="O88" s="193">
        <f>SUMIF('Comunicación'!$B:$B,PPvsREal!$C$88,'Comunicación'!O:O)</f>
        <v>0</v>
      </c>
      <c r="P88" s="193">
        <f>SUMIF('Comunicación'!$B:$B,PPvsREal!$C$88,'Comunicación'!P:P)</f>
        <v>240</v>
      </c>
      <c r="Q88" s="193">
        <f>SUMIF('Comunicación'!$B:$B,PPvsREal!$C$88,'Comunicación'!Q:Q)</f>
        <v>0</v>
      </c>
      <c r="R88" s="193">
        <f>SUMIF('Comunicación'!$B:$B,PPvsREal!$C$88,'Comunicación'!R:R)</f>
        <v>240</v>
      </c>
      <c r="S88" s="193">
        <f>SUMIF('Comunicación'!$B:$B,PPvsREal!$C$88,'Comunicación'!S:S)</f>
        <v>0</v>
      </c>
      <c r="T88" s="193">
        <f>SUMIF('Comunicación'!$B:$B,PPvsREal!$C$88,'Comunicación'!T:T)</f>
        <v>240</v>
      </c>
      <c r="U88" s="193">
        <f>SUMIF('Comunicación'!$B:$B,PPvsREal!$C$88,'Comunicación'!U:U)</f>
        <v>0</v>
      </c>
      <c r="V88" s="193">
        <f>SUMIF('Comunicación'!$B:$B,PPvsREal!$C$88,'Comunicación'!V:V)</f>
        <v>240</v>
      </c>
      <c r="W88" s="193">
        <f>SUMIF('Comunicación'!$B:$B,PPvsREal!$C$88,'Comunicación'!W:W)</f>
        <v>0</v>
      </c>
      <c r="X88" s="193">
        <f>SUMIF('Comunicación'!$B:$B,PPvsREal!$C$88,'Comunicación'!X:X)</f>
        <v>240</v>
      </c>
      <c r="Y88" s="193">
        <f>SUMIF('Comunicación'!$B:$B,PPvsREal!$C$88,'Comunicación'!Y:Y)</f>
        <v>0</v>
      </c>
      <c r="Z88" s="193">
        <f>SUMIF('Comunicación'!$B:$B,PPvsREal!$C$88,'Comunicación'!Z:Z)</f>
        <v>240</v>
      </c>
      <c r="AA88" s="194">
        <f>SUMIF('Comunicación'!$B:$B,PPvsREal!$C$88,'Comunicación'!AA:AA)</f>
        <v>0</v>
      </c>
    </row>
    <row r="89" ht="12.75" customHeight="1">
      <c r="A89" s="111"/>
      <c r="B89" s="188" t="s">
        <v>426</v>
      </c>
      <c r="C89" s="2" t="s">
        <v>281</v>
      </c>
      <c r="D89" s="189">
        <f>SUMIF(RH!$B:$B,PPvsREal!$C$89,RH!D:D)</f>
        <v>11102.5</v>
      </c>
      <c r="E89" s="189">
        <f>SUMIF(RH!$B:$B,PPvsREal!$C$89,RH!E:E)</f>
        <v>0</v>
      </c>
      <c r="F89" s="189">
        <f>SUMIF(RH!$B:$B,PPvsREal!$C$89,RH!F:F)</f>
        <v>11102.5</v>
      </c>
      <c r="G89" s="189">
        <f>SUMIF(RH!$B:$B,PPvsREal!$C$89,RH!G:G)</f>
        <v>8000</v>
      </c>
      <c r="H89" s="189">
        <f>SUMIF(RH!$B:$B,PPvsREal!$C$89,RH!H:H)</f>
        <v>11102.5</v>
      </c>
      <c r="I89" s="189">
        <f>SUMIF(RH!$B:$B,PPvsREal!$C$89,RH!I:I)</f>
        <v>8000</v>
      </c>
      <c r="J89" s="189">
        <f>SUMIF(RH!$B:$B,PPvsREal!$C$89,RH!J:J)</f>
        <v>11102.5</v>
      </c>
      <c r="K89" s="189">
        <f>SUMIF(RH!$B:$B,PPvsREal!$C$89,RH!K:K)</f>
        <v>8000</v>
      </c>
      <c r="L89" s="189">
        <f>SUMIF(RH!$B:$B,PPvsREal!$C$89,RH!L:L)</f>
        <v>11102.5</v>
      </c>
      <c r="M89" s="189">
        <f>SUMIF(RH!$B:$B,PPvsREal!$C$89,RH!M:M)</f>
        <v>8000</v>
      </c>
      <c r="N89" s="189">
        <f>SUMIF(RH!$B:$B,PPvsREal!$C$89,RH!N:N)</f>
        <v>11102.5</v>
      </c>
      <c r="O89" s="189">
        <f>SUMIF(RH!$B:$B,PPvsREal!$C$89,RH!O:O)</f>
        <v>8000</v>
      </c>
      <c r="P89" s="189">
        <f>SUMIF(RH!$B:$B,PPvsREal!$C$89,RH!P:P)</f>
        <v>11102.5</v>
      </c>
      <c r="Q89" s="189">
        <f>SUMIF(RH!$B:$B,PPvsREal!$C$89,RH!Q:Q)</f>
        <v>8000</v>
      </c>
      <c r="R89" s="189">
        <f>SUMIF(RH!$B:$B,PPvsREal!$C$89,RH!R:R)</f>
        <v>11102.5</v>
      </c>
      <c r="S89" s="189">
        <f>SUMIF(RH!$B:$B,PPvsREal!$C$89,RH!S:S)</f>
        <v>8000</v>
      </c>
      <c r="T89" s="189">
        <f>SUMIF(RH!$B:$B,PPvsREal!$C$89,RH!T:T)</f>
        <v>11102.5</v>
      </c>
      <c r="U89" s="189">
        <f>SUMIF(RH!$B:$B,PPvsREal!$C$89,RH!U:U)</f>
        <v>8000</v>
      </c>
      <c r="V89" s="189">
        <f>SUMIF(RH!$B:$B,PPvsREal!$C$89,RH!V:V)</f>
        <v>11102.5</v>
      </c>
      <c r="W89" s="189">
        <f>SUMIF(RH!$B:$B,PPvsREal!$C$89,RH!W:W)</f>
        <v>8000</v>
      </c>
      <c r="X89" s="189">
        <f>SUMIF(RH!$B:$B,PPvsREal!$C$89,RH!X:X)</f>
        <v>11102.5</v>
      </c>
      <c r="Y89" s="189">
        <f>SUMIF(RH!$B:$B,PPvsREal!$C$89,RH!Y:Y)</f>
        <v>8000</v>
      </c>
      <c r="Z89" s="189">
        <f>SUMIF(RH!$B:$B,PPvsREal!$C$89,RH!Z:Z)</f>
        <v>11102.5</v>
      </c>
      <c r="AA89" s="190">
        <f>SUMIF(RH!$B:$B,PPvsREal!$C$89,RH!AA:AA)</f>
        <v>0</v>
      </c>
    </row>
    <row r="90" ht="12.75" customHeight="1">
      <c r="A90" s="111"/>
      <c r="B90" s="188" t="s">
        <v>426</v>
      </c>
      <c r="C90" s="2" t="s">
        <v>283</v>
      </c>
      <c r="D90" s="189">
        <f>SUMIF(RH!$B:$B,PPvsREal!$C$90,RH!D:D)</f>
        <v>910</v>
      </c>
      <c r="E90" s="189">
        <f>SUMIF(RH!$B:$B,PPvsREal!$C$90,RH!E:E)</f>
        <v>0</v>
      </c>
      <c r="F90" s="189">
        <f>SUMIF(RH!$B:$B,PPvsREal!$C$90,RH!F:F)</f>
        <v>910</v>
      </c>
      <c r="G90" s="189">
        <f>SUMIF(RH!$B:$B,PPvsREal!$C$90,RH!G:G)</f>
        <v>0</v>
      </c>
      <c r="H90" s="189">
        <f>SUMIF(RH!$B:$B,PPvsREal!$C$90,RH!H:H)</f>
        <v>910</v>
      </c>
      <c r="I90" s="189">
        <f>SUMIF(RH!$B:$B,PPvsREal!$C$90,RH!I:I)</f>
        <v>0</v>
      </c>
      <c r="J90" s="189">
        <f>SUMIF(RH!$B:$B,PPvsREal!$C$90,RH!J:J)</f>
        <v>910</v>
      </c>
      <c r="K90" s="189">
        <f>SUMIF(RH!$B:$B,PPvsREal!$C$90,RH!K:K)</f>
        <v>0</v>
      </c>
      <c r="L90" s="189">
        <f>SUMIF(RH!$B:$B,PPvsREal!$C$90,RH!L:L)</f>
        <v>910</v>
      </c>
      <c r="M90" s="189">
        <f>SUMIF(RH!$B:$B,PPvsREal!$C$90,RH!M:M)</f>
        <v>0</v>
      </c>
      <c r="N90" s="189">
        <f>SUMIF(RH!$B:$B,PPvsREal!$C$90,RH!N:N)</f>
        <v>910</v>
      </c>
      <c r="O90" s="189">
        <f>SUMIF(RH!$B:$B,PPvsREal!$C$90,RH!O:O)</f>
        <v>0</v>
      </c>
      <c r="P90" s="189">
        <f>SUMIF(RH!$B:$B,PPvsREal!$C$90,RH!P:P)</f>
        <v>910</v>
      </c>
      <c r="Q90" s="189">
        <f>SUMIF(RH!$B:$B,PPvsREal!$C$90,RH!Q:Q)</f>
        <v>0</v>
      </c>
      <c r="R90" s="189">
        <f>SUMIF(RH!$B:$B,PPvsREal!$C$90,RH!R:R)</f>
        <v>910</v>
      </c>
      <c r="S90" s="189">
        <f>SUMIF(RH!$B:$B,PPvsREal!$C$90,RH!S:S)</f>
        <v>0</v>
      </c>
      <c r="T90" s="189">
        <f>SUMIF(RH!$B:$B,PPvsREal!$C$90,RH!T:T)</f>
        <v>910</v>
      </c>
      <c r="U90" s="189">
        <f>SUMIF(RH!$B:$B,PPvsREal!$C$90,RH!U:U)</f>
        <v>0</v>
      </c>
      <c r="V90" s="189">
        <f>SUMIF(RH!$B:$B,PPvsREal!$C$90,RH!V:V)</f>
        <v>910</v>
      </c>
      <c r="W90" s="189">
        <f>SUMIF(RH!$B:$B,PPvsREal!$C$90,RH!W:W)</f>
        <v>0</v>
      </c>
      <c r="X90" s="189">
        <f>SUMIF(RH!$B:$B,PPvsREal!$C$90,RH!X:X)</f>
        <v>910</v>
      </c>
      <c r="Y90" s="189">
        <f>SUMIF(RH!$B:$B,PPvsREal!$C$90,RH!Y:Y)</f>
        <v>0</v>
      </c>
      <c r="Z90" s="189">
        <f>SUMIF(RH!$B:$B,PPvsREal!$C$90,RH!Z:Z)</f>
        <v>910</v>
      </c>
      <c r="AA90" s="190">
        <f>SUMIF(RH!$B:$B,PPvsREal!$C$90,RH!AA:AA)</f>
        <v>0</v>
      </c>
    </row>
    <row r="91" ht="12.75" customHeight="1">
      <c r="A91" s="111"/>
      <c r="B91" s="188" t="s">
        <v>426</v>
      </c>
      <c r="C91" s="2" t="s">
        <v>285</v>
      </c>
      <c r="D91" s="189">
        <f>SUMIF(RH!$B:$B,PPvsREal!$C$91,RH!D:D)</f>
        <v>987.5</v>
      </c>
      <c r="E91" s="189">
        <f>SUMIF(RH!$B:$B,PPvsREal!$C$91,RH!E:E)</f>
        <v>0</v>
      </c>
      <c r="F91" s="189">
        <f>SUMIF(RH!$B:$B,PPvsREal!$C$91,RH!F:F)</f>
        <v>987.5</v>
      </c>
      <c r="G91" s="189">
        <f>SUMIF(RH!$B:$B,PPvsREal!$C$91,RH!G:G)</f>
        <v>0</v>
      </c>
      <c r="H91" s="189">
        <f>SUMIF(RH!$B:$B,PPvsREal!$C$91,RH!H:H)</f>
        <v>987.5</v>
      </c>
      <c r="I91" s="189">
        <f>SUMIF(RH!$B:$B,PPvsREal!$C$91,RH!I:I)</f>
        <v>0</v>
      </c>
      <c r="J91" s="189">
        <f>SUMIF(RH!$B:$B,PPvsREal!$C$91,RH!J:J)</f>
        <v>987.5</v>
      </c>
      <c r="K91" s="189">
        <f>SUMIF(RH!$B:$B,PPvsREal!$C$91,RH!K:K)</f>
        <v>0</v>
      </c>
      <c r="L91" s="189">
        <f>SUMIF(RH!$B:$B,PPvsREal!$C$91,RH!L:L)</f>
        <v>987.5</v>
      </c>
      <c r="M91" s="189">
        <f>SUMIF(RH!$B:$B,PPvsREal!$C$91,RH!M:M)</f>
        <v>0</v>
      </c>
      <c r="N91" s="189">
        <f>SUMIF(RH!$B:$B,PPvsREal!$C$91,RH!N:N)</f>
        <v>987.5</v>
      </c>
      <c r="O91" s="189">
        <f>SUMIF(RH!$B:$B,PPvsREal!$C$91,RH!O:O)</f>
        <v>0</v>
      </c>
      <c r="P91" s="189">
        <f>SUMIF(RH!$B:$B,PPvsREal!$C$91,RH!P:P)</f>
        <v>987.5</v>
      </c>
      <c r="Q91" s="189">
        <f>SUMIF(RH!$B:$B,PPvsREal!$C$91,RH!Q:Q)</f>
        <v>0</v>
      </c>
      <c r="R91" s="189">
        <f>SUMIF(RH!$B:$B,PPvsREal!$C$91,RH!R:R)</f>
        <v>987.5</v>
      </c>
      <c r="S91" s="189">
        <f>SUMIF(RH!$B:$B,PPvsREal!$C$91,RH!S:S)</f>
        <v>0</v>
      </c>
      <c r="T91" s="189">
        <f>SUMIF(RH!$B:$B,PPvsREal!$C$91,RH!T:T)</f>
        <v>987.5</v>
      </c>
      <c r="U91" s="189">
        <f>SUMIF(RH!$B:$B,PPvsREal!$C$91,RH!U:U)</f>
        <v>0</v>
      </c>
      <c r="V91" s="189">
        <f>SUMIF(RH!$B:$B,PPvsREal!$C$91,RH!V:V)</f>
        <v>987.5</v>
      </c>
      <c r="W91" s="189">
        <f>SUMIF(RH!$B:$B,PPvsREal!$C$91,RH!W:W)</f>
        <v>0</v>
      </c>
      <c r="X91" s="189">
        <f>SUMIF(RH!$B:$B,PPvsREal!$C$91,RH!X:X)</f>
        <v>987.5</v>
      </c>
      <c r="Y91" s="189">
        <f>SUMIF(RH!$B:$B,PPvsREal!$C$91,RH!Y:Y)</f>
        <v>0</v>
      </c>
      <c r="Z91" s="189">
        <f>SUMIF(RH!$B:$B,PPvsREal!$C$91,RH!Z:Z)</f>
        <v>987.5</v>
      </c>
      <c r="AA91" s="190">
        <f>SUMIF(RH!$B:$B,PPvsREal!$C$91,RH!AA:AA)</f>
        <v>0</v>
      </c>
    </row>
    <row r="92" ht="12.75" customHeight="1">
      <c r="A92" s="111"/>
      <c r="B92" s="184" t="s">
        <v>427</v>
      </c>
      <c r="C92" s="185" t="s">
        <v>291</v>
      </c>
      <c r="D92" s="186">
        <f>SUMIF('Dirección'!$B:$B,PPvsREal!$C$92,'Dirección'!D:D)</f>
        <v>0</v>
      </c>
      <c r="E92" s="186">
        <f>SUMIF('Dirección'!$B:$B,PPvsREal!$C$92,'Dirección'!E:E)</f>
        <v>0</v>
      </c>
      <c r="F92" s="186">
        <f>SUMIF('Dirección'!$B:$B,PPvsREal!$C$92,'Dirección'!F:F)</f>
        <v>0</v>
      </c>
      <c r="G92" s="186">
        <f>SUMIF('Dirección'!$B:$B,PPvsREal!$C$92,'Dirección'!G:G)</f>
        <v>0</v>
      </c>
      <c r="H92" s="186">
        <f>SUMIF('Dirección'!$B:$B,PPvsREal!$C$92,'Dirección'!H:H)</f>
        <v>0</v>
      </c>
      <c r="I92" s="186">
        <f>SUMIF('Dirección'!$B:$B,PPvsREal!$C$92,'Dirección'!I:I)</f>
        <v>0</v>
      </c>
      <c r="J92" s="186">
        <f>SUMIF('Dirección'!$B:$B,PPvsREal!$C$92,'Dirección'!J:J)</f>
        <v>0</v>
      </c>
      <c r="K92" s="186">
        <f>SUMIF('Dirección'!$B:$B,PPvsREal!$C$92,'Dirección'!K:K)</f>
        <v>0</v>
      </c>
      <c r="L92" s="186">
        <f>SUMIF('Dirección'!$B:$B,PPvsREal!$C$92,'Dirección'!L:L)</f>
        <v>0</v>
      </c>
      <c r="M92" s="186">
        <f>SUMIF('Dirección'!$B:$B,PPvsREal!$C$92,'Dirección'!M:M)</f>
        <v>0</v>
      </c>
      <c r="N92" s="186">
        <f>SUMIF('Dirección'!$B:$B,PPvsREal!$C$92,'Dirección'!N:N)</f>
        <v>0</v>
      </c>
      <c r="O92" s="186">
        <f>SUMIF('Dirección'!$B:$B,PPvsREal!$C$92,'Dirección'!O:O)</f>
        <v>0</v>
      </c>
      <c r="P92" s="186">
        <f>SUMIF('Dirección'!$B:$B,PPvsREal!$C$92,'Dirección'!P:P)</f>
        <v>0</v>
      </c>
      <c r="Q92" s="186">
        <f>SUMIF('Dirección'!$B:$B,PPvsREal!$C$92,'Dirección'!Q:Q)</f>
        <v>0</v>
      </c>
      <c r="R92" s="186">
        <f>SUMIF('Dirección'!$B:$B,PPvsREal!$C$92,'Dirección'!R:R)</f>
        <v>0</v>
      </c>
      <c r="S92" s="186">
        <f>SUMIF('Dirección'!$B:$B,PPvsREal!$C$92,'Dirección'!S:S)</f>
        <v>0</v>
      </c>
      <c r="T92" s="186">
        <f>SUMIF('Dirección'!$B:$B,PPvsREal!$C$92,'Dirección'!T:T)</f>
        <v>0</v>
      </c>
      <c r="U92" s="186">
        <f>SUMIF('Dirección'!$B:$B,PPvsREal!$C$92,'Dirección'!U:U)</f>
        <v>0</v>
      </c>
      <c r="V92" s="186">
        <f>SUMIF('Dirección'!$B:$B,PPvsREal!$C$92,'Dirección'!V:V)</f>
        <v>0</v>
      </c>
      <c r="W92" s="186">
        <f>SUMIF('Dirección'!$B:$B,PPvsREal!$C$92,'Dirección'!W:W)</f>
        <v>0</v>
      </c>
      <c r="X92" s="186">
        <f>SUMIF('Dirección'!$B:$B,PPvsREal!$C$92,'Dirección'!X:X)</f>
        <v>0</v>
      </c>
      <c r="Y92" s="186">
        <f>SUMIF('Dirección'!$B:$B,PPvsREal!$C$92,'Dirección'!Y:Y)</f>
        <v>0</v>
      </c>
      <c r="Z92" s="186">
        <f>SUMIF('Dirección'!$B:$B,PPvsREal!$C$92,'Dirección'!Z:Z)</f>
        <v>0</v>
      </c>
      <c r="AA92" s="187">
        <f>SUMIF('Dirección'!$B:$B,PPvsREal!$C$92,'Dirección'!AA:AA)</f>
        <v>0</v>
      </c>
    </row>
    <row r="93" ht="12.75" customHeight="1">
      <c r="A93" s="111"/>
      <c r="B93" s="188" t="s">
        <v>427</v>
      </c>
      <c r="C93" s="2" t="s">
        <v>293</v>
      </c>
      <c r="D93" s="189">
        <f>SUMIF('Dirección'!$B:$B,PPvsREal!$C$93,'Dirección'!D:D)</f>
        <v>0</v>
      </c>
      <c r="E93" s="189">
        <f>SUMIF('Dirección'!$B:$B,PPvsREal!$C$93,'Dirección'!E:E)</f>
        <v>0</v>
      </c>
      <c r="F93" s="189">
        <f>SUMIF('Dirección'!$B:$B,PPvsREal!$C$93,'Dirección'!F:F)</f>
        <v>0</v>
      </c>
      <c r="G93" s="189">
        <f>SUMIF('Dirección'!$B:$B,PPvsREal!$C$93,'Dirección'!G:G)</f>
        <v>0</v>
      </c>
      <c r="H93" s="189">
        <f>SUMIF('Dirección'!$B:$B,PPvsREal!$C$93,'Dirección'!H:H)</f>
        <v>6435</v>
      </c>
      <c r="I93" s="189">
        <f>SUMIF('Dirección'!$B:$B,PPvsREal!$C$93,'Dirección'!I:I)</f>
        <v>0</v>
      </c>
      <c r="J93" s="189">
        <f>SUMIF('Dirección'!$B:$B,PPvsREal!$C$93,'Dirección'!J:J)</f>
        <v>3960</v>
      </c>
      <c r="K93" s="189">
        <f>SUMIF('Dirección'!$B:$B,PPvsREal!$C$93,'Dirección'!K:K)</f>
        <v>0</v>
      </c>
      <c r="L93" s="189">
        <f>SUMIF('Dirección'!$B:$B,PPvsREal!$C$93,'Dirección'!L:L)</f>
        <v>814</v>
      </c>
      <c r="M93" s="189">
        <f>SUMIF('Dirección'!$B:$B,PPvsREal!$C$93,'Dirección'!M:M)</f>
        <v>0</v>
      </c>
      <c r="N93" s="189">
        <f>SUMIF('Dirección'!$B:$B,PPvsREal!$C$93,'Dirección'!N:N)</f>
        <v>6435</v>
      </c>
      <c r="O93" s="189">
        <f>SUMIF('Dirección'!$B:$B,PPvsREal!$C$93,'Dirección'!O:O)</f>
        <v>0</v>
      </c>
      <c r="P93" s="189">
        <f>SUMIF('Dirección'!$B:$B,PPvsREal!$C$93,'Dirección'!P:P)</f>
        <v>7425</v>
      </c>
      <c r="Q93" s="189">
        <f>SUMIF('Dirección'!$B:$B,PPvsREal!$C$93,'Dirección'!Q:Q)</f>
        <v>0</v>
      </c>
      <c r="R93" s="189">
        <f>SUMIF('Dirección'!$B:$B,PPvsREal!$C$93,'Dirección'!R:R)</f>
        <v>4881.723</v>
      </c>
      <c r="S93" s="189">
        <f>SUMIF('Dirección'!$B:$B,PPvsREal!$C$93,'Dirección'!S:S)</f>
        <v>0</v>
      </c>
      <c r="T93" s="189">
        <f>SUMIF('Dirección'!$B:$B,PPvsREal!$C$93,'Dirección'!T:T)</f>
        <v>3465</v>
      </c>
      <c r="U93" s="189">
        <f>SUMIF('Dirección'!$B:$B,PPvsREal!$C$93,'Dirección'!U:U)</f>
        <v>0</v>
      </c>
      <c r="V93" s="189">
        <f>SUMIF('Dirección'!$B:$B,PPvsREal!$C$93,'Dirección'!V:V)</f>
        <v>10725</v>
      </c>
      <c r="W93" s="189">
        <f>SUMIF('Dirección'!$B:$B,PPvsREal!$C$93,'Dirección'!W:W)</f>
        <v>0</v>
      </c>
      <c r="X93" s="189">
        <f>SUMIF('Dirección'!$B:$B,PPvsREal!$C$93,'Dirección'!X:X)</f>
        <v>10725</v>
      </c>
      <c r="Y93" s="189">
        <f>SUMIF('Dirección'!$B:$B,PPvsREal!$C$93,'Dirección'!Y:Y)</f>
        <v>0</v>
      </c>
      <c r="Z93" s="189">
        <f>SUMIF('Dirección'!$B:$B,PPvsREal!$C$93,'Dirección'!Z:Z)</f>
        <v>10725</v>
      </c>
      <c r="AA93" s="190">
        <f>SUMIF('Dirección'!$B:$B,PPvsREal!$C$93,'Dirección'!AA:AA)</f>
        <v>0</v>
      </c>
    </row>
    <row r="94" ht="12.75" customHeight="1">
      <c r="A94" s="111"/>
      <c r="B94" s="188" t="s">
        <v>427</v>
      </c>
      <c r="C94" s="2" t="s">
        <v>297</v>
      </c>
      <c r="D94" s="189">
        <f>SUMIF('Dirección'!$B:$B,PPvsREal!$C$94,'Dirección'!D:D)</f>
        <v>0</v>
      </c>
      <c r="E94" s="189">
        <f>SUMIF('Dirección'!$B:$B,PPvsREal!$C$94,'Dirección'!E:E)</f>
        <v>0</v>
      </c>
      <c r="F94" s="189">
        <f>SUMIF('Dirección'!$B:$B,PPvsREal!$C$94,'Dirección'!F:F)</f>
        <v>0</v>
      </c>
      <c r="G94" s="189">
        <f>SUMIF('Dirección'!$B:$B,PPvsREal!$C$94,'Dirección'!G:G)</f>
        <v>0</v>
      </c>
      <c r="H94" s="189">
        <f>SUMIF('Dirección'!$B:$B,PPvsREal!$C$94,'Dirección'!H:H)</f>
        <v>0</v>
      </c>
      <c r="I94" s="189">
        <f>SUMIF('Dirección'!$B:$B,PPvsREal!$C$94,'Dirección'!I:I)</f>
        <v>0</v>
      </c>
      <c r="J94" s="189">
        <f>SUMIF('Dirección'!$B:$B,PPvsREal!$C$94,'Dirección'!J:J)</f>
        <v>0</v>
      </c>
      <c r="K94" s="189">
        <f>SUMIF('Dirección'!$B:$B,PPvsREal!$C$94,'Dirección'!K:K)</f>
        <v>0</v>
      </c>
      <c r="L94" s="189">
        <f>SUMIF('Dirección'!$B:$B,PPvsREal!$C$94,'Dirección'!L:L)</f>
        <v>0</v>
      </c>
      <c r="M94" s="189">
        <f>SUMIF('Dirección'!$B:$B,PPvsREal!$C$94,'Dirección'!M:M)</f>
        <v>0</v>
      </c>
      <c r="N94" s="189">
        <f>SUMIF('Dirección'!$B:$B,PPvsREal!$C$94,'Dirección'!N:N)</f>
        <v>0</v>
      </c>
      <c r="O94" s="189">
        <f>SUMIF('Dirección'!$B:$B,PPvsREal!$C$94,'Dirección'!O:O)</f>
        <v>0</v>
      </c>
      <c r="P94" s="189">
        <f>SUMIF('Dirección'!$B:$B,PPvsREal!$C$94,'Dirección'!P:P)</f>
        <v>0</v>
      </c>
      <c r="Q94" s="189">
        <f>SUMIF('Dirección'!$B:$B,PPvsREal!$C$94,'Dirección'!Q:Q)</f>
        <v>0</v>
      </c>
      <c r="R94" s="189">
        <f>SUMIF('Dirección'!$B:$B,PPvsREal!$C$94,'Dirección'!R:R)</f>
        <v>0</v>
      </c>
      <c r="S94" s="189">
        <f>SUMIF('Dirección'!$B:$B,PPvsREal!$C$94,'Dirección'!S:S)</f>
        <v>0</v>
      </c>
      <c r="T94" s="189">
        <f>SUMIF('Dirección'!$B:$B,PPvsREal!$C$94,'Dirección'!T:T)</f>
        <v>0</v>
      </c>
      <c r="U94" s="189">
        <f>SUMIF('Dirección'!$B:$B,PPvsREal!$C$94,'Dirección'!U:U)</f>
        <v>0</v>
      </c>
      <c r="V94" s="189">
        <f>SUMIF('Dirección'!$B:$B,PPvsREal!$C$94,'Dirección'!V:V)</f>
        <v>0</v>
      </c>
      <c r="W94" s="189">
        <f>SUMIF('Dirección'!$B:$B,PPvsREal!$C$94,'Dirección'!W:W)</f>
        <v>0</v>
      </c>
      <c r="X94" s="189">
        <f>SUMIF('Dirección'!$B:$B,PPvsREal!$C$94,'Dirección'!X:X)</f>
        <v>0</v>
      </c>
      <c r="Y94" s="189">
        <f>SUMIF('Dirección'!$B:$B,PPvsREal!$C$94,'Dirección'!Y:Y)</f>
        <v>0</v>
      </c>
      <c r="Z94" s="189">
        <f>SUMIF('Dirección'!$B:$B,PPvsREal!$C$94,'Dirección'!Z:Z)</f>
        <v>0</v>
      </c>
      <c r="AA94" s="190">
        <f>SUMIF('Dirección'!$B:$B,PPvsREal!$C$94,'Dirección'!AA:AA)</f>
        <v>0</v>
      </c>
    </row>
    <row r="95" ht="12.75" customHeight="1">
      <c r="A95" s="111"/>
      <c r="B95" s="188" t="s">
        <v>427</v>
      </c>
      <c r="C95" s="2" t="s">
        <v>299</v>
      </c>
      <c r="D95" s="189">
        <f>SUMIF('Dirección'!$B:$B,PPvsREal!$C$95,'Dirección'!D:D)</f>
        <v>0</v>
      </c>
      <c r="E95" s="189">
        <f>SUMIF('Dirección'!$B:$B,PPvsREal!$C$95,'Dirección'!E:E)</f>
        <v>0</v>
      </c>
      <c r="F95" s="189">
        <f>SUMIF('Dirección'!$B:$B,PPvsREal!$C$95,'Dirección'!F:F)</f>
        <v>0</v>
      </c>
      <c r="G95" s="189">
        <f>SUMIF('Dirección'!$B:$B,PPvsREal!$C$95,'Dirección'!G:G)</f>
        <v>0</v>
      </c>
      <c r="H95" s="189">
        <f>SUMIF('Dirección'!$B:$B,PPvsREal!$C$95,'Dirección'!H:H)</f>
        <v>722.15</v>
      </c>
      <c r="I95" s="189">
        <f>SUMIF('Dirección'!$B:$B,PPvsREal!$C$95,'Dirección'!I:I)</f>
        <v>0</v>
      </c>
      <c r="J95" s="189">
        <f>SUMIF('Dirección'!$B:$B,PPvsREal!$C$95,'Dirección'!J:J)</f>
        <v>9799.636</v>
      </c>
      <c r="K95" s="189">
        <f>SUMIF('Dirección'!$B:$B,PPvsREal!$C$95,'Dirección'!K:K)</f>
        <v>0</v>
      </c>
      <c r="L95" s="189">
        <f>SUMIF('Dirección'!$B:$B,PPvsREal!$C$95,'Dirección'!L:L)</f>
        <v>9799.636</v>
      </c>
      <c r="M95" s="189">
        <f>SUMIF('Dirección'!$B:$B,PPvsREal!$C$95,'Dirección'!M:M)</f>
        <v>0</v>
      </c>
      <c r="N95" s="189">
        <f>SUMIF('Dirección'!$B:$B,PPvsREal!$C$95,'Dirección'!N:N)</f>
        <v>9306.264</v>
      </c>
      <c r="O95" s="189">
        <f>SUMIF('Dirección'!$B:$B,PPvsREal!$C$95,'Dirección'!O:O)</f>
        <v>0</v>
      </c>
      <c r="P95" s="189">
        <f>SUMIF('Dirección'!$B:$B,PPvsREal!$C$95,'Dirección'!P:P)</f>
        <v>2420</v>
      </c>
      <c r="Q95" s="189">
        <f>SUMIF('Dirección'!$B:$B,PPvsREal!$C$95,'Dirección'!Q:Q)</f>
        <v>0</v>
      </c>
      <c r="R95" s="189">
        <f>SUMIF('Dirección'!$B:$B,PPvsREal!$C$95,'Dirección'!R:R)</f>
        <v>9799.636</v>
      </c>
      <c r="S95" s="189">
        <f>SUMIF('Dirección'!$B:$B,PPvsREal!$C$95,'Dirección'!S:S)</f>
        <v>0</v>
      </c>
      <c r="T95" s="189">
        <f>SUMIF('Dirección'!$B:$B,PPvsREal!$C$95,'Dirección'!T:T)</f>
        <v>9790.55</v>
      </c>
      <c r="U95" s="189">
        <f>SUMIF('Dirección'!$B:$B,PPvsREal!$C$95,'Dirección'!U:U)</f>
        <v>0</v>
      </c>
      <c r="V95" s="189">
        <f>SUMIF('Dirección'!$B:$B,PPvsREal!$C$95,'Dirección'!V:V)</f>
        <v>8624</v>
      </c>
      <c r="W95" s="189">
        <f>SUMIF('Dirección'!$B:$B,PPvsREal!$C$95,'Dirección'!W:W)</f>
        <v>0</v>
      </c>
      <c r="X95" s="189">
        <f>SUMIF('Dirección'!$B:$B,PPvsREal!$C$95,'Dirección'!X:X)</f>
        <v>8624</v>
      </c>
      <c r="Y95" s="189">
        <f>SUMIF('Dirección'!$B:$B,PPvsREal!$C$95,'Dirección'!Y:Y)</f>
        <v>0</v>
      </c>
      <c r="Z95" s="189">
        <f>SUMIF('Dirección'!$B:$B,PPvsREal!$C$95,'Dirección'!Z:Z)</f>
        <v>8624</v>
      </c>
      <c r="AA95" s="190">
        <f>SUMIF('Dirección'!$B:$B,PPvsREal!$C$95,'Dirección'!AA:AA)</f>
        <v>0</v>
      </c>
    </row>
    <row r="96" ht="12.75" customHeight="1">
      <c r="A96" s="111"/>
      <c r="B96" s="188" t="s">
        <v>427</v>
      </c>
      <c r="C96" s="2" t="s">
        <v>303</v>
      </c>
      <c r="D96" s="189">
        <f>SUMIF('Dirección'!$B:$B,PPvsREal!$C$96,'Dirección'!D:D)</f>
        <v>0</v>
      </c>
      <c r="E96" s="189">
        <f>SUMIF('Dirección'!$B:$B,PPvsREal!$C$96,'Dirección'!E:E)</f>
        <v>0</v>
      </c>
      <c r="F96" s="189">
        <f>SUMIF('Dirección'!$B:$B,PPvsREal!$C$96,'Dirección'!F:F)</f>
        <v>0</v>
      </c>
      <c r="G96" s="189">
        <f>SUMIF('Dirección'!$B:$B,PPvsREal!$C$96,'Dirección'!G:G)</f>
        <v>0</v>
      </c>
      <c r="H96" s="189">
        <f>SUMIF('Dirección'!$B:$B,PPvsREal!$C$96,'Dirección'!H:H)</f>
        <v>4338.7814</v>
      </c>
      <c r="I96" s="189">
        <f>SUMIF('Dirección'!$B:$B,PPvsREal!$C$96,'Dirección'!I:I)</f>
        <v>0</v>
      </c>
      <c r="J96" s="189">
        <f>SUMIF('Dirección'!$B:$B,PPvsREal!$C$96,'Dirección'!J:J)</f>
        <v>0</v>
      </c>
      <c r="K96" s="189">
        <f>SUMIF('Dirección'!$B:$B,PPvsREal!$C$96,'Dirección'!K:K)</f>
        <v>0</v>
      </c>
      <c r="L96" s="189">
        <f>SUMIF('Dirección'!$B:$B,PPvsREal!$C$96,'Dirección'!L:L)</f>
        <v>35492.218</v>
      </c>
      <c r="M96" s="189">
        <f>SUMIF('Dirección'!$B:$B,PPvsREal!$C$96,'Dirección'!M:M)</f>
        <v>0</v>
      </c>
      <c r="N96" s="189">
        <f>SUMIF('Dirección'!$B:$B,PPvsREal!$C$96,'Dirección'!N:N)</f>
        <v>0</v>
      </c>
      <c r="O96" s="189">
        <f>SUMIF('Dirección'!$B:$B,PPvsREal!$C$96,'Dirección'!O:O)</f>
        <v>0</v>
      </c>
      <c r="P96" s="189">
        <f>SUMIF('Dirección'!$B:$B,PPvsREal!$C$96,'Dirección'!P:P)</f>
        <v>11733.5958</v>
      </c>
      <c r="Q96" s="189">
        <f>SUMIF('Dirección'!$B:$B,PPvsREal!$C$96,'Dirección'!Q:Q)</f>
        <v>0</v>
      </c>
      <c r="R96" s="189">
        <f>SUMIF('Dirección'!$B:$B,PPvsREal!$C$96,'Dirección'!R:R)</f>
        <v>3512.8188</v>
      </c>
      <c r="S96" s="189">
        <f>SUMIF('Dirección'!$B:$B,PPvsREal!$C$96,'Dirección'!S:S)</f>
        <v>0</v>
      </c>
      <c r="T96" s="189">
        <f>SUMIF('Dirección'!$B:$B,PPvsREal!$C$96,'Dirección'!T:T)</f>
        <v>1272</v>
      </c>
      <c r="U96" s="189">
        <f>SUMIF('Dirección'!$B:$B,PPvsREal!$C$96,'Dirección'!U:U)</f>
        <v>0</v>
      </c>
      <c r="V96" s="189">
        <f>SUMIF('Dirección'!$B:$B,PPvsREal!$C$96,'Dirección'!V:V)</f>
        <v>0</v>
      </c>
      <c r="W96" s="189">
        <f>SUMIF('Dirección'!$B:$B,PPvsREal!$C$96,'Dirección'!W:W)</f>
        <v>0</v>
      </c>
      <c r="X96" s="189">
        <f>SUMIF('Dirección'!$B:$B,PPvsREal!$C$96,'Dirección'!X:X)</f>
        <v>15370</v>
      </c>
      <c r="Y96" s="189">
        <f>SUMIF('Dirección'!$B:$B,PPvsREal!$C$96,'Dirección'!Y:Y)</f>
        <v>0</v>
      </c>
      <c r="Z96" s="189">
        <f>SUMIF('Dirección'!$B:$B,PPvsREal!$C$96,'Dirección'!Z:Z)</f>
        <v>0</v>
      </c>
      <c r="AA96" s="190">
        <f>SUMIF('Dirección'!$B:$B,PPvsREal!$C$96,'Dirección'!AA:AA)</f>
        <v>0</v>
      </c>
    </row>
    <row r="97" ht="12.75" customHeight="1">
      <c r="A97" s="111"/>
      <c r="B97" s="188" t="s">
        <v>427</v>
      </c>
      <c r="C97" s="2" t="s">
        <v>305</v>
      </c>
      <c r="D97" s="189">
        <f>SUMIF('Dirección'!$B:$B,PPvsREal!$C$97,'Dirección'!D:D)</f>
        <v>0</v>
      </c>
      <c r="E97" s="189">
        <f>SUMIF('Dirección'!$B:$B,PPvsREal!$C$97,'Dirección'!E:E)</f>
        <v>0</v>
      </c>
      <c r="F97" s="189">
        <f>SUMIF('Dirección'!$B:$B,PPvsREal!$C$97,'Dirección'!F:F)</f>
        <v>0</v>
      </c>
      <c r="G97" s="189">
        <f>SUMIF('Dirección'!$B:$B,PPvsREal!$C$97,'Dirección'!G:G)</f>
        <v>0</v>
      </c>
      <c r="H97" s="189">
        <f>SUMIF('Dirección'!$B:$B,PPvsREal!$C$97,'Dirección'!H:H)</f>
        <v>10040.5956</v>
      </c>
      <c r="I97" s="189">
        <f>SUMIF('Dirección'!$B:$B,PPvsREal!$C$97,'Dirección'!I:I)</f>
        <v>0</v>
      </c>
      <c r="J97" s="189">
        <f>SUMIF('Dirección'!$B:$B,PPvsREal!$C$97,'Dirección'!J:J)</f>
        <v>0</v>
      </c>
      <c r="K97" s="189">
        <f>SUMIF('Dirección'!$B:$B,PPvsREal!$C$97,'Dirección'!K:K)</f>
        <v>0</v>
      </c>
      <c r="L97" s="189">
        <f>SUMIF('Dirección'!$B:$B,PPvsREal!$C$97,'Dirección'!L:L)</f>
        <v>0</v>
      </c>
      <c r="M97" s="189">
        <f>SUMIF('Dirección'!$B:$B,PPvsREal!$C$97,'Dirección'!M:M)</f>
        <v>0</v>
      </c>
      <c r="N97" s="189">
        <f>SUMIF('Dirección'!$B:$B,PPvsREal!$C$97,'Dirección'!N:N)</f>
        <v>0</v>
      </c>
      <c r="O97" s="189">
        <f>SUMIF('Dirección'!$B:$B,PPvsREal!$C$97,'Dirección'!O:O)</f>
        <v>0</v>
      </c>
      <c r="P97" s="189">
        <f>SUMIF('Dirección'!$B:$B,PPvsREal!$C$97,'Dirección'!P:P)</f>
        <v>10144.359</v>
      </c>
      <c r="Q97" s="189">
        <f>SUMIF('Dirección'!$B:$B,PPvsREal!$C$97,'Dirección'!Q:Q)</f>
        <v>0</v>
      </c>
      <c r="R97" s="189">
        <f>SUMIF('Dirección'!$B:$B,PPvsREal!$C$97,'Dirección'!R:R)</f>
        <v>0</v>
      </c>
      <c r="S97" s="189">
        <f>SUMIF('Dirección'!$B:$B,PPvsREal!$C$97,'Dirección'!S:S)</f>
        <v>0</v>
      </c>
      <c r="T97" s="189">
        <f>SUMIF('Dirección'!$B:$B,PPvsREal!$C$97,'Dirección'!T:T)</f>
        <v>0</v>
      </c>
      <c r="U97" s="189">
        <f>SUMIF('Dirección'!$B:$B,PPvsREal!$C$97,'Dirección'!U:U)</f>
        <v>0</v>
      </c>
      <c r="V97" s="189">
        <f>SUMIF('Dirección'!$B:$B,PPvsREal!$C$97,'Dirección'!V:V)</f>
        <v>0</v>
      </c>
      <c r="W97" s="189">
        <f>SUMIF('Dirección'!$B:$B,PPvsREal!$C$97,'Dirección'!W:W)</f>
        <v>0</v>
      </c>
      <c r="X97" s="189">
        <f>SUMIF('Dirección'!$B:$B,PPvsREal!$C$97,'Dirección'!X:X)</f>
        <v>0</v>
      </c>
      <c r="Y97" s="189">
        <f>SUMIF('Dirección'!$B:$B,PPvsREal!$C$97,'Dirección'!Y:Y)</f>
        <v>0</v>
      </c>
      <c r="Z97" s="189">
        <f>SUMIF('Dirección'!$B:$B,PPvsREal!$C$97,'Dirección'!Z:Z)</f>
        <v>0</v>
      </c>
      <c r="AA97" s="190">
        <f>SUMIF('Dirección'!$B:$B,PPvsREal!$C$97,'Dirección'!AA:AA)</f>
        <v>0</v>
      </c>
    </row>
    <row r="98" ht="12.75" customHeight="1">
      <c r="A98" s="111"/>
      <c r="B98" s="188" t="s">
        <v>427</v>
      </c>
      <c r="C98" s="2" t="s">
        <v>307</v>
      </c>
      <c r="D98" s="189">
        <f>SUMIF('Dirección'!$B:$B,PPvsREal!$C$98,'Dirección'!D:D)</f>
        <v>8700</v>
      </c>
      <c r="E98" s="189">
        <f>SUMIF('Dirección'!$B:$B,PPvsREal!$C$98,'Dirección'!E:E)</f>
        <v>0</v>
      </c>
      <c r="F98" s="189">
        <f>SUMIF('Dirección'!$B:$B,PPvsREal!$C$98,'Dirección'!F:F)</f>
        <v>8700</v>
      </c>
      <c r="G98" s="189">
        <f>SUMIF('Dirección'!$B:$B,PPvsREal!$C$98,'Dirección'!G:G)</f>
        <v>0</v>
      </c>
      <c r="H98" s="189">
        <f>SUMIF('Dirección'!$B:$B,PPvsREal!$C$98,'Dirección'!H:H)</f>
        <v>8700</v>
      </c>
      <c r="I98" s="189">
        <f>SUMIF('Dirección'!$B:$B,PPvsREal!$C$98,'Dirección'!I:I)</f>
        <v>0</v>
      </c>
      <c r="J98" s="189">
        <f>SUMIF('Dirección'!$B:$B,PPvsREal!$C$98,'Dirección'!J:J)</f>
        <v>8700</v>
      </c>
      <c r="K98" s="189">
        <f>SUMIF('Dirección'!$B:$B,PPvsREal!$C$98,'Dirección'!K:K)</f>
        <v>0</v>
      </c>
      <c r="L98" s="189">
        <f>SUMIF('Dirección'!$B:$B,PPvsREal!$C$98,'Dirección'!L:L)</f>
        <v>8700</v>
      </c>
      <c r="M98" s="189">
        <f>SUMIF('Dirección'!$B:$B,PPvsREal!$C$98,'Dirección'!M:M)</f>
        <v>0</v>
      </c>
      <c r="N98" s="189">
        <f>SUMIF('Dirección'!$B:$B,PPvsREal!$C$98,'Dirección'!N:N)</f>
        <v>8700</v>
      </c>
      <c r="O98" s="189">
        <f>SUMIF('Dirección'!$B:$B,PPvsREal!$C$98,'Dirección'!O:O)</f>
        <v>0</v>
      </c>
      <c r="P98" s="189">
        <f>SUMIF('Dirección'!$B:$B,PPvsREal!$C$98,'Dirección'!P:P)</f>
        <v>8700</v>
      </c>
      <c r="Q98" s="189">
        <f>SUMIF('Dirección'!$B:$B,PPvsREal!$C$98,'Dirección'!Q:Q)</f>
        <v>0</v>
      </c>
      <c r="R98" s="189">
        <f>SUMIF('Dirección'!$B:$B,PPvsREal!$C$98,'Dirección'!R:R)</f>
        <v>8700</v>
      </c>
      <c r="S98" s="189">
        <f>SUMIF('Dirección'!$B:$B,PPvsREal!$C$98,'Dirección'!S:S)</f>
        <v>0</v>
      </c>
      <c r="T98" s="189">
        <f>SUMIF('Dirección'!$B:$B,PPvsREal!$C$98,'Dirección'!T:T)</f>
        <v>8700</v>
      </c>
      <c r="U98" s="189">
        <f>SUMIF('Dirección'!$B:$B,PPvsREal!$C$98,'Dirección'!U:U)</f>
        <v>0</v>
      </c>
      <c r="V98" s="189">
        <f>SUMIF('Dirección'!$B:$B,PPvsREal!$C$98,'Dirección'!V:V)</f>
        <v>8700</v>
      </c>
      <c r="W98" s="189">
        <f>SUMIF('Dirección'!$B:$B,PPvsREal!$C$98,'Dirección'!W:W)</f>
        <v>0</v>
      </c>
      <c r="X98" s="189">
        <f>SUMIF('Dirección'!$B:$B,PPvsREal!$C$98,'Dirección'!X:X)</f>
        <v>8700</v>
      </c>
      <c r="Y98" s="189">
        <f>SUMIF('Dirección'!$B:$B,PPvsREal!$C$98,'Dirección'!Y:Y)</f>
        <v>0</v>
      </c>
      <c r="Z98" s="189">
        <f>SUMIF('Dirección'!$B:$B,PPvsREal!$C$98,'Dirección'!Z:Z)</f>
        <v>8700</v>
      </c>
      <c r="AA98" s="190">
        <f>SUMIF('Dirección'!$B:$B,PPvsREal!$C$98,'Dirección'!AA:AA)</f>
        <v>0</v>
      </c>
    </row>
    <row r="99" ht="12.75" customHeight="1">
      <c r="A99" s="111"/>
      <c r="B99" s="188" t="s">
        <v>427</v>
      </c>
      <c r="C99" s="2" t="s">
        <v>309</v>
      </c>
      <c r="D99" s="189">
        <f>SUMIF('Dirección'!$B:$B,PPvsREal!$C$99,'Dirección'!D:D)</f>
        <v>0</v>
      </c>
      <c r="E99" s="189">
        <f>SUMIF('Dirección'!$B:$B,PPvsREal!$C$99,'Dirección'!E:E)</f>
        <v>0</v>
      </c>
      <c r="F99" s="189">
        <f>SUMIF('Dirección'!$B:$B,PPvsREal!$C$99,'Dirección'!F:F)</f>
        <v>0</v>
      </c>
      <c r="G99" s="189">
        <f>SUMIF('Dirección'!$B:$B,PPvsREal!$C$99,'Dirección'!G:G)</f>
        <v>0</v>
      </c>
      <c r="H99" s="189">
        <f>SUMIF('Dirección'!$B:$B,PPvsREal!$C$99,'Dirección'!H:H)</f>
        <v>7200</v>
      </c>
      <c r="I99" s="189">
        <f>SUMIF('Dirección'!$B:$B,PPvsREal!$C$99,'Dirección'!I:I)</f>
        <v>0</v>
      </c>
      <c r="J99" s="189">
        <f>SUMIF('Dirección'!$B:$B,PPvsREal!$C$99,'Dirección'!J:J)</f>
        <v>0</v>
      </c>
      <c r="K99" s="189">
        <f>SUMIF('Dirección'!$B:$B,PPvsREal!$C$99,'Dirección'!K:K)</f>
        <v>0</v>
      </c>
      <c r="L99" s="189">
        <f>SUMIF('Dirección'!$B:$B,PPvsREal!$C$99,'Dirección'!L:L)</f>
        <v>0</v>
      </c>
      <c r="M99" s="189">
        <f>SUMIF('Dirección'!$B:$B,PPvsREal!$C$99,'Dirección'!M:M)</f>
        <v>0</v>
      </c>
      <c r="N99" s="189">
        <f>SUMIF('Dirección'!$B:$B,PPvsREal!$C$99,'Dirección'!N:N)</f>
        <v>0</v>
      </c>
      <c r="O99" s="189">
        <f>SUMIF('Dirección'!$B:$B,PPvsREal!$C$99,'Dirección'!O:O)</f>
        <v>0</v>
      </c>
      <c r="P99" s="189">
        <f>SUMIF('Dirección'!$B:$B,PPvsREal!$C$99,'Dirección'!P:P)</f>
        <v>0</v>
      </c>
      <c r="Q99" s="189">
        <f>SUMIF('Dirección'!$B:$B,PPvsREal!$C$99,'Dirección'!Q:Q)</f>
        <v>0</v>
      </c>
      <c r="R99" s="189">
        <f>SUMIF('Dirección'!$B:$B,PPvsREal!$C$99,'Dirección'!R:R)</f>
        <v>0</v>
      </c>
      <c r="S99" s="189">
        <f>SUMIF('Dirección'!$B:$B,PPvsREal!$C$99,'Dirección'!S:S)</f>
        <v>0</v>
      </c>
      <c r="T99" s="189">
        <f>SUMIF('Dirección'!$B:$B,PPvsREal!$C$99,'Dirección'!T:T)</f>
        <v>7200</v>
      </c>
      <c r="U99" s="189">
        <f>SUMIF('Dirección'!$B:$B,PPvsREal!$C$99,'Dirección'!U:U)</f>
        <v>0</v>
      </c>
      <c r="V99" s="189">
        <f>SUMIF('Dirección'!$B:$B,PPvsREal!$C$99,'Dirección'!V:V)</f>
        <v>0</v>
      </c>
      <c r="W99" s="189">
        <f>SUMIF('Dirección'!$B:$B,PPvsREal!$C$99,'Dirección'!W:W)</f>
        <v>0</v>
      </c>
      <c r="X99" s="189">
        <f>SUMIF('Dirección'!$B:$B,PPvsREal!$C$99,'Dirección'!X:X)</f>
        <v>0</v>
      </c>
      <c r="Y99" s="189">
        <f>SUMIF('Dirección'!$B:$B,PPvsREal!$C$99,'Dirección'!Y:Y)</f>
        <v>0</v>
      </c>
      <c r="Z99" s="189">
        <f>SUMIF('Dirección'!$B:$B,PPvsREal!$C$99,'Dirección'!Z:Z)</f>
        <v>0</v>
      </c>
      <c r="AA99" s="190">
        <f>SUMIF('Dirección'!$B:$B,PPvsREal!$C$99,'Dirección'!AA:AA)</f>
        <v>0</v>
      </c>
    </row>
    <row r="100" ht="12.75" customHeight="1">
      <c r="A100" s="111"/>
      <c r="B100" s="191" t="s">
        <v>427</v>
      </c>
      <c r="C100" s="192" t="s">
        <v>311</v>
      </c>
      <c r="D100" s="193">
        <f>SUMIF('Dirección'!$B:$B,PPvsREal!$C$100,'Dirección'!D:D)</f>
        <v>0</v>
      </c>
      <c r="E100" s="193">
        <f>SUMIF('Dirección'!$B:$B,PPvsREal!$C$100,'Dirección'!E:E)</f>
        <v>0</v>
      </c>
      <c r="F100" s="193">
        <f>SUMIF('Dirección'!$B:$B,PPvsREal!$C$100,'Dirección'!F:F)</f>
        <v>1053.6082</v>
      </c>
      <c r="G100" s="193">
        <f>SUMIF('Dirección'!$B:$B,PPvsREal!$C$100,'Dirección'!G:G)</f>
        <v>0</v>
      </c>
      <c r="H100" s="193">
        <f>SUMIF('Dirección'!$B:$B,PPvsREal!$C$100,'Dirección'!H:H)</f>
        <v>-271.4024</v>
      </c>
      <c r="I100" s="193">
        <f>SUMIF('Dirección'!$B:$B,PPvsREal!$C$100,'Dirección'!I:I)</f>
        <v>0</v>
      </c>
      <c r="J100" s="193">
        <f>SUMIF('Dirección'!$B:$B,PPvsREal!$C$100,'Dirección'!J:J)</f>
        <v>0</v>
      </c>
      <c r="K100" s="193">
        <f>SUMIF('Dirección'!$B:$B,PPvsREal!$C$100,'Dirección'!K:K)</f>
        <v>0</v>
      </c>
      <c r="L100" s="193">
        <f>SUMIF('Dirección'!$B:$B,PPvsREal!$C$100,'Dirección'!L:L)</f>
        <v>0</v>
      </c>
      <c r="M100" s="193">
        <f>SUMIF('Dirección'!$B:$B,PPvsREal!$C$100,'Dirección'!M:M)</f>
        <v>0</v>
      </c>
      <c r="N100" s="193">
        <f>SUMIF('Dirección'!$B:$B,PPvsREal!$C$100,'Dirección'!N:N)</f>
        <v>456.9024</v>
      </c>
      <c r="O100" s="193">
        <f>SUMIF('Dirección'!$B:$B,PPvsREal!$C$100,'Dirección'!O:O)</f>
        <v>0</v>
      </c>
      <c r="P100" s="193">
        <f>SUMIF('Dirección'!$B:$B,PPvsREal!$C$100,'Dirección'!P:P)</f>
        <v>0</v>
      </c>
      <c r="Q100" s="193">
        <f>SUMIF('Dirección'!$B:$B,PPvsREal!$C$100,'Dirección'!Q:Q)</f>
        <v>0</v>
      </c>
      <c r="R100" s="193">
        <f>SUMIF('Dirección'!$B:$B,PPvsREal!$C$100,'Dirección'!R:R)</f>
        <v>0</v>
      </c>
      <c r="S100" s="193">
        <f>SUMIF('Dirección'!$B:$B,PPvsREal!$C$100,'Dirección'!S:S)</f>
        <v>0</v>
      </c>
      <c r="T100" s="193">
        <f>SUMIF('Dirección'!$B:$B,PPvsREal!$C$100,'Dirección'!T:T)</f>
        <v>551.2</v>
      </c>
      <c r="U100" s="193">
        <f>SUMIF('Dirección'!$B:$B,PPvsREal!$C$100,'Dirección'!U:U)</f>
        <v>0</v>
      </c>
      <c r="V100" s="193">
        <f>SUMIF('Dirección'!$B:$B,PPvsREal!$C$100,'Dirección'!V:V)</f>
        <v>530</v>
      </c>
      <c r="W100" s="193">
        <f>SUMIF('Dirección'!$B:$B,PPvsREal!$C$100,'Dirección'!W:W)</f>
        <v>0</v>
      </c>
      <c r="X100" s="193">
        <f>SUMIF('Dirección'!$B:$B,PPvsREal!$C$100,'Dirección'!X:X)</f>
        <v>4240</v>
      </c>
      <c r="Y100" s="193">
        <f>SUMIF('Dirección'!$B:$B,PPvsREal!$C$100,'Dirección'!Y:Y)</f>
        <v>0</v>
      </c>
      <c r="Z100" s="193">
        <f>SUMIF('Dirección'!$B:$B,PPvsREal!$C$100,'Dirección'!Z:Z)</f>
        <v>530</v>
      </c>
      <c r="AA100" s="194">
        <f>SUMIF('Dirección'!$B:$B,PPvsREal!$C$100,'Dirección'!AA:AA)</f>
        <v>0</v>
      </c>
    </row>
    <row r="101" ht="12.75" customHeight="1">
      <c r="A101" s="111"/>
      <c r="B101" s="184" t="s">
        <v>37</v>
      </c>
      <c r="C101" s="185" t="s">
        <v>317</v>
      </c>
      <c r="D101" s="186">
        <f>SUMIF('Gastos Generales'!$B:$B,PPvsREal!$C$101,'Gastos Generales'!D:D)</f>
        <v>0</v>
      </c>
      <c r="E101" s="186">
        <f>SUMIF('Gastos Generales'!$B:$B,PPvsREal!$C$101,'Gastos Generales'!E:E)</f>
        <v>0</v>
      </c>
      <c r="F101" s="186">
        <f>SUMIF('Gastos Generales'!$B:$B,PPvsREal!$C$101,'Gastos Generales'!F:F)</f>
        <v>0</v>
      </c>
      <c r="G101" s="186">
        <f>SUMIF('Gastos Generales'!$B:$B,PPvsREal!$C$101,'Gastos Generales'!G:G)</f>
        <v>0</v>
      </c>
      <c r="H101" s="186">
        <f>SUMIF('Gastos Generales'!$B:$B,PPvsREal!$C$101,'Gastos Generales'!H:H)</f>
        <v>0</v>
      </c>
      <c r="I101" s="186">
        <f>SUMIF('Gastos Generales'!$B:$B,PPvsREal!$C$101,'Gastos Generales'!I:I)</f>
        <v>0</v>
      </c>
      <c r="J101" s="186">
        <f>SUMIF('Gastos Generales'!$B:$B,PPvsREal!$C$101,'Gastos Generales'!J:J)</f>
        <v>0</v>
      </c>
      <c r="K101" s="186">
        <f>SUMIF('Gastos Generales'!$B:$B,PPvsREal!$C$101,'Gastos Generales'!K:K)</f>
        <v>0</v>
      </c>
      <c r="L101" s="186">
        <f>SUMIF('Gastos Generales'!$B:$B,PPvsREal!$C$101,'Gastos Generales'!L:L)</f>
        <v>0</v>
      </c>
      <c r="M101" s="186">
        <f>SUMIF('Gastos Generales'!$B:$B,PPvsREal!$C$101,'Gastos Generales'!M:M)</f>
        <v>0</v>
      </c>
      <c r="N101" s="186">
        <f>SUMIF('Gastos Generales'!$B:$B,PPvsREal!$C$101,'Gastos Generales'!N:N)</f>
        <v>0</v>
      </c>
      <c r="O101" s="186">
        <f>SUMIF('Gastos Generales'!$B:$B,PPvsREal!$C$101,'Gastos Generales'!O:O)</f>
        <v>0</v>
      </c>
      <c r="P101" s="186">
        <f>SUMIF('Gastos Generales'!$B:$B,PPvsREal!$C$101,'Gastos Generales'!P:P)</f>
        <v>0</v>
      </c>
      <c r="Q101" s="186">
        <f>SUMIF('Gastos Generales'!$B:$B,PPvsREal!$C$101,'Gastos Generales'!Q:Q)</f>
        <v>0</v>
      </c>
      <c r="R101" s="186">
        <f>SUMIF('Gastos Generales'!$B:$B,PPvsREal!$C$101,'Gastos Generales'!R:R)</f>
        <v>0</v>
      </c>
      <c r="S101" s="186">
        <f>SUMIF('Gastos Generales'!$B:$B,PPvsREal!$C$101,'Gastos Generales'!S:S)</f>
        <v>0</v>
      </c>
      <c r="T101" s="186">
        <f>SUMIF('Gastos Generales'!$B:$B,PPvsREal!$C$101,'Gastos Generales'!T:T)</f>
        <v>0</v>
      </c>
      <c r="U101" s="186">
        <f>SUMIF('Gastos Generales'!$B:$B,PPvsREal!$C$101,'Gastos Generales'!U:U)</f>
        <v>0</v>
      </c>
      <c r="V101" s="186">
        <f>SUMIF('Gastos Generales'!$B:$B,PPvsREal!$C$101,'Gastos Generales'!V:V)</f>
        <v>0</v>
      </c>
      <c r="W101" s="186">
        <f>SUMIF('Gastos Generales'!$B:$B,PPvsREal!$C$101,'Gastos Generales'!W:W)</f>
        <v>0</v>
      </c>
      <c r="X101" s="186">
        <f>SUMIF('Gastos Generales'!$B:$B,PPvsREal!$C$101,'Gastos Generales'!X:X)</f>
        <v>0</v>
      </c>
      <c r="Y101" s="186">
        <f>SUMIF('Gastos Generales'!$B:$B,PPvsREal!$C$101,'Gastos Generales'!Y:Y)</f>
        <v>0</v>
      </c>
      <c r="Z101" s="186">
        <f>SUMIF('Gastos Generales'!$B:$B,PPvsREal!$C$101,'Gastos Generales'!Z:Z)</f>
        <v>0</v>
      </c>
      <c r="AA101" s="187">
        <f>SUMIF('Gastos Generales'!$B:$B,PPvsREal!$C$101,'Gastos Generales'!AA:AA)</f>
        <v>0</v>
      </c>
    </row>
    <row r="102" ht="12.75" customHeight="1">
      <c r="A102" s="111"/>
      <c r="B102" s="188" t="s">
        <v>37</v>
      </c>
      <c r="C102" s="2" t="s">
        <v>321</v>
      </c>
      <c r="D102" s="189">
        <f>SUMIF('Gastos Generales'!$B:$B,PPvsREal!$C$102,'Gastos Generales'!D:D)</f>
        <v>0</v>
      </c>
      <c r="E102" s="189">
        <f>SUMIF('Gastos Generales'!$B:$B,PPvsREal!$C$102,'Gastos Generales'!E:E)</f>
        <v>0</v>
      </c>
      <c r="F102" s="189">
        <f>SUMIF('Gastos Generales'!$B:$B,PPvsREal!$C$102,'Gastos Generales'!F:F)</f>
        <v>0</v>
      </c>
      <c r="G102" s="189">
        <f>SUMIF('Gastos Generales'!$B:$B,PPvsREal!$C$102,'Gastos Generales'!G:G)</f>
        <v>0</v>
      </c>
      <c r="H102" s="189">
        <f>SUMIF('Gastos Generales'!$B:$B,PPvsREal!$C$102,'Gastos Generales'!H:H)</f>
        <v>0</v>
      </c>
      <c r="I102" s="189">
        <f>SUMIF('Gastos Generales'!$B:$B,PPvsREal!$C$102,'Gastos Generales'!I:I)</f>
        <v>0</v>
      </c>
      <c r="J102" s="189">
        <f>SUMIF('Gastos Generales'!$B:$B,PPvsREal!$C$102,'Gastos Generales'!J:J)</f>
        <v>0</v>
      </c>
      <c r="K102" s="189">
        <f>SUMIF('Gastos Generales'!$B:$B,PPvsREal!$C$102,'Gastos Generales'!K:K)</f>
        <v>0</v>
      </c>
      <c r="L102" s="189">
        <f>SUMIF('Gastos Generales'!$B:$B,PPvsREal!$C$102,'Gastos Generales'!L:L)</f>
        <v>0</v>
      </c>
      <c r="M102" s="189">
        <f>SUMIF('Gastos Generales'!$B:$B,PPvsREal!$C$102,'Gastos Generales'!M:M)</f>
        <v>0</v>
      </c>
      <c r="N102" s="189">
        <f>SUMIF('Gastos Generales'!$B:$B,PPvsREal!$C$102,'Gastos Generales'!N:N)</f>
        <v>0</v>
      </c>
      <c r="O102" s="189">
        <f>SUMIF('Gastos Generales'!$B:$B,PPvsREal!$C$102,'Gastos Generales'!O:O)</f>
        <v>0</v>
      </c>
      <c r="P102" s="189">
        <f>SUMIF('Gastos Generales'!$B:$B,PPvsREal!$C$102,'Gastos Generales'!P:P)</f>
        <v>0</v>
      </c>
      <c r="Q102" s="189">
        <f>SUMIF('Gastos Generales'!$B:$B,PPvsREal!$C$102,'Gastos Generales'!Q:Q)</f>
        <v>0</v>
      </c>
      <c r="R102" s="189">
        <f>SUMIF('Gastos Generales'!$B:$B,PPvsREal!$C$102,'Gastos Generales'!R:R)</f>
        <v>0</v>
      </c>
      <c r="S102" s="189">
        <f>SUMIF('Gastos Generales'!$B:$B,PPvsREal!$C$102,'Gastos Generales'!S:S)</f>
        <v>0</v>
      </c>
      <c r="T102" s="189">
        <f>SUMIF('Gastos Generales'!$B:$B,PPvsREal!$C$102,'Gastos Generales'!T:T)</f>
        <v>0</v>
      </c>
      <c r="U102" s="189">
        <f>SUMIF('Gastos Generales'!$B:$B,PPvsREal!$C$102,'Gastos Generales'!U:U)</f>
        <v>0</v>
      </c>
      <c r="V102" s="189">
        <f>SUMIF('Gastos Generales'!$B:$B,PPvsREal!$C$102,'Gastos Generales'!V:V)</f>
        <v>0</v>
      </c>
      <c r="W102" s="189">
        <f>SUMIF('Gastos Generales'!$B:$B,PPvsREal!$C$102,'Gastos Generales'!W:W)</f>
        <v>0</v>
      </c>
      <c r="X102" s="189">
        <f>SUMIF('Gastos Generales'!$B:$B,PPvsREal!$C$102,'Gastos Generales'!X:X)</f>
        <v>0</v>
      </c>
      <c r="Y102" s="189">
        <f>SUMIF('Gastos Generales'!$B:$B,PPvsREal!$C$102,'Gastos Generales'!Y:Y)</f>
        <v>0</v>
      </c>
      <c r="Z102" s="189">
        <f>SUMIF('Gastos Generales'!$B:$B,PPvsREal!$C$102,'Gastos Generales'!Z:Z)</f>
        <v>0</v>
      </c>
      <c r="AA102" s="190">
        <f>SUMIF('Gastos Generales'!$B:$B,PPvsREal!$C$102,'Gastos Generales'!AA:AA)</f>
        <v>0</v>
      </c>
    </row>
    <row r="103" ht="12.75" customHeight="1">
      <c r="A103" s="111"/>
      <c r="B103" s="188" t="s">
        <v>37</v>
      </c>
      <c r="C103" s="2" t="s">
        <v>323</v>
      </c>
      <c r="D103" s="189">
        <f>SUMIF('Gastos Generales'!$B:$B,PPvsREal!$C$103,'Gastos Generales'!D:D)</f>
        <v>0</v>
      </c>
      <c r="E103" s="189">
        <f>SUMIF('Gastos Generales'!$B:$B,PPvsREal!$C$103,'Gastos Generales'!E:E)</f>
        <v>0</v>
      </c>
      <c r="F103" s="189">
        <f>SUMIF('Gastos Generales'!$B:$B,PPvsREal!$C$103,'Gastos Generales'!F:F)</f>
        <v>0</v>
      </c>
      <c r="G103" s="189">
        <f>SUMIF('Gastos Generales'!$B:$B,PPvsREal!$C$103,'Gastos Generales'!G:G)</f>
        <v>0</v>
      </c>
      <c r="H103" s="189">
        <f>SUMIF('Gastos Generales'!$B:$B,PPvsREal!$C$103,'Gastos Generales'!H:H)</f>
        <v>0</v>
      </c>
      <c r="I103" s="189">
        <f>SUMIF('Gastos Generales'!$B:$B,PPvsREal!$C$103,'Gastos Generales'!I:I)</f>
        <v>0</v>
      </c>
      <c r="J103" s="189">
        <f>SUMIF('Gastos Generales'!$B:$B,PPvsREal!$C$103,'Gastos Generales'!J:J)</f>
        <v>0</v>
      </c>
      <c r="K103" s="189">
        <f>SUMIF('Gastos Generales'!$B:$B,PPvsREal!$C$103,'Gastos Generales'!K:K)</f>
        <v>0</v>
      </c>
      <c r="L103" s="189">
        <f>SUMIF('Gastos Generales'!$B:$B,PPvsREal!$C$103,'Gastos Generales'!L:L)</f>
        <v>0</v>
      </c>
      <c r="M103" s="189">
        <f>SUMIF('Gastos Generales'!$B:$B,PPvsREal!$C$103,'Gastos Generales'!M:M)</f>
        <v>0</v>
      </c>
      <c r="N103" s="189">
        <f>SUMIF('Gastos Generales'!$B:$B,PPvsREal!$C$103,'Gastos Generales'!N:N)</f>
        <v>0</v>
      </c>
      <c r="O103" s="189">
        <f>SUMIF('Gastos Generales'!$B:$B,PPvsREal!$C$103,'Gastos Generales'!O:O)</f>
        <v>0</v>
      </c>
      <c r="P103" s="189">
        <f>SUMIF('Gastos Generales'!$B:$B,PPvsREal!$C$103,'Gastos Generales'!P:P)</f>
        <v>0</v>
      </c>
      <c r="Q103" s="189">
        <f>SUMIF('Gastos Generales'!$B:$B,PPvsREal!$C$103,'Gastos Generales'!Q:Q)</f>
        <v>0</v>
      </c>
      <c r="R103" s="189">
        <f>SUMIF('Gastos Generales'!$B:$B,PPvsREal!$C$103,'Gastos Generales'!R:R)</f>
        <v>0</v>
      </c>
      <c r="S103" s="189">
        <f>SUMIF('Gastos Generales'!$B:$B,PPvsREal!$C$103,'Gastos Generales'!S:S)</f>
        <v>0</v>
      </c>
      <c r="T103" s="189">
        <f>SUMIF('Gastos Generales'!$B:$B,PPvsREal!$C$103,'Gastos Generales'!T:T)</f>
        <v>0</v>
      </c>
      <c r="U103" s="189">
        <f>SUMIF('Gastos Generales'!$B:$B,PPvsREal!$C$103,'Gastos Generales'!U:U)</f>
        <v>0</v>
      </c>
      <c r="V103" s="189">
        <f>SUMIF('Gastos Generales'!$B:$B,PPvsREal!$C$103,'Gastos Generales'!V:V)</f>
        <v>0</v>
      </c>
      <c r="W103" s="189">
        <f>SUMIF('Gastos Generales'!$B:$B,PPvsREal!$C$103,'Gastos Generales'!W:W)</f>
        <v>0</v>
      </c>
      <c r="X103" s="189">
        <f>SUMIF('Gastos Generales'!$B:$B,PPvsREal!$C$103,'Gastos Generales'!X:X)</f>
        <v>0</v>
      </c>
      <c r="Y103" s="189">
        <f>SUMIF('Gastos Generales'!$B:$B,PPvsREal!$C$103,'Gastos Generales'!Y:Y)</f>
        <v>0</v>
      </c>
      <c r="Z103" s="189">
        <f>SUMIF('Gastos Generales'!$B:$B,PPvsREal!$C$103,'Gastos Generales'!Z:Z)</f>
        <v>0</v>
      </c>
      <c r="AA103" s="190">
        <f>SUMIF('Gastos Generales'!$B:$B,PPvsREal!$C$103,'Gastos Generales'!AA:AA)</f>
        <v>0</v>
      </c>
    </row>
    <row r="104" ht="12.75" customHeight="1">
      <c r="A104" s="111"/>
      <c r="B104" s="188" t="s">
        <v>37</v>
      </c>
      <c r="C104" s="2" t="s">
        <v>325</v>
      </c>
      <c r="D104" s="189">
        <f>SUMIF('Gastos Generales'!$B:$B,PPvsREal!$C$104,'Gastos Generales'!D:D)</f>
        <v>6777.7778</v>
      </c>
      <c r="E104" s="189">
        <f>SUMIF('Gastos Generales'!$B:$B,PPvsREal!$C$104,'Gastos Generales'!E:E)</f>
        <v>0</v>
      </c>
      <c r="F104" s="189">
        <f>SUMIF('Gastos Generales'!$B:$B,PPvsREal!$C$104,'Gastos Generales'!F:F)</f>
        <v>1542.3742</v>
      </c>
      <c r="G104" s="189">
        <f>SUMIF('Gastos Generales'!$B:$B,PPvsREal!$C$104,'Gastos Generales'!G:G)</f>
        <v>0</v>
      </c>
      <c r="H104" s="189">
        <f>SUMIF('Gastos Generales'!$B:$B,PPvsREal!$C$104,'Gastos Generales'!H:H)</f>
        <v>1490.0844</v>
      </c>
      <c r="I104" s="189">
        <f>SUMIF('Gastos Generales'!$B:$B,PPvsREal!$C$104,'Gastos Generales'!I:I)</f>
        <v>0</v>
      </c>
      <c r="J104" s="189">
        <f>SUMIF('Gastos Generales'!$B:$B,PPvsREal!$C$104,'Gastos Generales'!J:J)</f>
        <v>4085.1976</v>
      </c>
      <c r="K104" s="189">
        <f>SUMIF('Gastos Generales'!$B:$B,PPvsREal!$C$104,'Gastos Generales'!K:K)</f>
        <v>0</v>
      </c>
      <c r="L104" s="189">
        <f>SUMIF('Gastos Generales'!$B:$B,PPvsREal!$C$104,'Gastos Generales'!L:L)</f>
        <v>3237.9608</v>
      </c>
      <c r="M104" s="189">
        <f>SUMIF('Gastos Generales'!$B:$B,PPvsREal!$C$104,'Gastos Generales'!M:M)</f>
        <v>0</v>
      </c>
      <c r="N104" s="189">
        <f>SUMIF('Gastos Generales'!$B:$B,PPvsREal!$C$104,'Gastos Generales'!N:N)</f>
        <v>7383.9494</v>
      </c>
      <c r="O104" s="189">
        <f>SUMIF('Gastos Generales'!$B:$B,PPvsREal!$C$104,'Gastos Generales'!O:O)</f>
        <v>0</v>
      </c>
      <c r="P104" s="189">
        <f>SUMIF('Gastos Generales'!$B:$B,PPvsREal!$C$104,'Gastos Generales'!P:P)</f>
        <v>3526.2596</v>
      </c>
      <c r="Q104" s="189">
        <f>SUMIF('Gastos Generales'!$B:$B,PPvsREal!$C$104,'Gastos Generales'!Q:Q)</f>
        <v>0</v>
      </c>
      <c r="R104" s="189">
        <f>SUMIF('Gastos Generales'!$B:$B,PPvsREal!$C$104,'Gastos Generales'!R:R)</f>
        <v>5511.682</v>
      </c>
      <c r="S104" s="189">
        <f>SUMIF('Gastos Generales'!$B:$B,PPvsREal!$C$104,'Gastos Generales'!S:S)</f>
        <v>0</v>
      </c>
      <c r="T104" s="189">
        <f>SUMIF('Gastos Generales'!$B:$B,PPvsREal!$C$104,'Gastos Generales'!T:T)</f>
        <v>2575.1428</v>
      </c>
      <c r="U104" s="189">
        <f>SUMIF('Gastos Generales'!$B:$B,PPvsREal!$C$104,'Gastos Generales'!U:U)</f>
        <v>0</v>
      </c>
      <c r="V104" s="189">
        <f>SUMIF('Gastos Generales'!$B:$B,PPvsREal!$C$104,'Gastos Generales'!V:V)</f>
        <v>3975</v>
      </c>
      <c r="W104" s="189">
        <f>SUMIF('Gastos Generales'!$B:$B,PPvsREal!$C$104,'Gastos Generales'!W:W)</f>
        <v>0</v>
      </c>
      <c r="X104" s="189">
        <f>SUMIF('Gastos Generales'!$B:$B,PPvsREal!$C$104,'Gastos Generales'!X:X)</f>
        <v>3975</v>
      </c>
      <c r="Y104" s="189">
        <f>SUMIF('Gastos Generales'!$B:$B,PPvsREal!$C$104,'Gastos Generales'!Y:Y)</f>
        <v>0</v>
      </c>
      <c r="Z104" s="189">
        <f>SUMIF('Gastos Generales'!$B:$B,PPvsREal!$C$104,'Gastos Generales'!Z:Z)</f>
        <v>3975</v>
      </c>
      <c r="AA104" s="190">
        <f>SUMIF('Gastos Generales'!$B:$B,PPvsREal!$C$104,'Gastos Generales'!AA:AA)</f>
        <v>0</v>
      </c>
    </row>
    <row r="105" ht="12.75" customHeight="1">
      <c r="A105" s="111"/>
      <c r="B105" s="188" t="s">
        <v>37</v>
      </c>
      <c r="C105" s="2" t="s">
        <v>329</v>
      </c>
      <c r="D105" s="189">
        <f>SUMIF('Gastos Generales'!$B:$B,PPvsREal!$C$105,'Gastos Generales'!D:D)</f>
        <v>1396.02</v>
      </c>
      <c r="E105" s="189">
        <f>SUMIF('Gastos Generales'!$B:$B,PPvsREal!$C$105,'Gastos Generales'!E:E)</f>
        <v>0</v>
      </c>
      <c r="F105" s="189">
        <f>SUMIF('Gastos Generales'!$B:$B,PPvsREal!$C$105,'Gastos Generales'!F:F)</f>
        <v>477</v>
      </c>
      <c r="G105" s="189">
        <f>SUMIF('Gastos Generales'!$B:$B,PPvsREal!$C$105,'Gastos Generales'!G:G)</f>
        <v>0</v>
      </c>
      <c r="H105" s="189">
        <f>SUMIF('Gastos Generales'!$B:$B,PPvsREal!$C$105,'Gastos Generales'!H:H)</f>
        <v>3177.88</v>
      </c>
      <c r="I105" s="189">
        <f>SUMIF('Gastos Generales'!$B:$B,PPvsREal!$C$105,'Gastos Generales'!I:I)</f>
        <v>0</v>
      </c>
      <c r="J105" s="189">
        <f>SUMIF('Gastos Generales'!$B:$B,PPvsREal!$C$105,'Gastos Generales'!J:J)</f>
        <v>954</v>
      </c>
      <c r="K105" s="189">
        <f>SUMIF('Gastos Generales'!$B:$B,PPvsREal!$C$105,'Gastos Generales'!K:K)</f>
        <v>0</v>
      </c>
      <c r="L105" s="189">
        <f>SUMIF('Gastos Generales'!$B:$B,PPvsREal!$C$105,'Gastos Generales'!L:L)</f>
        <v>477</v>
      </c>
      <c r="M105" s="189">
        <f>SUMIF('Gastos Generales'!$B:$B,PPvsREal!$C$105,'Gastos Generales'!M:M)</f>
        <v>0</v>
      </c>
      <c r="N105" s="189">
        <f>SUMIF('Gastos Generales'!$B:$B,PPvsREal!$C$105,'Gastos Generales'!N:N)</f>
        <v>3113.22</v>
      </c>
      <c r="O105" s="189">
        <f>SUMIF('Gastos Generales'!$B:$B,PPvsREal!$C$105,'Gastos Generales'!O:O)</f>
        <v>0</v>
      </c>
      <c r="P105" s="189">
        <f>SUMIF('Gastos Generales'!$B:$B,PPvsREal!$C$105,'Gastos Generales'!P:P)</f>
        <v>477</v>
      </c>
      <c r="Q105" s="189">
        <f>SUMIF('Gastos Generales'!$B:$B,PPvsREal!$C$105,'Gastos Generales'!Q:Q)</f>
        <v>0</v>
      </c>
      <c r="R105" s="189">
        <f>SUMIF('Gastos Generales'!$B:$B,PPvsREal!$C$105,'Gastos Generales'!R:R)</f>
        <v>477</v>
      </c>
      <c r="S105" s="189">
        <f>SUMIF('Gastos Generales'!$B:$B,PPvsREal!$C$105,'Gastos Generales'!S:S)</f>
        <v>0</v>
      </c>
      <c r="T105" s="189">
        <f>SUMIF('Gastos Generales'!$B:$B,PPvsREal!$C$105,'Gastos Generales'!T:T)</f>
        <v>477</v>
      </c>
      <c r="U105" s="189">
        <f>SUMIF('Gastos Generales'!$B:$B,PPvsREal!$C$105,'Gastos Generales'!U:U)</f>
        <v>0</v>
      </c>
      <c r="V105" s="189">
        <f>SUMIF('Gastos Generales'!$B:$B,PPvsREal!$C$105,'Gastos Generales'!V:V)</f>
        <v>1119.1056</v>
      </c>
      <c r="W105" s="189">
        <f>SUMIF('Gastos Generales'!$B:$B,PPvsREal!$C$105,'Gastos Generales'!W:W)</f>
        <v>0</v>
      </c>
      <c r="X105" s="189">
        <f>SUMIF('Gastos Generales'!$B:$B,PPvsREal!$C$105,'Gastos Generales'!X:X)</f>
        <v>1119.1056</v>
      </c>
      <c r="Y105" s="189">
        <f>SUMIF('Gastos Generales'!$B:$B,PPvsREal!$C$105,'Gastos Generales'!Y:Y)</f>
        <v>0</v>
      </c>
      <c r="Z105" s="189">
        <f>SUMIF('Gastos Generales'!$B:$B,PPvsREal!$C$105,'Gastos Generales'!Z:Z)</f>
        <v>1119.1056</v>
      </c>
      <c r="AA105" s="190">
        <f>SUMIF('Gastos Generales'!$B:$B,PPvsREal!$C$105,'Gastos Generales'!AA:AA)</f>
        <v>0</v>
      </c>
    </row>
    <row r="106" ht="12.75" customHeight="1">
      <c r="A106" s="111"/>
      <c r="B106" s="188" t="s">
        <v>37</v>
      </c>
      <c r="C106" s="2" t="s">
        <v>331</v>
      </c>
      <c r="D106" s="189">
        <f>SUMIF('Gastos Generales'!$B:$B,PPvsREal!$C$106,'Gastos Generales'!D:D)</f>
        <v>0</v>
      </c>
      <c r="E106" s="189">
        <f>SUMIF('Gastos Generales'!$B:$B,PPvsREal!$C$106,'Gastos Generales'!E:E)</f>
        <v>0</v>
      </c>
      <c r="F106" s="189">
        <f>SUMIF('Gastos Generales'!$B:$B,PPvsREal!$C$106,'Gastos Generales'!F:F)</f>
        <v>4133.9576</v>
      </c>
      <c r="G106" s="189">
        <f>SUMIF('Gastos Generales'!$B:$B,PPvsREal!$C$106,'Gastos Generales'!G:G)</f>
        <v>0</v>
      </c>
      <c r="H106" s="189">
        <f>SUMIF('Gastos Generales'!$B:$B,PPvsREal!$C$106,'Gastos Generales'!H:H)</f>
        <v>0</v>
      </c>
      <c r="I106" s="189">
        <f>SUMIF('Gastos Generales'!$B:$B,PPvsREal!$C$106,'Gastos Generales'!I:I)</f>
        <v>0</v>
      </c>
      <c r="J106" s="189">
        <f>SUMIF('Gastos Generales'!$B:$B,PPvsREal!$C$106,'Gastos Generales'!J:J)</f>
        <v>5319.1648</v>
      </c>
      <c r="K106" s="189">
        <f>SUMIF('Gastos Generales'!$B:$B,PPvsREal!$C$106,'Gastos Generales'!K:K)</f>
        <v>0</v>
      </c>
      <c r="L106" s="189">
        <f>SUMIF('Gastos Generales'!$B:$B,PPvsREal!$C$106,'Gastos Generales'!L:L)</f>
        <v>0</v>
      </c>
      <c r="M106" s="189">
        <f>SUMIF('Gastos Generales'!$B:$B,PPvsREal!$C$106,'Gastos Generales'!M:M)</f>
        <v>0</v>
      </c>
      <c r="N106" s="189">
        <f>SUMIF('Gastos Generales'!$B:$B,PPvsREal!$C$106,'Gastos Generales'!N:N)</f>
        <v>9836.959</v>
      </c>
      <c r="O106" s="189">
        <f>SUMIF('Gastos Generales'!$B:$B,PPvsREal!$C$106,'Gastos Generales'!O:O)</f>
        <v>0</v>
      </c>
      <c r="P106" s="189">
        <f>SUMIF('Gastos Generales'!$B:$B,PPvsREal!$C$106,'Gastos Generales'!P:P)</f>
        <v>0</v>
      </c>
      <c r="Q106" s="189">
        <f>SUMIF('Gastos Generales'!$B:$B,PPvsREal!$C$106,'Gastos Generales'!Q:Q)</f>
        <v>0</v>
      </c>
      <c r="R106" s="189">
        <f>SUMIF('Gastos Generales'!$B:$B,PPvsREal!$C$106,'Gastos Generales'!R:R)</f>
        <v>7966.4406</v>
      </c>
      <c r="S106" s="189">
        <f>SUMIF('Gastos Generales'!$B:$B,PPvsREal!$C$106,'Gastos Generales'!S:S)</f>
        <v>0</v>
      </c>
      <c r="T106" s="189">
        <f>SUMIF('Gastos Generales'!$B:$B,PPvsREal!$C$106,'Gastos Generales'!T:T)</f>
        <v>0</v>
      </c>
      <c r="U106" s="189">
        <f>SUMIF('Gastos Generales'!$B:$B,PPvsREal!$C$106,'Gastos Generales'!U:U)</f>
        <v>0</v>
      </c>
      <c r="V106" s="189">
        <f>SUMIF('Gastos Generales'!$B:$B,PPvsREal!$C$106,'Gastos Generales'!V:V)</f>
        <v>0</v>
      </c>
      <c r="W106" s="189">
        <f>SUMIF('Gastos Generales'!$B:$B,PPvsREal!$C$106,'Gastos Generales'!W:W)</f>
        <v>0</v>
      </c>
      <c r="X106" s="189">
        <f>SUMIF('Gastos Generales'!$B:$B,PPvsREal!$C$106,'Gastos Generales'!X:X)</f>
        <v>10070</v>
      </c>
      <c r="Y106" s="189">
        <f>SUMIF('Gastos Generales'!$B:$B,PPvsREal!$C$106,'Gastos Generales'!Y:Y)</f>
        <v>0</v>
      </c>
      <c r="Z106" s="189">
        <f>SUMIF('Gastos Generales'!$B:$B,PPvsREal!$C$106,'Gastos Generales'!Z:Z)</f>
        <v>0</v>
      </c>
      <c r="AA106" s="190">
        <f>SUMIF('Gastos Generales'!$B:$B,PPvsREal!$C$106,'Gastos Generales'!AA:AA)</f>
        <v>0</v>
      </c>
    </row>
    <row r="107" ht="12.75" customHeight="1">
      <c r="A107" s="111"/>
      <c r="B107" s="188" t="s">
        <v>37</v>
      </c>
      <c r="C107" s="2" t="s">
        <v>333</v>
      </c>
      <c r="D107" s="189">
        <f>SUMIF('Gastos Generales'!$B:$B,PPvsREal!$C$107,'Gastos Generales'!D:D)</f>
        <v>151.58</v>
      </c>
      <c r="E107" s="189">
        <f>SUMIF('Gastos Generales'!$B:$B,PPvsREal!$C$107,'Gastos Generales'!E:E)</f>
        <v>0</v>
      </c>
      <c r="F107" s="189">
        <f>SUMIF('Gastos Generales'!$B:$B,PPvsREal!$C$107,'Gastos Generales'!F:F)</f>
        <v>394.32</v>
      </c>
      <c r="G107" s="189">
        <f>SUMIF('Gastos Generales'!$B:$B,PPvsREal!$C$107,'Gastos Generales'!G:G)</f>
        <v>0</v>
      </c>
      <c r="H107" s="189">
        <f>SUMIF('Gastos Generales'!$B:$B,PPvsREal!$C$107,'Gastos Generales'!H:H)</f>
        <v>208.82</v>
      </c>
      <c r="I107" s="189">
        <f>SUMIF('Gastos Generales'!$B:$B,PPvsREal!$C$107,'Gastos Generales'!I:I)</f>
        <v>0</v>
      </c>
      <c r="J107" s="189">
        <f>SUMIF('Gastos Generales'!$B:$B,PPvsREal!$C$107,'Gastos Generales'!J:J)</f>
        <v>159</v>
      </c>
      <c r="K107" s="189">
        <f>SUMIF('Gastos Generales'!$B:$B,PPvsREal!$C$107,'Gastos Generales'!K:K)</f>
        <v>0</v>
      </c>
      <c r="L107" s="189">
        <f>SUMIF('Gastos Generales'!$B:$B,PPvsREal!$C$107,'Gastos Generales'!L:L)</f>
        <v>178.08</v>
      </c>
      <c r="M107" s="189">
        <f>SUMIF('Gastos Generales'!$B:$B,PPvsREal!$C$107,'Gastos Generales'!M:M)</f>
        <v>0</v>
      </c>
      <c r="N107" s="189">
        <f>SUMIF('Gastos Generales'!$B:$B,PPvsREal!$C$107,'Gastos Generales'!N:N)</f>
        <v>146.28</v>
      </c>
      <c r="O107" s="189">
        <f>SUMIF('Gastos Generales'!$B:$B,PPvsREal!$C$107,'Gastos Generales'!O:O)</f>
        <v>0</v>
      </c>
      <c r="P107" s="189">
        <f>SUMIF('Gastos Generales'!$B:$B,PPvsREal!$C$107,'Gastos Generales'!P:P)</f>
        <v>120.84</v>
      </c>
      <c r="Q107" s="189">
        <f>SUMIF('Gastos Generales'!$B:$B,PPvsREal!$C$107,'Gastos Generales'!Q:Q)</f>
        <v>0</v>
      </c>
      <c r="R107" s="189">
        <f>SUMIF('Gastos Generales'!$B:$B,PPvsREal!$C$107,'Gastos Generales'!R:R)</f>
        <v>125.08</v>
      </c>
      <c r="S107" s="189">
        <f>SUMIF('Gastos Generales'!$B:$B,PPvsREal!$C$107,'Gastos Generales'!S:S)</f>
        <v>0</v>
      </c>
      <c r="T107" s="189">
        <f>SUMIF('Gastos Generales'!$B:$B,PPvsREal!$C$107,'Gastos Generales'!T:T)</f>
        <v>155.82</v>
      </c>
      <c r="U107" s="189">
        <f>SUMIF('Gastos Generales'!$B:$B,PPvsREal!$C$107,'Gastos Generales'!U:U)</f>
        <v>0</v>
      </c>
      <c r="V107" s="189">
        <f>SUMIF('Gastos Generales'!$B:$B,PPvsREal!$C$107,'Gastos Generales'!V:V)</f>
        <v>848</v>
      </c>
      <c r="W107" s="189">
        <f>SUMIF('Gastos Generales'!$B:$B,PPvsREal!$C$107,'Gastos Generales'!W:W)</f>
        <v>0</v>
      </c>
      <c r="X107" s="189">
        <f>SUMIF('Gastos Generales'!$B:$B,PPvsREal!$C$107,'Gastos Generales'!X:X)</f>
        <v>848</v>
      </c>
      <c r="Y107" s="189">
        <f>SUMIF('Gastos Generales'!$B:$B,PPvsREal!$C$107,'Gastos Generales'!Y:Y)</f>
        <v>0</v>
      </c>
      <c r="Z107" s="189">
        <f>SUMIF('Gastos Generales'!$B:$B,PPvsREal!$C$107,'Gastos Generales'!Z:Z)</f>
        <v>848</v>
      </c>
      <c r="AA107" s="190">
        <f>SUMIF('Gastos Generales'!$B:$B,PPvsREal!$C$107,'Gastos Generales'!AA:AA)</f>
        <v>0</v>
      </c>
    </row>
    <row r="108" ht="12.75" customHeight="1">
      <c r="A108" s="111"/>
      <c r="B108" s="188" t="s">
        <v>37</v>
      </c>
      <c r="C108" s="2" t="s">
        <v>335</v>
      </c>
      <c r="D108" s="189">
        <f>SUMIF('Gastos Generales'!$B:$B,PPvsREal!$C$108,'Gastos Generales'!D:D)</f>
        <v>13976.1</v>
      </c>
      <c r="E108" s="189">
        <f>SUMIF('Gastos Generales'!$B:$B,PPvsREal!$C$108,'Gastos Generales'!E:E)</f>
        <v>0</v>
      </c>
      <c r="F108" s="189">
        <f>SUMIF('Gastos Generales'!$B:$B,PPvsREal!$C$108,'Gastos Generales'!F:F)</f>
        <v>0</v>
      </c>
      <c r="G108" s="189">
        <f>SUMIF('Gastos Generales'!$B:$B,PPvsREal!$C$108,'Gastos Generales'!G:G)</f>
        <v>0</v>
      </c>
      <c r="H108" s="189">
        <f>SUMIF('Gastos Generales'!$B:$B,PPvsREal!$C$108,'Gastos Generales'!H:H)</f>
        <v>0</v>
      </c>
      <c r="I108" s="189">
        <f>SUMIF('Gastos Generales'!$B:$B,PPvsREal!$C$108,'Gastos Generales'!I:I)</f>
        <v>0</v>
      </c>
      <c r="J108" s="189">
        <f>SUMIF('Gastos Generales'!$B:$B,PPvsREal!$C$108,'Gastos Generales'!J:J)</f>
        <v>0</v>
      </c>
      <c r="K108" s="189">
        <f>SUMIF('Gastos Generales'!$B:$B,PPvsREal!$C$108,'Gastos Generales'!K:K)</f>
        <v>0</v>
      </c>
      <c r="L108" s="189">
        <f>SUMIF('Gastos Generales'!$B:$B,PPvsREal!$C$108,'Gastos Generales'!L:L)</f>
        <v>0</v>
      </c>
      <c r="M108" s="189">
        <f>SUMIF('Gastos Generales'!$B:$B,PPvsREal!$C$108,'Gastos Generales'!M:M)</f>
        <v>0</v>
      </c>
      <c r="N108" s="189">
        <f>SUMIF('Gastos Generales'!$B:$B,PPvsREal!$C$108,'Gastos Generales'!N:N)</f>
        <v>0</v>
      </c>
      <c r="O108" s="189">
        <f>SUMIF('Gastos Generales'!$B:$B,PPvsREal!$C$108,'Gastos Generales'!O:O)</f>
        <v>0</v>
      </c>
      <c r="P108" s="189">
        <f>SUMIF('Gastos Generales'!$B:$B,PPvsREal!$C$108,'Gastos Generales'!P:P)</f>
        <v>0</v>
      </c>
      <c r="Q108" s="189">
        <f>SUMIF('Gastos Generales'!$B:$B,PPvsREal!$C$108,'Gastos Generales'!Q:Q)</f>
        <v>0</v>
      </c>
      <c r="R108" s="189">
        <f>SUMIF('Gastos Generales'!$B:$B,PPvsREal!$C$108,'Gastos Generales'!R:R)</f>
        <v>0</v>
      </c>
      <c r="S108" s="189">
        <f>SUMIF('Gastos Generales'!$B:$B,PPvsREal!$C$108,'Gastos Generales'!S:S)</f>
        <v>0</v>
      </c>
      <c r="T108" s="189">
        <f>SUMIF('Gastos Generales'!$B:$B,PPvsREal!$C$108,'Gastos Generales'!T:T)</f>
        <v>0</v>
      </c>
      <c r="U108" s="189">
        <f>SUMIF('Gastos Generales'!$B:$B,PPvsREal!$C$108,'Gastos Generales'!U:U)</f>
        <v>0</v>
      </c>
      <c r="V108" s="189">
        <f>SUMIF('Gastos Generales'!$B:$B,PPvsREal!$C$108,'Gastos Generales'!V:V)</f>
        <v>0</v>
      </c>
      <c r="W108" s="189">
        <f>SUMIF('Gastos Generales'!$B:$B,PPvsREal!$C$108,'Gastos Generales'!W:W)</f>
        <v>0</v>
      </c>
      <c r="X108" s="189">
        <f>SUMIF('Gastos Generales'!$B:$B,PPvsREal!$C$108,'Gastos Generales'!X:X)</f>
        <v>0</v>
      </c>
      <c r="Y108" s="189">
        <f>SUMIF('Gastos Generales'!$B:$B,PPvsREal!$C$108,'Gastos Generales'!Y:Y)</f>
        <v>0</v>
      </c>
      <c r="Z108" s="189">
        <f>SUMIF('Gastos Generales'!$B:$B,PPvsREal!$C$108,'Gastos Generales'!Z:Z)</f>
        <v>0</v>
      </c>
      <c r="AA108" s="190">
        <f>SUMIF('Gastos Generales'!$B:$B,PPvsREal!$C$108,'Gastos Generales'!AA:AA)</f>
        <v>0</v>
      </c>
    </row>
    <row r="109" ht="12.75" customHeight="1">
      <c r="A109" s="111"/>
      <c r="B109" s="188" t="s">
        <v>37</v>
      </c>
      <c r="C109" s="2" t="s">
        <v>337</v>
      </c>
      <c r="D109" s="189">
        <f>SUMIF('Gastos Generales'!$B:$B,PPvsREal!$C$109,'Gastos Generales'!D:D)</f>
        <v>15889.4</v>
      </c>
      <c r="E109" s="189">
        <f>SUMIF('Gastos Generales'!$B:$B,PPvsREal!$C$109,'Gastos Generales'!E:E)</f>
        <v>0</v>
      </c>
      <c r="F109" s="189">
        <f>SUMIF('Gastos Generales'!$B:$B,PPvsREal!$C$109,'Gastos Generales'!F:F)</f>
        <v>15889.4</v>
      </c>
      <c r="G109" s="189">
        <f>SUMIF('Gastos Generales'!$B:$B,PPvsREal!$C$109,'Gastos Generales'!G:G)</f>
        <v>0</v>
      </c>
      <c r="H109" s="189">
        <f>SUMIF('Gastos Generales'!$B:$B,PPvsREal!$C$109,'Gastos Generales'!H:H)</f>
        <v>15889.4</v>
      </c>
      <c r="I109" s="189">
        <f>SUMIF('Gastos Generales'!$B:$B,PPvsREal!$C$109,'Gastos Generales'!I:I)</f>
        <v>0</v>
      </c>
      <c r="J109" s="189">
        <f>SUMIF('Gastos Generales'!$B:$B,PPvsREal!$C$109,'Gastos Generales'!J:J)</f>
        <v>15889.4</v>
      </c>
      <c r="K109" s="189">
        <f>SUMIF('Gastos Generales'!$B:$B,PPvsREal!$C$109,'Gastos Generales'!K:K)</f>
        <v>0</v>
      </c>
      <c r="L109" s="189">
        <f>SUMIF('Gastos Generales'!$B:$B,PPvsREal!$C$109,'Gastos Generales'!L:L)</f>
        <v>15889.4</v>
      </c>
      <c r="M109" s="189">
        <f>SUMIF('Gastos Generales'!$B:$B,PPvsREal!$C$109,'Gastos Generales'!M:M)</f>
        <v>0</v>
      </c>
      <c r="N109" s="189">
        <f>SUMIF('Gastos Generales'!$B:$B,PPvsREal!$C$109,'Gastos Generales'!N:N)</f>
        <v>15889.4</v>
      </c>
      <c r="O109" s="189">
        <f>SUMIF('Gastos Generales'!$B:$B,PPvsREal!$C$109,'Gastos Generales'!O:O)</f>
        <v>0</v>
      </c>
      <c r="P109" s="189">
        <f>SUMIF('Gastos Generales'!$B:$B,PPvsREal!$C$109,'Gastos Generales'!P:P)</f>
        <v>15889.4</v>
      </c>
      <c r="Q109" s="189">
        <f>SUMIF('Gastos Generales'!$B:$B,PPvsREal!$C$109,'Gastos Generales'!Q:Q)</f>
        <v>0</v>
      </c>
      <c r="R109" s="189">
        <f>SUMIF('Gastos Generales'!$B:$B,PPvsREal!$C$109,'Gastos Generales'!R:R)</f>
        <v>15889.4</v>
      </c>
      <c r="S109" s="189">
        <f>SUMIF('Gastos Generales'!$B:$B,PPvsREal!$C$109,'Gastos Generales'!S:S)</f>
        <v>0</v>
      </c>
      <c r="T109" s="189">
        <f>SUMIF('Gastos Generales'!$B:$B,PPvsREal!$C$109,'Gastos Generales'!T:T)</f>
        <v>15889.4</v>
      </c>
      <c r="U109" s="189">
        <f>SUMIF('Gastos Generales'!$B:$B,PPvsREal!$C$109,'Gastos Generales'!U:U)</f>
        <v>0</v>
      </c>
      <c r="V109" s="189">
        <f>SUMIF('Gastos Generales'!$B:$B,PPvsREal!$C$109,'Gastos Generales'!V:V)</f>
        <v>15889.4</v>
      </c>
      <c r="W109" s="189">
        <f>SUMIF('Gastos Generales'!$B:$B,PPvsREal!$C$109,'Gastos Generales'!W:W)</f>
        <v>0</v>
      </c>
      <c r="X109" s="189">
        <f>SUMIF('Gastos Generales'!$B:$B,PPvsREal!$C$109,'Gastos Generales'!X:X)</f>
        <v>15889.4</v>
      </c>
      <c r="Y109" s="189">
        <f>SUMIF('Gastos Generales'!$B:$B,PPvsREal!$C$109,'Gastos Generales'!Y:Y)</f>
        <v>0</v>
      </c>
      <c r="Z109" s="189">
        <f>SUMIF('Gastos Generales'!$B:$B,PPvsREal!$C$109,'Gastos Generales'!Z:Z)</f>
        <v>15889.4</v>
      </c>
      <c r="AA109" s="190">
        <f>SUMIF('Gastos Generales'!$B:$B,PPvsREal!$C$109,'Gastos Generales'!AA:AA)</f>
        <v>0</v>
      </c>
    </row>
    <row r="110" ht="12.75" customHeight="1">
      <c r="A110" s="111"/>
      <c r="B110" s="188" t="s">
        <v>37</v>
      </c>
      <c r="C110" s="2" t="s">
        <v>339</v>
      </c>
      <c r="D110" s="189">
        <f>SUMIF('Gastos Generales'!$B:$B,PPvsREal!$C$110,'Gastos Generales'!D:D)</f>
        <v>1428.9436</v>
      </c>
      <c r="E110" s="189">
        <f>SUMIF('Gastos Generales'!$B:$B,PPvsREal!$C$110,'Gastos Generales'!E:E)</f>
        <v>0</v>
      </c>
      <c r="F110" s="189">
        <f>SUMIF('Gastos Generales'!$B:$B,PPvsREal!$C$110,'Gastos Generales'!F:F)</f>
        <v>2676.5</v>
      </c>
      <c r="G110" s="189">
        <f>SUMIF('Gastos Generales'!$B:$B,PPvsREal!$C$110,'Gastos Generales'!G:G)</f>
        <v>0</v>
      </c>
      <c r="H110" s="189">
        <f>SUMIF('Gastos Generales'!$B:$B,PPvsREal!$C$110,'Gastos Generales'!H:H)</f>
        <v>1876.0092</v>
      </c>
      <c r="I110" s="189">
        <f>SUMIF('Gastos Generales'!$B:$B,PPvsREal!$C$110,'Gastos Generales'!I:I)</f>
        <v>0</v>
      </c>
      <c r="J110" s="189">
        <f>SUMIF('Gastos Generales'!$B:$B,PPvsREal!$C$110,'Gastos Generales'!J:J)</f>
        <v>848.7314</v>
      </c>
      <c r="K110" s="189">
        <f>SUMIF('Gastos Generales'!$B:$B,PPvsREal!$C$110,'Gastos Generales'!K:K)</f>
        <v>0</v>
      </c>
      <c r="L110" s="189">
        <f>SUMIF('Gastos Generales'!$B:$B,PPvsREal!$C$110,'Gastos Generales'!L:L)</f>
        <v>2328.1204</v>
      </c>
      <c r="M110" s="189">
        <f>SUMIF('Gastos Generales'!$B:$B,PPvsREal!$C$110,'Gastos Generales'!M:M)</f>
        <v>0</v>
      </c>
      <c r="N110" s="189">
        <f>SUMIF('Gastos Generales'!$B:$B,PPvsREal!$C$110,'Gastos Generales'!N:N)</f>
        <v>1313.0856</v>
      </c>
      <c r="O110" s="189">
        <f>SUMIF('Gastos Generales'!$B:$B,PPvsREal!$C$110,'Gastos Generales'!O:O)</f>
        <v>0</v>
      </c>
      <c r="P110" s="189">
        <f>SUMIF('Gastos Generales'!$B:$B,PPvsREal!$C$110,'Gastos Generales'!P:P)</f>
        <v>2633.5382</v>
      </c>
      <c r="Q110" s="189">
        <f>SUMIF('Gastos Generales'!$B:$B,PPvsREal!$C$110,'Gastos Generales'!Q:Q)</f>
        <v>0</v>
      </c>
      <c r="R110" s="189">
        <f>SUMIF('Gastos Generales'!$B:$B,PPvsREal!$C$110,'Gastos Generales'!R:R)</f>
        <v>1538.3568</v>
      </c>
      <c r="S110" s="189">
        <f>SUMIF('Gastos Generales'!$B:$B,PPvsREal!$C$110,'Gastos Generales'!S:S)</f>
        <v>0</v>
      </c>
      <c r="T110" s="189">
        <f>SUMIF('Gastos Generales'!$B:$B,PPvsREal!$C$110,'Gastos Generales'!T:T)</f>
        <v>3699.8028</v>
      </c>
      <c r="U110" s="189">
        <f>SUMIF('Gastos Generales'!$B:$B,PPvsREal!$C$110,'Gastos Generales'!U:U)</f>
        <v>0</v>
      </c>
      <c r="V110" s="189">
        <f>SUMIF('Gastos Generales'!$B:$B,PPvsREal!$C$110,'Gastos Generales'!V:V)</f>
        <v>2154.0366</v>
      </c>
      <c r="W110" s="189">
        <f>SUMIF('Gastos Generales'!$B:$B,PPvsREal!$C$110,'Gastos Generales'!W:W)</f>
        <v>0</v>
      </c>
      <c r="X110" s="189">
        <f>SUMIF('Gastos Generales'!$B:$B,PPvsREal!$C$110,'Gastos Generales'!X:X)</f>
        <v>2154.0366</v>
      </c>
      <c r="Y110" s="189">
        <f>SUMIF('Gastos Generales'!$B:$B,PPvsREal!$C$110,'Gastos Generales'!Y:Y)</f>
        <v>0</v>
      </c>
      <c r="Z110" s="189">
        <f>SUMIF('Gastos Generales'!$B:$B,PPvsREal!$C$110,'Gastos Generales'!Z:Z)</f>
        <v>2154.0366</v>
      </c>
      <c r="AA110" s="190">
        <f>SUMIF('Gastos Generales'!$B:$B,PPvsREal!$C$110,'Gastos Generales'!AA:AA)</f>
        <v>0</v>
      </c>
    </row>
    <row r="111" ht="12.75" customHeight="1">
      <c r="A111" s="111"/>
      <c r="B111" s="188" t="s">
        <v>37</v>
      </c>
      <c r="C111" s="2" t="s">
        <v>341</v>
      </c>
      <c r="D111" s="189">
        <f>SUMIF('Gastos Generales'!$B:$B,PPvsREal!$C$111,'Gastos Generales'!D:D)</f>
        <v>0</v>
      </c>
      <c r="E111" s="189">
        <f>SUMIF('Gastos Generales'!$B:$B,PPvsREal!$C$111,'Gastos Generales'!E:E)</f>
        <v>0</v>
      </c>
      <c r="F111" s="189">
        <f>SUMIF('Gastos Generales'!$B:$B,PPvsREal!$C$111,'Gastos Generales'!F:F)</f>
        <v>690.8656</v>
      </c>
      <c r="G111" s="189">
        <f>SUMIF('Gastos Generales'!$B:$B,PPvsREal!$C$111,'Gastos Generales'!G:G)</f>
        <v>0</v>
      </c>
      <c r="H111" s="189">
        <f>SUMIF('Gastos Generales'!$B:$B,PPvsREal!$C$111,'Gastos Generales'!H:H)</f>
        <v>16430</v>
      </c>
      <c r="I111" s="189">
        <f>SUMIF('Gastos Generales'!$B:$B,PPvsREal!$C$111,'Gastos Generales'!I:I)</f>
        <v>0</v>
      </c>
      <c r="J111" s="189">
        <f>SUMIF('Gastos Generales'!$B:$B,PPvsREal!$C$111,'Gastos Generales'!J:J)</f>
        <v>0</v>
      </c>
      <c r="K111" s="189">
        <f>SUMIF('Gastos Generales'!$B:$B,PPvsREal!$C$111,'Gastos Generales'!K:K)</f>
        <v>0</v>
      </c>
      <c r="L111" s="189">
        <f>SUMIF('Gastos Generales'!$B:$B,PPvsREal!$C$111,'Gastos Generales'!L:L)</f>
        <v>0</v>
      </c>
      <c r="M111" s="189">
        <f>SUMIF('Gastos Generales'!$B:$B,PPvsREal!$C$111,'Gastos Generales'!M:M)</f>
        <v>0</v>
      </c>
      <c r="N111" s="189">
        <f>SUMIF('Gastos Generales'!$B:$B,PPvsREal!$C$111,'Gastos Generales'!N:N)</f>
        <v>0</v>
      </c>
      <c r="O111" s="189">
        <f>SUMIF('Gastos Generales'!$B:$B,PPvsREal!$C$111,'Gastos Generales'!O:O)</f>
        <v>0</v>
      </c>
      <c r="P111" s="189">
        <f>SUMIF('Gastos Generales'!$B:$B,PPvsREal!$C$111,'Gastos Generales'!P:P)</f>
        <v>0</v>
      </c>
      <c r="Q111" s="189">
        <f>SUMIF('Gastos Generales'!$B:$B,PPvsREal!$C$111,'Gastos Generales'!Q:Q)</f>
        <v>0</v>
      </c>
      <c r="R111" s="189">
        <f>SUMIF('Gastos Generales'!$B:$B,PPvsREal!$C$111,'Gastos Generales'!R:R)</f>
        <v>0</v>
      </c>
      <c r="S111" s="189">
        <f>SUMIF('Gastos Generales'!$B:$B,PPvsREal!$C$111,'Gastos Generales'!S:S)</f>
        <v>0</v>
      </c>
      <c r="T111" s="189">
        <f>SUMIF('Gastos Generales'!$B:$B,PPvsREal!$C$111,'Gastos Generales'!T:T)</f>
        <v>0</v>
      </c>
      <c r="U111" s="189">
        <f>SUMIF('Gastos Generales'!$B:$B,PPvsREal!$C$111,'Gastos Generales'!U:U)</f>
        <v>0</v>
      </c>
      <c r="V111" s="189">
        <f>SUMIF('Gastos Generales'!$B:$B,PPvsREal!$C$111,'Gastos Generales'!V:V)</f>
        <v>1166</v>
      </c>
      <c r="W111" s="189">
        <f>SUMIF('Gastos Generales'!$B:$B,PPvsREal!$C$111,'Gastos Generales'!W:W)</f>
        <v>0</v>
      </c>
      <c r="X111" s="189">
        <f>SUMIF('Gastos Generales'!$B:$B,PPvsREal!$C$111,'Gastos Generales'!X:X)</f>
        <v>0</v>
      </c>
      <c r="Y111" s="189">
        <f>SUMIF('Gastos Generales'!$B:$B,PPvsREal!$C$111,'Gastos Generales'!Y:Y)</f>
        <v>0</v>
      </c>
      <c r="Z111" s="189">
        <f>SUMIF('Gastos Generales'!$B:$B,PPvsREal!$C$111,'Gastos Generales'!Z:Z)</f>
        <v>0</v>
      </c>
      <c r="AA111" s="190">
        <f>SUMIF('Gastos Generales'!$B:$B,PPvsREal!$C$111,'Gastos Generales'!AA:AA)</f>
        <v>0</v>
      </c>
    </row>
    <row r="112" ht="12.75" customHeight="1">
      <c r="A112" s="111"/>
      <c r="B112" s="188" t="s">
        <v>37</v>
      </c>
      <c r="C112" s="2" t="s">
        <v>343</v>
      </c>
      <c r="D112" s="189">
        <f>SUMIF('Gastos Generales'!$B:$B,PPvsREal!$C$112,'Gastos Generales'!D:D)</f>
        <v>636</v>
      </c>
      <c r="E112" s="189">
        <f>SUMIF('Gastos Generales'!$B:$B,PPvsREal!$C$112,'Gastos Generales'!E:E)</f>
        <v>0</v>
      </c>
      <c r="F112" s="189">
        <f>SUMIF('Gastos Generales'!$B:$B,PPvsREal!$C$112,'Gastos Generales'!F:F)</f>
        <v>4377.111</v>
      </c>
      <c r="G112" s="189">
        <f>SUMIF('Gastos Generales'!$B:$B,PPvsREal!$C$112,'Gastos Generales'!G:G)</f>
        <v>0</v>
      </c>
      <c r="H112" s="189">
        <f>SUMIF('Gastos Generales'!$B:$B,PPvsREal!$C$112,'Gastos Generales'!H:H)</f>
        <v>46996.9444</v>
      </c>
      <c r="I112" s="189">
        <f>SUMIF('Gastos Generales'!$B:$B,PPvsREal!$C$112,'Gastos Generales'!I:I)</f>
        <v>0</v>
      </c>
      <c r="J112" s="189">
        <f>SUMIF('Gastos Generales'!$B:$B,PPvsREal!$C$112,'Gastos Generales'!J:J)</f>
        <v>61427</v>
      </c>
      <c r="K112" s="189">
        <f>SUMIF('Gastos Generales'!$B:$B,PPvsREal!$C$112,'Gastos Generales'!K:K)</f>
        <v>0</v>
      </c>
      <c r="L112" s="189">
        <f>SUMIF('Gastos Generales'!$B:$B,PPvsREal!$C$112,'Gastos Generales'!L:L)</f>
        <v>37123.055</v>
      </c>
      <c r="M112" s="189">
        <f>SUMIF('Gastos Generales'!$B:$B,PPvsREal!$C$112,'Gastos Generales'!M:M)</f>
        <v>0</v>
      </c>
      <c r="N112" s="189">
        <f>SUMIF('Gastos Generales'!$B:$B,PPvsREal!$C$112,'Gastos Generales'!N:N)</f>
        <v>32889.68</v>
      </c>
      <c r="O112" s="189">
        <f>SUMIF('Gastos Generales'!$B:$B,PPvsREal!$C$112,'Gastos Generales'!O:O)</f>
        <v>0</v>
      </c>
      <c r="P112" s="189">
        <f>SUMIF('Gastos Generales'!$B:$B,PPvsREal!$C$112,'Gastos Generales'!P:P)</f>
        <v>16324</v>
      </c>
      <c r="Q112" s="189">
        <f>SUMIF('Gastos Generales'!$B:$B,PPvsREal!$C$112,'Gastos Generales'!Q:Q)</f>
        <v>0</v>
      </c>
      <c r="R112" s="189">
        <f>SUMIF('Gastos Generales'!$B:$B,PPvsREal!$C$112,'Gastos Generales'!R:R)</f>
        <v>2968</v>
      </c>
      <c r="S112" s="189">
        <f>SUMIF('Gastos Generales'!$B:$B,PPvsREal!$C$112,'Gastos Generales'!S:S)</f>
        <v>0</v>
      </c>
      <c r="T112" s="189">
        <f>SUMIF('Gastos Generales'!$B:$B,PPvsREal!$C$112,'Gastos Generales'!T:T)</f>
        <v>36252</v>
      </c>
      <c r="U112" s="189">
        <f>SUMIF('Gastos Generales'!$B:$B,PPvsREal!$C$112,'Gastos Generales'!U:U)</f>
        <v>0</v>
      </c>
      <c r="V112" s="189">
        <f>SUMIF('Gastos Generales'!$B:$B,PPvsREal!$C$112,'Gastos Generales'!V:V)</f>
        <v>15983.74</v>
      </c>
      <c r="W112" s="189">
        <f>SUMIF('Gastos Generales'!$B:$B,PPvsREal!$C$112,'Gastos Generales'!W:W)</f>
        <v>0</v>
      </c>
      <c r="X112" s="189">
        <f>SUMIF('Gastos Generales'!$B:$B,PPvsREal!$C$112,'Gastos Generales'!X:X)</f>
        <v>12444.4</v>
      </c>
      <c r="Y112" s="189">
        <f>SUMIF('Gastos Generales'!$B:$B,PPvsREal!$C$112,'Gastos Generales'!Y:Y)</f>
        <v>0</v>
      </c>
      <c r="Z112" s="189">
        <f>SUMIF('Gastos Generales'!$B:$B,PPvsREal!$C$112,'Gastos Generales'!Z:Z)</f>
        <v>12444.4</v>
      </c>
      <c r="AA112" s="190">
        <f>SUMIF('Gastos Generales'!$B:$B,PPvsREal!$C$112,'Gastos Generales'!AA:AA)</f>
        <v>0</v>
      </c>
    </row>
    <row r="113" ht="12.75" customHeight="1">
      <c r="A113" s="111"/>
      <c r="B113" s="188" t="s">
        <v>37</v>
      </c>
      <c r="C113" s="2" t="s">
        <v>345</v>
      </c>
      <c r="D113" s="189">
        <f>SUMIF('Gastos Generales'!$B:$B,PPvsREal!$C$113,'Gastos Generales'!D:D)</f>
        <v>0</v>
      </c>
      <c r="E113" s="189">
        <f>SUMIF('Gastos Generales'!$B:$B,PPvsREal!$C$113,'Gastos Generales'!E:E)</f>
        <v>0</v>
      </c>
      <c r="F113" s="189">
        <f>SUMIF('Gastos Generales'!$B:$B,PPvsREal!$C$113,'Gastos Generales'!F:F)</f>
        <v>22731.1912</v>
      </c>
      <c r="G113" s="189">
        <f>SUMIF('Gastos Generales'!$B:$B,PPvsREal!$C$113,'Gastos Generales'!G:G)</f>
        <v>0</v>
      </c>
      <c r="H113" s="189">
        <f>SUMIF('Gastos Generales'!$B:$B,PPvsREal!$C$113,'Gastos Generales'!H:H)</f>
        <v>4511.5932</v>
      </c>
      <c r="I113" s="189">
        <f>SUMIF('Gastos Generales'!$B:$B,PPvsREal!$C$113,'Gastos Generales'!I:I)</f>
        <v>0</v>
      </c>
      <c r="J113" s="189">
        <f>SUMIF('Gastos Generales'!$B:$B,PPvsREal!$C$113,'Gastos Generales'!J:J)</f>
        <v>2228.1942</v>
      </c>
      <c r="K113" s="189">
        <f>SUMIF('Gastos Generales'!$B:$B,PPvsREal!$C$113,'Gastos Generales'!K:K)</f>
        <v>0</v>
      </c>
      <c r="L113" s="189">
        <f>SUMIF('Gastos Generales'!$B:$B,PPvsREal!$C$113,'Gastos Generales'!L:L)</f>
        <v>0</v>
      </c>
      <c r="M113" s="189">
        <f>SUMIF('Gastos Generales'!$B:$B,PPvsREal!$C$113,'Gastos Generales'!M:M)</f>
        <v>0</v>
      </c>
      <c r="N113" s="189">
        <f>SUMIF('Gastos Generales'!$B:$B,PPvsREal!$C$113,'Gastos Generales'!N:N)</f>
        <v>1510.5</v>
      </c>
      <c r="O113" s="189">
        <f>SUMIF('Gastos Generales'!$B:$B,PPvsREal!$C$113,'Gastos Generales'!O:O)</f>
        <v>0</v>
      </c>
      <c r="P113" s="189">
        <f>SUMIF('Gastos Generales'!$B:$B,PPvsREal!$C$113,'Gastos Generales'!P:P)</f>
        <v>8474.7</v>
      </c>
      <c r="Q113" s="189">
        <f>SUMIF('Gastos Generales'!$B:$B,PPvsREal!$C$113,'Gastos Generales'!Q:Q)</f>
        <v>0</v>
      </c>
      <c r="R113" s="189">
        <f>SUMIF('Gastos Generales'!$B:$B,PPvsREal!$C$113,'Gastos Generales'!R:R)</f>
        <v>2546.7454</v>
      </c>
      <c r="S113" s="189">
        <f>SUMIF('Gastos Generales'!$B:$B,PPvsREal!$C$113,'Gastos Generales'!S:S)</f>
        <v>0</v>
      </c>
      <c r="T113" s="189">
        <f>SUMIF('Gastos Generales'!$B:$B,PPvsREal!$C$113,'Gastos Generales'!T:T)</f>
        <v>655.186</v>
      </c>
      <c r="U113" s="189">
        <f>SUMIF('Gastos Generales'!$B:$B,PPvsREal!$C$113,'Gastos Generales'!U:U)</f>
        <v>0</v>
      </c>
      <c r="V113" s="189">
        <f>SUMIF('Gastos Generales'!$B:$B,PPvsREal!$C$113,'Gastos Generales'!V:V)</f>
        <v>16960</v>
      </c>
      <c r="W113" s="189">
        <f>SUMIF('Gastos Generales'!$B:$B,PPvsREal!$C$113,'Gastos Generales'!W:W)</f>
        <v>0</v>
      </c>
      <c r="X113" s="189">
        <f>SUMIF('Gastos Generales'!$B:$B,PPvsREal!$C$113,'Gastos Generales'!X:X)</f>
        <v>0</v>
      </c>
      <c r="Y113" s="189">
        <f>SUMIF('Gastos Generales'!$B:$B,PPvsREal!$C$113,'Gastos Generales'!Y:Y)</f>
        <v>0</v>
      </c>
      <c r="Z113" s="189">
        <f>SUMIF('Gastos Generales'!$B:$B,PPvsREal!$C$113,'Gastos Generales'!Z:Z)</f>
        <v>0</v>
      </c>
      <c r="AA113" s="190">
        <f>SUMIF('Gastos Generales'!$B:$B,PPvsREal!$C$113,'Gastos Generales'!AA:AA)</f>
        <v>0</v>
      </c>
    </row>
    <row r="114" ht="12.75" customHeight="1">
      <c r="A114" s="111"/>
      <c r="B114" s="188" t="s">
        <v>37</v>
      </c>
      <c r="C114" s="2" t="s">
        <v>347</v>
      </c>
      <c r="D114" s="189">
        <f>SUMIF('Gastos Generales'!$B:$B,PPvsREal!$C$114,'Gastos Generales'!D:D)</f>
        <v>1802</v>
      </c>
      <c r="E114" s="189">
        <f>SUMIF('Gastos Generales'!$B:$B,PPvsREal!$C$114,'Gastos Generales'!E:E)</f>
        <v>0</v>
      </c>
      <c r="F114" s="189">
        <f>SUMIF('Gastos Generales'!$B:$B,PPvsREal!$C$114,'Gastos Generales'!F:F)</f>
        <v>1802</v>
      </c>
      <c r="G114" s="189">
        <f>SUMIF('Gastos Generales'!$B:$B,PPvsREal!$C$114,'Gastos Generales'!G:G)</f>
        <v>0</v>
      </c>
      <c r="H114" s="189">
        <f>SUMIF('Gastos Generales'!$B:$B,PPvsREal!$C$114,'Gastos Generales'!H:H)</f>
        <v>1802</v>
      </c>
      <c r="I114" s="189">
        <f>SUMIF('Gastos Generales'!$B:$B,PPvsREal!$C$114,'Gastos Generales'!I:I)</f>
        <v>0</v>
      </c>
      <c r="J114" s="189">
        <f>SUMIF('Gastos Generales'!$B:$B,PPvsREal!$C$114,'Gastos Generales'!J:J)</f>
        <v>1802</v>
      </c>
      <c r="K114" s="189">
        <f>SUMIF('Gastos Generales'!$B:$B,PPvsREal!$C$114,'Gastos Generales'!K:K)</f>
        <v>0</v>
      </c>
      <c r="L114" s="189">
        <f>SUMIF('Gastos Generales'!$B:$B,PPvsREal!$C$114,'Gastos Generales'!L:L)</f>
        <v>1802</v>
      </c>
      <c r="M114" s="189">
        <f>SUMIF('Gastos Generales'!$B:$B,PPvsREal!$C$114,'Gastos Generales'!M:M)</f>
        <v>0</v>
      </c>
      <c r="N114" s="189">
        <f>SUMIF('Gastos Generales'!$B:$B,PPvsREal!$C$114,'Gastos Generales'!N:N)</f>
        <v>1802</v>
      </c>
      <c r="O114" s="189">
        <f>SUMIF('Gastos Generales'!$B:$B,PPvsREal!$C$114,'Gastos Generales'!O:O)</f>
        <v>0</v>
      </c>
      <c r="P114" s="189">
        <f>SUMIF('Gastos Generales'!$B:$B,PPvsREal!$C$114,'Gastos Generales'!P:P)</f>
        <v>1802</v>
      </c>
      <c r="Q114" s="189">
        <f>SUMIF('Gastos Generales'!$B:$B,PPvsREal!$C$114,'Gastos Generales'!Q:Q)</f>
        <v>0</v>
      </c>
      <c r="R114" s="189">
        <f>SUMIF('Gastos Generales'!$B:$B,PPvsREal!$C$114,'Gastos Generales'!R:R)</f>
        <v>1269.88</v>
      </c>
      <c r="S114" s="189">
        <f>SUMIF('Gastos Generales'!$B:$B,PPvsREal!$C$114,'Gastos Generales'!S:S)</f>
        <v>0</v>
      </c>
      <c r="T114" s="189">
        <f>SUMIF('Gastos Generales'!$B:$B,PPvsREal!$C$114,'Gastos Generales'!T:T)</f>
        <v>1269.88</v>
      </c>
      <c r="U114" s="189">
        <f>SUMIF('Gastos Generales'!$B:$B,PPvsREal!$C$114,'Gastos Generales'!U:U)</f>
        <v>0</v>
      </c>
      <c r="V114" s="189">
        <f>SUMIF('Gastos Generales'!$B:$B,PPvsREal!$C$114,'Gastos Generales'!V:V)</f>
        <v>1910.12</v>
      </c>
      <c r="W114" s="189">
        <f>SUMIF('Gastos Generales'!$B:$B,PPvsREal!$C$114,'Gastos Generales'!W:W)</f>
        <v>0</v>
      </c>
      <c r="X114" s="189">
        <f>SUMIF('Gastos Generales'!$B:$B,PPvsREal!$C$114,'Gastos Generales'!X:X)</f>
        <v>1910.12</v>
      </c>
      <c r="Y114" s="189">
        <f>SUMIF('Gastos Generales'!$B:$B,PPvsREal!$C$114,'Gastos Generales'!Y:Y)</f>
        <v>0</v>
      </c>
      <c r="Z114" s="189">
        <f>SUMIF('Gastos Generales'!$B:$B,PPvsREal!$C$114,'Gastos Generales'!Z:Z)</f>
        <v>1910.12</v>
      </c>
      <c r="AA114" s="190">
        <f>SUMIF('Gastos Generales'!$B:$B,PPvsREal!$C$114,'Gastos Generales'!AA:AA)</f>
        <v>0</v>
      </c>
    </row>
    <row r="115" ht="12.75" customHeight="1">
      <c r="A115" s="111"/>
      <c r="B115" s="188" t="s">
        <v>37</v>
      </c>
      <c r="C115" s="2" t="s">
        <v>349</v>
      </c>
      <c r="D115" s="189">
        <f>SUMIF('Gastos Generales'!$B:$B,PPvsREal!$C$115,'Gastos Generales'!D:D)</f>
        <v>846.94</v>
      </c>
      <c r="E115" s="189">
        <f>SUMIF('Gastos Generales'!$B:$B,PPvsREal!$C$115,'Gastos Generales'!E:E)</f>
        <v>0</v>
      </c>
      <c r="F115" s="189">
        <f>SUMIF('Gastos Generales'!$B:$B,PPvsREal!$C$115,'Gastos Generales'!F:F)</f>
        <v>846.94</v>
      </c>
      <c r="G115" s="189">
        <f>SUMIF('Gastos Generales'!$B:$B,PPvsREal!$C$115,'Gastos Generales'!G:G)</f>
        <v>0</v>
      </c>
      <c r="H115" s="189">
        <f>SUMIF('Gastos Generales'!$B:$B,PPvsREal!$C$115,'Gastos Generales'!H:H)</f>
        <v>846.94</v>
      </c>
      <c r="I115" s="189">
        <f>SUMIF('Gastos Generales'!$B:$B,PPvsREal!$C$115,'Gastos Generales'!I:I)</f>
        <v>0</v>
      </c>
      <c r="J115" s="189">
        <f>SUMIF('Gastos Generales'!$B:$B,PPvsREal!$C$115,'Gastos Generales'!J:J)</f>
        <v>846.94</v>
      </c>
      <c r="K115" s="189">
        <f>SUMIF('Gastos Generales'!$B:$B,PPvsREal!$C$115,'Gastos Generales'!K:K)</f>
        <v>0</v>
      </c>
      <c r="L115" s="189">
        <f>SUMIF('Gastos Generales'!$B:$B,PPvsREal!$C$115,'Gastos Generales'!L:L)</f>
        <v>846.94</v>
      </c>
      <c r="M115" s="189">
        <f>SUMIF('Gastos Generales'!$B:$B,PPvsREal!$C$115,'Gastos Generales'!M:M)</f>
        <v>0</v>
      </c>
      <c r="N115" s="189">
        <f>SUMIF('Gastos Generales'!$B:$B,PPvsREal!$C$115,'Gastos Generales'!N:N)</f>
        <v>846.94</v>
      </c>
      <c r="O115" s="189">
        <f>SUMIF('Gastos Generales'!$B:$B,PPvsREal!$C$115,'Gastos Generales'!O:O)</f>
        <v>0</v>
      </c>
      <c r="P115" s="189">
        <f>SUMIF('Gastos Generales'!$B:$B,PPvsREal!$C$115,'Gastos Generales'!P:P)</f>
        <v>846.94</v>
      </c>
      <c r="Q115" s="189">
        <f>SUMIF('Gastos Generales'!$B:$B,PPvsREal!$C$115,'Gastos Generales'!Q:Q)</f>
        <v>0</v>
      </c>
      <c r="R115" s="189">
        <f>SUMIF('Gastos Generales'!$B:$B,PPvsREal!$C$115,'Gastos Generales'!R:R)</f>
        <v>846.94</v>
      </c>
      <c r="S115" s="189">
        <f>SUMIF('Gastos Generales'!$B:$B,PPvsREal!$C$115,'Gastos Generales'!S:S)</f>
        <v>0</v>
      </c>
      <c r="T115" s="189">
        <f>SUMIF('Gastos Generales'!$B:$B,PPvsREal!$C$115,'Gastos Generales'!T:T)</f>
        <v>846.94</v>
      </c>
      <c r="U115" s="189">
        <f>SUMIF('Gastos Generales'!$B:$B,PPvsREal!$C$115,'Gastos Generales'!U:U)</f>
        <v>0</v>
      </c>
      <c r="V115" s="189">
        <f>SUMIF('Gastos Generales'!$B:$B,PPvsREal!$C$115,'Gastos Generales'!V:V)</f>
        <v>931.634</v>
      </c>
      <c r="W115" s="189">
        <f>SUMIF('Gastos Generales'!$B:$B,PPvsREal!$C$115,'Gastos Generales'!W:W)</f>
        <v>0</v>
      </c>
      <c r="X115" s="189">
        <f>SUMIF('Gastos Generales'!$B:$B,PPvsREal!$C$115,'Gastos Generales'!X:X)</f>
        <v>931.634</v>
      </c>
      <c r="Y115" s="189">
        <f>SUMIF('Gastos Generales'!$B:$B,PPvsREal!$C$115,'Gastos Generales'!Y:Y)</f>
        <v>0</v>
      </c>
      <c r="Z115" s="189">
        <f>SUMIF('Gastos Generales'!$B:$B,PPvsREal!$C$115,'Gastos Generales'!Z:Z)</f>
        <v>931.634</v>
      </c>
      <c r="AA115" s="190">
        <f>SUMIF('Gastos Generales'!$B:$B,PPvsREal!$C$115,'Gastos Generales'!AA:AA)</f>
        <v>0</v>
      </c>
    </row>
    <row r="116" ht="12.75" customHeight="1">
      <c r="A116" s="111"/>
      <c r="B116" s="188" t="s">
        <v>37</v>
      </c>
      <c r="C116" s="2" t="s">
        <v>351</v>
      </c>
      <c r="D116" s="189">
        <f>SUMIF('Gastos Generales'!$B:$B,PPvsREal!$C$116,'Gastos Generales'!D:D)</f>
        <v>0</v>
      </c>
      <c r="E116" s="189">
        <f>SUMIF('Gastos Generales'!$B:$B,PPvsREal!$C$116,'Gastos Generales'!E:E)</f>
        <v>0</v>
      </c>
      <c r="F116" s="189">
        <f>SUMIF('Gastos Generales'!$B:$B,PPvsREal!$C$116,'Gastos Generales'!F:F)</f>
        <v>0</v>
      </c>
      <c r="G116" s="189">
        <f>SUMIF('Gastos Generales'!$B:$B,PPvsREal!$C$116,'Gastos Generales'!G:G)</f>
        <v>0</v>
      </c>
      <c r="H116" s="189">
        <f>SUMIF('Gastos Generales'!$B:$B,PPvsREal!$C$116,'Gastos Generales'!H:H)</f>
        <v>742.2544</v>
      </c>
      <c r="I116" s="189">
        <f>SUMIF('Gastos Generales'!$B:$B,PPvsREal!$C$116,'Gastos Generales'!I:I)</f>
        <v>0</v>
      </c>
      <c r="J116" s="189">
        <f>SUMIF('Gastos Generales'!$B:$B,PPvsREal!$C$116,'Gastos Generales'!J:J)</f>
        <v>0</v>
      </c>
      <c r="K116" s="189">
        <f>SUMIF('Gastos Generales'!$B:$B,PPvsREal!$C$116,'Gastos Generales'!K:K)</f>
        <v>0</v>
      </c>
      <c r="L116" s="189">
        <f>SUMIF('Gastos Generales'!$B:$B,PPvsREal!$C$116,'Gastos Generales'!L:L)</f>
        <v>1682.7712</v>
      </c>
      <c r="M116" s="189">
        <f>SUMIF('Gastos Generales'!$B:$B,PPvsREal!$C$116,'Gastos Generales'!M:M)</f>
        <v>0</v>
      </c>
      <c r="N116" s="189">
        <f>SUMIF('Gastos Generales'!$B:$B,PPvsREal!$C$116,'Gastos Generales'!N:N)</f>
        <v>566.0188</v>
      </c>
      <c r="O116" s="189">
        <f>SUMIF('Gastos Generales'!$B:$B,PPvsREal!$C$116,'Gastos Generales'!O:O)</f>
        <v>0</v>
      </c>
      <c r="P116" s="189">
        <f>SUMIF('Gastos Generales'!$B:$B,PPvsREal!$C$116,'Gastos Generales'!P:P)</f>
        <v>0</v>
      </c>
      <c r="Q116" s="189">
        <f>SUMIF('Gastos Generales'!$B:$B,PPvsREal!$C$116,'Gastos Generales'!Q:Q)</f>
        <v>0</v>
      </c>
      <c r="R116" s="189">
        <f>SUMIF('Gastos Generales'!$B:$B,PPvsREal!$C$116,'Gastos Generales'!R:R)</f>
        <v>1712.6844</v>
      </c>
      <c r="S116" s="189">
        <f>SUMIF('Gastos Generales'!$B:$B,PPvsREal!$C$116,'Gastos Generales'!S:S)</f>
        <v>0</v>
      </c>
      <c r="T116" s="189">
        <f>SUMIF('Gastos Generales'!$B:$B,PPvsREal!$C$116,'Gastos Generales'!T:T)</f>
        <v>590.8016</v>
      </c>
      <c r="U116" s="189">
        <f>SUMIF('Gastos Generales'!$B:$B,PPvsREal!$C$116,'Gastos Generales'!U:U)</f>
        <v>0</v>
      </c>
      <c r="V116" s="189">
        <f>SUMIF('Gastos Generales'!$B:$B,PPvsREal!$C$116,'Gastos Generales'!V:V)</f>
        <v>424</v>
      </c>
      <c r="W116" s="189">
        <f>SUMIF('Gastos Generales'!$B:$B,PPvsREal!$C$116,'Gastos Generales'!W:W)</f>
        <v>0</v>
      </c>
      <c r="X116" s="189">
        <f>SUMIF('Gastos Generales'!$B:$B,PPvsREal!$C$116,'Gastos Generales'!X:X)</f>
        <v>530</v>
      </c>
      <c r="Y116" s="189">
        <f>SUMIF('Gastos Generales'!$B:$B,PPvsREal!$C$116,'Gastos Generales'!Y:Y)</f>
        <v>0</v>
      </c>
      <c r="Z116" s="189">
        <f>SUMIF('Gastos Generales'!$B:$B,PPvsREal!$C$116,'Gastos Generales'!Z:Z)</f>
        <v>424</v>
      </c>
      <c r="AA116" s="190">
        <f>SUMIF('Gastos Generales'!$B:$B,PPvsREal!$C$116,'Gastos Generales'!AA:AA)</f>
        <v>0</v>
      </c>
    </row>
    <row r="117" ht="12.75" customHeight="1">
      <c r="A117" s="111"/>
      <c r="B117" s="188" t="s">
        <v>37</v>
      </c>
      <c r="C117" s="2" t="s">
        <v>353</v>
      </c>
      <c r="D117" s="189">
        <f>SUMIF('Gastos Generales'!$B:$B,PPvsREal!$C$117,'Gastos Generales'!D:D)</f>
        <v>2862</v>
      </c>
      <c r="E117" s="189">
        <f>SUMIF('Gastos Generales'!$B:$B,PPvsREal!$C$117,'Gastos Generales'!E:E)</f>
        <v>0</v>
      </c>
      <c r="F117" s="189">
        <f>SUMIF('Gastos Generales'!$B:$B,PPvsREal!$C$117,'Gastos Generales'!F:F)</f>
        <v>0</v>
      </c>
      <c r="G117" s="189">
        <f>SUMIF('Gastos Generales'!$B:$B,PPvsREal!$C$117,'Gastos Generales'!G:G)</f>
        <v>0</v>
      </c>
      <c r="H117" s="189">
        <f>SUMIF('Gastos Generales'!$B:$B,PPvsREal!$C$117,'Gastos Generales'!H:H)</f>
        <v>0</v>
      </c>
      <c r="I117" s="189">
        <f>SUMIF('Gastos Generales'!$B:$B,PPvsREal!$C$117,'Gastos Generales'!I:I)</f>
        <v>0</v>
      </c>
      <c r="J117" s="189">
        <f>SUMIF('Gastos Generales'!$B:$B,PPvsREal!$C$117,'Gastos Generales'!J:J)</f>
        <v>0</v>
      </c>
      <c r="K117" s="189">
        <f>SUMIF('Gastos Generales'!$B:$B,PPvsREal!$C$117,'Gastos Generales'!K:K)</f>
        <v>0</v>
      </c>
      <c r="L117" s="189">
        <f>SUMIF('Gastos Generales'!$B:$B,PPvsREal!$C$117,'Gastos Generales'!L:L)</f>
        <v>0</v>
      </c>
      <c r="M117" s="189">
        <f>SUMIF('Gastos Generales'!$B:$B,PPvsREal!$C$117,'Gastos Generales'!M:M)</f>
        <v>0</v>
      </c>
      <c r="N117" s="189">
        <f>SUMIF('Gastos Generales'!$B:$B,PPvsREal!$C$117,'Gastos Generales'!N:N)</f>
        <v>0</v>
      </c>
      <c r="O117" s="189">
        <f>SUMIF('Gastos Generales'!$B:$B,PPvsREal!$C$117,'Gastos Generales'!O:O)</f>
        <v>0</v>
      </c>
      <c r="P117" s="189">
        <f>SUMIF('Gastos Generales'!$B:$B,PPvsREal!$C$117,'Gastos Generales'!P:P)</f>
        <v>0</v>
      </c>
      <c r="Q117" s="189">
        <f>SUMIF('Gastos Generales'!$B:$B,PPvsREal!$C$117,'Gastos Generales'!Q:Q)</f>
        <v>0</v>
      </c>
      <c r="R117" s="189">
        <f>SUMIF('Gastos Generales'!$B:$B,PPvsREal!$C$117,'Gastos Generales'!R:R)</f>
        <v>0</v>
      </c>
      <c r="S117" s="189">
        <f>SUMIF('Gastos Generales'!$B:$B,PPvsREal!$C$117,'Gastos Generales'!S:S)</f>
        <v>0</v>
      </c>
      <c r="T117" s="189">
        <f>SUMIF('Gastos Generales'!$B:$B,PPvsREal!$C$117,'Gastos Generales'!T:T)</f>
        <v>0</v>
      </c>
      <c r="U117" s="189">
        <f>SUMIF('Gastos Generales'!$B:$B,PPvsREal!$C$117,'Gastos Generales'!U:U)</f>
        <v>0</v>
      </c>
      <c r="V117" s="189">
        <f>SUMIF('Gastos Generales'!$B:$B,PPvsREal!$C$117,'Gastos Generales'!V:V)</f>
        <v>424</v>
      </c>
      <c r="W117" s="189">
        <f>SUMIF('Gastos Generales'!$B:$B,PPvsREal!$C$117,'Gastos Generales'!W:W)</f>
        <v>0</v>
      </c>
      <c r="X117" s="189">
        <f>SUMIF('Gastos Generales'!$B:$B,PPvsREal!$C$117,'Gastos Generales'!X:X)</f>
        <v>424</v>
      </c>
      <c r="Y117" s="189">
        <f>SUMIF('Gastos Generales'!$B:$B,PPvsREal!$C$117,'Gastos Generales'!Y:Y)</f>
        <v>0</v>
      </c>
      <c r="Z117" s="189">
        <f>SUMIF('Gastos Generales'!$B:$B,PPvsREal!$C$117,'Gastos Generales'!Z:Z)</f>
        <v>424</v>
      </c>
      <c r="AA117" s="190">
        <f>SUMIF('Gastos Generales'!$B:$B,PPvsREal!$C$117,'Gastos Generales'!AA:AA)</f>
        <v>0</v>
      </c>
    </row>
    <row r="118" ht="12.75" customHeight="1">
      <c r="A118" s="111"/>
      <c r="B118" s="188" t="s">
        <v>37</v>
      </c>
      <c r="C118" s="2" t="s">
        <v>355</v>
      </c>
      <c r="D118" s="189">
        <f>SUMIF('Gastos Generales'!$B:$B,PPvsREal!$C$118,'Gastos Generales'!D:D)</f>
        <v>0</v>
      </c>
      <c r="E118" s="189">
        <f>SUMIF('Gastos Generales'!$B:$B,PPvsREal!$C$118,'Gastos Generales'!E:E)</f>
        <v>0</v>
      </c>
      <c r="F118" s="189">
        <f>SUMIF('Gastos Generales'!$B:$B,PPvsREal!$C$118,'Gastos Generales'!F:F)</f>
        <v>0</v>
      </c>
      <c r="G118" s="189">
        <f>SUMIF('Gastos Generales'!$B:$B,PPvsREal!$C$118,'Gastos Generales'!G:G)</f>
        <v>0</v>
      </c>
      <c r="H118" s="189">
        <f>SUMIF('Gastos Generales'!$B:$B,PPvsREal!$C$118,'Gastos Generales'!H:H)</f>
        <v>0</v>
      </c>
      <c r="I118" s="189">
        <f>SUMIF('Gastos Generales'!$B:$B,PPvsREal!$C$118,'Gastos Generales'!I:I)</f>
        <v>0</v>
      </c>
      <c r="J118" s="189">
        <f>SUMIF('Gastos Generales'!$B:$B,PPvsREal!$C$118,'Gastos Generales'!J:J)</f>
        <v>0</v>
      </c>
      <c r="K118" s="189">
        <f>SUMIF('Gastos Generales'!$B:$B,PPvsREal!$C$118,'Gastos Generales'!K:K)</f>
        <v>0</v>
      </c>
      <c r="L118" s="189">
        <f>SUMIF('Gastos Generales'!$B:$B,PPvsREal!$C$118,'Gastos Generales'!L:L)</f>
        <v>7420</v>
      </c>
      <c r="M118" s="189">
        <f>SUMIF('Gastos Generales'!$B:$B,PPvsREal!$C$118,'Gastos Generales'!M:M)</f>
        <v>0</v>
      </c>
      <c r="N118" s="189">
        <f>SUMIF('Gastos Generales'!$B:$B,PPvsREal!$C$118,'Gastos Generales'!N:N)</f>
        <v>7420</v>
      </c>
      <c r="O118" s="189">
        <f>SUMIF('Gastos Generales'!$B:$B,PPvsREal!$C$118,'Gastos Generales'!O:O)</f>
        <v>0</v>
      </c>
      <c r="P118" s="189">
        <f>SUMIF('Gastos Generales'!$B:$B,PPvsREal!$C$118,'Gastos Generales'!P:P)</f>
        <v>0</v>
      </c>
      <c r="Q118" s="189">
        <f>SUMIF('Gastos Generales'!$B:$B,PPvsREal!$C$118,'Gastos Generales'!Q:Q)</f>
        <v>0</v>
      </c>
      <c r="R118" s="189">
        <f>SUMIF('Gastos Generales'!$B:$B,PPvsREal!$C$118,'Gastos Generales'!R:R)</f>
        <v>0</v>
      </c>
      <c r="S118" s="189">
        <f>SUMIF('Gastos Generales'!$B:$B,PPvsREal!$C$118,'Gastos Generales'!S:S)</f>
        <v>0</v>
      </c>
      <c r="T118" s="189">
        <f>SUMIF('Gastos Generales'!$B:$B,PPvsREal!$C$118,'Gastos Generales'!T:T)</f>
        <v>0</v>
      </c>
      <c r="U118" s="189">
        <f>SUMIF('Gastos Generales'!$B:$B,PPvsREal!$C$118,'Gastos Generales'!U:U)</f>
        <v>0</v>
      </c>
      <c r="V118" s="189">
        <f>SUMIF('Gastos Generales'!$B:$B,PPvsREal!$C$118,'Gastos Generales'!V:V)</f>
        <v>0</v>
      </c>
      <c r="W118" s="189">
        <f>SUMIF('Gastos Generales'!$B:$B,PPvsREal!$C$118,'Gastos Generales'!W:W)</f>
        <v>0</v>
      </c>
      <c r="X118" s="189">
        <f>SUMIF('Gastos Generales'!$B:$B,PPvsREal!$C$118,'Gastos Generales'!X:X)</f>
        <v>26500</v>
      </c>
      <c r="Y118" s="189">
        <f>SUMIF('Gastos Generales'!$B:$B,PPvsREal!$C$118,'Gastos Generales'!Y:Y)</f>
        <v>0</v>
      </c>
      <c r="Z118" s="189">
        <f>SUMIF('Gastos Generales'!$B:$B,PPvsREal!$C$118,'Gastos Generales'!Z:Z)</f>
        <v>0</v>
      </c>
      <c r="AA118" s="190">
        <f>SUMIF('Gastos Generales'!$B:$B,PPvsREal!$C$118,'Gastos Generales'!AA:AA)</f>
        <v>0</v>
      </c>
    </row>
    <row r="119" ht="12.75" customHeight="1">
      <c r="A119" s="111"/>
      <c r="B119" s="188" t="s">
        <v>37</v>
      </c>
      <c r="C119" s="2" t="s">
        <v>357</v>
      </c>
      <c r="D119" s="189">
        <f>SUMIF('Gastos Generales'!$B:$B,PPvsREal!$C$119,'Gastos Generales'!D:D)</f>
        <v>0</v>
      </c>
      <c r="E119" s="189">
        <f>SUMIF('Gastos Generales'!$B:$B,PPvsREal!$C$119,'Gastos Generales'!E:E)</f>
        <v>0</v>
      </c>
      <c r="F119" s="189">
        <f>SUMIF('Gastos Generales'!$B:$B,PPvsREal!$C$119,'Gastos Generales'!F:F)</f>
        <v>0</v>
      </c>
      <c r="G119" s="189">
        <f>SUMIF('Gastos Generales'!$B:$B,PPvsREal!$C$119,'Gastos Generales'!G:G)</f>
        <v>0</v>
      </c>
      <c r="H119" s="189">
        <f>SUMIF('Gastos Generales'!$B:$B,PPvsREal!$C$119,'Gastos Generales'!H:H)</f>
        <v>0</v>
      </c>
      <c r="I119" s="189">
        <f>SUMIF('Gastos Generales'!$B:$B,PPvsREal!$C$119,'Gastos Generales'!I:I)</f>
        <v>0</v>
      </c>
      <c r="J119" s="189">
        <f>SUMIF('Gastos Generales'!$B:$B,PPvsREal!$C$119,'Gastos Generales'!J:J)</f>
        <v>0</v>
      </c>
      <c r="K119" s="189">
        <f>SUMIF('Gastos Generales'!$B:$B,PPvsREal!$C$119,'Gastos Generales'!K:K)</f>
        <v>0</v>
      </c>
      <c r="L119" s="189">
        <f>SUMIF('Gastos Generales'!$B:$B,PPvsREal!$C$119,'Gastos Generales'!L:L)</f>
        <v>0</v>
      </c>
      <c r="M119" s="189">
        <f>SUMIF('Gastos Generales'!$B:$B,PPvsREal!$C$119,'Gastos Generales'!M:M)</f>
        <v>0</v>
      </c>
      <c r="N119" s="189">
        <f>SUMIF('Gastos Generales'!$B:$B,PPvsREal!$C$119,'Gastos Generales'!N:N)</f>
        <v>0</v>
      </c>
      <c r="O119" s="189">
        <f>SUMIF('Gastos Generales'!$B:$B,PPvsREal!$C$119,'Gastos Generales'!O:O)</f>
        <v>0</v>
      </c>
      <c r="P119" s="189">
        <f>SUMIF('Gastos Generales'!$B:$B,PPvsREal!$C$119,'Gastos Generales'!P:P)</f>
        <v>15903.4026</v>
      </c>
      <c r="Q119" s="189">
        <f>SUMIF('Gastos Generales'!$B:$B,PPvsREal!$C$119,'Gastos Generales'!Q:Q)</f>
        <v>0</v>
      </c>
      <c r="R119" s="189">
        <f>SUMIF('Gastos Generales'!$B:$B,PPvsREal!$C$119,'Gastos Generales'!R:R)</f>
        <v>0</v>
      </c>
      <c r="S119" s="189">
        <f>SUMIF('Gastos Generales'!$B:$B,PPvsREal!$C$119,'Gastos Generales'!S:S)</f>
        <v>0</v>
      </c>
      <c r="T119" s="189">
        <f>SUMIF('Gastos Generales'!$B:$B,PPvsREal!$C$119,'Gastos Generales'!T:T)</f>
        <v>0</v>
      </c>
      <c r="U119" s="189">
        <f>SUMIF('Gastos Generales'!$B:$B,PPvsREal!$C$119,'Gastos Generales'!U:U)</f>
        <v>0</v>
      </c>
      <c r="V119" s="189">
        <f>SUMIF('Gastos Generales'!$B:$B,PPvsREal!$C$119,'Gastos Generales'!V:V)</f>
        <v>0</v>
      </c>
      <c r="W119" s="189">
        <f>SUMIF('Gastos Generales'!$B:$B,PPvsREal!$C$119,'Gastos Generales'!W:W)</f>
        <v>0</v>
      </c>
      <c r="X119" s="189">
        <f>SUMIF('Gastos Generales'!$B:$B,PPvsREal!$C$119,'Gastos Generales'!X:X)</f>
        <v>0</v>
      </c>
      <c r="Y119" s="189">
        <f>SUMIF('Gastos Generales'!$B:$B,PPvsREal!$C$119,'Gastos Generales'!Y:Y)</f>
        <v>0</v>
      </c>
      <c r="Z119" s="189">
        <f>SUMIF('Gastos Generales'!$B:$B,PPvsREal!$C$119,'Gastos Generales'!Z:Z)</f>
        <v>0</v>
      </c>
      <c r="AA119" s="190">
        <f>SUMIF('Gastos Generales'!$B:$B,PPvsREal!$C$119,'Gastos Generales'!AA:AA)</f>
        <v>0</v>
      </c>
    </row>
    <row r="120" ht="12.75" customHeight="1">
      <c r="A120" s="111"/>
      <c r="B120" s="188" t="s">
        <v>37</v>
      </c>
      <c r="C120" s="2" t="s">
        <v>359</v>
      </c>
      <c r="D120" s="189">
        <f>SUMIF('Gastos Generales'!$B:$B,PPvsREal!$C$120,'Gastos Generales'!D:D)</f>
        <v>0</v>
      </c>
      <c r="E120" s="189">
        <f>SUMIF('Gastos Generales'!$B:$B,PPvsREal!$C$120,'Gastos Generales'!E:E)</f>
        <v>0</v>
      </c>
      <c r="F120" s="189">
        <f>SUMIF('Gastos Generales'!$B:$B,PPvsREal!$C$120,'Gastos Generales'!F:F)</f>
        <v>0</v>
      </c>
      <c r="G120" s="189">
        <f>SUMIF('Gastos Generales'!$B:$B,PPvsREal!$C$120,'Gastos Generales'!G:G)</f>
        <v>0</v>
      </c>
      <c r="H120" s="189">
        <f>SUMIF('Gastos Generales'!$B:$B,PPvsREal!$C$120,'Gastos Generales'!H:H)</f>
        <v>0</v>
      </c>
      <c r="I120" s="189">
        <f>SUMIF('Gastos Generales'!$B:$B,PPvsREal!$C$120,'Gastos Generales'!I:I)</f>
        <v>0</v>
      </c>
      <c r="J120" s="189">
        <f>SUMIF('Gastos Generales'!$B:$B,PPvsREal!$C$120,'Gastos Generales'!J:J)</f>
        <v>0</v>
      </c>
      <c r="K120" s="189">
        <f>SUMIF('Gastos Generales'!$B:$B,PPvsREal!$C$120,'Gastos Generales'!K:K)</f>
        <v>0</v>
      </c>
      <c r="L120" s="189">
        <f>SUMIF('Gastos Generales'!$B:$B,PPvsREal!$C$120,'Gastos Generales'!L:L)</f>
        <v>0</v>
      </c>
      <c r="M120" s="189">
        <f>SUMIF('Gastos Generales'!$B:$B,PPvsREal!$C$120,'Gastos Generales'!M:M)</f>
        <v>0</v>
      </c>
      <c r="N120" s="189">
        <f>SUMIF('Gastos Generales'!$B:$B,PPvsREal!$C$120,'Gastos Generales'!N:N)</f>
        <v>0</v>
      </c>
      <c r="O120" s="189">
        <f>SUMIF('Gastos Generales'!$B:$B,PPvsREal!$C$120,'Gastos Generales'!O:O)</f>
        <v>0</v>
      </c>
      <c r="P120" s="189">
        <f>SUMIF('Gastos Generales'!$B:$B,PPvsREal!$C$120,'Gastos Generales'!P:P)</f>
        <v>10833.9314</v>
      </c>
      <c r="Q120" s="189">
        <f>SUMIF('Gastos Generales'!$B:$B,PPvsREal!$C$120,'Gastos Generales'!Q:Q)</f>
        <v>0</v>
      </c>
      <c r="R120" s="189">
        <f>SUMIF('Gastos Generales'!$B:$B,PPvsREal!$C$120,'Gastos Generales'!R:R)</f>
        <v>0</v>
      </c>
      <c r="S120" s="189">
        <f>SUMIF('Gastos Generales'!$B:$B,PPvsREal!$C$120,'Gastos Generales'!S:S)</f>
        <v>0</v>
      </c>
      <c r="T120" s="189">
        <f>SUMIF('Gastos Generales'!$B:$B,PPvsREal!$C$120,'Gastos Generales'!T:T)</f>
        <v>0</v>
      </c>
      <c r="U120" s="189">
        <f>SUMIF('Gastos Generales'!$B:$B,PPvsREal!$C$120,'Gastos Generales'!U:U)</f>
        <v>0</v>
      </c>
      <c r="V120" s="189">
        <f>SUMIF('Gastos Generales'!$B:$B,PPvsREal!$C$120,'Gastos Generales'!V:V)</f>
        <v>0</v>
      </c>
      <c r="W120" s="189">
        <f>SUMIF('Gastos Generales'!$B:$B,PPvsREal!$C$120,'Gastos Generales'!W:W)</f>
        <v>0</v>
      </c>
      <c r="X120" s="189">
        <f>SUMIF('Gastos Generales'!$B:$B,PPvsREal!$C$120,'Gastos Generales'!X:X)</f>
        <v>0</v>
      </c>
      <c r="Y120" s="189">
        <f>SUMIF('Gastos Generales'!$B:$B,PPvsREal!$C$120,'Gastos Generales'!Y:Y)</f>
        <v>0</v>
      </c>
      <c r="Z120" s="189">
        <f>SUMIF('Gastos Generales'!$B:$B,PPvsREal!$C$120,'Gastos Generales'!Z:Z)</f>
        <v>0</v>
      </c>
      <c r="AA120" s="190">
        <f>SUMIF('Gastos Generales'!$B:$B,PPvsREal!$C$120,'Gastos Generales'!AA:AA)</f>
        <v>0</v>
      </c>
    </row>
    <row r="121" ht="12.75" customHeight="1">
      <c r="A121" s="111"/>
      <c r="B121" s="188" t="s">
        <v>37</v>
      </c>
      <c r="C121" s="2" t="s">
        <v>361</v>
      </c>
      <c r="D121" s="189">
        <f>SUMIF('Gastos Generales'!$B:$B,PPvsREal!$C$121,'Gastos Generales'!D:D)</f>
        <v>16678.3792</v>
      </c>
      <c r="E121" s="189">
        <f>SUMIF('Gastos Generales'!$B:$B,PPvsREal!$C$121,'Gastos Generales'!E:E)</f>
        <v>0</v>
      </c>
      <c r="F121" s="189">
        <f>SUMIF('Gastos Generales'!$B:$B,PPvsREal!$C$121,'Gastos Generales'!F:F)</f>
        <v>16678.3792</v>
      </c>
      <c r="G121" s="189">
        <f>SUMIF('Gastos Generales'!$B:$B,PPvsREal!$C$121,'Gastos Generales'!G:G)</f>
        <v>0</v>
      </c>
      <c r="H121" s="189">
        <f>SUMIF('Gastos Generales'!$B:$B,PPvsREal!$C$121,'Gastos Generales'!H:H)</f>
        <v>16678.3792</v>
      </c>
      <c r="I121" s="189">
        <f>SUMIF('Gastos Generales'!$B:$B,PPvsREal!$C$121,'Gastos Generales'!I:I)</f>
        <v>0</v>
      </c>
      <c r="J121" s="189">
        <f>SUMIF('Gastos Generales'!$B:$B,PPvsREal!$C$121,'Gastos Generales'!J:J)</f>
        <v>16678.3792</v>
      </c>
      <c r="K121" s="189">
        <f>SUMIF('Gastos Generales'!$B:$B,PPvsREal!$C$121,'Gastos Generales'!K:K)</f>
        <v>0</v>
      </c>
      <c r="L121" s="189">
        <f>SUMIF('Gastos Generales'!$B:$B,PPvsREal!$C$121,'Gastos Generales'!L:L)</f>
        <v>16678.3792</v>
      </c>
      <c r="M121" s="189">
        <f>SUMIF('Gastos Generales'!$B:$B,PPvsREal!$C$121,'Gastos Generales'!M:M)</f>
        <v>0</v>
      </c>
      <c r="N121" s="189">
        <f>SUMIF('Gastos Generales'!$B:$B,PPvsREal!$C$121,'Gastos Generales'!N:N)</f>
        <v>16678.3792</v>
      </c>
      <c r="O121" s="189">
        <f>SUMIF('Gastos Generales'!$B:$B,PPvsREal!$C$121,'Gastos Generales'!O:O)</f>
        <v>0</v>
      </c>
      <c r="P121" s="189">
        <f>SUMIF('Gastos Generales'!$B:$B,PPvsREal!$C$121,'Gastos Generales'!P:P)</f>
        <v>16678.3792</v>
      </c>
      <c r="Q121" s="189">
        <f>SUMIF('Gastos Generales'!$B:$B,PPvsREal!$C$121,'Gastos Generales'!Q:Q)</f>
        <v>0</v>
      </c>
      <c r="R121" s="189">
        <f>SUMIF('Gastos Generales'!$B:$B,PPvsREal!$C$121,'Gastos Generales'!R:R)</f>
        <v>16678.3792</v>
      </c>
      <c r="S121" s="189">
        <f>SUMIF('Gastos Generales'!$B:$B,PPvsREal!$C$121,'Gastos Generales'!S:S)</f>
        <v>0</v>
      </c>
      <c r="T121" s="189">
        <f>SUMIF('Gastos Generales'!$B:$B,PPvsREal!$C$121,'Gastos Generales'!T:T)</f>
        <v>16678.3792</v>
      </c>
      <c r="U121" s="189">
        <f>SUMIF('Gastos Generales'!$B:$B,PPvsREal!$C$121,'Gastos Generales'!U:U)</f>
        <v>0</v>
      </c>
      <c r="V121" s="189">
        <f>SUMIF('Gastos Generales'!$B:$B,PPvsREal!$C$121,'Gastos Generales'!V:V)</f>
        <v>17512.29816</v>
      </c>
      <c r="W121" s="189">
        <f>SUMIF('Gastos Generales'!$B:$B,PPvsREal!$C$121,'Gastos Generales'!W:W)</f>
        <v>0</v>
      </c>
      <c r="X121" s="189">
        <f>SUMIF('Gastos Generales'!$B:$B,PPvsREal!$C$121,'Gastos Generales'!X:X)</f>
        <v>17512.29816</v>
      </c>
      <c r="Y121" s="189">
        <f>SUMIF('Gastos Generales'!$B:$B,PPvsREal!$C$121,'Gastos Generales'!Y:Y)</f>
        <v>0</v>
      </c>
      <c r="Z121" s="189">
        <f>SUMIF('Gastos Generales'!$B:$B,PPvsREal!$C$121,'Gastos Generales'!Z:Z)</f>
        <v>17512.29816</v>
      </c>
      <c r="AA121" s="190">
        <f>SUMIF('Gastos Generales'!$B:$B,PPvsREal!$C$121,'Gastos Generales'!AA:AA)</f>
        <v>0</v>
      </c>
    </row>
    <row r="122" ht="12.75" customHeight="1">
      <c r="A122" s="111"/>
      <c r="B122" s="188" t="s">
        <v>37</v>
      </c>
      <c r="C122" s="2" t="s">
        <v>363</v>
      </c>
      <c r="D122" s="189">
        <f>SUMIF('Gastos Generales'!$B:$B,PPvsREal!$C$122,'Gastos Generales'!D:D)</f>
        <v>8220.9148</v>
      </c>
      <c r="E122" s="189">
        <f>SUMIF('Gastos Generales'!$B:$B,PPvsREal!$C$122,'Gastos Generales'!E:E)</f>
        <v>0</v>
      </c>
      <c r="F122" s="189">
        <f>SUMIF('Gastos Generales'!$B:$B,PPvsREal!$C$122,'Gastos Generales'!F:F)</f>
        <v>0</v>
      </c>
      <c r="G122" s="189">
        <f>SUMIF('Gastos Generales'!$B:$B,PPvsREal!$C$122,'Gastos Generales'!G:G)</f>
        <v>0</v>
      </c>
      <c r="H122" s="189">
        <f>SUMIF('Gastos Generales'!$B:$B,PPvsREal!$C$122,'Gastos Generales'!H:H)</f>
        <v>-792.9754</v>
      </c>
      <c r="I122" s="189">
        <f>SUMIF('Gastos Generales'!$B:$B,PPvsREal!$C$122,'Gastos Generales'!I:I)</f>
        <v>0</v>
      </c>
      <c r="J122" s="189">
        <f>SUMIF('Gastos Generales'!$B:$B,PPvsREal!$C$122,'Gastos Generales'!J:J)</f>
        <v>743.166</v>
      </c>
      <c r="K122" s="189">
        <f>SUMIF('Gastos Generales'!$B:$B,PPvsREal!$C$122,'Gastos Generales'!K:K)</f>
        <v>0</v>
      </c>
      <c r="L122" s="189">
        <f>SUMIF('Gastos Generales'!$B:$B,PPvsREal!$C$122,'Gastos Generales'!L:L)</f>
        <v>40402.5356</v>
      </c>
      <c r="M122" s="189">
        <f>SUMIF('Gastos Generales'!$B:$B,PPvsREal!$C$122,'Gastos Generales'!M:M)</f>
        <v>0</v>
      </c>
      <c r="N122" s="189">
        <f>SUMIF('Gastos Generales'!$B:$B,PPvsREal!$C$122,'Gastos Generales'!N:N)</f>
        <v>45580</v>
      </c>
      <c r="O122" s="189">
        <f>SUMIF('Gastos Generales'!$B:$B,PPvsREal!$C$122,'Gastos Generales'!O:O)</f>
        <v>0</v>
      </c>
      <c r="P122" s="189">
        <f>SUMIF('Gastos Generales'!$B:$B,PPvsREal!$C$122,'Gastos Generales'!P:P)</f>
        <v>0</v>
      </c>
      <c r="Q122" s="189">
        <f>SUMIF('Gastos Generales'!$B:$B,PPvsREal!$C$122,'Gastos Generales'!Q:Q)</f>
        <v>0</v>
      </c>
      <c r="R122" s="189">
        <f>SUMIF('Gastos Generales'!$B:$B,PPvsREal!$C$122,'Gastos Generales'!R:R)</f>
        <v>1526.4</v>
      </c>
      <c r="S122" s="189">
        <f>SUMIF('Gastos Generales'!$B:$B,PPvsREal!$C$122,'Gastos Generales'!S:S)</f>
        <v>0</v>
      </c>
      <c r="T122" s="189">
        <f>SUMIF('Gastos Generales'!$B:$B,PPvsREal!$C$122,'Gastos Generales'!T:T)</f>
        <v>12284.8064</v>
      </c>
      <c r="U122" s="189">
        <f>SUMIF('Gastos Generales'!$B:$B,PPvsREal!$C$122,'Gastos Generales'!U:U)</f>
        <v>0</v>
      </c>
      <c r="V122" s="189">
        <f>SUMIF('Gastos Generales'!$B:$B,PPvsREal!$C$122,'Gastos Generales'!V:V)</f>
        <v>21200</v>
      </c>
      <c r="W122" s="189">
        <f>SUMIF('Gastos Generales'!$B:$B,PPvsREal!$C$122,'Gastos Generales'!W:W)</f>
        <v>0</v>
      </c>
      <c r="X122" s="189">
        <f>SUMIF('Gastos Generales'!$B:$B,PPvsREal!$C$122,'Gastos Generales'!X:X)</f>
        <v>0</v>
      </c>
      <c r="Y122" s="189">
        <f>SUMIF('Gastos Generales'!$B:$B,PPvsREal!$C$122,'Gastos Generales'!Y:Y)</f>
        <v>0</v>
      </c>
      <c r="Z122" s="189">
        <f>SUMIF('Gastos Generales'!$B:$B,PPvsREal!$C$122,'Gastos Generales'!Z:Z)</f>
        <v>21200</v>
      </c>
      <c r="AA122" s="190">
        <f>SUMIF('Gastos Generales'!$B:$B,PPvsREal!$C$122,'Gastos Generales'!AA:AA)</f>
        <v>0</v>
      </c>
    </row>
    <row r="123" ht="12.75" customHeight="1">
      <c r="A123" s="111"/>
      <c r="B123" s="188" t="s">
        <v>37</v>
      </c>
      <c r="C123" s="2" t="s">
        <v>365</v>
      </c>
      <c r="D123" s="189">
        <f>SUMIF('Gastos Generales'!$B:$B,PPvsREal!$C$123,'Gastos Generales'!D:D)</f>
        <v>0</v>
      </c>
      <c r="E123" s="189">
        <f>SUMIF('Gastos Generales'!$B:$B,PPvsREal!$C$123,'Gastos Generales'!E:E)</f>
        <v>0</v>
      </c>
      <c r="F123" s="189">
        <f>SUMIF('Gastos Generales'!$B:$B,PPvsREal!$C$123,'Gastos Generales'!F:F)</f>
        <v>0</v>
      </c>
      <c r="G123" s="189">
        <f>SUMIF('Gastos Generales'!$B:$B,PPvsREal!$C$123,'Gastos Generales'!G:G)</f>
        <v>0</v>
      </c>
      <c r="H123" s="189">
        <f>SUMIF('Gastos Generales'!$B:$B,PPvsREal!$C$123,'Gastos Generales'!H:H)</f>
        <v>0</v>
      </c>
      <c r="I123" s="189">
        <f>SUMIF('Gastos Generales'!$B:$B,PPvsREal!$C$123,'Gastos Generales'!I:I)</f>
        <v>0</v>
      </c>
      <c r="J123" s="189">
        <f>SUMIF('Gastos Generales'!$B:$B,PPvsREal!$C$123,'Gastos Generales'!J:J)</f>
        <v>0</v>
      </c>
      <c r="K123" s="189">
        <f>SUMIF('Gastos Generales'!$B:$B,PPvsREal!$C$123,'Gastos Generales'!K:K)</f>
        <v>0</v>
      </c>
      <c r="L123" s="189">
        <f>SUMIF('Gastos Generales'!$B:$B,PPvsREal!$C$123,'Gastos Generales'!L:L)</f>
        <v>0</v>
      </c>
      <c r="M123" s="189">
        <f>SUMIF('Gastos Generales'!$B:$B,PPvsREal!$C$123,'Gastos Generales'!M:M)</f>
        <v>0</v>
      </c>
      <c r="N123" s="189">
        <f>SUMIF('Gastos Generales'!$B:$B,PPvsREal!$C$123,'Gastos Generales'!N:N)</f>
        <v>0</v>
      </c>
      <c r="O123" s="189">
        <f>SUMIF('Gastos Generales'!$B:$B,PPvsREal!$C$123,'Gastos Generales'!O:O)</f>
        <v>0</v>
      </c>
      <c r="P123" s="189">
        <f>SUMIF('Gastos Generales'!$B:$B,PPvsREal!$C$123,'Gastos Generales'!P:P)</f>
        <v>0</v>
      </c>
      <c r="Q123" s="189">
        <f>SUMIF('Gastos Generales'!$B:$B,PPvsREal!$C$123,'Gastos Generales'!Q:Q)</f>
        <v>0</v>
      </c>
      <c r="R123" s="189">
        <f>SUMIF('Gastos Generales'!$B:$B,PPvsREal!$C$123,'Gastos Generales'!R:R)</f>
        <v>0</v>
      </c>
      <c r="S123" s="189">
        <f>SUMIF('Gastos Generales'!$B:$B,PPvsREal!$C$123,'Gastos Generales'!S:S)</f>
        <v>0</v>
      </c>
      <c r="T123" s="189">
        <f>SUMIF('Gastos Generales'!$B:$B,PPvsREal!$C$123,'Gastos Generales'!T:T)</f>
        <v>0</v>
      </c>
      <c r="U123" s="189">
        <f>SUMIF('Gastos Generales'!$B:$B,PPvsREal!$C$123,'Gastos Generales'!U:U)</f>
        <v>0</v>
      </c>
      <c r="V123" s="189">
        <f>SUMIF('Gastos Generales'!$B:$B,PPvsREal!$C$123,'Gastos Generales'!V:V)</f>
        <v>0</v>
      </c>
      <c r="W123" s="189">
        <f>SUMIF('Gastos Generales'!$B:$B,PPvsREal!$C$123,'Gastos Generales'!W:W)</f>
        <v>0</v>
      </c>
      <c r="X123" s="189">
        <f>SUMIF('Gastos Generales'!$B:$B,PPvsREal!$C$123,'Gastos Generales'!X:X)</f>
        <v>18815</v>
      </c>
      <c r="Y123" s="189">
        <f>SUMIF('Gastos Generales'!$B:$B,PPvsREal!$C$123,'Gastos Generales'!Y:Y)</f>
        <v>0</v>
      </c>
      <c r="Z123" s="189">
        <f>SUMIF('Gastos Generales'!$B:$B,PPvsREal!$C$123,'Gastos Generales'!Z:Z)</f>
        <v>18815</v>
      </c>
      <c r="AA123" s="190">
        <f>SUMIF('Gastos Generales'!$B:$B,PPvsREal!$C$123,'Gastos Generales'!AA:AA)</f>
        <v>0</v>
      </c>
    </row>
    <row r="124" ht="12.75" customHeight="1">
      <c r="A124" s="111"/>
      <c r="B124" s="188" t="s">
        <v>37</v>
      </c>
      <c r="C124" s="2" t="s">
        <v>367</v>
      </c>
      <c r="D124" s="189">
        <f>SUMIF('Gastos Generales'!$B:$B,PPvsREal!$C$124,'Gastos Generales'!D:D)</f>
        <v>10000</v>
      </c>
      <c r="E124" s="189">
        <f>SUMIF('Gastos Generales'!$B:$B,PPvsREal!$C$124,'Gastos Generales'!E:E)</f>
        <v>0</v>
      </c>
      <c r="F124" s="189">
        <f>SUMIF('Gastos Generales'!$B:$B,PPvsREal!$C$124,'Gastos Generales'!F:F)</f>
        <v>15000</v>
      </c>
      <c r="G124" s="189">
        <f>SUMIF('Gastos Generales'!$B:$B,PPvsREal!$C$124,'Gastos Generales'!G:G)</f>
        <v>0</v>
      </c>
      <c r="H124" s="189">
        <f>SUMIF('Gastos Generales'!$B:$B,PPvsREal!$C$124,'Gastos Generales'!H:H)</f>
        <v>7500</v>
      </c>
      <c r="I124" s="189">
        <f>SUMIF('Gastos Generales'!$B:$B,PPvsREal!$C$124,'Gastos Generales'!I:I)</f>
        <v>0</v>
      </c>
      <c r="J124" s="189">
        <f>SUMIF('Gastos Generales'!$B:$B,PPvsREal!$C$124,'Gastos Generales'!J:J)</f>
        <v>7500</v>
      </c>
      <c r="K124" s="189">
        <f>SUMIF('Gastos Generales'!$B:$B,PPvsREal!$C$124,'Gastos Generales'!K:K)</f>
        <v>0</v>
      </c>
      <c r="L124" s="189">
        <f>SUMIF('Gastos Generales'!$B:$B,PPvsREal!$C$124,'Gastos Generales'!L:L)</f>
        <v>7500</v>
      </c>
      <c r="M124" s="189">
        <f>SUMIF('Gastos Generales'!$B:$B,PPvsREal!$C$124,'Gastos Generales'!M:M)</f>
        <v>0</v>
      </c>
      <c r="N124" s="189">
        <f>SUMIF('Gastos Generales'!$B:$B,PPvsREal!$C$124,'Gastos Generales'!N:N)</f>
        <v>7500</v>
      </c>
      <c r="O124" s="189">
        <f>SUMIF('Gastos Generales'!$B:$B,PPvsREal!$C$124,'Gastos Generales'!O:O)</f>
        <v>0</v>
      </c>
      <c r="P124" s="189">
        <f>SUMIF('Gastos Generales'!$B:$B,PPvsREal!$C$124,'Gastos Generales'!P:P)</f>
        <v>7500</v>
      </c>
      <c r="Q124" s="189">
        <f>SUMIF('Gastos Generales'!$B:$B,PPvsREal!$C$124,'Gastos Generales'!Q:Q)</f>
        <v>0</v>
      </c>
      <c r="R124" s="189">
        <f>SUMIF('Gastos Generales'!$B:$B,PPvsREal!$C$124,'Gastos Generales'!R:R)</f>
        <v>7500</v>
      </c>
      <c r="S124" s="189">
        <f>SUMIF('Gastos Generales'!$B:$B,PPvsREal!$C$124,'Gastos Generales'!S:S)</f>
        <v>0</v>
      </c>
      <c r="T124" s="189">
        <f>SUMIF('Gastos Generales'!$B:$B,PPvsREal!$C$124,'Gastos Generales'!T:T)</f>
        <v>7500</v>
      </c>
      <c r="U124" s="189">
        <f>SUMIF('Gastos Generales'!$B:$B,PPvsREal!$C$124,'Gastos Generales'!U:U)</f>
        <v>0</v>
      </c>
      <c r="V124" s="189">
        <f>SUMIF('Gastos Generales'!$B:$B,PPvsREal!$C$124,'Gastos Generales'!V:V)</f>
        <v>7500</v>
      </c>
      <c r="W124" s="189">
        <f>SUMIF('Gastos Generales'!$B:$B,PPvsREal!$C$124,'Gastos Generales'!W:W)</f>
        <v>0</v>
      </c>
      <c r="X124" s="189">
        <f>SUMIF('Gastos Generales'!$B:$B,PPvsREal!$C$124,'Gastos Generales'!X:X)</f>
        <v>7500</v>
      </c>
      <c r="Y124" s="189">
        <f>SUMIF('Gastos Generales'!$B:$B,PPvsREal!$C$124,'Gastos Generales'!Y:Y)</f>
        <v>0</v>
      </c>
      <c r="Z124" s="189">
        <f>SUMIF('Gastos Generales'!$B:$B,PPvsREal!$C$124,'Gastos Generales'!Z:Z)</f>
        <v>7500</v>
      </c>
      <c r="AA124" s="190">
        <f>SUMIF('Gastos Generales'!$B:$B,PPvsREal!$C$124,'Gastos Generales'!AA:AA)</f>
        <v>0</v>
      </c>
    </row>
    <row r="125" ht="12.75" customHeight="1">
      <c r="A125" s="111"/>
      <c r="B125" s="188" t="s">
        <v>37</v>
      </c>
      <c r="C125" s="2" t="s">
        <v>369</v>
      </c>
      <c r="D125" s="189">
        <f>SUMIF('Gastos Generales'!$B:$B,PPvsREal!$C$125,'Gastos Generales'!D:D)</f>
        <v>0</v>
      </c>
      <c r="E125" s="189">
        <f>SUMIF('Gastos Generales'!$B:$B,PPvsREal!$C$125,'Gastos Generales'!E:E)</f>
        <v>0</v>
      </c>
      <c r="F125" s="189">
        <f>SUMIF('Gastos Generales'!$B:$B,PPvsREal!$C$125,'Gastos Generales'!F:F)</f>
        <v>0</v>
      </c>
      <c r="G125" s="189">
        <f>SUMIF('Gastos Generales'!$B:$B,PPvsREal!$C$125,'Gastos Generales'!G:G)</f>
        <v>0</v>
      </c>
      <c r="H125" s="189">
        <f>SUMIF('Gastos Generales'!$B:$B,PPvsREal!$C$125,'Gastos Generales'!H:H)</f>
        <v>0</v>
      </c>
      <c r="I125" s="189">
        <f>SUMIF('Gastos Generales'!$B:$B,PPvsREal!$C$125,'Gastos Generales'!I:I)</f>
        <v>0</v>
      </c>
      <c r="J125" s="189">
        <f>SUMIF('Gastos Generales'!$B:$B,PPvsREal!$C$125,'Gastos Generales'!J:J)</f>
        <v>0</v>
      </c>
      <c r="K125" s="189">
        <f>SUMIF('Gastos Generales'!$B:$B,PPvsREal!$C$125,'Gastos Generales'!K:K)</f>
        <v>0</v>
      </c>
      <c r="L125" s="189">
        <f>SUMIF('Gastos Generales'!$B:$B,PPvsREal!$C$125,'Gastos Generales'!L:L)</f>
        <v>0</v>
      </c>
      <c r="M125" s="189">
        <f>SUMIF('Gastos Generales'!$B:$B,PPvsREal!$C$125,'Gastos Generales'!M:M)</f>
        <v>0</v>
      </c>
      <c r="N125" s="189">
        <f>SUMIF('Gastos Generales'!$B:$B,PPvsREal!$C$125,'Gastos Generales'!N:N)</f>
        <v>0</v>
      </c>
      <c r="O125" s="189">
        <f>SUMIF('Gastos Generales'!$B:$B,PPvsREal!$C$125,'Gastos Generales'!O:O)</f>
        <v>0</v>
      </c>
      <c r="P125" s="189">
        <f>SUMIF('Gastos Generales'!$B:$B,PPvsREal!$C$125,'Gastos Generales'!P:P)</f>
        <v>0</v>
      </c>
      <c r="Q125" s="189">
        <f>SUMIF('Gastos Generales'!$B:$B,PPvsREal!$C$125,'Gastos Generales'!Q:Q)</f>
        <v>0</v>
      </c>
      <c r="R125" s="189">
        <f>SUMIF('Gastos Generales'!$B:$B,PPvsREal!$C$125,'Gastos Generales'!R:R)</f>
        <v>0</v>
      </c>
      <c r="S125" s="189">
        <f>SUMIF('Gastos Generales'!$B:$B,PPvsREal!$C$125,'Gastos Generales'!S:S)</f>
        <v>0</v>
      </c>
      <c r="T125" s="189">
        <f>SUMIF('Gastos Generales'!$B:$B,PPvsREal!$C$125,'Gastos Generales'!T:T)</f>
        <v>0</v>
      </c>
      <c r="U125" s="189">
        <f>SUMIF('Gastos Generales'!$B:$B,PPvsREal!$C$125,'Gastos Generales'!U:U)</f>
        <v>0</v>
      </c>
      <c r="V125" s="189">
        <f>SUMIF('Gastos Generales'!$B:$B,PPvsREal!$C$125,'Gastos Generales'!V:V)</f>
        <v>0</v>
      </c>
      <c r="W125" s="189">
        <f>SUMIF('Gastos Generales'!$B:$B,PPvsREal!$C$125,'Gastos Generales'!W:W)</f>
        <v>0</v>
      </c>
      <c r="X125" s="189">
        <f>SUMIF('Gastos Generales'!$B:$B,PPvsREal!$C$125,'Gastos Generales'!X:X)</f>
        <v>0</v>
      </c>
      <c r="Y125" s="189">
        <f>SUMIF('Gastos Generales'!$B:$B,PPvsREal!$C$125,'Gastos Generales'!Y:Y)</f>
        <v>0</v>
      </c>
      <c r="Z125" s="189">
        <f>SUMIF('Gastos Generales'!$B:$B,PPvsREal!$C$125,'Gastos Generales'!Z:Z)</f>
        <v>0</v>
      </c>
      <c r="AA125" s="190">
        <f>SUMIF('Gastos Generales'!$B:$B,PPvsREal!$C$125,'Gastos Generales'!AA:AA)</f>
        <v>0</v>
      </c>
    </row>
    <row r="126" ht="12.75" customHeight="1">
      <c r="A126" s="111"/>
      <c r="B126" s="188" t="s">
        <v>37</v>
      </c>
      <c r="C126" s="2" t="s">
        <v>371</v>
      </c>
      <c r="D126" s="189">
        <f>SUMIF('Gastos Generales'!$B:$B,PPvsREal!$C$126,'Gastos Generales'!D:D)</f>
        <v>0</v>
      </c>
      <c r="E126" s="189">
        <f>SUMIF('Gastos Generales'!$B:$B,PPvsREal!$C$126,'Gastos Generales'!E:E)</f>
        <v>0</v>
      </c>
      <c r="F126" s="189">
        <f>SUMIF('Gastos Generales'!$B:$B,PPvsREal!$C$126,'Gastos Generales'!F:F)</f>
        <v>0</v>
      </c>
      <c r="G126" s="189">
        <f>SUMIF('Gastos Generales'!$B:$B,PPvsREal!$C$126,'Gastos Generales'!G:G)</f>
        <v>0</v>
      </c>
      <c r="H126" s="189">
        <f>SUMIF('Gastos Generales'!$B:$B,PPvsREal!$C$126,'Gastos Generales'!H:H)</f>
        <v>0</v>
      </c>
      <c r="I126" s="189">
        <f>SUMIF('Gastos Generales'!$B:$B,PPvsREal!$C$126,'Gastos Generales'!I:I)</f>
        <v>0</v>
      </c>
      <c r="J126" s="189">
        <f>SUMIF('Gastos Generales'!$B:$B,PPvsREal!$C$126,'Gastos Generales'!J:J)</f>
        <v>0</v>
      </c>
      <c r="K126" s="189">
        <f>SUMIF('Gastos Generales'!$B:$B,PPvsREal!$C$126,'Gastos Generales'!K:K)</f>
        <v>0</v>
      </c>
      <c r="L126" s="189">
        <f>SUMIF('Gastos Generales'!$B:$B,PPvsREal!$C$126,'Gastos Generales'!L:L)</f>
        <v>0</v>
      </c>
      <c r="M126" s="189">
        <f>SUMIF('Gastos Generales'!$B:$B,PPvsREal!$C$126,'Gastos Generales'!M:M)</f>
        <v>0</v>
      </c>
      <c r="N126" s="189">
        <f>SUMIF('Gastos Generales'!$B:$B,PPvsREal!$C$126,'Gastos Generales'!N:N)</f>
        <v>0</v>
      </c>
      <c r="O126" s="189">
        <f>SUMIF('Gastos Generales'!$B:$B,PPvsREal!$C$126,'Gastos Generales'!O:O)</f>
        <v>0</v>
      </c>
      <c r="P126" s="189">
        <f>SUMIF('Gastos Generales'!$B:$B,PPvsREal!$C$126,'Gastos Generales'!P:P)</f>
        <v>0</v>
      </c>
      <c r="Q126" s="189">
        <f>SUMIF('Gastos Generales'!$B:$B,PPvsREal!$C$126,'Gastos Generales'!Q:Q)</f>
        <v>0</v>
      </c>
      <c r="R126" s="189">
        <f>SUMIF('Gastos Generales'!$B:$B,PPvsREal!$C$126,'Gastos Generales'!R:R)</f>
        <v>0</v>
      </c>
      <c r="S126" s="189">
        <f>SUMIF('Gastos Generales'!$B:$B,PPvsREal!$C$126,'Gastos Generales'!S:S)</f>
        <v>0</v>
      </c>
      <c r="T126" s="189">
        <f>SUMIF('Gastos Generales'!$B:$B,PPvsREal!$C$126,'Gastos Generales'!T:T)</f>
        <v>0</v>
      </c>
      <c r="U126" s="189">
        <f>SUMIF('Gastos Generales'!$B:$B,PPvsREal!$C$126,'Gastos Generales'!U:U)</f>
        <v>0</v>
      </c>
      <c r="V126" s="189">
        <f>SUMIF('Gastos Generales'!$B:$B,PPvsREal!$C$126,'Gastos Generales'!V:V)</f>
        <v>0</v>
      </c>
      <c r="W126" s="189">
        <f>SUMIF('Gastos Generales'!$B:$B,PPvsREal!$C$126,'Gastos Generales'!W:W)</f>
        <v>0</v>
      </c>
      <c r="X126" s="189">
        <f>SUMIF('Gastos Generales'!$B:$B,PPvsREal!$C$126,'Gastos Generales'!X:X)</f>
        <v>0</v>
      </c>
      <c r="Y126" s="189">
        <f>SUMIF('Gastos Generales'!$B:$B,PPvsREal!$C$126,'Gastos Generales'!Y:Y)</f>
        <v>0</v>
      </c>
      <c r="Z126" s="189">
        <f>SUMIF('Gastos Generales'!$B:$B,PPvsREal!$C$126,'Gastos Generales'!Z:Z)</f>
        <v>0</v>
      </c>
      <c r="AA126" s="190">
        <f>SUMIF('Gastos Generales'!$B:$B,PPvsREal!$C$126,'Gastos Generales'!AA:AA)</f>
        <v>0</v>
      </c>
    </row>
    <row r="127" ht="12.75" customHeight="1">
      <c r="A127" s="111"/>
      <c r="B127" s="188" t="s">
        <v>37</v>
      </c>
      <c r="C127" s="2" t="s">
        <v>373</v>
      </c>
      <c r="D127" s="189">
        <f>SUMIF('Gastos Generales'!$B:$B,PPvsREal!$C$127,'Gastos Generales'!D:D)</f>
        <v>0</v>
      </c>
      <c r="E127" s="189">
        <f>SUMIF('Gastos Generales'!$B:$B,PPvsREal!$C$127,'Gastos Generales'!E:E)</f>
        <v>0</v>
      </c>
      <c r="F127" s="189">
        <f>SUMIF('Gastos Generales'!$B:$B,PPvsREal!$C$127,'Gastos Generales'!F:F)</f>
        <v>0</v>
      </c>
      <c r="G127" s="189">
        <f>SUMIF('Gastos Generales'!$B:$B,PPvsREal!$C$127,'Gastos Generales'!G:G)</f>
        <v>0</v>
      </c>
      <c r="H127" s="189">
        <f>SUMIF('Gastos Generales'!$B:$B,PPvsREal!$C$127,'Gastos Generales'!H:H)</f>
        <v>0</v>
      </c>
      <c r="I127" s="189">
        <f>SUMIF('Gastos Generales'!$B:$B,PPvsREal!$C$127,'Gastos Generales'!I:I)</f>
        <v>0</v>
      </c>
      <c r="J127" s="189">
        <f>SUMIF('Gastos Generales'!$B:$B,PPvsREal!$C$127,'Gastos Generales'!J:J)</f>
        <v>0</v>
      </c>
      <c r="K127" s="189">
        <f>SUMIF('Gastos Generales'!$B:$B,PPvsREal!$C$127,'Gastos Generales'!K:K)</f>
        <v>0</v>
      </c>
      <c r="L127" s="189">
        <f>SUMIF('Gastos Generales'!$B:$B,PPvsREal!$C$127,'Gastos Generales'!L:L)</f>
        <v>0</v>
      </c>
      <c r="M127" s="189">
        <f>SUMIF('Gastos Generales'!$B:$B,PPvsREal!$C$127,'Gastos Generales'!M:M)</f>
        <v>0</v>
      </c>
      <c r="N127" s="189">
        <f>SUMIF('Gastos Generales'!$B:$B,PPvsREal!$C$127,'Gastos Generales'!N:N)</f>
        <v>0</v>
      </c>
      <c r="O127" s="189">
        <f>SUMIF('Gastos Generales'!$B:$B,PPvsREal!$C$127,'Gastos Generales'!O:O)</f>
        <v>0</v>
      </c>
      <c r="P127" s="189">
        <f>SUMIF('Gastos Generales'!$B:$B,PPvsREal!$C$127,'Gastos Generales'!P:P)</f>
        <v>0</v>
      </c>
      <c r="Q127" s="189">
        <f>SUMIF('Gastos Generales'!$B:$B,PPvsREal!$C$127,'Gastos Generales'!Q:Q)</f>
        <v>0</v>
      </c>
      <c r="R127" s="189">
        <f>SUMIF('Gastos Generales'!$B:$B,PPvsREal!$C$127,'Gastos Generales'!R:R)</f>
        <v>0</v>
      </c>
      <c r="S127" s="189">
        <f>SUMIF('Gastos Generales'!$B:$B,PPvsREal!$C$127,'Gastos Generales'!S:S)</f>
        <v>0</v>
      </c>
      <c r="T127" s="189">
        <f>SUMIF('Gastos Generales'!$B:$B,PPvsREal!$C$127,'Gastos Generales'!T:T)</f>
        <v>0</v>
      </c>
      <c r="U127" s="189">
        <f>SUMIF('Gastos Generales'!$B:$B,PPvsREal!$C$127,'Gastos Generales'!U:U)</f>
        <v>0</v>
      </c>
      <c r="V127" s="189">
        <f>SUMIF('Gastos Generales'!$B:$B,PPvsREal!$C$127,'Gastos Generales'!V:V)</f>
        <v>0</v>
      </c>
      <c r="W127" s="189">
        <f>SUMIF('Gastos Generales'!$B:$B,PPvsREal!$C$127,'Gastos Generales'!W:W)</f>
        <v>0</v>
      </c>
      <c r="X127" s="189">
        <f>SUMIF('Gastos Generales'!$B:$B,PPvsREal!$C$127,'Gastos Generales'!X:X)</f>
        <v>0</v>
      </c>
      <c r="Y127" s="189">
        <f>SUMIF('Gastos Generales'!$B:$B,PPvsREal!$C$127,'Gastos Generales'!Y:Y)</f>
        <v>0</v>
      </c>
      <c r="Z127" s="189">
        <f>SUMIF('Gastos Generales'!$B:$B,PPvsREal!$C$127,'Gastos Generales'!Z:Z)</f>
        <v>0</v>
      </c>
      <c r="AA127" s="190">
        <f>SUMIF('Gastos Generales'!$B:$B,PPvsREal!$C$127,'Gastos Generales'!AA:AA)</f>
        <v>0</v>
      </c>
    </row>
    <row r="128" ht="12.75" customHeight="1">
      <c r="A128" s="111"/>
      <c r="B128" s="188" t="s">
        <v>37</v>
      </c>
      <c r="C128" s="2" t="s">
        <v>375</v>
      </c>
      <c r="D128" s="189">
        <f>SUMIF('Gastos Generales'!$B:$B,PPvsREal!$C$128,'Gastos Generales'!D:D)</f>
        <v>559332.32</v>
      </c>
      <c r="E128" s="189">
        <f>SUMIF('Gastos Generales'!$B:$B,PPvsREal!$C$128,'Gastos Generales'!E:E)</f>
        <v>0</v>
      </c>
      <c r="F128" s="189">
        <f>SUMIF('Gastos Generales'!$B:$B,PPvsREal!$C$128,'Gastos Generales'!F:F)</f>
        <v>559332.32</v>
      </c>
      <c r="G128" s="189">
        <f>SUMIF('Gastos Generales'!$B:$B,PPvsREal!$C$128,'Gastos Generales'!G:G)</f>
        <v>618121.5</v>
      </c>
      <c r="H128" s="189">
        <f>SUMIF('Gastos Generales'!$B:$B,PPvsREal!$C$128,'Gastos Generales'!H:H)</f>
        <v>559332.32</v>
      </c>
      <c r="I128" s="189">
        <f>SUMIF('Gastos Generales'!$B:$B,PPvsREal!$C$128,'Gastos Generales'!I:I)</f>
        <v>618121.5</v>
      </c>
      <c r="J128" s="189">
        <f>SUMIF('Gastos Generales'!$B:$B,PPvsREal!$C$128,'Gastos Generales'!J:J)</f>
        <v>559332.32</v>
      </c>
      <c r="K128" s="189">
        <f>SUMIF('Gastos Generales'!$B:$B,PPvsREal!$C$128,'Gastos Generales'!K:K)</f>
        <v>618121.5</v>
      </c>
      <c r="L128" s="189">
        <f>SUMIF('Gastos Generales'!$B:$B,PPvsREal!$C$128,'Gastos Generales'!L:L)</f>
        <v>559332.32</v>
      </c>
      <c r="M128" s="189">
        <f>SUMIF('Gastos Generales'!$B:$B,PPvsREal!$C$128,'Gastos Generales'!M:M)</f>
        <v>618121.5</v>
      </c>
      <c r="N128" s="189">
        <f>SUMIF('Gastos Generales'!$B:$B,PPvsREal!$C$128,'Gastos Generales'!N:N)</f>
        <v>559332.32</v>
      </c>
      <c r="O128" s="189">
        <f>SUMIF('Gastos Generales'!$B:$B,PPvsREal!$C$128,'Gastos Generales'!O:O)</f>
        <v>618121.5</v>
      </c>
      <c r="P128" s="189">
        <f>SUMIF('Gastos Generales'!$B:$B,PPvsREal!$C$128,'Gastos Generales'!P:P)</f>
        <v>559332.32</v>
      </c>
      <c r="Q128" s="189">
        <f>SUMIF('Gastos Generales'!$B:$B,PPvsREal!$C$128,'Gastos Generales'!Q:Q)</f>
        <v>618121.5</v>
      </c>
      <c r="R128" s="189">
        <f>SUMIF('Gastos Generales'!$B:$B,PPvsREal!$C$128,'Gastos Generales'!R:R)</f>
        <v>559332.32</v>
      </c>
      <c r="S128" s="189">
        <f>SUMIF('Gastos Generales'!$B:$B,PPvsREal!$C$128,'Gastos Generales'!S:S)</f>
        <v>618121.5</v>
      </c>
      <c r="T128" s="189">
        <f>SUMIF('Gastos Generales'!$B:$B,PPvsREal!$C$128,'Gastos Generales'!T:T)</f>
        <v>559332.32</v>
      </c>
      <c r="U128" s="189">
        <f>SUMIF('Gastos Generales'!$B:$B,PPvsREal!$C$128,'Gastos Generales'!U:U)</f>
        <v>618121.5</v>
      </c>
      <c r="V128" s="189">
        <f>SUMIF('Gastos Generales'!$B:$B,PPvsREal!$C$128,'Gastos Generales'!V:V)</f>
        <v>559332.32</v>
      </c>
      <c r="W128" s="189">
        <f>SUMIF('Gastos Generales'!$B:$B,PPvsREal!$C$128,'Gastos Generales'!W:W)</f>
        <v>618121.5</v>
      </c>
      <c r="X128" s="189">
        <f>SUMIF('Gastos Generales'!$B:$B,PPvsREal!$C$128,'Gastos Generales'!X:X)</f>
        <v>559332.32</v>
      </c>
      <c r="Y128" s="189">
        <f>SUMIF('Gastos Generales'!$B:$B,PPvsREal!$C$128,'Gastos Generales'!Y:Y)</f>
        <v>618121.5</v>
      </c>
      <c r="Z128" s="189">
        <f>SUMIF('Gastos Generales'!$B:$B,PPvsREal!$C$128,'Gastos Generales'!Z:Z)</f>
        <v>559332.32</v>
      </c>
      <c r="AA128" s="190">
        <f>SUMIF('Gastos Generales'!$B:$B,PPvsREal!$C$128,'Gastos Generales'!AA:AA)</f>
        <v>0</v>
      </c>
    </row>
    <row r="129" ht="12.75" customHeight="1">
      <c r="A129" s="111"/>
      <c r="B129" s="188" t="s">
        <v>37</v>
      </c>
      <c r="C129" s="2" t="s">
        <v>377</v>
      </c>
      <c r="D129" s="189">
        <f>SUMIF('Gastos Generales'!$B:$B,PPvsREal!$C$129,'Gastos Generales'!D:D)</f>
        <v>8183.52</v>
      </c>
      <c r="E129" s="189">
        <f>SUMIF('Gastos Generales'!$B:$B,PPvsREal!$C$129,'Gastos Generales'!E:E)</f>
        <v>0</v>
      </c>
      <c r="F129" s="189">
        <f>SUMIF('Gastos Generales'!$B:$B,PPvsREal!$C$129,'Gastos Generales'!F:F)</f>
        <v>4800</v>
      </c>
      <c r="G129" s="189">
        <f>SUMIF('Gastos Generales'!$B:$B,PPvsREal!$C$129,'Gastos Generales'!G:G)</f>
        <v>0</v>
      </c>
      <c r="H129" s="189">
        <f>SUMIF('Gastos Generales'!$B:$B,PPvsREal!$C$129,'Gastos Generales'!H:H)</f>
        <v>4800</v>
      </c>
      <c r="I129" s="189">
        <f>SUMIF('Gastos Generales'!$B:$B,PPvsREal!$C$129,'Gastos Generales'!I:I)</f>
        <v>0</v>
      </c>
      <c r="J129" s="189">
        <f>SUMIF('Gastos Generales'!$B:$B,PPvsREal!$C$129,'Gastos Generales'!J:J)</f>
        <v>4800</v>
      </c>
      <c r="K129" s="189">
        <f>SUMIF('Gastos Generales'!$B:$B,PPvsREal!$C$129,'Gastos Generales'!K:K)</f>
        <v>0</v>
      </c>
      <c r="L129" s="189">
        <f>SUMIF('Gastos Generales'!$B:$B,PPvsREal!$C$129,'Gastos Generales'!L:L)</f>
        <v>4800</v>
      </c>
      <c r="M129" s="189">
        <f>SUMIF('Gastos Generales'!$B:$B,PPvsREal!$C$129,'Gastos Generales'!M:M)</f>
        <v>0</v>
      </c>
      <c r="N129" s="189">
        <f>SUMIF('Gastos Generales'!$B:$B,PPvsREal!$C$129,'Gastos Generales'!N:N)</f>
        <v>4800</v>
      </c>
      <c r="O129" s="189">
        <f>SUMIF('Gastos Generales'!$B:$B,PPvsREal!$C$129,'Gastos Generales'!O:O)</f>
        <v>0</v>
      </c>
      <c r="P129" s="189">
        <f>SUMIF('Gastos Generales'!$B:$B,PPvsREal!$C$129,'Gastos Generales'!P:P)</f>
        <v>4800</v>
      </c>
      <c r="Q129" s="189">
        <f>SUMIF('Gastos Generales'!$B:$B,PPvsREal!$C$129,'Gastos Generales'!Q:Q)</f>
        <v>0</v>
      </c>
      <c r="R129" s="189">
        <f>SUMIF('Gastos Generales'!$B:$B,PPvsREal!$C$129,'Gastos Generales'!R:R)</f>
        <v>4800</v>
      </c>
      <c r="S129" s="189">
        <f>SUMIF('Gastos Generales'!$B:$B,PPvsREal!$C$129,'Gastos Generales'!S:S)</f>
        <v>0</v>
      </c>
      <c r="T129" s="189">
        <f>SUMIF('Gastos Generales'!$B:$B,PPvsREal!$C$129,'Gastos Generales'!T:T)</f>
        <v>4800</v>
      </c>
      <c r="U129" s="189">
        <f>SUMIF('Gastos Generales'!$B:$B,PPvsREal!$C$129,'Gastos Generales'!U:U)</f>
        <v>0</v>
      </c>
      <c r="V129" s="189">
        <f>SUMIF('Gastos Generales'!$B:$B,PPvsREal!$C$129,'Gastos Generales'!V:V)</f>
        <v>4800</v>
      </c>
      <c r="W129" s="189">
        <f>SUMIF('Gastos Generales'!$B:$B,PPvsREal!$C$129,'Gastos Generales'!W:W)</f>
        <v>0</v>
      </c>
      <c r="X129" s="189">
        <f>SUMIF('Gastos Generales'!$B:$B,PPvsREal!$C$129,'Gastos Generales'!X:X)</f>
        <v>4800</v>
      </c>
      <c r="Y129" s="189">
        <f>SUMIF('Gastos Generales'!$B:$B,PPvsREal!$C$129,'Gastos Generales'!Y:Y)</f>
        <v>0</v>
      </c>
      <c r="Z129" s="189">
        <f>SUMIF('Gastos Generales'!$B:$B,PPvsREal!$C$129,'Gastos Generales'!Z:Z)</f>
        <v>4800</v>
      </c>
      <c r="AA129" s="190">
        <f>SUMIF('Gastos Generales'!$B:$B,PPvsREal!$C$129,'Gastos Generales'!AA:AA)</f>
        <v>0</v>
      </c>
    </row>
    <row r="130" ht="12.75" customHeight="1">
      <c r="A130" s="111"/>
      <c r="B130" s="188" t="s">
        <v>37</v>
      </c>
      <c r="C130" s="2" t="s">
        <v>379</v>
      </c>
      <c r="D130" s="189">
        <f>SUMIF('Gastos Generales'!$B:$B,PPvsREal!$C$130,'Gastos Generales'!D:D)</f>
        <v>8400</v>
      </c>
      <c r="E130" s="189">
        <f>SUMIF('Gastos Generales'!$B:$B,PPvsREal!$C$130,'Gastos Generales'!E:E)</f>
        <v>0</v>
      </c>
      <c r="F130" s="189">
        <f>SUMIF('Gastos Generales'!$B:$B,PPvsREal!$C$130,'Gastos Generales'!F:F)</f>
        <v>8400</v>
      </c>
      <c r="G130" s="189">
        <f>SUMIF('Gastos Generales'!$B:$B,PPvsREal!$C$130,'Gastos Generales'!G:G)</f>
        <v>0</v>
      </c>
      <c r="H130" s="189">
        <f>SUMIF('Gastos Generales'!$B:$B,PPvsREal!$C$130,'Gastos Generales'!H:H)</f>
        <v>8400</v>
      </c>
      <c r="I130" s="189">
        <f>SUMIF('Gastos Generales'!$B:$B,PPvsREal!$C$130,'Gastos Generales'!I:I)</f>
        <v>0</v>
      </c>
      <c r="J130" s="189">
        <f>SUMIF('Gastos Generales'!$B:$B,PPvsREal!$C$130,'Gastos Generales'!J:J)</f>
        <v>8400</v>
      </c>
      <c r="K130" s="189">
        <f>SUMIF('Gastos Generales'!$B:$B,PPvsREal!$C$130,'Gastos Generales'!K:K)</f>
        <v>0</v>
      </c>
      <c r="L130" s="189">
        <f>SUMIF('Gastos Generales'!$B:$B,PPvsREal!$C$130,'Gastos Generales'!L:L)</f>
        <v>8400</v>
      </c>
      <c r="M130" s="189">
        <f>SUMIF('Gastos Generales'!$B:$B,PPvsREal!$C$130,'Gastos Generales'!M:M)</f>
        <v>0</v>
      </c>
      <c r="N130" s="189">
        <f>SUMIF('Gastos Generales'!$B:$B,PPvsREal!$C$130,'Gastos Generales'!N:N)</f>
        <v>8400</v>
      </c>
      <c r="O130" s="189">
        <f>SUMIF('Gastos Generales'!$B:$B,PPvsREal!$C$130,'Gastos Generales'!O:O)</f>
        <v>0</v>
      </c>
      <c r="P130" s="189">
        <f>SUMIF('Gastos Generales'!$B:$B,PPvsREal!$C$130,'Gastos Generales'!P:P)</f>
        <v>8400</v>
      </c>
      <c r="Q130" s="189">
        <f>SUMIF('Gastos Generales'!$B:$B,PPvsREal!$C$130,'Gastos Generales'!Q:Q)</f>
        <v>0</v>
      </c>
      <c r="R130" s="189">
        <f>SUMIF('Gastos Generales'!$B:$B,PPvsREal!$C$130,'Gastos Generales'!R:R)</f>
        <v>8400</v>
      </c>
      <c r="S130" s="189">
        <f>SUMIF('Gastos Generales'!$B:$B,PPvsREal!$C$130,'Gastos Generales'!S:S)</f>
        <v>0</v>
      </c>
      <c r="T130" s="189">
        <f>SUMIF('Gastos Generales'!$B:$B,PPvsREal!$C$130,'Gastos Generales'!T:T)</f>
        <v>8400</v>
      </c>
      <c r="U130" s="189">
        <f>SUMIF('Gastos Generales'!$B:$B,PPvsREal!$C$130,'Gastos Generales'!U:U)</f>
        <v>0</v>
      </c>
      <c r="V130" s="189">
        <f>SUMIF('Gastos Generales'!$B:$B,PPvsREal!$C$130,'Gastos Generales'!V:V)</f>
        <v>8400</v>
      </c>
      <c r="W130" s="189">
        <f>SUMIF('Gastos Generales'!$B:$B,PPvsREal!$C$130,'Gastos Generales'!W:W)</f>
        <v>0</v>
      </c>
      <c r="X130" s="189">
        <f>SUMIF('Gastos Generales'!$B:$B,PPvsREal!$C$130,'Gastos Generales'!X:X)</f>
        <v>8400</v>
      </c>
      <c r="Y130" s="189">
        <f>SUMIF('Gastos Generales'!$B:$B,PPvsREal!$C$130,'Gastos Generales'!Y:Y)</f>
        <v>0</v>
      </c>
      <c r="Z130" s="189">
        <f>SUMIF('Gastos Generales'!$B:$B,PPvsREal!$C$130,'Gastos Generales'!Z:Z)</f>
        <v>8400</v>
      </c>
      <c r="AA130" s="190">
        <f>SUMIF('Gastos Generales'!$B:$B,PPvsREal!$C$130,'Gastos Generales'!AA:AA)</f>
        <v>0</v>
      </c>
    </row>
    <row r="131" ht="12.75" customHeight="1">
      <c r="A131" s="111"/>
      <c r="B131" s="188" t="s">
        <v>37</v>
      </c>
      <c r="C131" s="2" t="s">
        <v>381</v>
      </c>
      <c r="D131" s="189">
        <f>SUMIF('Gastos Generales'!$B:$B,PPvsREal!$C$131,'Gastos Generales'!D:D)</f>
        <v>46.64</v>
      </c>
      <c r="E131" s="189">
        <f>SUMIF('Gastos Generales'!$B:$B,PPvsREal!$C$131,'Gastos Generales'!E:E)</f>
        <v>0</v>
      </c>
      <c r="F131" s="189">
        <f>SUMIF('Gastos Generales'!$B:$B,PPvsREal!$C$131,'Gastos Generales'!F:F)</f>
        <v>193.5454</v>
      </c>
      <c r="G131" s="189">
        <f>SUMIF('Gastos Generales'!$B:$B,PPvsREal!$C$131,'Gastos Generales'!G:G)</f>
        <v>0</v>
      </c>
      <c r="H131" s="189">
        <f>SUMIF('Gastos Generales'!$B:$B,PPvsREal!$C$131,'Gastos Generales'!H:H)</f>
        <v>165.36</v>
      </c>
      <c r="I131" s="189">
        <f>SUMIF('Gastos Generales'!$B:$B,PPvsREal!$C$131,'Gastos Generales'!I:I)</f>
        <v>0</v>
      </c>
      <c r="J131" s="189">
        <f>SUMIF('Gastos Generales'!$B:$B,PPvsREal!$C$131,'Gastos Generales'!J:J)</f>
        <v>150.7638</v>
      </c>
      <c r="K131" s="189">
        <f>SUMIF('Gastos Generales'!$B:$B,PPvsREal!$C$131,'Gastos Generales'!K:K)</f>
        <v>0</v>
      </c>
      <c r="L131" s="189">
        <f>SUMIF('Gastos Generales'!$B:$B,PPvsREal!$C$131,'Gastos Generales'!L:L)</f>
        <v>0</v>
      </c>
      <c r="M131" s="189">
        <f>SUMIF('Gastos Generales'!$B:$B,PPvsREal!$C$131,'Gastos Generales'!M:M)</f>
        <v>0</v>
      </c>
      <c r="N131" s="189">
        <f>SUMIF('Gastos Generales'!$B:$B,PPvsREal!$C$131,'Gastos Generales'!N:N)</f>
        <v>0</v>
      </c>
      <c r="O131" s="189">
        <f>SUMIF('Gastos Generales'!$B:$B,PPvsREal!$C$131,'Gastos Generales'!O:O)</f>
        <v>0</v>
      </c>
      <c r="P131" s="189">
        <f>SUMIF('Gastos Generales'!$B:$B,PPvsREal!$C$131,'Gastos Generales'!P:P)</f>
        <v>0</v>
      </c>
      <c r="Q131" s="189">
        <f>SUMIF('Gastos Generales'!$B:$B,PPvsREal!$C$131,'Gastos Generales'!Q:Q)</f>
        <v>0</v>
      </c>
      <c r="R131" s="189">
        <f>SUMIF('Gastos Generales'!$B:$B,PPvsREal!$C$131,'Gastos Generales'!R:R)</f>
        <v>1555.2638</v>
      </c>
      <c r="S131" s="189">
        <f>SUMIF('Gastos Generales'!$B:$B,PPvsREal!$C$131,'Gastos Generales'!S:S)</f>
        <v>0</v>
      </c>
      <c r="T131" s="189">
        <f>SUMIF('Gastos Generales'!$B:$B,PPvsREal!$C$131,'Gastos Generales'!T:T)</f>
        <v>91.3826</v>
      </c>
      <c r="U131" s="189">
        <f>SUMIF('Gastos Generales'!$B:$B,PPvsREal!$C$131,'Gastos Generales'!U:U)</f>
        <v>0</v>
      </c>
      <c r="V131" s="189">
        <f>SUMIF('Gastos Generales'!$B:$B,PPvsREal!$C$131,'Gastos Generales'!V:V)</f>
        <v>0</v>
      </c>
      <c r="W131" s="189">
        <f>SUMIF('Gastos Generales'!$B:$B,PPvsREal!$C$131,'Gastos Generales'!W:W)</f>
        <v>0</v>
      </c>
      <c r="X131" s="189">
        <f>SUMIF('Gastos Generales'!$B:$B,PPvsREal!$C$131,'Gastos Generales'!X:X)</f>
        <v>1060</v>
      </c>
      <c r="Y131" s="189">
        <f>SUMIF('Gastos Generales'!$B:$B,PPvsREal!$C$131,'Gastos Generales'!Y:Y)</f>
        <v>0</v>
      </c>
      <c r="Z131" s="189">
        <f>SUMIF('Gastos Generales'!$B:$B,PPvsREal!$C$131,'Gastos Generales'!Z:Z)</f>
        <v>0</v>
      </c>
      <c r="AA131" s="190">
        <f>SUMIF('Gastos Generales'!$B:$B,PPvsREal!$C$131,'Gastos Generales'!AA:AA)</f>
        <v>0</v>
      </c>
    </row>
    <row r="132" ht="12.75" customHeight="1">
      <c r="A132" s="111"/>
      <c r="B132" s="188" t="s">
        <v>37</v>
      </c>
      <c r="C132" s="2" t="s">
        <v>383</v>
      </c>
      <c r="D132" s="189">
        <f>SUMIF('Gastos Generales'!$B:$B,PPvsREal!$C$132,'Gastos Generales'!D:D)</f>
        <v>0</v>
      </c>
      <c r="E132" s="189">
        <f>SUMIF('Gastos Generales'!$B:$B,PPvsREal!$C$132,'Gastos Generales'!E:E)</f>
        <v>0</v>
      </c>
      <c r="F132" s="189">
        <f>SUMIF('Gastos Generales'!$B:$B,PPvsREal!$C$132,'Gastos Generales'!F:F)</f>
        <v>0</v>
      </c>
      <c r="G132" s="189">
        <f>SUMIF('Gastos Generales'!$B:$B,PPvsREal!$C$132,'Gastos Generales'!G:G)</f>
        <v>0</v>
      </c>
      <c r="H132" s="189">
        <f>SUMIF('Gastos Generales'!$B:$B,PPvsREal!$C$132,'Gastos Generales'!H:H)</f>
        <v>3021</v>
      </c>
      <c r="I132" s="189">
        <f>SUMIF('Gastos Generales'!$B:$B,PPvsREal!$C$132,'Gastos Generales'!I:I)</f>
        <v>0</v>
      </c>
      <c r="J132" s="189">
        <f>SUMIF('Gastos Generales'!$B:$B,PPvsREal!$C$132,'Gastos Generales'!J:J)</f>
        <v>901</v>
      </c>
      <c r="K132" s="189">
        <f>SUMIF('Gastos Generales'!$B:$B,PPvsREal!$C$132,'Gastos Generales'!K:K)</f>
        <v>0</v>
      </c>
      <c r="L132" s="189">
        <f>SUMIF('Gastos Generales'!$B:$B,PPvsREal!$C$132,'Gastos Generales'!L:L)</f>
        <v>5433.7508</v>
      </c>
      <c r="M132" s="189">
        <f>SUMIF('Gastos Generales'!$B:$B,PPvsREal!$C$132,'Gastos Generales'!M:M)</f>
        <v>0</v>
      </c>
      <c r="N132" s="189">
        <f>SUMIF('Gastos Generales'!$B:$B,PPvsREal!$C$132,'Gastos Generales'!N:N)</f>
        <v>5277.157</v>
      </c>
      <c r="O132" s="189">
        <f>SUMIF('Gastos Generales'!$B:$B,PPvsREal!$C$132,'Gastos Generales'!O:O)</f>
        <v>0</v>
      </c>
      <c r="P132" s="189">
        <f>SUMIF('Gastos Generales'!$B:$B,PPvsREal!$C$132,'Gastos Generales'!P:P)</f>
        <v>2326.5198</v>
      </c>
      <c r="Q132" s="189">
        <f>SUMIF('Gastos Generales'!$B:$B,PPvsREal!$C$132,'Gastos Generales'!Q:Q)</f>
        <v>0</v>
      </c>
      <c r="R132" s="189">
        <f>SUMIF('Gastos Generales'!$B:$B,PPvsREal!$C$132,'Gastos Generales'!R:R)</f>
        <v>0</v>
      </c>
      <c r="S132" s="189">
        <f>SUMIF('Gastos Generales'!$B:$B,PPvsREal!$C$132,'Gastos Generales'!S:S)</f>
        <v>0</v>
      </c>
      <c r="T132" s="189">
        <f>SUMIF('Gastos Generales'!$B:$B,PPvsREal!$C$132,'Gastos Generales'!T:T)</f>
        <v>0</v>
      </c>
      <c r="U132" s="189">
        <f>SUMIF('Gastos Generales'!$B:$B,PPvsREal!$C$132,'Gastos Generales'!U:U)</f>
        <v>0</v>
      </c>
      <c r="V132" s="189">
        <f>SUMIF('Gastos Generales'!$B:$B,PPvsREal!$C$132,'Gastos Generales'!V:V)</f>
        <v>1766.6702</v>
      </c>
      <c r="W132" s="189">
        <f>SUMIF('Gastos Generales'!$B:$B,PPvsREal!$C$132,'Gastos Generales'!W:W)</f>
        <v>0</v>
      </c>
      <c r="X132" s="189">
        <f>SUMIF('Gastos Generales'!$B:$B,PPvsREal!$C$132,'Gastos Generales'!X:X)</f>
        <v>0</v>
      </c>
      <c r="Y132" s="189">
        <f>SUMIF('Gastos Generales'!$B:$B,PPvsREal!$C$132,'Gastos Generales'!Y:Y)</f>
        <v>0</v>
      </c>
      <c r="Z132" s="189">
        <f>SUMIF('Gastos Generales'!$B:$B,PPvsREal!$C$132,'Gastos Generales'!Z:Z)</f>
        <v>1766.649</v>
      </c>
      <c r="AA132" s="190">
        <f>SUMIF('Gastos Generales'!$B:$B,PPvsREal!$C$132,'Gastos Generales'!AA:AA)</f>
        <v>0</v>
      </c>
    </row>
    <row r="133" ht="12.75" customHeight="1">
      <c r="A133" s="111"/>
      <c r="B133" s="188" t="s">
        <v>37</v>
      </c>
      <c r="C133" s="2" t="s">
        <v>385</v>
      </c>
      <c r="D133" s="189">
        <f>SUMIF('Gastos Generales'!$B:$B,PPvsREal!$C$133,'Gastos Generales'!D:D)</f>
        <v>0</v>
      </c>
      <c r="E133" s="189">
        <f>SUMIF('Gastos Generales'!$B:$B,PPvsREal!$C$133,'Gastos Generales'!E:E)</f>
        <v>0</v>
      </c>
      <c r="F133" s="189">
        <f>SUMIF('Gastos Generales'!$B:$B,PPvsREal!$C$133,'Gastos Generales'!F:F)</f>
        <v>0</v>
      </c>
      <c r="G133" s="189">
        <f>SUMIF('Gastos Generales'!$B:$B,PPvsREal!$C$133,'Gastos Generales'!G:G)</f>
        <v>0</v>
      </c>
      <c r="H133" s="189">
        <f>SUMIF('Gastos Generales'!$B:$B,PPvsREal!$C$133,'Gastos Generales'!H:H)</f>
        <v>0</v>
      </c>
      <c r="I133" s="189">
        <f>SUMIF('Gastos Generales'!$B:$B,PPvsREal!$C$133,'Gastos Generales'!I:I)</f>
        <v>0</v>
      </c>
      <c r="J133" s="189">
        <f>SUMIF('Gastos Generales'!$B:$B,PPvsREal!$C$133,'Gastos Generales'!J:J)</f>
        <v>0</v>
      </c>
      <c r="K133" s="189">
        <f>SUMIF('Gastos Generales'!$B:$B,PPvsREal!$C$133,'Gastos Generales'!K:K)</f>
        <v>0</v>
      </c>
      <c r="L133" s="189">
        <f>SUMIF('Gastos Generales'!$B:$B,PPvsREal!$C$133,'Gastos Generales'!L:L)</f>
        <v>0</v>
      </c>
      <c r="M133" s="189">
        <f>SUMIF('Gastos Generales'!$B:$B,PPvsREal!$C$133,'Gastos Generales'!M:M)</f>
        <v>0</v>
      </c>
      <c r="N133" s="189">
        <f>SUMIF('Gastos Generales'!$B:$B,PPvsREal!$C$133,'Gastos Generales'!N:N)</f>
        <v>0</v>
      </c>
      <c r="O133" s="189">
        <f>SUMIF('Gastos Generales'!$B:$B,PPvsREal!$C$133,'Gastos Generales'!O:O)</f>
        <v>0</v>
      </c>
      <c r="P133" s="189">
        <f>SUMIF('Gastos Generales'!$B:$B,PPvsREal!$C$133,'Gastos Generales'!P:P)</f>
        <v>0</v>
      </c>
      <c r="Q133" s="189">
        <f>SUMIF('Gastos Generales'!$B:$B,PPvsREal!$C$133,'Gastos Generales'!Q:Q)</f>
        <v>0</v>
      </c>
      <c r="R133" s="189">
        <f>SUMIF('Gastos Generales'!$B:$B,PPvsREal!$C$133,'Gastos Generales'!R:R)</f>
        <v>0</v>
      </c>
      <c r="S133" s="189">
        <f>SUMIF('Gastos Generales'!$B:$B,PPvsREal!$C$133,'Gastos Generales'!S:S)</f>
        <v>0</v>
      </c>
      <c r="T133" s="189">
        <f>SUMIF('Gastos Generales'!$B:$B,PPvsREal!$C$133,'Gastos Generales'!T:T)</f>
        <v>0</v>
      </c>
      <c r="U133" s="189">
        <f>SUMIF('Gastos Generales'!$B:$B,PPvsREal!$C$133,'Gastos Generales'!U:U)</f>
        <v>0</v>
      </c>
      <c r="V133" s="189">
        <f>SUMIF('Gastos Generales'!$B:$B,PPvsREal!$C$133,'Gastos Generales'!V:V)</f>
        <v>1060</v>
      </c>
      <c r="W133" s="189">
        <f>SUMIF('Gastos Generales'!$B:$B,PPvsREal!$C$133,'Gastos Generales'!W:W)</f>
        <v>0</v>
      </c>
      <c r="X133" s="189">
        <f>SUMIF('Gastos Generales'!$B:$B,PPvsREal!$C$133,'Gastos Generales'!X:X)</f>
        <v>0</v>
      </c>
      <c r="Y133" s="189">
        <f>SUMIF('Gastos Generales'!$B:$B,PPvsREal!$C$133,'Gastos Generales'!Y:Y)</f>
        <v>0</v>
      </c>
      <c r="Z133" s="189">
        <f>SUMIF('Gastos Generales'!$B:$B,PPvsREal!$C$133,'Gastos Generales'!Z:Z)</f>
        <v>0</v>
      </c>
      <c r="AA133" s="190">
        <f>SUMIF('Gastos Generales'!$B:$B,PPvsREal!$C$133,'Gastos Generales'!AA:AA)</f>
        <v>0</v>
      </c>
    </row>
    <row r="134" ht="12.75" customHeight="1">
      <c r="A134" s="111"/>
      <c r="B134" s="188" t="s">
        <v>37</v>
      </c>
      <c r="C134" s="2" t="s">
        <v>387</v>
      </c>
      <c r="D134" s="189">
        <f>SUMIF('Gastos Generales'!$B:$B,PPvsREal!$C$134,'Gastos Generales'!D:D)</f>
        <v>9350</v>
      </c>
      <c r="E134" s="189">
        <f>SUMIF('Gastos Generales'!$B:$B,PPvsREal!$C$134,'Gastos Generales'!E:E)</f>
        <v>0</v>
      </c>
      <c r="F134" s="189">
        <f>SUMIF('Gastos Generales'!$B:$B,PPvsREal!$C$134,'Gastos Generales'!F:F)</f>
        <v>9350</v>
      </c>
      <c r="G134" s="189">
        <f>SUMIF('Gastos Generales'!$B:$B,PPvsREal!$C$134,'Gastos Generales'!G:G)</f>
        <v>0</v>
      </c>
      <c r="H134" s="189">
        <f>SUMIF('Gastos Generales'!$B:$B,PPvsREal!$C$134,'Gastos Generales'!H:H)</f>
        <v>9350</v>
      </c>
      <c r="I134" s="189">
        <f>SUMIF('Gastos Generales'!$B:$B,PPvsREal!$C$134,'Gastos Generales'!I:I)</f>
        <v>0</v>
      </c>
      <c r="J134" s="189">
        <f>SUMIF('Gastos Generales'!$B:$B,PPvsREal!$C$134,'Gastos Generales'!J:J)</f>
        <v>9350</v>
      </c>
      <c r="K134" s="189">
        <f>SUMIF('Gastos Generales'!$B:$B,PPvsREal!$C$134,'Gastos Generales'!K:K)</f>
        <v>0</v>
      </c>
      <c r="L134" s="189">
        <f>SUMIF('Gastos Generales'!$B:$B,PPvsREal!$C$134,'Gastos Generales'!L:L)</f>
        <v>9350</v>
      </c>
      <c r="M134" s="189">
        <f>SUMIF('Gastos Generales'!$B:$B,PPvsREal!$C$134,'Gastos Generales'!M:M)</f>
        <v>0</v>
      </c>
      <c r="N134" s="189">
        <f>SUMIF('Gastos Generales'!$B:$B,PPvsREal!$C$134,'Gastos Generales'!N:N)</f>
        <v>9350</v>
      </c>
      <c r="O134" s="189">
        <f>SUMIF('Gastos Generales'!$B:$B,PPvsREal!$C$134,'Gastos Generales'!O:O)</f>
        <v>0</v>
      </c>
      <c r="P134" s="189">
        <f>SUMIF('Gastos Generales'!$B:$B,PPvsREal!$C$134,'Gastos Generales'!P:P)</f>
        <v>9350</v>
      </c>
      <c r="Q134" s="189">
        <f>SUMIF('Gastos Generales'!$B:$B,PPvsREal!$C$134,'Gastos Generales'!Q:Q)</f>
        <v>0</v>
      </c>
      <c r="R134" s="189">
        <f>SUMIF('Gastos Generales'!$B:$B,PPvsREal!$C$134,'Gastos Generales'!R:R)</f>
        <v>9350</v>
      </c>
      <c r="S134" s="189">
        <f>SUMIF('Gastos Generales'!$B:$B,PPvsREal!$C$134,'Gastos Generales'!S:S)</f>
        <v>0</v>
      </c>
      <c r="T134" s="189">
        <f>SUMIF('Gastos Generales'!$B:$B,PPvsREal!$C$134,'Gastos Generales'!T:T)</f>
        <v>9350</v>
      </c>
      <c r="U134" s="189">
        <f>SUMIF('Gastos Generales'!$B:$B,PPvsREal!$C$134,'Gastos Generales'!U:U)</f>
        <v>0</v>
      </c>
      <c r="V134" s="189">
        <f>SUMIF('Gastos Generales'!$B:$B,PPvsREal!$C$134,'Gastos Generales'!V:V)</f>
        <v>9350</v>
      </c>
      <c r="W134" s="189">
        <f>SUMIF('Gastos Generales'!$B:$B,PPvsREal!$C$134,'Gastos Generales'!W:W)</f>
        <v>0</v>
      </c>
      <c r="X134" s="189">
        <f>SUMIF('Gastos Generales'!$B:$B,PPvsREal!$C$134,'Gastos Generales'!X:X)</f>
        <v>9350</v>
      </c>
      <c r="Y134" s="189">
        <f>SUMIF('Gastos Generales'!$B:$B,PPvsREal!$C$134,'Gastos Generales'!Y:Y)</f>
        <v>0</v>
      </c>
      <c r="Z134" s="189">
        <f>SUMIF('Gastos Generales'!$B:$B,PPvsREal!$C$134,'Gastos Generales'!Z:Z)</f>
        <v>9350</v>
      </c>
      <c r="AA134" s="190">
        <f>SUMIF('Gastos Generales'!$B:$B,PPvsREal!$C$134,'Gastos Generales'!AA:AA)</f>
        <v>0</v>
      </c>
    </row>
    <row r="135" ht="12.75" customHeight="1">
      <c r="A135" s="111"/>
      <c r="B135" s="188" t="s">
        <v>37</v>
      </c>
      <c r="C135" s="2" t="s">
        <v>391</v>
      </c>
      <c r="D135" s="189">
        <f>SUMIF('Gastos Generales'!$B:$B,PPvsREal!$C$135,'Gastos Generales'!D:D)</f>
        <v>6719.716989</v>
      </c>
      <c r="E135" s="189">
        <f>SUMIF('Gastos Generales'!$B:$B,PPvsREal!$C$135,'Gastos Generales'!E:E)</f>
        <v>0</v>
      </c>
      <c r="F135" s="189">
        <f>SUMIF('Gastos Generales'!$B:$B,PPvsREal!$C$135,'Gastos Generales'!F:F)</f>
        <v>6719.716989</v>
      </c>
      <c r="G135" s="189">
        <f>SUMIF('Gastos Generales'!$B:$B,PPvsREal!$C$135,'Gastos Generales'!G:G)</f>
        <v>0</v>
      </c>
      <c r="H135" s="189">
        <f>SUMIF('Gastos Generales'!$B:$B,PPvsREal!$C$135,'Gastos Generales'!H:H)</f>
        <v>6719.716989</v>
      </c>
      <c r="I135" s="189">
        <f>SUMIF('Gastos Generales'!$B:$B,PPvsREal!$C$135,'Gastos Generales'!I:I)</f>
        <v>0</v>
      </c>
      <c r="J135" s="189">
        <f>SUMIF('Gastos Generales'!$B:$B,PPvsREal!$C$135,'Gastos Generales'!J:J)</f>
        <v>6719.716989</v>
      </c>
      <c r="K135" s="189">
        <f>SUMIF('Gastos Generales'!$B:$B,PPvsREal!$C$135,'Gastos Generales'!K:K)</f>
        <v>0</v>
      </c>
      <c r="L135" s="189">
        <f>SUMIF('Gastos Generales'!$B:$B,PPvsREal!$C$135,'Gastos Generales'!L:L)</f>
        <v>6719.716989</v>
      </c>
      <c r="M135" s="189">
        <f>SUMIF('Gastos Generales'!$B:$B,PPvsREal!$C$135,'Gastos Generales'!M:M)</f>
        <v>0</v>
      </c>
      <c r="N135" s="189">
        <f>SUMIF('Gastos Generales'!$B:$B,PPvsREal!$C$135,'Gastos Generales'!N:N)</f>
        <v>6719.716989</v>
      </c>
      <c r="O135" s="189">
        <f>SUMIF('Gastos Generales'!$B:$B,PPvsREal!$C$135,'Gastos Generales'!O:O)</f>
        <v>0</v>
      </c>
      <c r="P135" s="189">
        <f>SUMIF('Gastos Generales'!$B:$B,PPvsREal!$C$135,'Gastos Generales'!P:P)</f>
        <v>6719.716989</v>
      </c>
      <c r="Q135" s="189">
        <f>SUMIF('Gastos Generales'!$B:$B,PPvsREal!$C$135,'Gastos Generales'!Q:Q)</f>
        <v>0</v>
      </c>
      <c r="R135" s="189">
        <f>SUMIF('Gastos Generales'!$B:$B,PPvsREal!$C$135,'Gastos Generales'!R:R)</f>
        <v>6719.716989</v>
      </c>
      <c r="S135" s="189">
        <f>SUMIF('Gastos Generales'!$B:$B,PPvsREal!$C$135,'Gastos Generales'!S:S)</f>
        <v>0</v>
      </c>
      <c r="T135" s="189">
        <f>SUMIF('Gastos Generales'!$B:$B,PPvsREal!$C$135,'Gastos Generales'!T:T)</f>
        <v>6719.716989</v>
      </c>
      <c r="U135" s="189">
        <f>SUMIF('Gastos Generales'!$B:$B,PPvsREal!$C$135,'Gastos Generales'!U:U)</f>
        <v>0</v>
      </c>
      <c r="V135" s="189">
        <f>SUMIF('Gastos Generales'!$B:$B,PPvsREal!$C$135,'Gastos Generales'!V:V)</f>
        <v>6719.716989</v>
      </c>
      <c r="W135" s="189">
        <f>SUMIF('Gastos Generales'!$B:$B,PPvsREal!$C$135,'Gastos Generales'!W:W)</f>
        <v>0</v>
      </c>
      <c r="X135" s="189">
        <f>SUMIF('Gastos Generales'!$B:$B,PPvsREal!$C$135,'Gastos Generales'!X:X)</f>
        <v>6719.716989</v>
      </c>
      <c r="Y135" s="189">
        <f>SUMIF('Gastos Generales'!$B:$B,PPvsREal!$C$135,'Gastos Generales'!Y:Y)</f>
        <v>0</v>
      </c>
      <c r="Z135" s="189">
        <f>SUMIF('Gastos Generales'!$B:$B,PPvsREal!$C$135,'Gastos Generales'!Z:Z)</f>
        <v>6719.716989</v>
      </c>
      <c r="AA135" s="190">
        <f>SUMIF('Gastos Generales'!$B:$B,PPvsREal!$C$135,'Gastos Generales'!AA:AA)</f>
        <v>0</v>
      </c>
    </row>
    <row r="136" ht="12.75" customHeight="1">
      <c r="A136" s="111"/>
      <c r="B136" s="188" t="s">
        <v>37</v>
      </c>
      <c r="C136" s="2" t="s">
        <v>393</v>
      </c>
      <c r="D136" s="189">
        <f>SUMIF('Gastos Generales'!$B:$B,PPvsREal!$C$136,'Gastos Generales'!D:D)</f>
        <v>3516.6666</v>
      </c>
      <c r="E136" s="189">
        <f>SUMIF('Gastos Generales'!$B:$B,PPvsREal!$C$136,'Gastos Generales'!E:E)</f>
        <v>0</v>
      </c>
      <c r="F136" s="189">
        <f>SUMIF('Gastos Generales'!$B:$B,PPvsREal!$C$136,'Gastos Generales'!F:F)</f>
        <v>3516.6666</v>
      </c>
      <c r="G136" s="189">
        <f>SUMIF('Gastos Generales'!$B:$B,PPvsREal!$C$136,'Gastos Generales'!G:G)</f>
        <v>0</v>
      </c>
      <c r="H136" s="189">
        <f>SUMIF('Gastos Generales'!$B:$B,PPvsREal!$C$136,'Gastos Generales'!H:H)</f>
        <v>3516.6666</v>
      </c>
      <c r="I136" s="189">
        <f>SUMIF('Gastos Generales'!$B:$B,PPvsREal!$C$136,'Gastos Generales'!I:I)</f>
        <v>0</v>
      </c>
      <c r="J136" s="189">
        <f>SUMIF('Gastos Generales'!$B:$B,PPvsREal!$C$136,'Gastos Generales'!J:J)</f>
        <v>3516.6666</v>
      </c>
      <c r="K136" s="189">
        <f>SUMIF('Gastos Generales'!$B:$B,PPvsREal!$C$136,'Gastos Generales'!K:K)</f>
        <v>0</v>
      </c>
      <c r="L136" s="189">
        <f>SUMIF('Gastos Generales'!$B:$B,PPvsREal!$C$136,'Gastos Generales'!L:L)</f>
        <v>3516.6666</v>
      </c>
      <c r="M136" s="189">
        <f>SUMIF('Gastos Generales'!$B:$B,PPvsREal!$C$136,'Gastos Generales'!M:M)</f>
        <v>0</v>
      </c>
      <c r="N136" s="189">
        <f>SUMIF('Gastos Generales'!$B:$B,PPvsREal!$C$136,'Gastos Generales'!N:N)</f>
        <v>3516.6666</v>
      </c>
      <c r="O136" s="189">
        <f>SUMIF('Gastos Generales'!$B:$B,PPvsREal!$C$136,'Gastos Generales'!O:O)</f>
        <v>0</v>
      </c>
      <c r="P136" s="189">
        <f>SUMIF('Gastos Generales'!$B:$B,PPvsREal!$C$136,'Gastos Generales'!P:P)</f>
        <v>3516.6666</v>
      </c>
      <c r="Q136" s="189">
        <f>SUMIF('Gastos Generales'!$B:$B,PPvsREal!$C$136,'Gastos Generales'!Q:Q)</f>
        <v>0</v>
      </c>
      <c r="R136" s="189">
        <f>SUMIF('Gastos Generales'!$B:$B,PPvsREal!$C$136,'Gastos Generales'!R:R)</f>
        <v>3516.6666</v>
      </c>
      <c r="S136" s="189">
        <f>SUMIF('Gastos Generales'!$B:$B,PPvsREal!$C$136,'Gastos Generales'!S:S)</f>
        <v>0</v>
      </c>
      <c r="T136" s="189">
        <f>SUMIF('Gastos Generales'!$B:$B,PPvsREal!$C$136,'Gastos Generales'!T:T)</f>
        <v>3516.6666</v>
      </c>
      <c r="U136" s="189">
        <f>SUMIF('Gastos Generales'!$B:$B,PPvsREal!$C$136,'Gastos Generales'!U:U)</f>
        <v>0</v>
      </c>
      <c r="V136" s="189">
        <f>SUMIF('Gastos Generales'!$B:$B,PPvsREal!$C$136,'Gastos Generales'!V:V)</f>
        <v>3516.663067</v>
      </c>
      <c r="W136" s="189">
        <f>SUMIF('Gastos Generales'!$B:$B,PPvsREal!$C$136,'Gastos Generales'!W:W)</f>
        <v>0</v>
      </c>
      <c r="X136" s="189">
        <f>SUMIF('Gastos Generales'!$B:$B,PPvsREal!$C$136,'Gastos Generales'!X:X)</f>
        <v>3516.663067</v>
      </c>
      <c r="Y136" s="189">
        <f>SUMIF('Gastos Generales'!$B:$B,PPvsREal!$C$136,'Gastos Generales'!Y:Y)</f>
        <v>0</v>
      </c>
      <c r="Z136" s="189">
        <f>SUMIF('Gastos Generales'!$B:$B,PPvsREal!$C$136,'Gastos Generales'!Z:Z)</f>
        <v>3516.663067</v>
      </c>
      <c r="AA136" s="190">
        <f>SUMIF('Gastos Generales'!$B:$B,PPvsREal!$C$136,'Gastos Generales'!AA:AA)</f>
        <v>0</v>
      </c>
    </row>
    <row r="137" ht="12.75" customHeight="1">
      <c r="A137" s="111"/>
      <c r="B137" s="188" t="s">
        <v>37</v>
      </c>
      <c r="C137" s="2" t="s">
        <v>396</v>
      </c>
      <c r="D137" s="189">
        <f>SUMIF('Gastos Generales'!$B:$B,PPvsREal!$C$137,'Gastos Generales'!D:D)</f>
        <v>360748.3323</v>
      </c>
      <c r="E137" s="189">
        <f>SUMIF('Gastos Generales'!$B:$B,PPvsREal!$C$137,'Gastos Generales'!E:E)</f>
        <v>0</v>
      </c>
      <c r="F137" s="189">
        <f>SUMIF('Gastos Generales'!$B:$B,PPvsREal!$C$137,'Gastos Generales'!F:F)</f>
        <v>360748.3323</v>
      </c>
      <c r="G137" s="189">
        <f>SUMIF('Gastos Generales'!$B:$B,PPvsREal!$C$137,'Gastos Generales'!G:G)</f>
        <v>0</v>
      </c>
      <c r="H137" s="189">
        <f>SUMIF('Gastos Generales'!$B:$B,PPvsREal!$C$137,'Gastos Generales'!H:H)</f>
        <v>360748.3323</v>
      </c>
      <c r="I137" s="189">
        <f>SUMIF('Gastos Generales'!$B:$B,PPvsREal!$C$137,'Gastos Generales'!I:I)</f>
        <v>0</v>
      </c>
      <c r="J137" s="189">
        <f>SUMIF('Gastos Generales'!$B:$B,PPvsREal!$C$137,'Gastos Generales'!J:J)</f>
        <v>360748.3323</v>
      </c>
      <c r="K137" s="189">
        <f>SUMIF('Gastos Generales'!$B:$B,PPvsREal!$C$137,'Gastos Generales'!K:K)</f>
        <v>0</v>
      </c>
      <c r="L137" s="189">
        <f>SUMIF('Gastos Generales'!$B:$B,PPvsREal!$C$137,'Gastos Generales'!L:L)</f>
        <v>360748.3323</v>
      </c>
      <c r="M137" s="189">
        <f>SUMIF('Gastos Generales'!$B:$B,PPvsREal!$C$137,'Gastos Generales'!M:M)</f>
        <v>0</v>
      </c>
      <c r="N137" s="189">
        <f>SUMIF('Gastos Generales'!$B:$B,PPvsREal!$C$137,'Gastos Generales'!N:N)</f>
        <v>360748.3323</v>
      </c>
      <c r="O137" s="189">
        <f>SUMIF('Gastos Generales'!$B:$B,PPvsREal!$C$137,'Gastos Generales'!O:O)</f>
        <v>0</v>
      </c>
      <c r="P137" s="189">
        <f>SUMIF('Gastos Generales'!$B:$B,PPvsREal!$C$137,'Gastos Generales'!P:P)</f>
        <v>360748.3323</v>
      </c>
      <c r="Q137" s="189">
        <f>SUMIF('Gastos Generales'!$B:$B,PPvsREal!$C$137,'Gastos Generales'!Q:Q)</f>
        <v>0</v>
      </c>
      <c r="R137" s="189">
        <f>SUMIF('Gastos Generales'!$B:$B,PPvsREal!$C$137,'Gastos Generales'!R:R)</f>
        <v>360748.3323</v>
      </c>
      <c r="S137" s="189">
        <f>SUMIF('Gastos Generales'!$B:$B,PPvsREal!$C$137,'Gastos Generales'!S:S)</f>
        <v>0</v>
      </c>
      <c r="T137" s="189">
        <f>SUMIF('Gastos Generales'!$B:$B,PPvsREal!$C$137,'Gastos Generales'!T:T)</f>
        <v>360748.3323</v>
      </c>
      <c r="U137" s="189">
        <f>SUMIF('Gastos Generales'!$B:$B,PPvsREal!$C$137,'Gastos Generales'!U:U)</f>
        <v>0</v>
      </c>
      <c r="V137" s="189">
        <f>SUMIF('Gastos Generales'!$B:$B,PPvsREal!$C$137,'Gastos Generales'!V:V)</f>
        <v>360748.3323</v>
      </c>
      <c r="W137" s="189">
        <f>SUMIF('Gastos Generales'!$B:$B,PPvsREal!$C$137,'Gastos Generales'!W:W)</f>
        <v>0</v>
      </c>
      <c r="X137" s="189">
        <f>SUMIF('Gastos Generales'!$B:$B,PPvsREal!$C$137,'Gastos Generales'!X:X)</f>
        <v>360748.3323</v>
      </c>
      <c r="Y137" s="189">
        <f>SUMIF('Gastos Generales'!$B:$B,PPvsREal!$C$137,'Gastos Generales'!Y:Y)</f>
        <v>0</v>
      </c>
      <c r="Z137" s="189">
        <f>SUMIF('Gastos Generales'!$B:$B,PPvsREal!$C$137,'Gastos Generales'!Z:Z)</f>
        <v>360748.3323</v>
      </c>
      <c r="AA137" s="190">
        <f>SUMIF('Gastos Generales'!$B:$B,PPvsREal!$C$137,'Gastos Generales'!AA:AA)</f>
        <v>0</v>
      </c>
    </row>
    <row r="138" ht="12.75" customHeight="1">
      <c r="A138" s="111"/>
      <c r="B138" s="191" t="s">
        <v>37</v>
      </c>
      <c r="C138" s="192" t="s">
        <v>398</v>
      </c>
      <c r="D138" s="193">
        <f>SUMIF('Gastos Generales'!$B:$B,PPvsREal!$C$138,'Gastos Generales'!D:D)</f>
        <v>0</v>
      </c>
      <c r="E138" s="193">
        <f>SUMIF('Gastos Generales'!$B:$B,PPvsREal!$C$138,'Gastos Generales'!E:E)</f>
        <v>0</v>
      </c>
      <c r="F138" s="193">
        <f>SUMIF('Gastos Generales'!$B:$B,PPvsREal!$C$138,'Gastos Generales'!F:F)</f>
        <v>0</v>
      </c>
      <c r="G138" s="193">
        <f>SUMIF('Gastos Generales'!$B:$B,PPvsREal!$C$138,'Gastos Generales'!G:G)</f>
        <v>0</v>
      </c>
      <c r="H138" s="193">
        <f>SUMIF('Gastos Generales'!$B:$B,PPvsREal!$C$138,'Gastos Generales'!H:H)</f>
        <v>0</v>
      </c>
      <c r="I138" s="193">
        <f>SUMIF('Gastos Generales'!$B:$B,PPvsREal!$C$138,'Gastos Generales'!I:I)</f>
        <v>0</v>
      </c>
      <c r="J138" s="193">
        <f>SUMIF('Gastos Generales'!$B:$B,PPvsREal!$C$138,'Gastos Generales'!J:J)</f>
        <v>0</v>
      </c>
      <c r="K138" s="193">
        <f>SUMIF('Gastos Generales'!$B:$B,PPvsREal!$C$138,'Gastos Generales'!K:K)</f>
        <v>0</v>
      </c>
      <c r="L138" s="193">
        <f>SUMIF('Gastos Generales'!$B:$B,PPvsREal!$C$138,'Gastos Generales'!L:L)</f>
        <v>0</v>
      </c>
      <c r="M138" s="193">
        <f>SUMIF('Gastos Generales'!$B:$B,PPvsREal!$C$138,'Gastos Generales'!M:M)</f>
        <v>0</v>
      </c>
      <c r="N138" s="193">
        <f>SUMIF('Gastos Generales'!$B:$B,PPvsREal!$C$138,'Gastos Generales'!N:N)</f>
        <v>0</v>
      </c>
      <c r="O138" s="193">
        <f>SUMIF('Gastos Generales'!$B:$B,PPvsREal!$C$138,'Gastos Generales'!O:O)</f>
        <v>0</v>
      </c>
      <c r="P138" s="193">
        <f>SUMIF('Gastos Generales'!$B:$B,PPvsREal!$C$138,'Gastos Generales'!P:P)</f>
        <v>0</v>
      </c>
      <c r="Q138" s="193">
        <f>SUMIF('Gastos Generales'!$B:$B,PPvsREal!$C$138,'Gastos Generales'!Q:Q)</f>
        <v>0</v>
      </c>
      <c r="R138" s="193">
        <f>SUMIF('Gastos Generales'!$B:$B,PPvsREal!$C$138,'Gastos Generales'!R:R)</f>
        <v>0</v>
      </c>
      <c r="S138" s="193">
        <f>SUMIF('Gastos Generales'!$B:$B,PPvsREal!$C$138,'Gastos Generales'!S:S)</f>
        <v>0</v>
      </c>
      <c r="T138" s="193">
        <f>SUMIF('Gastos Generales'!$B:$B,PPvsREal!$C$138,'Gastos Generales'!T:T)</f>
        <v>0</v>
      </c>
      <c r="U138" s="193">
        <f>SUMIF('Gastos Generales'!$B:$B,PPvsREal!$C$138,'Gastos Generales'!U:U)</f>
        <v>0</v>
      </c>
      <c r="V138" s="193">
        <f>SUMIF('Gastos Generales'!$B:$B,PPvsREal!$C$138,'Gastos Generales'!V:V)</f>
        <v>0</v>
      </c>
      <c r="W138" s="193">
        <f>SUMIF('Gastos Generales'!$B:$B,PPvsREal!$C$138,'Gastos Generales'!W:W)</f>
        <v>0</v>
      </c>
      <c r="X138" s="193">
        <f>SUMIF('Gastos Generales'!$B:$B,PPvsREal!$C$138,'Gastos Generales'!X:X)</f>
        <v>0</v>
      </c>
      <c r="Y138" s="193">
        <f>SUMIF('Gastos Generales'!$B:$B,PPvsREal!$C$138,'Gastos Generales'!Y:Y)</f>
        <v>0</v>
      </c>
      <c r="Z138" s="193">
        <f>SUMIF('Gastos Generales'!$B:$B,PPvsREal!$C$138,'Gastos Generales'!Z:Z)</f>
        <v>0</v>
      </c>
      <c r="AA138" s="194">
        <f>SUMIF('Gastos Generales'!$B:$B,PPvsREal!$C$138,'Gastos Generales'!AA:AA)</f>
        <v>0</v>
      </c>
    </row>
    <row r="139" ht="15.75" customHeight="1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</row>
    <row r="140" ht="15.75" customHeight="1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</row>
    <row r="141" ht="15.75" customHeight="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</row>
    <row r="142" ht="15.75" customHeight="1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</row>
    <row r="143" ht="15.75" customHeight="1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</row>
    <row r="144" ht="15.75" customHeight="1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</row>
    <row r="145" ht="15.75" customHeight="1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</row>
    <row r="146" ht="15.75" customHeight="1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</row>
    <row r="147" ht="15.75" customHeight="1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</row>
    <row r="148" ht="15.75" customHeight="1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</row>
    <row r="149" ht="15.75" customHeight="1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</row>
    <row r="150" ht="15.75" customHeight="1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</row>
    <row r="151" ht="15.75" customHeight="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</row>
    <row r="152" ht="15.75" customHeight="1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</row>
    <row r="153" ht="15.75" customHeight="1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</row>
    <row r="154" ht="15.75" customHeight="1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</row>
    <row r="155" ht="15.75" customHeight="1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</row>
    <row r="156" ht="15.75" customHeight="1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</row>
    <row r="157" ht="15.75" customHeight="1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</row>
    <row r="158" ht="15.75" customHeight="1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</row>
    <row r="159" ht="15.75" customHeight="1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</row>
    <row r="160" ht="15.75" customHeight="1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</row>
    <row r="161" ht="15.75" customHeight="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</row>
    <row r="162" ht="15.75" customHeight="1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</row>
    <row r="163" ht="15.75" customHeight="1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</row>
    <row r="164" ht="15.75" customHeight="1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</row>
    <row r="165" ht="15.75" customHeight="1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</row>
    <row r="166" ht="15.75" customHeight="1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</row>
    <row r="167" ht="15.75" customHeight="1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</row>
    <row r="168" ht="15.75" customHeight="1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</row>
    <row r="169" ht="15.75" customHeight="1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</row>
    <row r="170" ht="15.75" customHeight="1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</row>
    <row r="171" ht="15.75" customHeight="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</row>
    <row r="172" ht="15.75" customHeight="1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</row>
    <row r="173" ht="15.75" customHeight="1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</row>
    <row r="174" ht="15.75" customHeight="1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</row>
    <row r="175" ht="15.75" customHeight="1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</row>
    <row r="176" ht="15.75" customHeight="1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</row>
    <row r="177" ht="15.75" customHeight="1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</row>
    <row r="178" ht="15.75" customHeight="1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</row>
    <row r="179" ht="15.75" customHeight="1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</row>
    <row r="180" ht="15.75" customHeight="1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</row>
    <row r="181" ht="15.75" customHeight="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</row>
    <row r="182" ht="15.75" customHeight="1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</row>
    <row r="183" ht="15.75" customHeight="1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</row>
    <row r="184" ht="15.75" customHeight="1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</row>
    <row r="185" ht="15.75" customHeight="1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</row>
    <row r="186" ht="15.75" customHeight="1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</row>
    <row r="187" ht="15.75" customHeight="1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</row>
    <row r="188" ht="15.75" customHeight="1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</row>
    <row r="189" ht="15.75" customHeight="1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</row>
    <row r="190" ht="15.75" customHeight="1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</row>
    <row r="191" ht="15.75" customHeight="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</row>
    <row r="192" ht="15.75" customHeight="1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</row>
    <row r="193" ht="15.75" customHeight="1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</row>
    <row r="194" ht="15.75" customHeight="1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</row>
    <row r="195" ht="15.75" customHeight="1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</row>
    <row r="196" ht="15.75" customHeight="1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</row>
    <row r="197" ht="15.75" customHeight="1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</row>
    <row r="198" ht="15.75" customHeight="1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</row>
    <row r="199" ht="15.75" customHeight="1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</row>
    <row r="200" ht="15.75" customHeight="1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</row>
    <row r="201" ht="15.75" customHeight="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</row>
    <row r="202" ht="15.75" customHeight="1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</row>
    <row r="203" ht="15.75" customHeight="1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</row>
    <row r="204" ht="15.75" customHeight="1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</row>
    <row r="205" ht="15.75" customHeight="1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</row>
    <row r="206" ht="15.75" customHeight="1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</row>
    <row r="207" ht="15.75" customHeight="1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</row>
    <row r="208" ht="15.75" customHeight="1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</row>
    <row r="209" ht="15.75" customHeight="1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</row>
    <row r="210" ht="15.75" customHeight="1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</row>
    <row r="211" ht="15.75" customHeight="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</row>
    <row r="212" ht="15.75" customHeight="1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</row>
    <row r="213" ht="15.75" customHeight="1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</row>
    <row r="214" ht="15.75" customHeight="1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</row>
    <row r="215" ht="15.75" customHeight="1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</row>
    <row r="216" ht="15.75" customHeight="1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</row>
    <row r="217" ht="15.75" customHeight="1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</row>
    <row r="218" ht="15.75" customHeight="1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</row>
    <row r="219" ht="15.75" customHeight="1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</row>
    <row r="220" ht="15.75" customHeight="1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</row>
    <row r="221" ht="15.75" customHeight="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</row>
    <row r="222" ht="15.75" customHeight="1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</row>
    <row r="223" ht="15.75" customHeight="1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</row>
    <row r="224" ht="15.75" customHeight="1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</row>
    <row r="225" ht="15.75" customHeight="1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</row>
    <row r="226" ht="15.75" customHeight="1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</row>
    <row r="227" ht="15.75" customHeight="1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</row>
    <row r="228" ht="15.75" customHeight="1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</row>
    <row r="229" ht="15.75" customHeight="1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</row>
    <row r="230" ht="15.75" customHeight="1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</row>
    <row r="231" ht="15.75" customHeight="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</row>
    <row r="232" ht="15.75" customHeight="1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</row>
    <row r="233" ht="15.75" customHeight="1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</row>
    <row r="234" ht="15.75" customHeight="1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</row>
    <row r="235" ht="15.75" customHeight="1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</row>
    <row r="236" ht="15.75" customHeight="1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</row>
    <row r="237" ht="15.75" customHeight="1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</row>
    <row r="238" ht="15.75" customHeight="1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</row>
    <row r="239" ht="15.75" customHeight="1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</row>
    <row r="240" ht="15.75" customHeight="1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</row>
    <row r="241" ht="15.75" customHeight="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</row>
    <row r="242" ht="15.75" customHeight="1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</row>
    <row r="243" ht="15.75" customHeight="1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</row>
    <row r="244" ht="15.75" customHeight="1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</row>
    <row r="245" ht="15.75" customHeight="1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</row>
    <row r="246" ht="15.75" customHeight="1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</row>
    <row r="247" ht="15.75" customHeight="1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</row>
    <row r="248" ht="15.75" customHeight="1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</row>
    <row r="249" ht="15.75" customHeight="1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</row>
    <row r="250" ht="15.75" customHeight="1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</row>
    <row r="251" ht="15.75" customHeight="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</row>
    <row r="252" ht="15.75" customHeight="1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</row>
    <row r="253" ht="15.75" customHeight="1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</row>
    <row r="254" ht="15.75" customHeight="1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</row>
    <row r="255" ht="15.75" customHeight="1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</row>
    <row r="256" ht="15.75" customHeight="1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</row>
    <row r="257" ht="15.75" customHeight="1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</row>
    <row r="258" ht="15.75" customHeight="1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</row>
    <row r="259" ht="15.75" customHeight="1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</row>
    <row r="260" ht="15.75" customHeight="1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</row>
    <row r="261" ht="15.75" customHeight="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</row>
    <row r="262" ht="15.75" customHeight="1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</row>
    <row r="263" ht="15.75" customHeight="1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</row>
    <row r="264" ht="15.75" customHeight="1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</row>
    <row r="265" ht="15.75" customHeight="1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</row>
    <row r="266" ht="15.75" customHeight="1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</row>
    <row r="267" ht="15.75" customHeight="1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</row>
    <row r="268" ht="15.75" customHeight="1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</row>
    <row r="269" ht="15.75" customHeight="1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</row>
    <row r="270" ht="15.75" customHeight="1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</row>
    <row r="271" ht="15.75" customHeight="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</row>
    <row r="272" ht="15.75" customHeight="1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</row>
    <row r="273" ht="15.75" customHeight="1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</row>
    <row r="274" ht="15.75" customHeight="1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</row>
    <row r="275" ht="15.75" customHeight="1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</row>
    <row r="276" ht="15.75" customHeight="1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</row>
    <row r="277" ht="15.75" customHeight="1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</row>
    <row r="278" ht="15.75" customHeight="1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</row>
    <row r="279" ht="15.75" customHeight="1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</row>
    <row r="280" ht="15.75" customHeight="1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</row>
    <row r="281" ht="15.75" customHeight="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</row>
    <row r="282" ht="15.75" customHeight="1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</row>
    <row r="283" ht="15.75" customHeight="1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</row>
    <row r="284" ht="15.75" customHeight="1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</row>
    <row r="285" ht="15.75" customHeight="1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</row>
    <row r="286" ht="15.75" customHeight="1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</row>
    <row r="287" ht="15.75" customHeight="1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</row>
    <row r="288" ht="15.75" customHeight="1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</row>
    <row r="289" ht="15.75" customHeight="1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</row>
    <row r="290" ht="15.75" customHeight="1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</row>
    <row r="291" ht="15.75" customHeight="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</row>
    <row r="292" ht="15.75" customHeight="1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</row>
    <row r="293" ht="15.75" customHeight="1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</row>
    <row r="294" ht="15.75" customHeight="1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</row>
    <row r="295" ht="15.75" customHeight="1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</row>
    <row r="296" ht="15.75" customHeight="1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</row>
    <row r="297" ht="15.75" customHeight="1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</row>
    <row r="298" ht="15.75" customHeight="1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</row>
    <row r="299" ht="15.75" customHeight="1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</row>
    <row r="300" ht="15.75" customHeight="1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</row>
    <row r="301" ht="15.75" customHeight="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</row>
    <row r="302" ht="15.75" customHeight="1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</row>
    <row r="303" ht="15.75" customHeight="1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</row>
    <row r="304" ht="15.75" customHeight="1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</row>
    <row r="305" ht="15.75" customHeight="1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</row>
    <row r="306" ht="15.75" customHeight="1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</row>
    <row r="307" ht="15.75" customHeight="1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</row>
    <row r="308" ht="15.75" customHeight="1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</row>
    <row r="309" ht="15.75" customHeight="1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</row>
    <row r="310" ht="15.75" customHeight="1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</row>
    <row r="311" ht="15.75" customHeight="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</row>
    <row r="312" ht="15.75" customHeight="1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</row>
    <row r="313" ht="15.75" customHeight="1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</row>
    <row r="314" ht="15.75" customHeight="1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</row>
    <row r="315" ht="15.75" customHeight="1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</row>
    <row r="316" ht="15.75" customHeight="1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</row>
    <row r="317" ht="15.75" customHeight="1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</row>
    <row r="318" ht="15.75" customHeight="1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</row>
    <row r="319" ht="15.75" customHeight="1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</row>
    <row r="320" ht="15.75" customHeight="1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</row>
    <row r="321" ht="15.75" customHeight="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</row>
    <row r="322" ht="15.75" customHeight="1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</row>
    <row r="323" ht="15.75" customHeight="1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</row>
    <row r="324" ht="15.75" customHeight="1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</row>
    <row r="325" ht="15.75" customHeight="1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</row>
    <row r="326" ht="15.75" customHeight="1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</row>
    <row r="327" ht="15.75" customHeight="1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</row>
    <row r="328" ht="15.75" customHeight="1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</row>
    <row r="329" ht="15.75" customHeight="1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</row>
    <row r="330" ht="15.75" customHeight="1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</row>
    <row r="331" ht="15.75" customHeight="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</row>
    <row r="332" ht="15.75" customHeight="1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</row>
    <row r="333" ht="15.75" customHeight="1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</row>
    <row r="334" ht="15.75" customHeight="1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</row>
    <row r="335" ht="15.75" customHeight="1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</row>
    <row r="336" ht="15.75" customHeight="1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</row>
    <row r="337" ht="15.75" customHeight="1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</row>
    <row r="338" ht="15.75" customHeight="1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</row>
    <row r="339" ht="15.75" customHeight="1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</row>
    <row r="340" ht="15.75" customHeight="1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</row>
    <row r="341" ht="15.75" customHeight="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</row>
    <row r="342" ht="15.75" customHeight="1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</row>
    <row r="343" ht="15.75" customHeight="1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</row>
    <row r="344" ht="15.75" customHeight="1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</row>
    <row r="345" ht="15.75" customHeight="1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</row>
    <row r="346" ht="15.75" customHeight="1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</row>
    <row r="347" ht="15.75" customHeight="1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</row>
    <row r="348" ht="15.75" customHeight="1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</row>
    <row r="349" ht="15.75" customHeight="1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</row>
    <row r="350" ht="15.75" customHeight="1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</row>
    <row r="351" ht="15.75" customHeight="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</row>
    <row r="352" ht="15.75" customHeight="1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</row>
    <row r="353" ht="15.75" customHeight="1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</row>
    <row r="354" ht="15.75" customHeight="1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</row>
    <row r="355" ht="15.75" customHeight="1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</row>
    <row r="356" ht="15.75" customHeight="1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</row>
    <row r="357" ht="15.75" customHeight="1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</row>
    <row r="358" ht="15.75" customHeight="1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</row>
    <row r="359" ht="15.75" customHeight="1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</row>
    <row r="360" ht="15.75" customHeight="1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</row>
    <row r="361" ht="15.75" customHeight="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</row>
    <row r="362" ht="15.75" customHeight="1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</row>
    <row r="363" ht="15.75" customHeight="1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</row>
    <row r="364" ht="15.75" customHeight="1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</row>
    <row r="365" ht="15.75" customHeight="1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</row>
    <row r="366" ht="15.75" customHeight="1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</row>
    <row r="367" ht="15.75" customHeight="1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</row>
    <row r="368" ht="15.75" customHeight="1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</row>
    <row r="369" ht="15.75" customHeight="1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</row>
    <row r="370" ht="15.75" customHeight="1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</row>
    <row r="371" ht="15.75" customHeight="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</row>
    <row r="372" ht="15.75" customHeight="1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</row>
    <row r="373" ht="15.75" customHeight="1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</row>
    <row r="374" ht="15.75" customHeight="1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</row>
    <row r="375" ht="15.75" customHeight="1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</row>
    <row r="376" ht="15.75" customHeight="1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</row>
    <row r="377" ht="15.75" customHeight="1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</row>
    <row r="378" ht="15.75" customHeight="1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</row>
    <row r="379" ht="15.75" customHeight="1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</row>
    <row r="380" ht="15.75" customHeight="1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</row>
    <row r="381" ht="15.75" customHeight="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</row>
    <row r="382" ht="15.75" customHeight="1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</row>
    <row r="383" ht="15.75" customHeight="1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</row>
    <row r="384" ht="15.75" customHeight="1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</row>
    <row r="385" ht="15.75" customHeight="1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</row>
    <row r="386" ht="15.75" customHeight="1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</row>
    <row r="387" ht="15.75" customHeight="1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</row>
    <row r="388" ht="15.75" customHeight="1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</row>
    <row r="389" ht="15.75" customHeight="1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</row>
    <row r="390" ht="15.75" customHeight="1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</row>
    <row r="391" ht="15.75" customHeight="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</row>
    <row r="392" ht="15.75" customHeight="1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</row>
    <row r="393" ht="15.75" customHeight="1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</row>
    <row r="394" ht="15.75" customHeight="1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</row>
    <row r="395" ht="15.75" customHeight="1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</row>
    <row r="396" ht="15.75" customHeight="1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</row>
    <row r="397" ht="15.75" customHeight="1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</row>
    <row r="398" ht="15.75" customHeight="1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</row>
    <row r="399" ht="15.75" customHeight="1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</row>
    <row r="400" ht="15.75" customHeight="1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</row>
    <row r="401" ht="15.75" customHeight="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</row>
    <row r="402" ht="15.75" customHeight="1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</row>
    <row r="403" ht="15.75" customHeight="1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</row>
    <row r="404" ht="15.75" customHeight="1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</row>
    <row r="405" ht="15.75" customHeight="1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</row>
    <row r="406" ht="15.75" customHeight="1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</row>
    <row r="407" ht="15.75" customHeight="1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</row>
    <row r="408" ht="15.75" customHeight="1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</row>
    <row r="409" ht="15.75" customHeight="1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</row>
    <row r="410" ht="15.75" customHeight="1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</row>
    <row r="411" ht="15.75" customHeight="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</row>
    <row r="412" ht="15.75" customHeight="1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</row>
    <row r="413" ht="15.75" customHeight="1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</row>
    <row r="414" ht="15.75" customHeight="1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</row>
    <row r="415" ht="15.75" customHeight="1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</row>
    <row r="416" ht="15.75" customHeight="1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</row>
    <row r="417" ht="15.75" customHeight="1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</row>
    <row r="418" ht="15.75" customHeight="1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</row>
    <row r="419" ht="15.75" customHeight="1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</row>
    <row r="420" ht="15.75" customHeight="1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</row>
    <row r="421" ht="15.75" customHeight="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</row>
    <row r="422" ht="15.75" customHeight="1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</row>
    <row r="423" ht="15.75" customHeight="1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</row>
    <row r="424" ht="15.75" customHeight="1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</row>
    <row r="425" ht="15.75" customHeight="1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</row>
    <row r="426" ht="15.75" customHeight="1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</row>
    <row r="427" ht="15.75" customHeight="1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</row>
    <row r="428" ht="15.75" customHeight="1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</row>
    <row r="429" ht="15.75" customHeight="1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</row>
    <row r="430" ht="15.75" customHeight="1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</row>
    <row r="431" ht="15.75" customHeight="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</row>
    <row r="432" ht="15.75" customHeight="1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</row>
    <row r="433" ht="15.75" customHeight="1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</row>
    <row r="434" ht="15.75" customHeight="1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</row>
    <row r="435" ht="15.75" customHeight="1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</row>
    <row r="436" ht="15.75" customHeight="1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</row>
    <row r="437" ht="15.75" customHeight="1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</row>
    <row r="438" ht="15.75" customHeight="1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</row>
    <row r="439" ht="15.75" customHeight="1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</row>
    <row r="440" ht="15.75" customHeight="1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</row>
    <row r="441" ht="15.75" customHeight="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</row>
    <row r="442" ht="15.75" customHeight="1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</row>
    <row r="443" ht="15.75" customHeight="1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</row>
    <row r="444" ht="15.75" customHeight="1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</row>
    <row r="445" ht="15.75" customHeight="1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</row>
    <row r="446" ht="15.75" customHeight="1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</row>
    <row r="447" ht="15.75" customHeight="1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</row>
    <row r="448" ht="15.75" customHeight="1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</row>
    <row r="449" ht="15.75" customHeight="1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</row>
    <row r="450" ht="15.75" customHeight="1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</row>
    <row r="451" ht="15.75" customHeight="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</row>
    <row r="452" ht="15.75" customHeight="1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</row>
    <row r="453" ht="15.75" customHeight="1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</row>
    <row r="454" ht="15.75" customHeight="1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</row>
    <row r="455" ht="15.75" customHeight="1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</row>
    <row r="456" ht="15.75" customHeight="1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</row>
    <row r="457" ht="15.75" customHeight="1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</row>
    <row r="458" ht="15.75" customHeight="1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</row>
    <row r="459" ht="15.75" customHeight="1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</row>
    <row r="460" ht="15.75" customHeight="1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</row>
    <row r="461" ht="15.75" customHeight="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</row>
    <row r="462" ht="15.75" customHeight="1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</row>
    <row r="463" ht="15.75" customHeight="1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</row>
    <row r="464" ht="15.75" customHeight="1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</row>
    <row r="465" ht="15.75" customHeight="1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</row>
    <row r="466" ht="15.75" customHeight="1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</row>
    <row r="467" ht="15.75" customHeight="1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</row>
    <row r="468" ht="15.75" customHeight="1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</row>
    <row r="469" ht="15.75" customHeight="1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</row>
    <row r="470" ht="15.75" customHeight="1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</row>
    <row r="471" ht="15.75" customHeight="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</row>
    <row r="472" ht="15.75" customHeight="1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</row>
    <row r="473" ht="15.75" customHeight="1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</row>
    <row r="474" ht="15.75" customHeight="1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</row>
    <row r="475" ht="15.75" customHeight="1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</row>
    <row r="476" ht="15.75" customHeight="1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</row>
    <row r="477" ht="15.75" customHeight="1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</row>
    <row r="478" ht="15.75" customHeight="1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</row>
    <row r="479" ht="15.75" customHeight="1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</row>
    <row r="480" ht="15.75" customHeight="1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</row>
    <row r="481" ht="15.75" customHeight="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</row>
    <row r="482" ht="15.75" customHeight="1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</row>
    <row r="483" ht="15.75" customHeight="1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</row>
    <row r="484" ht="15.75" customHeight="1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</row>
    <row r="485" ht="15.75" customHeight="1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</row>
    <row r="486" ht="15.75" customHeight="1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</row>
    <row r="487" ht="15.75" customHeight="1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</row>
    <row r="488" ht="15.75" customHeight="1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</row>
    <row r="489" ht="15.75" customHeight="1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</row>
    <row r="490" ht="15.75" customHeight="1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</row>
    <row r="491" ht="15.75" customHeight="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</row>
    <row r="492" ht="15.75" customHeight="1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</row>
    <row r="493" ht="15.75" customHeight="1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</row>
    <row r="494" ht="15.75" customHeight="1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</row>
    <row r="495" ht="15.75" customHeight="1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</row>
    <row r="496" ht="15.75" customHeight="1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</row>
    <row r="497" ht="15.75" customHeight="1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</row>
    <row r="498" ht="15.75" customHeight="1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</row>
    <row r="499" ht="15.75" customHeight="1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</row>
    <row r="500" ht="15.75" customHeight="1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</row>
    <row r="501" ht="15.75" customHeight="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</row>
    <row r="502" ht="15.75" customHeight="1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</row>
    <row r="503" ht="15.75" customHeight="1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</row>
    <row r="504" ht="15.75" customHeight="1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</row>
    <row r="505" ht="15.75" customHeight="1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</row>
    <row r="506" ht="15.75" customHeight="1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</row>
    <row r="507" ht="15.75" customHeight="1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</row>
    <row r="508" ht="15.75" customHeight="1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</row>
    <row r="509" ht="15.75" customHeight="1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</row>
    <row r="510" ht="15.75" customHeight="1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</row>
    <row r="511" ht="15.75" customHeight="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</row>
    <row r="512" ht="15.75" customHeight="1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</row>
    <row r="513" ht="15.75" customHeight="1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</row>
    <row r="514" ht="15.75" customHeight="1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</row>
    <row r="515" ht="15.75" customHeight="1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</row>
    <row r="516" ht="15.75" customHeight="1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</row>
    <row r="517" ht="15.75" customHeight="1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</row>
    <row r="518" ht="15.75" customHeight="1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</row>
    <row r="519" ht="15.75" customHeight="1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</row>
    <row r="520" ht="15.75" customHeight="1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</row>
    <row r="521" ht="15.75" customHeight="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</row>
    <row r="522" ht="15.75" customHeight="1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</row>
    <row r="523" ht="15.75" customHeight="1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</row>
    <row r="524" ht="15.75" customHeight="1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</row>
    <row r="525" ht="15.75" customHeight="1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</row>
    <row r="526" ht="15.75" customHeight="1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</row>
    <row r="527" ht="15.75" customHeight="1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</row>
    <row r="528" ht="15.75" customHeight="1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</row>
    <row r="529" ht="15.75" customHeight="1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</row>
    <row r="530" ht="15.75" customHeight="1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</row>
    <row r="531" ht="15.75" customHeight="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</row>
    <row r="532" ht="15.75" customHeight="1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</row>
    <row r="533" ht="15.75" customHeight="1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</row>
    <row r="534" ht="15.75" customHeight="1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</row>
    <row r="535" ht="15.75" customHeight="1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</row>
    <row r="536" ht="15.75" customHeight="1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</row>
    <row r="537" ht="15.75" customHeight="1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</row>
    <row r="538" ht="15.75" customHeight="1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</row>
    <row r="539" ht="15.75" customHeight="1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</row>
    <row r="540" ht="15.75" customHeight="1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</row>
    <row r="541" ht="15.75" customHeight="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</row>
    <row r="542" ht="15.75" customHeight="1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</row>
    <row r="543" ht="15.75" customHeight="1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</row>
    <row r="544" ht="15.75" customHeight="1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</row>
    <row r="545" ht="15.75" customHeight="1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</row>
    <row r="546" ht="15.75" customHeight="1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</row>
    <row r="547" ht="15.75" customHeight="1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</row>
    <row r="548" ht="15.75" customHeight="1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</row>
    <row r="549" ht="15.75" customHeight="1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</row>
    <row r="550" ht="15.75" customHeight="1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</row>
    <row r="551" ht="15.75" customHeight="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</row>
    <row r="552" ht="15.75" customHeight="1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</row>
    <row r="553" ht="15.75" customHeight="1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</row>
    <row r="554" ht="15.75" customHeight="1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</row>
    <row r="555" ht="15.75" customHeight="1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</row>
    <row r="556" ht="15.75" customHeight="1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</row>
    <row r="557" ht="15.75" customHeight="1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</row>
    <row r="558" ht="15.75" customHeight="1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</row>
    <row r="559" ht="15.75" customHeight="1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</row>
    <row r="560" ht="15.75" customHeight="1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</row>
    <row r="561" ht="15.75" customHeight="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</row>
    <row r="562" ht="15.75" customHeight="1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</row>
    <row r="563" ht="15.75" customHeight="1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</row>
    <row r="564" ht="15.75" customHeight="1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</row>
    <row r="565" ht="15.75" customHeight="1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</row>
    <row r="566" ht="15.75" customHeight="1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</row>
    <row r="567" ht="15.75" customHeight="1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</row>
    <row r="568" ht="15.75" customHeight="1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</row>
    <row r="569" ht="15.75" customHeight="1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</row>
    <row r="570" ht="15.75" customHeight="1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</row>
    <row r="571" ht="15.75" customHeight="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</row>
    <row r="572" ht="15.75" customHeight="1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</row>
    <row r="573" ht="15.75" customHeight="1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</row>
    <row r="574" ht="15.75" customHeight="1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</row>
    <row r="575" ht="15.75" customHeight="1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</row>
    <row r="576" ht="15.75" customHeight="1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</row>
    <row r="577" ht="15.75" customHeight="1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</row>
    <row r="578" ht="15.75" customHeight="1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</row>
    <row r="579" ht="15.75" customHeight="1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</row>
    <row r="580" ht="15.75" customHeight="1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</row>
    <row r="581" ht="15.75" customHeight="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</row>
    <row r="582" ht="15.75" customHeight="1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</row>
    <row r="583" ht="15.75" customHeight="1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</row>
    <row r="584" ht="15.75" customHeight="1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</row>
    <row r="585" ht="15.75" customHeight="1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</row>
    <row r="586" ht="15.75" customHeight="1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</row>
    <row r="587" ht="15.75" customHeight="1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</row>
    <row r="588" ht="15.75" customHeight="1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</row>
    <row r="589" ht="15.75" customHeight="1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</row>
    <row r="590" ht="15.75" customHeight="1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</row>
    <row r="591" ht="15.75" customHeight="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</row>
    <row r="592" ht="15.75" customHeight="1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</row>
    <row r="593" ht="15.75" customHeight="1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</row>
    <row r="594" ht="15.75" customHeight="1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</row>
    <row r="595" ht="15.75" customHeight="1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</row>
    <row r="596" ht="15.75" customHeight="1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</row>
    <row r="597" ht="15.75" customHeight="1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</row>
    <row r="598" ht="15.75" customHeight="1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</row>
    <row r="599" ht="15.75" customHeight="1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</row>
    <row r="600" ht="15.75" customHeight="1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</row>
    <row r="601" ht="15.75" customHeight="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</row>
    <row r="602" ht="15.75" customHeight="1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</row>
    <row r="603" ht="15.75" customHeight="1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</row>
    <row r="604" ht="15.75" customHeight="1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</row>
    <row r="605" ht="15.75" customHeight="1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</row>
    <row r="606" ht="15.75" customHeight="1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</row>
    <row r="607" ht="15.75" customHeight="1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</row>
    <row r="608" ht="15.75" customHeight="1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</row>
    <row r="609" ht="15.75" customHeight="1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</row>
    <row r="610" ht="15.75" customHeight="1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</row>
    <row r="611" ht="15.75" customHeight="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</row>
    <row r="612" ht="15.75" customHeight="1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</row>
    <row r="613" ht="15.75" customHeight="1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</row>
    <row r="614" ht="15.75" customHeight="1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</row>
    <row r="615" ht="15.75" customHeight="1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</row>
    <row r="616" ht="15.75" customHeight="1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</row>
    <row r="617" ht="15.75" customHeight="1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</row>
    <row r="618" ht="15.75" customHeight="1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</row>
    <row r="619" ht="15.75" customHeight="1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</row>
    <row r="620" ht="15.75" customHeight="1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</row>
    <row r="621" ht="15.75" customHeight="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</row>
    <row r="622" ht="15.75" customHeight="1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</row>
    <row r="623" ht="15.75" customHeight="1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</row>
    <row r="624" ht="15.75" customHeight="1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</row>
    <row r="625" ht="15.75" customHeight="1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</row>
    <row r="626" ht="15.75" customHeight="1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</row>
    <row r="627" ht="15.75" customHeight="1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</row>
    <row r="628" ht="15.75" customHeight="1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</row>
    <row r="629" ht="15.75" customHeight="1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</row>
    <row r="630" ht="15.75" customHeight="1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</row>
    <row r="631" ht="15.75" customHeight="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</row>
    <row r="632" ht="15.75" customHeight="1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</row>
    <row r="633" ht="15.75" customHeight="1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</row>
    <row r="634" ht="15.75" customHeight="1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</row>
    <row r="635" ht="15.75" customHeight="1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</row>
    <row r="636" ht="15.75" customHeight="1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</row>
    <row r="637" ht="15.75" customHeight="1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</row>
    <row r="638" ht="15.75" customHeight="1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</row>
    <row r="639" ht="15.75" customHeight="1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</row>
    <row r="640" ht="15.75" customHeight="1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</row>
    <row r="641" ht="15.75" customHeight="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</row>
    <row r="642" ht="15.75" customHeight="1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</row>
    <row r="643" ht="15.75" customHeight="1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</row>
    <row r="644" ht="15.75" customHeight="1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</row>
    <row r="645" ht="15.75" customHeight="1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</row>
    <row r="646" ht="15.75" customHeight="1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</row>
    <row r="647" ht="15.75" customHeight="1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</row>
    <row r="648" ht="15.75" customHeight="1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</row>
    <row r="649" ht="15.75" customHeight="1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</row>
    <row r="650" ht="15.75" customHeight="1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</row>
    <row r="651" ht="15.75" customHeight="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</row>
    <row r="652" ht="15.75" customHeight="1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</row>
    <row r="653" ht="15.75" customHeight="1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</row>
    <row r="654" ht="15.75" customHeight="1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</row>
    <row r="655" ht="15.75" customHeight="1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</row>
    <row r="656" ht="15.75" customHeight="1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</row>
    <row r="657" ht="15.75" customHeight="1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</row>
    <row r="658" ht="15.75" customHeight="1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</row>
    <row r="659" ht="15.75" customHeight="1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</row>
    <row r="660" ht="15.75" customHeight="1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</row>
    <row r="661" ht="15.75" customHeight="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</row>
    <row r="662" ht="15.75" customHeight="1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</row>
    <row r="663" ht="15.75" customHeight="1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</row>
    <row r="664" ht="15.75" customHeight="1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</row>
    <row r="665" ht="15.75" customHeight="1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</row>
    <row r="666" ht="15.75" customHeight="1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</row>
    <row r="667" ht="15.75" customHeight="1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</row>
    <row r="668" ht="15.75" customHeight="1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</row>
    <row r="669" ht="15.75" customHeight="1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</row>
    <row r="670" ht="15.75" customHeight="1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</row>
    <row r="671" ht="15.75" customHeight="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</row>
    <row r="672" ht="15.75" customHeight="1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</row>
    <row r="673" ht="15.75" customHeight="1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</row>
    <row r="674" ht="15.75" customHeight="1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</row>
    <row r="675" ht="15.75" customHeight="1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</row>
    <row r="676" ht="15.75" customHeight="1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</row>
    <row r="677" ht="15.75" customHeight="1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</row>
    <row r="678" ht="15.75" customHeight="1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</row>
    <row r="679" ht="15.75" customHeight="1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</row>
    <row r="680" ht="15.75" customHeight="1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</row>
    <row r="681" ht="15.75" customHeight="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</row>
    <row r="682" ht="15.75" customHeight="1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</row>
    <row r="683" ht="15.75" customHeight="1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</row>
    <row r="684" ht="15.75" customHeight="1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</row>
    <row r="685" ht="15.75" customHeight="1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</row>
    <row r="686" ht="15.75" customHeight="1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</row>
    <row r="687" ht="15.75" customHeight="1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</row>
    <row r="688" ht="15.75" customHeight="1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</row>
    <row r="689" ht="15.75" customHeight="1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</row>
    <row r="690" ht="15.75" customHeight="1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</row>
    <row r="691" ht="15.75" customHeight="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</row>
    <row r="692" ht="15.75" customHeight="1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</row>
    <row r="693" ht="15.75" customHeight="1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</row>
    <row r="694" ht="15.75" customHeight="1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</row>
    <row r="695" ht="15.75" customHeight="1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</row>
    <row r="696" ht="15.75" customHeight="1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</row>
    <row r="697" ht="15.75" customHeight="1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</row>
    <row r="698" ht="15.75" customHeight="1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</row>
    <row r="699" ht="15.75" customHeight="1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</row>
    <row r="700" ht="15.75" customHeight="1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</row>
    <row r="701" ht="15.75" customHeight="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</row>
    <row r="702" ht="15.75" customHeight="1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</row>
    <row r="703" ht="15.75" customHeight="1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</row>
    <row r="704" ht="15.75" customHeight="1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</row>
    <row r="705" ht="15.75" customHeight="1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</row>
    <row r="706" ht="15.75" customHeight="1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</row>
    <row r="707" ht="15.75" customHeight="1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</row>
    <row r="708" ht="15.75" customHeight="1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</row>
    <row r="709" ht="15.75" customHeight="1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</row>
    <row r="710" ht="15.75" customHeight="1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</row>
    <row r="711" ht="15.75" customHeight="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</row>
    <row r="712" ht="15.75" customHeight="1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</row>
    <row r="713" ht="15.75" customHeight="1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</row>
    <row r="714" ht="15.75" customHeight="1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</row>
    <row r="715" ht="15.75" customHeight="1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</row>
    <row r="716" ht="15.75" customHeight="1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</row>
    <row r="717" ht="15.75" customHeight="1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</row>
    <row r="718" ht="15.75" customHeight="1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</row>
    <row r="719" ht="15.75" customHeight="1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</row>
    <row r="720" ht="15.75" customHeight="1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</row>
    <row r="721" ht="15.75" customHeight="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</row>
    <row r="722" ht="15.75" customHeight="1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</row>
    <row r="723" ht="15.75" customHeight="1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</row>
    <row r="724" ht="15.75" customHeight="1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</row>
    <row r="725" ht="15.75" customHeight="1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</row>
    <row r="726" ht="15.75" customHeight="1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</row>
    <row r="727" ht="15.75" customHeight="1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</row>
    <row r="728" ht="15.75" customHeight="1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</row>
    <row r="729" ht="15.75" customHeight="1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</row>
    <row r="730" ht="15.75" customHeight="1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</row>
    <row r="731" ht="15.75" customHeight="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</row>
    <row r="732" ht="15.75" customHeight="1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</row>
    <row r="733" ht="15.75" customHeight="1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</row>
    <row r="734" ht="15.75" customHeight="1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</row>
    <row r="735" ht="15.75" customHeight="1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</row>
    <row r="736" ht="15.75" customHeight="1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</row>
    <row r="737" ht="15.75" customHeight="1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</row>
    <row r="738" ht="15.75" customHeight="1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</row>
    <row r="739" ht="15.75" customHeight="1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</row>
    <row r="740" ht="15.75" customHeight="1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</row>
    <row r="741" ht="15.75" customHeight="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</row>
    <row r="742" ht="15.75" customHeight="1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</row>
    <row r="743" ht="15.75" customHeight="1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</row>
    <row r="744" ht="15.75" customHeight="1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</row>
    <row r="745" ht="15.75" customHeight="1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</row>
    <row r="746" ht="15.75" customHeight="1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</row>
    <row r="747" ht="15.75" customHeight="1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</row>
    <row r="748" ht="15.75" customHeight="1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</row>
    <row r="749" ht="15.75" customHeight="1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</row>
    <row r="750" ht="15.75" customHeight="1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</row>
    <row r="751" ht="15.75" customHeight="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</row>
    <row r="752" ht="15.75" customHeight="1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</row>
    <row r="753" ht="15.75" customHeight="1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</row>
    <row r="754" ht="15.75" customHeight="1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</row>
    <row r="755" ht="15.75" customHeight="1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</row>
    <row r="756" ht="15.75" customHeight="1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</row>
    <row r="757" ht="15.75" customHeight="1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</row>
    <row r="758" ht="15.75" customHeight="1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</row>
    <row r="759" ht="15.75" customHeight="1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</row>
    <row r="760" ht="15.75" customHeight="1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</row>
    <row r="761" ht="15.75" customHeight="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</row>
    <row r="762" ht="15.75" customHeight="1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</row>
    <row r="763" ht="15.75" customHeight="1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</row>
    <row r="764" ht="15.75" customHeight="1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</row>
    <row r="765" ht="15.75" customHeight="1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</row>
    <row r="766" ht="15.75" customHeight="1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</row>
    <row r="767" ht="15.75" customHeight="1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</row>
    <row r="768" ht="15.75" customHeight="1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</row>
    <row r="769" ht="15.75" customHeight="1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</row>
    <row r="770" ht="15.75" customHeight="1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</row>
    <row r="771" ht="15.75" customHeight="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</row>
    <row r="772" ht="15.75" customHeight="1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</row>
    <row r="773" ht="15.75" customHeight="1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</row>
    <row r="774" ht="15.75" customHeight="1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</row>
    <row r="775" ht="15.75" customHeight="1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</row>
    <row r="776" ht="15.75" customHeight="1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</row>
    <row r="777" ht="15.75" customHeight="1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</row>
    <row r="778" ht="15.75" customHeight="1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</row>
    <row r="779" ht="15.75" customHeight="1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</row>
    <row r="780" ht="15.75" customHeight="1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</row>
    <row r="781" ht="15.75" customHeight="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</row>
    <row r="782" ht="15.75" customHeight="1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</row>
    <row r="783" ht="15.75" customHeight="1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</row>
    <row r="784" ht="15.75" customHeight="1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</row>
    <row r="785" ht="15.75" customHeight="1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</row>
    <row r="786" ht="15.75" customHeight="1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</row>
    <row r="787" ht="15.75" customHeight="1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</row>
    <row r="788" ht="15.75" customHeight="1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</row>
    <row r="789" ht="15.75" customHeight="1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</row>
    <row r="790" ht="15.75" customHeight="1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</row>
    <row r="791" ht="15.75" customHeight="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</row>
    <row r="792" ht="15.75" customHeight="1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</row>
    <row r="793" ht="15.75" customHeight="1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</row>
    <row r="794" ht="15.75" customHeight="1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</row>
    <row r="795" ht="15.75" customHeight="1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</row>
    <row r="796" ht="15.75" customHeight="1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</row>
    <row r="797" ht="15.75" customHeight="1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</row>
    <row r="798" ht="15.75" customHeight="1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</row>
    <row r="799" ht="15.75" customHeight="1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</row>
    <row r="800" ht="15.75" customHeight="1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</row>
    <row r="801" ht="15.75" customHeight="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</row>
    <row r="802" ht="15.75" customHeight="1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</row>
    <row r="803" ht="15.75" customHeight="1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</row>
    <row r="804" ht="15.75" customHeight="1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</row>
    <row r="805" ht="15.75" customHeight="1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</row>
    <row r="806" ht="15.75" customHeight="1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</row>
    <row r="807" ht="15.75" customHeight="1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</row>
    <row r="808" ht="15.75" customHeight="1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</row>
    <row r="809" ht="15.75" customHeight="1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</row>
    <row r="810" ht="15.75" customHeight="1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</row>
    <row r="811" ht="15.75" customHeight="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</row>
    <row r="812" ht="15.75" customHeight="1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</row>
    <row r="813" ht="15.75" customHeight="1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</row>
    <row r="814" ht="15.75" customHeight="1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</row>
    <row r="815" ht="15.75" customHeight="1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</row>
    <row r="816" ht="15.75" customHeight="1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</row>
    <row r="817" ht="15.75" customHeight="1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</row>
    <row r="818" ht="15.75" customHeight="1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</row>
    <row r="819" ht="15.75" customHeight="1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</row>
    <row r="820" ht="15.75" customHeight="1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</row>
    <row r="821" ht="15.75" customHeight="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</row>
    <row r="822" ht="15.75" customHeight="1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</row>
    <row r="823" ht="15.75" customHeight="1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</row>
    <row r="824" ht="15.75" customHeight="1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</row>
    <row r="825" ht="15.75" customHeight="1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</row>
    <row r="826" ht="15.75" customHeight="1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</row>
    <row r="827" ht="15.75" customHeight="1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</row>
    <row r="828" ht="15.75" customHeight="1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</row>
    <row r="829" ht="15.75" customHeight="1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</row>
    <row r="830" ht="15.75" customHeight="1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</row>
    <row r="831" ht="15.75" customHeight="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</row>
    <row r="832" ht="15.75" customHeight="1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</row>
    <row r="833" ht="15.75" customHeight="1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</row>
    <row r="834" ht="15.75" customHeight="1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</row>
    <row r="835" ht="15.75" customHeight="1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</row>
    <row r="836" ht="15.75" customHeight="1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</row>
    <row r="837" ht="15.75" customHeight="1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</row>
    <row r="838" ht="15.75" customHeight="1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</row>
    <row r="839" ht="15.75" customHeight="1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</row>
    <row r="840" ht="15.75" customHeight="1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</row>
    <row r="841" ht="15.75" customHeight="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</row>
    <row r="842" ht="15.75" customHeight="1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</row>
    <row r="843" ht="15.75" customHeight="1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</row>
    <row r="844" ht="15.75" customHeight="1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</row>
    <row r="845" ht="15.75" customHeight="1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</row>
    <row r="846" ht="15.75" customHeight="1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</row>
    <row r="847" ht="15.75" customHeight="1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</row>
    <row r="848" ht="15.75" customHeight="1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</row>
    <row r="849" ht="15.75" customHeight="1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</row>
    <row r="850" ht="15.75" customHeight="1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</row>
    <row r="851" ht="15.75" customHeight="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</row>
    <row r="852" ht="15.75" customHeight="1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</row>
    <row r="853" ht="15.75" customHeight="1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</row>
    <row r="854" ht="15.75" customHeight="1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</row>
    <row r="855" ht="15.75" customHeight="1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</row>
    <row r="856" ht="15.75" customHeight="1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</row>
    <row r="857" ht="15.75" customHeight="1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</row>
    <row r="858" ht="15.75" customHeight="1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</row>
    <row r="859" ht="15.75" customHeight="1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</row>
    <row r="860" ht="15.75" customHeight="1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</row>
    <row r="861" ht="15.75" customHeight="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</row>
    <row r="862" ht="15.75" customHeight="1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</row>
    <row r="863" ht="15.75" customHeight="1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</row>
    <row r="864" ht="15.75" customHeight="1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</row>
    <row r="865" ht="15.75" customHeight="1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</row>
    <row r="866" ht="15.75" customHeight="1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</row>
    <row r="867" ht="15.75" customHeight="1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</row>
    <row r="868" ht="15.75" customHeight="1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</row>
    <row r="869" ht="15.75" customHeight="1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</row>
    <row r="870" ht="15.75" customHeight="1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</row>
    <row r="871" ht="15.75" customHeight="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</row>
    <row r="872" ht="15.75" customHeight="1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</row>
    <row r="873" ht="15.75" customHeight="1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</row>
    <row r="874" ht="15.75" customHeight="1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</row>
    <row r="875" ht="15.75" customHeight="1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</row>
    <row r="876" ht="15.75" customHeight="1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</row>
    <row r="877" ht="15.75" customHeight="1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</row>
    <row r="878" ht="15.75" customHeight="1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</row>
    <row r="879" ht="15.75" customHeight="1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</row>
    <row r="880" ht="15.75" customHeight="1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</row>
    <row r="881" ht="15.75" customHeight="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</row>
    <row r="882" ht="15.75" customHeight="1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</row>
    <row r="883" ht="15.75" customHeight="1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</row>
    <row r="884" ht="15.75" customHeight="1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</row>
    <row r="885" ht="15.75" customHeight="1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</row>
    <row r="886" ht="15.75" customHeight="1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</row>
    <row r="887" ht="15.75" customHeight="1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</row>
    <row r="888" ht="15.75" customHeight="1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</row>
    <row r="889" ht="15.75" customHeight="1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</row>
    <row r="890" ht="15.75" customHeight="1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</row>
    <row r="891" ht="15.75" customHeight="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</row>
    <row r="892" ht="15.75" customHeight="1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</row>
    <row r="893" ht="15.75" customHeight="1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</row>
    <row r="894" ht="15.75" customHeight="1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</row>
    <row r="895" ht="15.75" customHeight="1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</row>
    <row r="896" ht="15.75" customHeight="1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</row>
    <row r="897" ht="15.75" customHeight="1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</row>
    <row r="898" ht="15.75" customHeight="1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</row>
    <row r="899" ht="15.75" customHeight="1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</row>
    <row r="900" ht="15.75" customHeight="1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</row>
    <row r="901" ht="15.75" customHeight="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</row>
    <row r="902" ht="15.75" customHeight="1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</row>
    <row r="903" ht="15.75" customHeight="1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</row>
    <row r="904" ht="15.75" customHeight="1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</row>
    <row r="905" ht="15.75" customHeight="1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</row>
    <row r="906" ht="15.75" customHeight="1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</row>
    <row r="907" ht="15.75" customHeight="1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</row>
    <row r="908" ht="15.75" customHeight="1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</row>
    <row r="909" ht="15.75" customHeight="1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</row>
    <row r="910" ht="15.75" customHeight="1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</row>
    <row r="911" ht="15.75" customHeight="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</row>
    <row r="912" ht="15.75" customHeight="1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</row>
    <row r="913" ht="15.75" customHeight="1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</row>
    <row r="914" ht="15.75" customHeight="1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</row>
    <row r="915" ht="15.75" customHeight="1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</row>
    <row r="916" ht="15.75" customHeight="1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</row>
    <row r="917" ht="15.75" customHeight="1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</row>
    <row r="918" ht="15.75" customHeight="1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</row>
    <row r="919" ht="15.75" customHeight="1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</row>
    <row r="920" ht="15.75" customHeight="1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</row>
    <row r="921" ht="15.75" customHeight="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</row>
    <row r="922" ht="15.75" customHeight="1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</row>
    <row r="923" ht="15.75" customHeight="1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</row>
    <row r="924" ht="15.75" customHeight="1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</row>
    <row r="925" ht="15.75" customHeight="1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</row>
    <row r="926" ht="15.75" customHeight="1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</row>
    <row r="927" ht="15.75" customHeight="1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</row>
    <row r="928" ht="15.75" customHeight="1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</row>
    <row r="929" ht="15.75" customHeight="1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</row>
    <row r="930" ht="15.75" customHeight="1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</row>
    <row r="931" ht="15.75" customHeight="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</row>
    <row r="932" ht="15.75" customHeight="1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</row>
    <row r="933" ht="15.75" customHeight="1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</row>
    <row r="934" ht="15.75" customHeight="1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</row>
    <row r="935" ht="15.75" customHeight="1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</row>
    <row r="936" ht="15.75" customHeight="1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</row>
    <row r="937" ht="15.75" customHeight="1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</row>
    <row r="938" ht="15.75" customHeight="1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</row>
    <row r="939" ht="15.75" customHeight="1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</row>
    <row r="940" ht="15.75" customHeight="1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</row>
    <row r="941" ht="15.75" customHeight="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</row>
    <row r="942" ht="15.75" customHeight="1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</row>
    <row r="943" ht="15.75" customHeight="1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</row>
    <row r="944" ht="15.75" customHeight="1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</row>
    <row r="945" ht="15.75" customHeight="1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</row>
    <row r="946" ht="15.75" customHeight="1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</row>
    <row r="947" ht="15.75" customHeight="1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</row>
    <row r="948" ht="15.75" customHeight="1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</row>
    <row r="949" ht="15.75" customHeight="1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</row>
    <row r="950" ht="15.75" customHeight="1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</row>
    <row r="951" ht="15.75" customHeight="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</row>
    <row r="952" ht="15.75" customHeight="1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</row>
    <row r="953" ht="15.75" customHeight="1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</row>
    <row r="954" ht="15.75" customHeight="1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</row>
    <row r="955" ht="15.75" customHeight="1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</row>
    <row r="956" ht="15.75" customHeight="1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</row>
    <row r="957" ht="15.75" customHeight="1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</row>
    <row r="958" ht="15.75" customHeight="1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</row>
    <row r="959" ht="15.75" customHeight="1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</row>
    <row r="960" ht="15.75" customHeight="1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</row>
    <row r="961" ht="15.75" customHeight="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</row>
    <row r="962" ht="15.75" customHeight="1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</row>
    <row r="963" ht="15.75" customHeight="1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</row>
    <row r="964" ht="15.75" customHeight="1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</row>
    <row r="965" ht="15.75" customHeight="1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</row>
    <row r="966" ht="15.75" customHeight="1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</row>
    <row r="967" ht="15.75" customHeight="1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</row>
    <row r="968" ht="15.75" customHeight="1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</row>
    <row r="969" ht="15.75" customHeight="1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</row>
    <row r="970" ht="15.75" customHeight="1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</row>
    <row r="971" ht="15.75" customHeight="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</row>
    <row r="972" ht="15.75" customHeight="1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</row>
    <row r="973" ht="15.75" customHeight="1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</row>
    <row r="974" ht="15.75" customHeight="1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</row>
    <row r="975" ht="15.75" customHeight="1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</row>
    <row r="976" ht="15.75" customHeight="1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</row>
    <row r="977" ht="15.75" customHeight="1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</row>
    <row r="978" ht="15.75" customHeight="1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</row>
    <row r="979" ht="15.75" customHeight="1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</row>
    <row r="980" ht="15.75" customHeight="1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</row>
    <row r="981" ht="15.75" customHeight="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</row>
    <row r="982" ht="15.75" customHeight="1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</row>
    <row r="983" ht="15.75" customHeight="1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</row>
    <row r="984" ht="15.75" customHeight="1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</row>
    <row r="985" ht="15.75" customHeight="1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</row>
    <row r="986" ht="15.75" customHeight="1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</row>
    <row r="987" ht="15.75" customHeight="1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</row>
    <row r="988" ht="15.75" customHeight="1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</row>
    <row r="989" ht="15.75" customHeight="1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</row>
    <row r="990" ht="15.75" customHeight="1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</row>
    <row r="991" ht="15.75" customHeight="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</row>
    <row r="992" ht="15.75" customHeight="1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</row>
    <row r="993" ht="15.75" customHeight="1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</row>
    <row r="994" ht="15.75" customHeight="1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</row>
    <row r="995" ht="15.75" customHeight="1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</row>
    <row r="996" ht="15.75" customHeight="1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</row>
    <row r="997" ht="15.75" customHeight="1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</row>
    <row r="998" ht="15.75" customHeight="1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</row>
    <row r="999" ht="15.75" customHeight="1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</row>
    <row r="1000" ht="15.75" customHeight="1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</row>
    <row r="1001" ht="15.75" customHeight="1">
      <c r="A1001" s="111"/>
      <c r="B1001" s="111"/>
      <c r="C1001" s="111"/>
      <c r="D1001" s="111"/>
      <c r="E1001" s="111"/>
      <c r="F1001" s="111"/>
      <c r="G1001" s="111"/>
      <c r="H1001" s="111"/>
      <c r="I1001" s="111"/>
      <c r="J1001" s="111"/>
      <c r="K1001" s="111"/>
      <c r="L1001" s="111"/>
      <c r="M1001" s="111"/>
      <c r="N1001" s="111"/>
      <c r="O1001" s="111"/>
      <c r="P1001" s="111"/>
      <c r="Q1001" s="111"/>
      <c r="R1001" s="111"/>
      <c r="S1001" s="111"/>
      <c r="T1001" s="111"/>
      <c r="U1001" s="111"/>
      <c r="V1001" s="111"/>
      <c r="W1001" s="111"/>
      <c r="X1001" s="111"/>
      <c r="Y1001" s="111"/>
      <c r="Z1001" s="111"/>
      <c r="AA1001" s="111"/>
    </row>
    <row r="1002" ht="15.75" customHeight="1">
      <c r="A1002" s="111"/>
      <c r="B1002" s="111"/>
      <c r="C1002" s="111"/>
      <c r="D1002" s="111"/>
      <c r="E1002" s="111"/>
      <c r="F1002" s="111"/>
      <c r="G1002" s="111"/>
      <c r="H1002" s="111"/>
      <c r="I1002" s="111"/>
      <c r="J1002" s="111"/>
      <c r="K1002" s="111"/>
      <c r="L1002" s="111"/>
      <c r="M1002" s="111"/>
      <c r="N1002" s="111"/>
      <c r="O1002" s="111"/>
      <c r="P1002" s="111"/>
      <c r="Q1002" s="111"/>
      <c r="R1002" s="111"/>
      <c r="S1002" s="111"/>
      <c r="T1002" s="111"/>
      <c r="U1002" s="111"/>
      <c r="V1002" s="111"/>
      <c r="W1002" s="111"/>
      <c r="X1002" s="111"/>
      <c r="Y1002" s="111"/>
      <c r="Z1002" s="111"/>
      <c r="AA1002" s="111"/>
    </row>
    <row r="1003" ht="15.75" customHeight="1">
      <c r="A1003" s="111"/>
      <c r="B1003" s="111"/>
      <c r="C1003" s="111"/>
      <c r="D1003" s="111"/>
      <c r="E1003" s="111"/>
      <c r="F1003" s="111"/>
      <c r="G1003" s="111"/>
      <c r="H1003" s="111"/>
      <c r="I1003" s="111"/>
      <c r="J1003" s="111"/>
      <c r="K1003" s="111"/>
      <c r="L1003" s="111"/>
      <c r="M1003" s="111"/>
      <c r="N1003" s="111"/>
      <c r="O1003" s="111"/>
      <c r="P1003" s="111"/>
      <c r="Q1003" s="111"/>
      <c r="R1003" s="111"/>
      <c r="S1003" s="111"/>
      <c r="T1003" s="111"/>
      <c r="U1003" s="111"/>
      <c r="V1003" s="111"/>
      <c r="W1003" s="111"/>
      <c r="X1003" s="111"/>
      <c r="Y1003" s="111"/>
      <c r="Z1003" s="111"/>
      <c r="AA1003" s="111"/>
    </row>
    <row r="1004" ht="15.75" customHeight="1">
      <c r="A1004" s="111"/>
      <c r="B1004" s="111"/>
      <c r="C1004" s="111"/>
      <c r="D1004" s="111"/>
      <c r="E1004" s="111"/>
      <c r="F1004" s="111"/>
      <c r="G1004" s="111"/>
      <c r="H1004" s="111"/>
      <c r="I1004" s="111"/>
      <c r="J1004" s="111"/>
      <c r="K1004" s="111"/>
      <c r="L1004" s="111"/>
      <c r="M1004" s="111"/>
      <c r="N1004" s="111"/>
      <c r="O1004" s="111"/>
      <c r="P1004" s="111"/>
      <c r="Q1004" s="111"/>
      <c r="R1004" s="111"/>
      <c r="S1004" s="111"/>
      <c r="T1004" s="111"/>
      <c r="U1004" s="111"/>
      <c r="V1004" s="111"/>
      <c r="W1004" s="111"/>
      <c r="X1004" s="111"/>
      <c r="Y1004" s="111"/>
      <c r="Z1004" s="111"/>
      <c r="AA1004" s="111"/>
    </row>
    <row r="1005" ht="15.75" customHeight="1">
      <c r="A1005" s="111"/>
      <c r="B1005" s="111"/>
      <c r="C1005" s="111"/>
      <c r="D1005" s="111"/>
      <c r="E1005" s="111"/>
      <c r="F1005" s="111"/>
      <c r="G1005" s="111"/>
      <c r="H1005" s="111"/>
      <c r="I1005" s="111"/>
      <c r="J1005" s="111"/>
      <c r="K1005" s="111"/>
      <c r="L1005" s="111"/>
      <c r="M1005" s="111"/>
      <c r="N1005" s="111"/>
      <c r="O1005" s="111"/>
      <c r="P1005" s="111"/>
      <c r="Q1005" s="111"/>
      <c r="R1005" s="111"/>
      <c r="S1005" s="111"/>
      <c r="T1005" s="111"/>
      <c r="U1005" s="111"/>
      <c r="V1005" s="111"/>
      <c r="W1005" s="111"/>
      <c r="X1005" s="111"/>
      <c r="Y1005" s="111"/>
      <c r="Z1005" s="111"/>
      <c r="AA1005" s="111"/>
    </row>
    <row r="1006" ht="15.75" customHeight="1">
      <c r="A1006" s="111"/>
      <c r="B1006" s="111"/>
      <c r="C1006" s="111"/>
      <c r="D1006" s="111"/>
      <c r="E1006" s="111"/>
      <c r="F1006" s="111"/>
      <c r="G1006" s="111"/>
      <c r="H1006" s="111"/>
      <c r="I1006" s="111"/>
      <c r="J1006" s="111"/>
      <c r="K1006" s="111"/>
      <c r="L1006" s="111"/>
      <c r="M1006" s="111"/>
      <c r="N1006" s="111"/>
      <c r="O1006" s="111"/>
      <c r="P1006" s="111"/>
      <c r="Q1006" s="111"/>
      <c r="R1006" s="111"/>
      <c r="S1006" s="111"/>
      <c r="T1006" s="111"/>
      <c r="U1006" s="111"/>
      <c r="V1006" s="111"/>
      <c r="W1006" s="111"/>
      <c r="X1006" s="111"/>
      <c r="Y1006" s="111"/>
      <c r="Z1006" s="111"/>
      <c r="AA1006" s="111"/>
    </row>
    <row r="1007" ht="15.75" customHeight="1">
      <c r="A1007" s="111"/>
      <c r="B1007" s="111"/>
      <c r="C1007" s="111"/>
      <c r="D1007" s="111"/>
      <c r="E1007" s="111"/>
      <c r="F1007" s="111"/>
      <c r="G1007" s="111"/>
      <c r="H1007" s="111"/>
      <c r="I1007" s="111"/>
      <c r="J1007" s="111"/>
      <c r="K1007" s="111"/>
      <c r="L1007" s="111"/>
      <c r="M1007" s="111"/>
      <c r="N1007" s="111"/>
      <c r="O1007" s="111"/>
      <c r="P1007" s="111"/>
      <c r="Q1007" s="111"/>
      <c r="R1007" s="111"/>
      <c r="S1007" s="111"/>
      <c r="T1007" s="111"/>
      <c r="U1007" s="111"/>
      <c r="V1007" s="111"/>
      <c r="W1007" s="111"/>
      <c r="X1007" s="111"/>
      <c r="Y1007" s="111"/>
      <c r="Z1007" s="111"/>
      <c r="AA1007" s="111"/>
    </row>
    <row r="1008" ht="15.75" customHeight="1">
      <c r="A1008" s="111"/>
      <c r="B1008" s="111"/>
      <c r="C1008" s="111"/>
      <c r="D1008" s="111"/>
      <c r="E1008" s="111"/>
      <c r="F1008" s="111"/>
      <c r="G1008" s="111"/>
      <c r="H1008" s="111"/>
      <c r="I1008" s="111"/>
      <c r="J1008" s="111"/>
      <c r="K1008" s="111"/>
      <c r="L1008" s="111"/>
      <c r="M1008" s="111"/>
      <c r="N1008" s="111"/>
      <c r="O1008" s="111"/>
      <c r="P1008" s="111"/>
      <c r="Q1008" s="111"/>
      <c r="R1008" s="111"/>
      <c r="S1008" s="111"/>
      <c r="T1008" s="111"/>
      <c r="U1008" s="111"/>
      <c r="V1008" s="111"/>
      <c r="W1008" s="111"/>
      <c r="X1008" s="111"/>
      <c r="Y1008" s="111"/>
      <c r="Z1008" s="111"/>
      <c r="AA1008" s="111"/>
    </row>
    <row r="1009" ht="15.75" customHeight="1">
      <c r="A1009" s="111"/>
      <c r="B1009" s="111"/>
      <c r="C1009" s="111"/>
      <c r="D1009" s="111"/>
      <c r="E1009" s="111"/>
      <c r="F1009" s="111"/>
      <c r="G1009" s="111"/>
      <c r="H1009" s="111"/>
      <c r="I1009" s="111"/>
      <c r="J1009" s="111"/>
      <c r="K1009" s="111"/>
      <c r="L1009" s="111"/>
      <c r="M1009" s="111"/>
      <c r="N1009" s="111"/>
      <c r="O1009" s="111"/>
      <c r="P1009" s="111"/>
      <c r="Q1009" s="111"/>
      <c r="R1009" s="111"/>
      <c r="S1009" s="111"/>
      <c r="T1009" s="111"/>
      <c r="U1009" s="111"/>
      <c r="V1009" s="111"/>
      <c r="W1009" s="111"/>
      <c r="X1009" s="111"/>
      <c r="Y1009" s="111"/>
      <c r="Z1009" s="111"/>
      <c r="AA1009" s="111"/>
    </row>
  </sheetData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2.63"/>
    <col customWidth="1" min="2" max="2" width="9.13"/>
    <col customWidth="1" min="3" max="3" width="20.25"/>
    <col customWidth="1" min="4" max="5" width="11.38"/>
    <col customWidth="1" min="6" max="9" width="11.25"/>
    <col customWidth="1" min="10" max="11" width="12.13"/>
    <col customWidth="1" min="12" max="27" width="11.25"/>
    <col customWidth="1" min="28" max="28" width="5.38"/>
    <col customWidth="1" min="29" max="30" width="13.88"/>
    <col customWidth="1" min="31" max="31" width="5.38"/>
    <col customWidth="1" min="32" max="33" width="13.88"/>
  </cols>
  <sheetData>
    <row r="1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</row>
    <row r="2" ht="12.75" customHeight="1">
      <c r="A2" s="111"/>
      <c r="B2" s="2"/>
      <c r="C2" s="2"/>
      <c r="D2" s="195" t="s">
        <v>401</v>
      </c>
      <c r="E2" s="196" t="s">
        <v>402</v>
      </c>
      <c r="F2" s="195" t="s">
        <v>401</v>
      </c>
      <c r="G2" s="196" t="s">
        <v>402</v>
      </c>
      <c r="H2" s="195" t="s">
        <v>401</v>
      </c>
      <c r="I2" s="196" t="s">
        <v>402</v>
      </c>
      <c r="J2" s="195" t="s">
        <v>401</v>
      </c>
      <c r="K2" s="196" t="s">
        <v>402</v>
      </c>
      <c r="L2" s="195" t="s">
        <v>401</v>
      </c>
      <c r="M2" s="196" t="s">
        <v>402</v>
      </c>
      <c r="N2" s="195" t="s">
        <v>401</v>
      </c>
      <c r="O2" s="196" t="s">
        <v>402</v>
      </c>
      <c r="P2" s="195" t="s">
        <v>401</v>
      </c>
      <c r="Q2" s="196" t="s">
        <v>402</v>
      </c>
      <c r="R2" s="195" t="s">
        <v>401</v>
      </c>
      <c r="S2" s="196" t="s">
        <v>402</v>
      </c>
      <c r="T2" s="195" t="s">
        <v>401</v>
      </c>
      <c r="U2" s="196" t="s">
        <v>402</v>
      </c>
      <c r="V2" s="195" t="s">
        <v>401</v>
      </c>
      <c r="W2" s="196" t="s">
        <v>402</v>
      </c>
      <c r="X2" s="195" t="s">
        <v>401</v>
      </c>
      <c r="Y2" s="196" t="s">
        <v>402</v>
      </c>
      <c r="Z2" s="195" t="s">
        <v>401</v>
      </c>
      <c r="AA2" s="196" t="s">
        <v>402</v>
      </c>
      <c r="AB2" s="197"/>
      <c r="AC2" s="177" t="s">
        <v>401</v>
      </c>
      <c r="AD2" s="178" t="s">
        <v>402</v>
      </c>
      <c r="AE2" s="197"/>
      <c r="AF2" s="177" t="s">
        <v>428</v>
      </c>
      <c r="AG2" s="178" t="s">
        <v>429</v>
      </c>
    </row>
    <row r="3" ht="12.75" customHeight="1">
      <c r="A3" s="111"/>
      <c r="B3" s="180" t="s">
        <v>403</v>
      </c>
      <c r="C3" s="180" t="s">
        <v>404</v>
      </c>
      <c r="D3" s="182" t="s">
        <v>405</v>
      </c>
      <c r="E3" s="180" t="s">
        <v>405</v>
      </c>
      <c r="F3" s="182" t="s">
        <v>406</v>
      </c>
      <c r="G3" s="180" t="s">
        <v>406</v>
      </c>
      <c r="H3" s="182" t="s">
        <v>407</v>
      </c>
      <c r="I3" s="180" t="s">
        <v>407</v>
      </c>
      <c r="J3" s="182" t="s">
        <v>408</v>
      </c>
      <c r="K3" s="180" t="s">
        <v>408</v>
      </c>
      <c r="L3" s="182" t="s">
        <v>409</v>
      </c>
      <c r="M3" s="180" t="s">
        <v>409</v>
      </c>
      <c r="N3" s="182" t="s">
        <v>410</v>
      </c>
      <c r="O3" s="180" t="s">
        <v>410</v>
      </c>
      <c r="P3" s="182" t="s">
        <v>411</v>
      </c>
      <c r="Q3" s="180" t="s">
        <v>411</v>
      </c>
      <c r="R3" s="182" t="s">
        <v>412</v>
      </c>
      <c r="S3" s="180" t="s">
        <v>412</v>
      </c>
      <c r="T3" s="182" t="s">
        <v>413</v>
      </c>
      <c r="U3" s="180" t="s">
        <v>413</v>
      </c>
      <c r="V3" s="182" t="s">
        <v>414</v>
      </c>
      <c r="W3" s="180" t="s">
        <v>414</v>
      </c>
      <c r="X3" s="182" t="s">
        <v>415</v>
      </c>
      <c r="Y3" s="181" t="s">
        <v>415</v>
      </c>
      <c r="Z3" s="182" t="s">
        <v>416</v>
      </c>
      <c r="AA3" s="183" t="s">
        <v>416</v>
      </c>
      <c r="AB3" s="198"/>
      <c r="AC3" s="182" t="s">
        <v>430</v>
      </c>
      <c r="AD3" s="180" t="s">
        <v>431</v>
      </c>
      <c r="AE3" s="198"/>
      <c r="AF3" s="182" t="s">
        <v>432</v>
      </c>
      <c r="AG3" s="199">
        <v>2026.0</v>
      </c>
    </row>
    <row r="4" ht="12.75" customHeight="1">
      <c r="A4" s="111"/>
      <c r="B4" s="184" t="s">
        <v>417</v>
      </c>
      <c r="C4" s="185" t="s">
        <v>102</v>
      </c>
      <c r="D4" s="186">
        <f>SUMIF(PPvsREal!$C:$C,'PPvsREal Summary'!$C$4,PPvsREal!D:D)</f>
        <v>695531.68</v>
      </c>
      <c r="E4" s="3">
        <f>SUMIF(PPvsREal!$C:$C,'PPvsREal Summary'!$C$4,PPvsREal!E:E)</f>
        <v>0</v>
      </c>
      <c r="F4" s="3">
        <f>SUMIF(PPvsREal!$C:$C,'PPvsREal Summary'!$C$4,PPvsREal!F:F)</f>
        <v>695531.68</v>
      </c>
      <c r="G4" s="3">
        <f>SUMIF(PPvsREal!$C:$C,'PPvsREal Summary'!$C$4,PPvsREal!G:G)</f>
        <v>0</v>
      </c>
      <c r="H4" s="3">
        <f>SUMIF(PPvsREal!$C:$C,'PPvsREal Summary'!$C$4,PPvsREal!H:H)</f>
        <v>695531.68</v>
      </c>
      <c r="I4" s="3">
        <f>SUMIF(PPvsREal!$C:$C,'PPvsREal Summary'!$C$4,PPvsREal!I:I)</f>
        <v>0</v>
      </c>
      <c r="J4" s="3">
        <f>SUMIF(PPvsREal!$C:$C,'PPvsREal Summary'!$C$4,PPvsREal!J:J)</f>
        <v>695531.68</v>
      </c>
      <c r="K4" s="3">
        <f>SUMIF(PPvsREal!$C:$C,'PPvsREal Summary'!$C$4,PPvsREal!K:K)</f>
        <v>0</v>
      </c>
      <c r="L4" s="3">
        <f>SUMIF(PPvsREal!$C:$C,'PPvsREal Summary'!$C$4,PPvsREal!L:L)</f>
        <v>695531.68</v>
      </c>
      <c r="M4" s="3">
        <f>SUMIF(PPvsREal!$C:$C,'PPvsREal Summary'!$C$4,PPvsREal!M:M)</f>
        <v>0</v>
      </c>
      <c r="N4" s="3">
        <f>SUMIF(PPvsREal!$C:$C,'PPvsREal Summary'!$C$4,PPvsREal!N:N)</f>
        <v>695531.68</v>
      </c>
      <c r="O4" s="3">
        <f>SUMIF(PPvsREal!$C:$C,'PPvsREal Summary'!$C$4,PPvsREal!O:O)</f>
        <v>0</v>
      </c>
      <c r="P4" s="3">
        <f>SUMIF(PPvsREal!$C:$C,'PPvsREal Summary'!$C$4,PPvsREal!P:P)</f>
        <v>695531.68</v>
      </c>
      <c r="Q4" s="3">
        <f>SUMIF(PPvsREal!$C:$C,'PPvsREal Summary'!$C$4,PPvsREal!Q:Q)</f>
        <v>0</v>
      </c>
      <c r="R4" s="3">
        <f>SUMIF(PPvsREal!$C:$C,'PPvsREal Summary'!$C$4,PPvsREal!R:R)</f>
        <v>695531.68</v>
      </c>
      <c r="S4" s="3">
        <f>SUMIF(PPvsREal!$C:$C,'PPvsREal Summary'!$C$4,PPvsREal!S:S)</f>
        <v>0</v>
      </c>
      <c r="T4" s="3">
        <f>SUMIF(PPvsREal!$C:$C,'PPvsREal Summary'!$C$4,PPvsREal!T:T)</f>
        <v>695531.68</v>
      </c>
      <c r="U4" s="3">
        <f>SUMIF(PPvsREal!$C:$C,'PPvsREal Summary'!$C$4,PPvsREal!U:U)</f>
        <v>0</v>
      </c>
      <c r="V4" s="3">
        <f>SUMIF(PPvsREal!$C:$C,'PPvsREal Summary'!$C$4,PPvsREal!V:V)</f>
        <v>695531.68</v>
      </c>
      <c r="W4" s="3">
        <f>SUMIF(PPvsREal!$C:$C,'PPvsREal Summary'!$C$4,PPvsREal!W:W)</f>
        <v>0</v>
      </c>
      <c r="X4" s="3">
        <f>SUMIF(PPvsREal!$C:$C,'PPvsREal Summary'!$C$4,PPvsREal!X:X)</f>
        <v>695531.68</v>
      </c>
      <c r="Y4" s="3">
        <f>SUMIF(PPvsREal!$C:$C,'PPvsREal Summary'!$C$4,PPvsREal!Y:Y)</f>
        <v>0</v>
      </c>
      <c r="Z4" s="3">
        <f>SUMIF(PPvsREal!$C:$C,'PPvsREal Summary'!$C$4,PPvsREal!Z:Z)</f>
        <v>695531.68</v>
      </c>
      <c r="AA4" s="190">
        <f>SUMIF(PPvsREal!$C:$C,'PPvsREal Summary'!$C$4,PPvsREal!AA:AA)</f>
        <v>0</v>
      </c>
      <c r="AB4" s="3"/>
      <c r="AC4" s="200">
        <f t="shared" ref="AC4:AD4" si="1">D4+F4+H4+J4+L4+N4+P4+R4+T4+V4+X4+Z4</f>
        <v>8346380.16</v>
      </c>
      <c r="AD4" s="200">
        <f t="shared" si="1"/>
        <v>0</v>
      </c>
      <c r="AE4" s="3"/>
      <c r="AF4" s="200">
        <f t="shared" ref="AF4:AG4" si="2">D4+F4+H4+J4+L4+N4+P4+R4+T4+V4+X4+Z4</f>
        <v>8346380.16</v>
      </c>
      <c r="AG4" s="200">
        <f t="shared" si="2"/>
        <v>0</v>
      </c>
    </row>
    <row r="5" ht="12.75" customHeight="1">
      <c r="A5" s="111"/>
      <c r="B5" s="188" t="s">
        <v>417</v>
      </c>
      <c r="C5" s="2" t="s">
        <v>104</v>
      </c>
      <c r="D5" s="189">
        <f>SUMIF(PPvsREal!$C:$C,'PPvsREal Summary'!$C$5,PPvsREal!D:D)</f>
        <v>-18444.425</v>
      </c>
      <c r="E5" s="3">
        <f>SUMIF(PPvsREal!$C:$C,'PPvsREal Summary'!$C$5,PPvsREal!E:E)</f>
        <v>0</v>
      </c>
      <c r="F5" s="3">
        <f>SUMIF(PPvsREal!$C:$C,'PPvsREal Summary'!$C$5,PPvsREal!F:F)</f>
        <v>-18423.9946</v>
      </c>
      <c r="G5" s="3">
        <f>SUMIF(PPvsREal!$C:$C,'PPvsREal Summary'!$C$5,PPvsREal!G:G)</f>
        <v>0</v>
      </c>
      <c r="H5" s="3">
        <f>SUMIF(PPvsREal!$C:$C,'PPvsREal Summary'!$C$5,PPvsREal!H:H)</f>
        <v>-18402.8975</v>
      </c>
      <c r="I5" s="3">
        <f>SUMIF(PPvsREal!$C:$C,'PPvsREal Summary'!$C$5,PPvsREal!I:I)</f>
        <v>0</v>
      </c>
      <c r="J5" s="3">
        <f>SUMIF(PPvsREal!$C:$C,'PPvsREal Summary'!$C$5,PPvsREal!J:J)</f>
        <v>-18493.5913</v>
      </c>
      <c r="K5" s="3">
        <f>SUMIF(PPvsREal!$C:$C,'PPvsREal Summary'!$C$5,PPvsREal!K:K)</f>
        <v>0</v>
      </c>
      <c r="L5" s="3">
        <f>SUMIF(PPvsREal!$C:$C,'PPvsREal Summary'!$C$5,PPvsREal!L:L)</f>
        <v>-19741.2921</v>
      </c>
      <c r="M5" s="3">
        <f>SUMIF(PPvsREal!$C:$C,'PPvsREal Summary'!$C$5,PPvsREal!M:M)</f>
        <v>0</v>
      </c>
      <c r="N5" s="3">
        <f>SUMIF(PPvsREal!$C:$C,'PPvsREal Summary'!$C$5,PPvsREal!N:N)</f>
        <v>-18391.1455</v>
      </c>
      <c r="O5" s="3">
        <f>SUMIF(PPvsREal!$C:$C,'PPvsREal Summary'!$C$5,PPvsREal!O:O)</f>
        <v>0</v>
      </c>
      <c r="P5" s="3">
        <f>SUMIF(PPvsREal!$C:$C,'PPvsREal Summary'!$C$5,PPvsREal!P:P)</f>
        <v>-18402.0726</v>
      </c>
      <c r="Q5" s="3">
        <f>SUMIF(PPvsREal!$C:$C,'PPvsREal Summary'!$C$5,PPvsREal!Q:Q)</f>
        <v>0</v>
      </c>
      <c r="R5" s="3">
        <f>SUMIF(PPvsREal!$C:$C,'PPvsREal Summary'!$C$5,PPvsREal!R:R)</f>
        <v>-18545.1871</v>
      </c>
      <c r="S5" s="3">
        <f>SUMIF(PPvsREal!$C:$C,'PPvsREal Summary'!$C$5,PPvsREal!S:S)</f>
        <v>0</v>
      </c>
      <c r="T5" s="3">
        <f>SUMIF(PPvsREal!$C:$C,'PPvsREal Summary'!$C$5,PPvsREal!T:T)</f>
        <v>-18954.1454</v>
      </c>
      <c r="U5" s="3">
        <f>SUMIF(PPvsREal!$C:$C,'PPvsREal Summary'!$C$5,PPvsREal!U:U)</f>
        <v>0</v>
      </c>
      <c r="V5" s="3">
        <f>SUMIF(PPvsREal!$C:$C,'PPvsREal Summary'!$C$5,PPvsREal!V:V)</f>
        <v>-12255.60299</v>
      </c>
      <c r="W5" s="3">
        <f>SUMIF(PPvsREal!$C:$C,'PPvsREal Summary'!$C$5,PPvsREal!W:W)</f>
        <v>0</v>
      </c>
      <c r="X5" s="3">
        <f>SUMIF(PPvsREal!$C:$C,'PPvsREal Summary'!$C$5,PPvsREal!X:X)</f>
        <v>-12255.60299</v>
      </c>
      <c r="Y5" s="3">
        <f>SUMIF(PPvsREal!$C:$C,'PPvsREal Summary'!$C$5,PPvsREal!Y:Y)</f>
        <v>0</v>
      </c>
      <c r="Z5" s="3">
        <f>SUMIF(PPvsREal!$C:$C,'PPvsREal Summary'!$C$5,PPvsREal!Z:Z)</f>
        <v>-12264.26667</v>
      </c>
      <c r="AA5" s="190">
        <f>SUMIF(PPvsREal!$C:$C,'PPvsREal Summary'!$C$5,PPvsREal!AA:AA)</f>
        <v>0</v>
      </c>
      <c r="AB5" s="3"/>
      <c r="AC5" s="201">
        <f t="shared" ref="AC5:AD5" si="3">D5+F5+H5+J5+L5+N5+P5+R5+T5+V5+X5+Z5</f>
        <v>-204574.2237</v>
      </c>
      <c r="AD5" s="201">
        <f t="shared" si="3"/>
        <v>0</v>
      </c>
      <c r="AE5" s="3"/>
      <c r="AF5" s="201">
        <f t="shared" ref="AF5:AG5" si="4">D5+F5+H5+J5+L5+N5+P5+R5+T5+V5+X5+Z5</f>
        <v>-204574.2237</v>
      </c>
      <c r="AG5" s="201">
        <f t="shared" si="4"/>
        <v>0</v>
      </c>
    </row>
    <row r="6" ht="12.75" customHeight="1">
      <c r="A6" s="111"/>
      <c r="B6" s="188" t="s">
        <v>417</v>
      </c>
      <c r="C6" s="2" t="s">
        <v>106</v>
      </c>
      <c r="D6" s="189">
        <f>SUMIF(PPvsREal!$C:$C,'PPvsREal Summary'!$C$6,PPvsREal!D:D)</f>
        <v>260871.54</v>
      </c>
      <c r="E6" s="3">
        <f>SUMIF(PPvsREal!$C:$C,'PPvsREal Summary'!$C$6,PPvsREal!E:E)</f>
        <v>0</v>
      </c>
      <c r="F6" s="3">
        <f>SUMIF(PPvsREal!$C:$C,'PPvsREal Summary'!$C$6,PPvsREal!F:F)</f>
        <v>260871.54</v>
      </c>
      <c r="G6" s="3">
        <f>SUMIF(PPvsREal!$C:$C,'PPvsREal Summary'!$C$6,PPvsREal!G:G)</f>
        <v>0</v>
      </c>
      <c r="H6" s="3">
        <f>SUMIF(PPvsREal!$C:$C,'PPvsREal Summary'!$C$6,PPvsREal!H:H)</f>
        <v>260871.54</v>
      </c>
      <c r="I6" s="3">
        <f>SUMIF(PPvsREal!$C:$C,'PPvsREal Summary'!$C$6,PPvsREal!I:I)</f>
        <v>0</v>
      </c>
      <c r="J6" s="3">
        <f>SUMIF(PPvsREal!$C:$C,'PPvsREal Summary'!$C$6,PPvsREal!J:J)</f>
        <v>260871.54</v>
      </c>
      <c r="K6" s="3">
        <f>SUMIF(PPvsREal!$C:$C,'PPvsREal Summary'!$C$6,PPvsREal!K:K)</f>
        <v>0</v>
      </c>
      <c r="L6" s="3">
        <f>SUMIF(PPvsREal!$C:$C,'PPvsREal Summary'!$C$6,PPvsREal!L:L)</f>
        <v>260871.54</v>
      </c>
      <c r="M6" s="3">
        <f>SUMIF(PPvsREal!$C:$C,'PPvsREal Summary'!$C$6,PPvsREal!M:M)</f>
        <v>0</v>
      </c>
      <c r="N6" s="3">
        <f>SUMIF(PPvsREal!$C:$C,'PPvsREal Summary'!$C$6,PPvsREal!N:N)</f>
        <v>260871.54</v>
      </c>
      <c r="O6" s="3">
        <f>SUMIF(PPvsREal!$C:$C,'PPvsREal Summary'!$C$6,PPvsREal!O:O)</f>
        <v>0</v>
      </c>
      <c r="P6" s="3">
        <f>SUMIF(PPvsREal!$C:$C,'PPvsREal Summary'!$C$6,PPvsREal!P:P)</f>
        <v>260871.54</v>
      </c>
      <c r="Q6" s="3">
        <f>SUMIF(PPvsREal!$C:$C,'PPvsREal Summary'!$C$6,PPvsREal!Q:Q)</f>
        <v>0</v>
      </c>
      <c r="R6" s="3">
        <f>SUMIF(PPvsREal!$C:$C,'PPvsREal Summary'!$C$6,PPvsREal!R:R)</f>
        <v>260871.54</v>
      </c>
      <c r="S6" s="3">
        <f>SUMIF(PPvsREal!$C:$C,'PPvsREal Summary'!$C$6,PPvsREal!S:S)</f>
        <v>0</v>
      </c>
      <c r="T6" s="3">
        <f>SUMIF(PPvsREal!$C:$C,'PPvsREal Summary'!$C$6,PPvsREal!T:T)</f>
        <v>260871.54</v>
      </c>
      <c r="U6" s="3">
        <f>SUMIF(PPvsREal!$C:$C,'PPvsREal Summary'!$C$6,PPvsREal!U:U)</f>
        <v>0</v>
      </c>
      <c r="V6" s="3">
        <f>SUMIF(PPvsREal!$C:$C,'PPvsREal Summary'!$C$6,PPvsREal!V:V)</f>
        <v>260871.54</v>
      </c>
      <c r="W6" s="3">
        <f>SUMIF(PPvsREal!$C:$C,'PPvsREal Summary'!$C$6,PPvsREal!W:W)</f>
        <v>0</v>
      </c>
      <c r="X6" s="3">
        <f>SUMIF(PPvsREal!$C:$C,'PPvsREal Summary'!$C$6,PPvsREal!X:X)</f>
        <v>260871.54</v>
      </c>
      <c r="Y6" s="3">
        <f>SUMIF(PPvsREal!$C:$C,'PPvsREal Summary'!$C$6,PPvsREal!Y:Y)</f>
        <v>0</v>
      </c>
      <c r="Z6" s="3">
        <f>SUMIF(PPvsREal!$C:$C,'PPvsREal Summary'!$C$6,PPvsREal!Z:Z)</f>
        <v>260871.54</v>
      </c>
      <c r="AA6" s="190">
        <f>SUMIF(PPvsREal!$C:$C,'PPvsREal Summary'!$C$6,PPvsREal!AA:AA)</f>
        <v>0</v>
      </c>
      <c r="AB6" s="3"/>
      <c r="AC6" s="201">
        <f t="shared" ref="AC6:AD6" si="5">D6+F6+H6+J6+L6+N6+P6+R6+T6+V6+X6+Z6</f>
        <v>3130458.48</v>
      </c>
      <c r="AD6" s="201">
        <f t="shared" si="5"/>
        <v>0</v>
      </c>
      <c r="AE6" s="3"/>
      <c r="AF6" s="201">
        <f t="shared" ref="AF6:AG6" si="6">D6+F6+H6+J6+L6+N6+P6+R6+T6+V6+X6+Z6</f>
        <v>3130458.48</v>
      </c>
      <c r="AG6" s="201">
        <f t="shared" si="6"/>
        <v>0</v>
      </c>
    </row>
    <row r="7" ht="12.75" customHeight="1">
      <c r="A7" s="111"/>
      <c r="B7" s="202"/>
      <c r="C7" s="203">
        <v>4.0E20</v>
      </c>
      <c r="D7" s="204">
        <f t="shared" ref="D7:AA7" si="7">SUM(D4:D6)</f>
        <v>937958.795</v>
      </c>
      <c r="E7" s="204">
        <f t="shared" si="7"/>
        <v>0</v>
      </c>
      <c r="F7" s="204">
        <f t="shared" si="7"/>
        <v>937979.2254</v>
      </c>
      <c r="G7" s="204">
        <f t="shared" si="7"/>
        <v>0</v>
      </c>
      <c r="H7" s="204">
        <f t="shared" si="7"/>
        <v>938000.3225</v>
      </c>
      <c r="I7" s="204">
        <f t="shared" si="7"/>
        <v>0</v>
      </c>
      <c r="J7" s="204">
        <f t="shared" si="7"/>
        <v>937909.6287</v>
      </c>
      <c r="K7" s="204">
        <f t="shared" si="7"/>
        <v>0</v>
      </c>
      <c r="L7" s="204">
        <f t="shared" si="7"/>
        <v>936661.9279</v>
      </c>
      <c r="M7" s="204">
        <f t="shared" si="7"/>
        <v>0</v>
      </c>
      <c r="N7" s="204">
        <f t="shared" si="7"/>
        <v>938012.0745</v>
      </c>
      <c r="O7" s="204">
        <f t="shared" si="7"/>
        <v>0</v>
      </c>
      <c r="P7" s="204">
        <f t="shared" si="7"/>
        <v>938001.1474</v>
      </c>
      <c r="Q7" s="204">
        <f t="shared" si="7"/>
        <v>0</v>
      </c>
      <c r="R7" s="204">
        <f t="shared" si="7"/>
        <v>937858.0329</v>
      </c>
      <c r="S7" s="204">
        <f t="shared" si="7"/>
        <v>0</v>
      </c>
      <c r="T7" s="204">
        <f t="shared" si="7"/>
        <v>937449.0746</v>
      </c>
      <c r="U7" s="204">
        <f t="shared" si="7"/>
        <v>0</v>
      </c>
      <c r="V7" s="204">
        <f t="shared" si="7"/>
        <v>944147.617</v>
      </c>
      <c r="W7" s="204">
        <f t="shared" si="7"/>
        <v>0</v>
      </c>
      <c r="X7" s="204">
        <f t="shared" si="7"/>
        <v>944147.617</v>
      </c>
      <c r="Y7" s="204">
        <f t="shared" si="7"/>
        <v>0</v>
      </c>
      <c r="Z7" s="204">
        <f t="shared" si="7"/>
        <v>944138.9533</v>
      </c>
      <c r="AA7" s="205">
        <f t="shared" si="7"/>
        <v>0</v>
      </c>
      <c r="AB7" s="3"/>
      <c r="AC7" s="206">
        <f t="shared" ref="AC7:AD7" si="8">D7+F7+H7+J7+L7+N7+P7+R7+T7+V7+X7+Z7</f>
        <v>11272264.42</v>
      </c>
      <c r="AD7" s="206">
        <f t="shared" si="8"/>
        <v>0</v>
      </c>
      <c r="AE7" s="3"/>
      <c r="AF7" s="206">
        <f t="shared" ref="AF7:AG7" si="9">D7+F7+H7+J7+L7+N7+P7+R7+T7+V7+X7+Z7</f>
        <v>11272264.42</v>
      </c>
      <c r="AG7" s="206">
        <f t="shared" si="9"/>
        <v>0</v>
      </c>
    </row>
    <row r="8" ht="12.75" customHeight="1">
      <c r="A8" s="111"/>
      <c r="B8" s="188"/>
      <c r="C8" s="2"/>
      <c r="D8" s="18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190"/>
      <c r="AB8" s="3"/>
      <c r="AC8" s="201">
        <f t="shared" ref="AC8:AD8" si="10">D8+F8+H8+J8+L8+N8+P8+R8+T8+V8+X8+Z8</f>
        <v>0</v>
      </c>
      <c r="AD8" s="201">
        <f t="shared" si="10"/>
        <v>0</v>
      </c>
      <c r="AE8" s="3"/>
      <c r="AF8" s="201">
        <f t="shared" ref="AF8:AG8" si="11">D8+F8+H8+J8+L8+N8+P8+R8+T8+V8+X8+Z8</f>
        <v>0</v>
      </c>
      <c r="AG8" s="201">
        <f t="shared" si="11"/>
        <v>0</v>
      </c>
    </row>
    <row r="9" ht="12.75" customHeight="1">
      <c r="A9" s="111"/>
      <c r="B9" s="188" t="s">
        <v>417</v>
      </c>
      <c r="C9" s="2" t="s">
        <v>108</v>
      </c>
      <c r="D9" s="189">
        <f>SUMIF(PPvsREal!$C:$C,'PPvsREal Summary'!C9,PPvsREal!$D:$D)</f>
        <v>42036</v>
      </c>
      <c r="E9" s="3">
        <f>SUMIF(PPvsREal!$C:$C,'PPvsREal Summary'!C9,PPvsREal!$E:$E)</f>
        <v>0</v>
      </c>
      <c r="F9" s="3">
        <f>SUMIF(PPvsREal!$C:$C,'PPvsREal Summary'!C9,PPvsREal!$F:$F)</f>
        <v>74015</v>
      </c>
      <c r="G9" s="3">
        <f>SUMIF(PPvsREal!$C:$C,'PPvsREal Summary'!C9,PPvsREal!$G:$G)</f>
        <v>0</v>
      </c>
      <c r="H9" s="3">
        <f>SUMIF(PPvsREal!$C:$C,'PPvsREal Summary'!C9,PPvsREal!$H:$H)</f>
        <v>25425</v>
      </c>
      <c r="I9" s="3">
        <f>SUMIF(PPvsREal!$C:$C,'PPvsREal Summary'!C9,PPvsREal!$I:$I)</f>
        <v>0</v>
      </c>
      <c r="J9" s="3">
        <f>SUMIF(PPvsREal!$C:$C,'PPvsREal Summary'!C9,PPvsREal!$J:$J)</f>
        <v>27685</v>
      </c>
      <c r="K9" s="3">
        <f>SUMIF(PPvsREal!$C:$C,'PPvsREal Summary'!C9,PPvsREal!$K:$K)</f>
        <v>0</v>
      </c>
      <c r="L9" s="3">
        <f>SUMIF(PPvsREal!$C:$C,'PPvsREal Summary'!C9,PPvsREal!$L:$L)</f>
        <v>0</v>
      </c>
      <c r="M9" s="3">
        <f>SUMIF(PPvsREal!$C:$C,'PPvsREal Summary'!C9,PPvsREal!$M:$M)</f>
        <v>0</v>
      </c>
      <c r="N9" s="3">
        <f>SUMIF(PPvsREal!$C:$C,'PPvsREal Summary'!C9,PPvsREal!$N:$N)</f>
        <v>33335</v>
      </c>
      <c r="O9" s="3">
        <f>SUMIF(PPvsREal!$C:$C,'PPvsREal Summary'!C9,PPvsREal!$O:$O)</f>
        <v>0</v>
      </c>
      <c r="P9" s="3">
        <f>SUMIF(PPvsREal!$C:$C,'PPvsREal Summary'!C9,PPvsREal!$P:$P)</f>
        <v>33335</v>
      </c>
      <c r="Q9" s="3">
        <f>SUMIF(PPvsREal!$C:$C,'PPvsREal Summary'!C9,PPvsREal!$Q:$Q)</f>
        <v>0</v>
      </c>
      <c r="R9" s="3">
        <f>SUMIF(PPvsREal!$C:$C,'PPvsREal Summary'!C9,PPvsREal!$R:$R)</f>
        <v>18419</v>
      </c>
      <c r="S9" s="3">
        <f>SUMIF(PPvsREal!$C:$C,'PPvsREal Summary'!C9,PPvsREal!$S:$S)</f>
        <v>0</v>
      </c>
      <c r="T9" s="3">
        <f>SUMIF(PPvsREal!$C:$C,'PPvsREal Summary'!C9,PPvsREal!$T:$T)</f>
        <v>34804</v>
      </c>
      <c r="U9" s="3">
        <f>SUMIF(PPvsREal!$C:$C,'PPvsREal Summary'!C9,PPvsREal!$U:$U)</f>
        <v>0</v>
      </c>
      <c r="V9" s="3">
        <f>SUMIF(PPvsREal!$C:$C,'PPvsREal Summary'!C9,PPvsREal!$V:$V)</f>
        <v>67800</v>
      </c>
      <c r="W9" s="3">
        <f>SUMIF(PPvsREal!$C:$C,'PPvsREal Summary'!C9,PPvsREal!$W:$W)</f>
        <v>0</v>
      </c>
      <c r="X9" s="3">
        <f>SUMIF(PPvsREal!$C:$C,'PPvsREal Summary'!C9,PPvsREal!$X:$X)</f>
        <v>80230</v>
      </c>
      <c r="Y9" s="3">
        <f>SUMIF(PPvsREal!$C:$C,'PPvsREal Summary'!C9,PPvsREal!$Y:$Y)</f>
        <v>0</v>
      </c>
      <c r="Z9" s="3">
        <f>SUMIF(PPvsREal!$C:$C,'PPvsREal Summary'!C9,PPvsREal!$Z:$Z)</f>
        <v>73450</v>
      </c>
      <c r="AA9" s="190">
        <f>SUMIF(PPvsREal!$C:$C,'PPvsREal Summary'!C9,PPvsREal!$AA:$AA)</f>
        <v>0</v>
      </c>
      <c r="AB9" s="3"/>
      <c r="AC9" s="201">
        <f t="shared" ref="AC9:AD9" si="12">D9+F9+H9+J9+L9+N9+P9+R9+T9+V9+X9+Z9</f>
        <v>510534</v>
      </c>
      <c r="AD9" s="201">
        <f t="shared" si="12"/>
        <v>0</v>
      </c>
      <c r="AE9" s="3"/>
      <c r="AF9" s="201">
        <f t="shared" ref="AF9:AG9" si="13">D9+F9+H9+J9+L9+N9+P9+R9+T9+V9+X9+Z9</f>
        <v>510534</v>
      </c>
      <c r="AG9" s="201">
        <f t="shared" si="13"/>
        <v>0</v>
      </c>
    </row>
    <row r="10" ht="12.75" customHeight="1">
      <c r="A10" s="111"/>
      <c r="B10" s="202"/>
      <c r="C10" s="203">
        <v>4.01E20</v>
      </c>
      <c r="D10" s="204">
        <f t="shared" ref="D10:AA10" si="14">D9</f>
        <v>42036</v>
      </c>
      <c r="E10" s="204">
        <f t="shared" si="14"/>
        <v>0</v>
      </c>
      <c r="F10" s="204">
        <f t="shared" si="14"/>
        <v>74015</v>
      </c>
      <c r="G10" s="204">
        <f t="shared" si="14"/>
        <v>0</v>
      </c>
      <c r="H10" s="204">
        <f t="shared" si="14"/>
        <v>25425</v>
      </c>
      <c r="I10" s="204">
        <f t="shared" si="14"/>
        <v>0</v>
      </c>
      <c r="J10" s="204">
        <f t="shared" si="14"/>
        <v>27685</v>
      </c>
      <c r="K10" s="204">
        <f t="shared" si="14"/>
        <v>0</v>
      </c>
      <c r="L10" s="204">
        <f t="shared" si="14"/>
        <v>0</v>
      </c>
      <c r="M10" s="204">
        <f t="shared" si="14"/>
        <v>0</v>
      </c>
      <c r="N10" s="204">
        <f t="shared" si="14"/>
        <v>33335</v>
      </c>
      <c r="O10" s="204">
        <f t="shared" si="14"/>
        <v>0</v>
      </c>
      <c r="P10" s="204">
        <f t="shared" si="14"/>
        <v>33335</v>
      </c>
      <c r="Q10" s="204">
        <f t="shared" si="14"/>
        <v>0</v>
      </c>
      <c r="R10" s="204">
        <f t="shared" si="14"/>
        <v>18419</v>
      </c>
      <c r="S10" s="204">
        <f t="shared" si="14"/>
        <v>0</v>
      </c>
      <c r="T10" s="204">
        <f t="shared" si="14"/>
        <v>34804</v>
      </c>
      <c r="U10" s="204">
        <f t="shared" si="14"/>
        <v>0</v>
      </c>
      <c r="V10" s="204">
        <f t="shared" si="14"/>
        <v>67800</v>
      </c>
      <c r="W10" s="204">
        <f t="shared" si="14"/>
        <v>0</v>
      </c>
      <c r="X10" s="204">
        <f t="shared" si="14"/>
        <v>80230</v>
      </c>
      <c r="Y10" s="204">
        <f t="shared" si="14"/>
        <v>0</v>
      </c>
      <c r="Z10" s="204">
        <f t="shared" si="14"/>
        <v>73450</v>
      </c>
      <c r="AA10" s="205">
        <f t="shared" si="14"/>
        <v>0</v>
      </c>
      <c r="AB10" s="3"/>
      <c r="AC10" s="206">
        <f t="shared" ref="AC10:AD10" si="15">D10+F10+H10+J10+L10+N10+P10+R10+T10+V10+X10+Z10</f>
        <v>510534</v>
      </c>
      <c r="AD10" s="206">
        <f t="shared" si="15"/>
        <v>0</v>
      </c>
      <c r="AE10" s="3"/>
      <c r="AF10" s="206">
        <f t="shared" ref="AF10:AG10" si="16">D10+F10+H10+J10+L10+N10+P10+R10+T10+V10+X10+Z10</f>
        <v>510534</v>
      </c>
      <c r="AG10" s="206">
        <f t="shared" si="16"/>
        <v>0</v>
      </c>
    </row>
    <row r="11" ht="12.75" customHeight="1">
      <c r="A11" s="111"/>
      <c r="B11" s="188"/>
      <c r="C11" s="2"/>
      <c r="D11" s="189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190"/>
      <c r="AB11" s="3"/>
      <c r="AC11" s="201">
        <f t="shared" ref="AC11:AD11" si="17">D11+F11+H11+J11+L11+N11+P11+R11+T11+V11+X11+Z11</f>
        <v>0</v>
      </c>
      <c r="AD11" s="201">
        <f t="shared" si="17"/>
        <v>0</v>
      </c>
      <c r="AE11" s="3"/>
      <c r="AF11" s="201">
        <f t="shared" ref="AF11:AG11" si="18">D11+F11+H11+J11+L11+N11+P11+R11+T11+V11+X11+Z11</f>
        <v>0</v>
      </c>
      <c r="AG11" s="201">
        <f t="shared" si="18"/>
        <v>0</v>
      </c>
    </row>
    <row r="12" ht="12.75" customHeight="1">
      <c r="A12" s="111"/>
      <c r="B12" s="188" t="s">
        <v>37</v>
      </c>
      <c r="C12" s="2" t="s">
        <v>317</v>
      </c>
      <c r="D12" s="189">
        <f>SUMIF(PPvsREal!$C:$C,'PPvsREal Summary'!C12,PPvsREal!$D:$D)</f>
        <v>0</v>
      </c>
      <c r="E12" s="3">
        <f>SUMIF(PPvsREal!$C:$C,'PPvsREal Summary'!C12,PPvsREal!$E:$E)</f>
        <v>0</v>
      </c>
      <c r="F12" s="3">
        <f>SUMIF(PPvsREal!$C:$C,'PPvsREal Summary'!C12,PPvsREal!$F:$F)</f>
        <v>0</v>
      </c>
      <c r="G12" s="3">
        <f>SUMIF(PPvsREal!$C:$C,'PPvsREal Summary'!C12,PPvsREal!$G:$G)</f>
        <v>0</v>
      </c>
      <c r="H12" s="3">
        <f>SUMIF(PPvsREal!$C:$C,'PPvsREal Summary'!C12,PPvsREal!$H:$H)</f>
        <v>0</v>
      </c>
      <c r="I12" s="3">
        <f>SUMIF(PPvsREal!$C:$C,'PPvsREal Summary'!C12,PPvsREal!$I:$I)</f>
        <v>0</v>
      </c>
      <c r="J12" s="3">
        <f>SUMIF(PPvsREal!$C:$C,'PPvsREal Summary'!C12,PPvsREal!$J:$J)</f>
        <v>0</v>
      </c>
      <c r="K12" s="3">
        <f>SUMIF(PPvsREal!$C:$C,'PPvsREal Summary'!C12,PPvsREal!$K:$K)</f>
        <v>0</v>
      </c>
      <c r="L12" s="3">
        <f>SUMIF(PPvsREal!$C:$C,'PPvsREal Summary'!C12,PPvsREal!$L:$L)</f>
        <v>0</v>
      </c>
      <c r="M12" s="3">
        <f>SUMIF(PPvsREal!$C:$C,'PPvsREal Summary'!C12,PPvsREal!$M:$M)</f>
        <v>0</v>
      </c>
      <c r="N12" s="3">
        <f>SUMIF(PPvsREal!$C:$C,'PPvsREal Summary'!C12,PPvsREal!$N:$N)</f>
        <v>0</v>
      </c>
      <c r="O12" s="3">
        <f>SUMIF(PPvsREal!$C:$C,'PPvsREal Summary'!C12,PPvsREal!$O:$O)</f>
        <v>0</v>
      </c>
      <c r="P12" s="3">
        <f>SUMIF(PPvsREal!$C:$C,'PPvsREal Summary'!C12,PPvsREal!$P:$P)</f>
        <v>0</v>
      </c>
      <c r="Q12" s="3">
        <f>SUMIF(PPvsREal!$C:$C,'PPvsREal Summary'!C12,PPvsREal!$Q:$Q)</f>
        <v>0</v>
      </c>
      <c r="R12" s="3">
        <f>SUMIF(PPvsREal!$C:$C,'PPvsREal Summary'!C12,PPvsREal!$R:$R)</f>
        <v>0</v>
      </c>
      <c r="S12" s="3">
        <f>SUMIF(PPvsREal!$C:$C,'PPvsREal Summary'!C12,PPvsREal!$S:$S)</f>
        <v>0</v>
      </c>
      <c r="T12" s="3">
        <f>SUMIF(PPvsREal!$C:$C,'PPvsREal Summary'!C12,PPvsREal!$T:$T)</f>
        <v>0</v>
      </c>
      <c r="U12" s="3">
        <f>SUMIF(PPvsREal!$C:$C,'PPvsREal Summary'!C12,PPvsREal!$U:$U)</f>
        <v>0</v>
      </c>
      <c r="V12" s="3">
        <f>SUMIF(PPvsREal!$C:$C,'PPvsREal Summary'!C12,PPvsREal!$V:$V)</f>
        <v>0</v>
      </c>
      <c r="W12" s="3">
        <f>SUMIF(PPvsREal!$C:$C,'PPvsREal Summary'!C12,PPvsREal!$W:$W)</f>
        <v>0</v>
      </c>
      <c r="X12" s="3">
        <f>SUMIF(PPvsREal!$C:$C,'PPvsREal Summary'!C12,PPvsREal!$X:$X)</f>
        <v>0</v>
      </c>
      <c r="Y12" s="3">
        <f>SUMIF(PPvsREal!$C:$C,'PPvsREal Summary'!C12,PPvsREal!$Y:$Y)</f>
        <v>0</v>
      </c>
      <c r="Z12" s="3">
        <f>SUMIF(PPvsREal!$C:$C,'PPvsREal Summary'!C12,PPvsREal!$Z:$Z)</f>
        <v>0</v>
      </c>
      <c r="AA12" s="190">
        <f>SUMIF(PPvsREal!$C:$C,'PPvsREal Summary'!C12,PPvsREal!$AA:$AA)</f>
        <v>0</v>
      </c>
      <c r="AB12" s="3"/>
      <c r="AC12" s="201">
        <f t="shared" ref="AC12:AD12" si="19">D12+F12+H12+J12+L12+N12+P12+R12+T12+V12+X12+Z12</f>
        <v>0</v>
      </c>
      <c r="AD12" s="201">
        <f t="shared" si="19"/>
        <v>0</v>
      </c>
      <c r="AE12" s="3"/>
      <c r="AF12" s="201">
        <f t="shared" ref="AF12:AG12" si="20">D12+F12+H12+J12+L12+N12+P12+R12+T12+V12+X12+Z12</f>
        <v>0</v>
      </c>
      <c r="AG12" s="201">
        <f t="shared" si="20"/>
        <v>0</v>
      </c>
    </row>
    <row r="13" ht="12.75" customHeight="1">
      <c r="A13" s="111"/>
      <c r="B13" s="202"/>
      <c r="C13" s="203">
        <v>4.02E20</v>
      </c>
      <c r="D13" s="204">
        <f t="shared" ref="D13:AA13" si="21">D12</f>
        <v>0</v>
      </c>
      <c r="E13" s="204">
        <f t="shared" si="21"/>
        <v>0</v>
      </c>
      <c r="F13" s="204">
        <f t="shared" si="21"/>
        <v>0</v>
      </c>
      <c r="G13" s="204">
        <f t="shared" si="21"/>
        <v>0</v>
      </c>
      <c r="H13" s="204">
        <f t="shared" si="21"/>
        <v>0</v>
      </c>
      <c r="I13" s="204">
        <f t="shared" si="21"/>
        <v>0</v>
      </c>
      <c r="J13" s="204">
        <f t="shared" si="21"/>
        <v>0</v>
      </c>
      <c r="K13" s="204">
        <f t="shared" si="21"/>
        <v>0</v>
      </c>
      <c r="L13" s="204">
        <f t="shared" si="21"/>
        <v>0</v>
      </c>
      <c r="M13" s="204">
        <f t="shared" si="21"/>
        <v>0</v>
      </c>
      <c r="N13" s="204">
        <f t="shared" si="21"/>
        <v>0</v>
      </c>
      <c r="O13" s="204">
        <f t="shared" si="21"/>
        <v>0</v>
      </c>
      <c r="P13" s="204">
        <f t="shared" si="21"/>
        <v>0</v>
      </c>
      <c r="Q13" s="204">
        <f t="shared" si="21"/>
        <v>0</v>
      </c>
      <c r="R13" s="204">
        <f t="shared" si="21"/>
        <v>0</v>
      </c>
      <c r="S13" s="204">
        <f t="shared" si="21"/>
        <v>0</v>
      </c>
      <c r="T13" s="204">
        <f t="shared" si="21"/>
        <v>0</v>
      </c>
      <c r="U13" s="204">
        <f t="shared" si="21"/>
        <v>0</v>
      </c>
      <c r="V13" s="204">
        <f t="shared" si="21"/>
        <v>0</v>
      </c>
      <c r="W13" s="204">
        <f t="shared" si="21"/>
        <v>0</v>
      </c>
      <c r="X13" s="204">
        <f t="shared" si="21"/>
        <v>0</v>
      </c>
      <c r="Y13" s="204">
        <f t="shared" si="21"/>
        <v>0</v>
      </c>
      <c r="Z13" s="204">
        <f t="shared" si="21"/>
        <v>0</v>
      </c>
      <c r="AA13" s="205">
        <f t="shared" si="21"/>
        <v>0</v>
      </c>
      <c r="AB13" s="3"/>
      <c r="AC13" s="206">
        <f t="shared" ref="AC13:AD13" si="22">D13+F13+H13+J13+L13+N13+P13+R13+T13+V13+X13+Z13</f>
        <v>0</v>
      </c>
      <c r="AD13" s="206">
        <f t="shared" si="22"/>
        <v>0</v>
      </c>
      <c r="AE13" s="3"/>
      <c r="AF13" s="206">
        <f t="shared" ref="AF13:AG13" si="23">D13+F13+H13+J13+L13+N13+P13+R13+T13+V13+X13+Z13</f>
        <v>0</v>
      </c>
      <c r="AG13" s="206">
        <f t="shared" si="23"/>
        <v>0</v>
      </c>
    </row>
    <row r="14" ht="12.75" customHeight="1">
      <c r="A14" s="111"/>
      <c r="B14" s="188"/>
      <c r="C14" s="2"/>
      <c r="D14" s="18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190"/>
      <c r="AB14" s="3"/>
      <c r="AC14" s="201">
        <f t="shared" ref="AC14:AD14" si="24">D14+F14+H14+J14+L14+N14+P14+R14+T14+V14+X14+Z14</f>
        <v>0</v>
      </c>
      <c r="AD14" s="201">
        <f t="shared" si="24"/>
        <v>0</v>
      </c>
      <c r="AE14" s="3"/>
      <c r="AF14" s="201">
        <f t="shared" ref="AF14:AG14" si="25">D14+F14+H14+J14+L14+N14+P14+R14+T14+V14+X14+Z14</f>
        <v>0</v>
      </c>
      <c r="AG14" s="201">
        <f t="shared" si="25"/>
        <v>0</v>
      </c>
    </row>
    <row r="15" ht="12.75" customHeight="1">
      <c r="A15" s="111"/>
      <c r="B15" s="188" t="s">
        <v>424</v>
      </c>
      <c r="C15" s="2" t="s">
        <v>253</v>
      </c>
      <c r="D15" s="189">
        <f>SUMIF(PPvsREal!$C:$C,'PPvsREal Summary'!C15,PPvsREal!$D:$D)</f>
        <v>82530</v>
      </c>
      <c r="E15" s="3">
        <f>SUMIF(PPvsREal!$C:$C,'PPvsREal Summary'!C15,PPvsREal!$E:$E)</f>
        <v>0</v>
      </c>
      <c r="F15" s="3">
        <f>SUMIF(PPvsREal!$C:$C,'PPvsREal Summary'!C15,PPvsREal!$F:$F)</f>
        <v>55020</v>
      </c>
      <c r="G15" s="3">
        <f>SUMIF(PPvsREal!$C:$C,'PPvsREal Summary'!C15,PPvsREal!$G:$G)</f>
        <v>0</v>
      </c>
      <c r="H15" s="3">
        <f>SUMIF(PPvsREal!$C:$C,'PPvsREal Summary'!C15,PPvsREal!$H:$H)</f>
        <v>82530</v>
      </c>
      <c r="I15" s="3">
        <f>SUMIF(PPvsREal!$C:$C,'PPvsREal Summary'!C15,PPvsREal!$I:$I)</f>
        <v>0</v>
      </c>
      <c r="J15" s="3">
        <f>SUMIF(PPvsREal!$C:$C,'PPvsREal Summary'!C15,PPvsREal!$J:$J)</f>
        <v>82530</v>
      </c>
      <c r="K15" s="3">
        <f>SUMIF(PPvsREal!$C:$C,'PPvsREal Summary'!C15,PPvsREal!$K:$K)</f>
        <v>0</v>
      </c>
      <c r="L15" s="3">
        <f>SUMIF(PPvsREal!$C:$C,'PPvsREal Summary'!C15,PPvsREal!$L:$L)</f>
        <v>55020</v>
      </c>
      <c r="M15" s="3">
        <f>SUMIF(PPvsREal!$C:$C,'PPvsREal Summary'!C15,PPvsREal!$M:$M)</f>
        <v>0</v>
      </c>
      <c r="N15" s="3">
        <f>SUMIF(PPvsREal!$C:$C,'PPvsREal Summary'!C15,PPvsREal!$N:$N)</f>
        <v>55020</v>
      </c>
      <c r="O15" s="3">
        <f>SUMIF(PPvsREal!$C:$C,'PPvsREal Summary'!C15,PPvsREal!$O:$O)</f>
        <v>0</v>
      </c>
      <c r="P15" s="3">
        <f>SUMIF(PPvsREal!$C:$C,'PPvsREal Summary'!C15,PPvsREal!$P:$P)</f>
        <v>55020</v>
      </c>
      <c r="Q15" s="3">
        <f>SUMIF(PPvsREal!$C:$C,'PPvsREal Summary'!C15,PPvsREal!$Q:$Q)</f>
        <v>0</v>
      </c>
      <c r="R15" s="3">
        <f>SUMIF(PPvsREal!$C:$C,'PPvsREal Summary'!C15,PPvsREal!$R:$R)</f>
        <v>16275</v>
      </c>
      <c r="S15" s="3">
        <f>SUMIF(PPvsREal!$C:$C,'PPvsREal Summary'!C15,PPvsREal!$S:$S)</f>
        <v>0</v>
      </c>
      <c r="T15" s="3">
        <f>SUMIF(PPvsREal!$C:$C,'PPvsREal Summary'!C15,PPvsREal!$T:$T)</f>
        <v>81375</v>
      </c>
      <c r="U15" s="3">
        <f>SUMIF(PPvsREal!$C:$C,'PPvsREal Summary'!C15,PPvsREal!$U:$U)</f>
        <v>0</v>
      </c>
      <c r="V15" s="3">
        <f>SUMIF(PPvsREal!$C:$C,'PPvsREal Summary'!C15,PPvsREal!$V:$V)</f>
        <v>49632.345</v>
      </c>
      <c r="W15" s="3">
        <f>SUMIF(PPvsREal!$C:$C,'PPvsREal Summary'!C15,PPvsREal!$W:$W)</f>
        <v>0</v>
      </c>
      <c r="X15" s="3">
        <f>SUMIF(PPvsREal!$C:$C,'PPvsREal Summary'!C15,PPvsREal!$X:$X)</f>
        <v>49632.345</v>
      </c>
      <c r="Y15" s="3">
        <f>SUMIF(PPvsREal!$C:$C,'PPvsREal Summary'!C15,PPvsREal!$Y:$Y)</f>
        <v>0</v>
      </c>
      <c r="Z15" s="3">
        <f>SUMIF(PPvsREal!$C:$C,'PPvsREal Summary'!C15,PPvsREal!$Z:$Z)</f>
        <v>49632.345</v>
      </c>
      <c r="AA15" s="190">
        <f>SUMIF(PPvsREal!$C:$C,'PPvsREal Summary'!C15,PPvsREal!$AA:$AA)</f>
        <v>0</v>
      </c>
      <c r="AB15" s="3"/>
      <c r="AC15" s="201">
        <f t="shared" ref="AC15:AD15" si="26">D15+F15+H15+J15+L15+N15+P15+R15+T15+V15+X15+Z15</f>
        <v>714217.035</v>
      </c>
      <c r="AD15" s="201">
        <f t="shared" si="26"/>
        <v>0</v>
      </c>
      <c r="AE15" s="3"/>
      <c r="AF15" s="201">
        <f t="shared" ref="AF15:AG15" si="27">D15+F15+H15+J15+L15+N15+P15+R15+T15+V15+X15+Z15</f>
        <v>714217.035</v>
      </c>
      <c r="AG15" s="201">
        <f t="shared" si="27"/>
        <v>0</v>
      </c>
    </row>
    <row r="16" ht="12.75" customHeight="1">
      <c r="A16" s="111"/>
      <c r="B16" s="202"/>
      <c r="C16" s="203">
        <v>4.03E20</v>
      </c>
      <c r="D16" s="204">
        <f t="shared" ref="D16:AA16" si="28">D15</f>
        <v>82530</v>
      </c>
      <c r="E16" s="204">
        <f t="shared" si="28"/>
        <v>0</v>
      </c>
      <c r="F16" s="204">
        <f t="shared" si="28"/>
        <v>55020</v>
      </c>
      <c r="G16" s="204">
        <f t="shared" si="28"/>
        <v>0</v>
      </c>
      <c r="H16" s="204">
        <f t="shared" si="28"/>
        <v>82530</v>
      </c>
      <c r="I16" s="204">
        <f t="shared" si="28"/>
        <v>0</v>
      </c>
      <c r="J16" s="204">
        <f t="shared" si="28"/>
        <v>82530</v>
      </c>
      <c r="K16" s="204">
        <f t="shared" si="28"/>
        <v>0</v>
      </c>
      <c r="L16" s="204">
        <f t="shared" si="28"/>
        <v>55020</v>
      </c>
      <c r="M16" s="204">
        <f t="shared" si="28"/>
        <v>0</v>
      </c>
      <c r="N16" s="204">
        <f t="shared" si="28"/>
        <v>55020</v>
      </c>
      <c r="O16" s="204">
        <f t="shared" si="28"/>
        <v>0</v>
      </c>
      <c r="P16" s="204">
        <f t="shared" si="28"/>
        <v>55020</v>
      </c>
      <c r="Q16" s="204">
        <f t="shared" si="28"/>
        <v>0</v>
      </c>
      <c r="R16" s="204">
        <f t="shared" si="28"/>
        <v>16275</v>
      </c>
      <c r="S16" s="204">
        <f t="shared" si="28"/>
        <v>0</v>
      </c>
      <c r="T16" s="204">
        <f t="shared" si="28"/>
        <v>81375</v>
      </c>
      <c r="U16" s="204">
        <f t="shared" si="28"/>
        <v>0</v>
      </c>
      <c r="V16" s="204">
        <f t="shared" si="28"/>
        <v>49632.345</v>
      </c>
      <c r="W16" s="204">
        <f t="shared" si="28"/>
        <v>0</v>
      </c>
      <c r="X16" s="204">
        <f t="shared" si="28"/>
        <v>49632.345</v>
      </c>
      <c r="Y16" s="204">
        <f t="shared" si="28"/>
        <v>0</v>
      </c>
      <c r="Z16" s="204">
        <f t="shared" si="28"/>
        <v>49632.345</v>
      </c>
      <c r="AA16" s="205">
        <f t="shared" si="28"/>
        <v>0</v>
      </c>
      <c r="AB16" s="3"/>
      <c r="AC16" s="206">
        <f t="shared" ref="AC16:AD16" si="29">D16+F16+H16+J16+L16+N16+P16+R16+T16+V16+X16+Z16</f>
        <v>714217.035</v>
      </c>
      <c r="AD16" s="206">
        <f t="shared" si="29"/>
        <v>0</v>
      </c>
      <c r="AE16" s="3"/>
      <c r="AF16" s="206">
        <f t="shared" ref="AF16:AG16" si="30">D16+F16+H16+J16+L16+N16+P16+R16+T16+V16+X16+Z16</f>
        <v>714217.035</v>
      </c>
      <c r="AG16" s="206">
        <f t="shared" si="30"/>
        <v>0</v>
      </c>
    </row>
    <row r="17" ht="12.75" customHeight="1">
      <c r="A17" s="111"/>
      <c r="B17" s="188"/>
      <c r="C17" s="2"/>
      <c r="D17" s="189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190"/>
      <c r="AB17" s="3"/>
      <c r="AC17" s="201">
        <f t="shared" ref="AC17:AD17" si="31">D17+F17+H17+J17+L17+N17+P17+R17+T17+V17+X17+Z17</f>
        <v>0</v>
      </c>
      <c r="AD17" s="201">
        <f t="shared" si="31"/>
        <v>0</v>
      </c>
      <c r="AE17" s="3"/>
      <c r="AF17" s="201">
        <f t="shared" ref="AF17:AG17" si="32">D17+F17+H17+J17+L17+N17+P17+R17+T17+V17+X17+Z17</f>
        <v>0</v>
      </c>
      <c r="AG17" s="201">
        <f t="shared" si="32"/>
        <v>0</v>
      </c>
    </row>
    <row r="18" ht="12.75" customHeight="1">
      <c r="A18" s="111"/>
      <c r="B18" s="188" t="s">
        <v>21</v>
      </c>
      <c r="C18" s="2" t="s">
        <v>130</v>
      </c>
      <c r="D18" s="189">
        <f>SUMIF(PPvsREal!$C:$C,'PPvsREal Summary'!C18,PPvsREal!$D:$D)</f>
        <v>13500</v>
      </c>
      <c r="E18" s="3">
        <f>SUMIF(PPvsREal!$C:$C,'PPvsREal Summary'!C18,PPvsREal!$E:$E)</f>
        <v>0</v>
      </c>
      <c r="F18" s="3">
        <f>SUMIF(PPvsREal!$C:$C,'PPvsREal Summary'!C18,PPvsREal!$F:$F)</f>
        <v>13500</v>
      </c>
      <c r="G18" s="3">
        <f>SUMIF(PPvsREal!$C:$C,'PPvsREal Summary'!C18,PPvsREal!$G:$G)</f>
        <v>0</v>
      </c>
      <c r="H18" s="3">
        <f>SUMIF(PPvsREal!$C:$C,'PPvsREal Summary'!C18,PPvsREal!$H:$H)</f>
        <v>13500</v>
      </c>
      <c r="I18" s="3">
        <f>SUMIF(PPvsREal!$C:$C,'PPvsREal Summary'!C18,PPvsREal!$I:$I)</f>
        <v>0</v>
      </c>
      <c r="J18" s="3">
        <f>SUMIF(PPvsREal!$C:$C,'PPvsREal Summary'!C18,PPvsREal!$J:$J)</f>
        <v>13500</v>
      </c>
      <c r="K18" s="3">
        <f>SUMIF(PPvsREal!$C:$C,'PPvsREal Summary'!C18,PPvsREal!$K:$K)</f>
        <v>0</v>
      </c>
      <c r="L18" s="3">
        <f>SUMIF(PPvsREal!$C:$C,'PPvsREal Summary'!C18,PPvsREal!$L:$L)</f>
        <v>13500</v>
      </c>
      <c r="M18" s="3">
        <f>SUMIF(PPvsREal!$C:$C,'PPvsREal Summary'!C18,PPvsREal!$M:$M)</f>
        <v>0</v>
      </c>
      <c r="N18" s="3">
        <f>SUMIF(PPvsREal!$C:$C,'PPvsREal Summary'!C18,PPvsREal!$N:$N)</f>
        <v>13500</v>
      </c>
      <c r="O18" s="3">
        <f>SUMIF(PPvsREal!$C:$C,'PPvsREal Summary'!C18,PPvsREal!$O:$O)</f>
        <v>0</v>
      </c>
      <c r="P18" s="3">
        <f>SUMIF(PPvsREal!$C:$C,'PPvsREal Summary'!C18,PPvsREal!$P:$P)</f>
        <v>13500</v>
      </c>
      <c r="Q18" s="3">
        <f>SUMIF(PPvsREal!$C:$C,'PPvsREal Summary'!C18,PPvsREal!$Q:$Q)</f>
        <v>0</v>
      </c>
      <c r="R18" s="3">
        <f>SUMIF(PPvsREal!$C:$C,'PPvsREal Summary'!C18,PPvsREal!$R:$R)</f>
        <v>13500</v>
      </c>
      <c r="S18" s="3">
        <f>SUMIF(PPvsREal!$C:$C,'PPvsREal Summary'!C18,PPvsREal!$S:$S)</f>
        <v>0</v>
      </c>
      <c r="T18" s="3">
        <f>SUMIF(PPvsREal!$C:$C,'PPvsREal Summary'!C18,PPvsREal!$T:$T)</f>
        <v>13500</v>
      </c>
      <c r="U18" s="3">
        <f>SUMIF(PPvsREal!$C:$C,'PPvsREal Summary'!C18,PPvsREal!$U:$U)</f>
        <v>0</v>
      </c>
      <c r="V18" s="3">
        <f>SUMIF(PPvsREal!$C:$C,'PPvsREal Summary'!C18,PPvsREal!$V:$V)</f>
        <v>13500</v>
      </c>
      <c r="W18" s="3">
        <f>SUMIF(PPvsREal!$C:$C,'PPvsREal Summary'!C18,PPvsREal!$W:$W)</f>
        <v>0</v>
      </c>
      <c r="X18" s="3">
        <f>SUMIF(PPvsREal!$C:$C,'PPvsREal Summary'!C18,PPvsREal!$X:$X)</f>
        <v>13500</v>
      </c>
      <c r="Y18" s="3">
        <f>SUMIF(PPvsREal!$C:$C,'PPvsREal Summary'!C18,PPvsREal!$Y:$Y)</f>
        <v>0</v>
      </c>
      <c r="Z18" s="3">
        <f>SUMIF(PPvsREal!$C:$C,'PPvsREal Summary'!C18,PPvsREal!$Z:$Z)</f>
        <v>0</v>
      </c>
      <c r="AA18" s="190">
        <f>SUMIF(PPvsREal!$C:$C,'PPvsREal Summary'!C18,PPvsREal!$AA:$AA)</f>
        <v>0</v>
      </c>
      <c r="AB18" s="3"/>
      <c r="AC18" s="201">
        <f t="shared" ref="AC18:AD18" si="33">D18+F18+H18+J18+L18+N18+P18+R18+T18+V18+X18+Z18</f>
        <v>148500</v>
      </c>
      <c r="AD18" s="201">
        <f t="shared" si="33"/>
        <v>0</v>
      </c>
      <c r="AE18" s="3"/>
      <c r="AF18" s="201">
        <f t="shared" ref="AF18:AG18" si="34">D18+F18+H18+J18+L18+N18+P18+R18+T18+V18+X18+Z18</f>
        <v>148500</v>
      </c>
      <c r="AG18" s="201">
        <f t="shared" si="34"/>
        <v>0</v>
      </c>
    </row>
    <row r="19" ht="12.75" customHeight="1">
      <c r="A19" s="111"/>
      <c r="B19" s="188" t="s">
        <v>21</v>
      </c>
      <c r="C19" s="2" t="s">
        <v>134</v>
      </c>
      <c r="D19" s="189">
        <f>SUMIF(PPvsREal!$C:$C,'PPvsREal Summary'!C19,PPvsREal!$D:$D)</f>
        <v>13500</v>
      </c>
      <c r="E19" s="3">
        <f>SUMIF(PPvsREal!$C:$C,'PPvsREal Summary'!C19,PPvsREal!$E:$E)</f>
        <v>0</v>
      </c>
      <c r="F19" s="3">
        <f>SUMIF(PPvsREal!$C:$C,'PPvsREal Summary'!C19,PPvsREal!$F:$F)</f>
        <v>13500</v>
      </c>
      <c r="G19" s="3">
        <f>SUMIF(PPvsREal!$C:$C,'PPvsREal Summary'!C19,PPvsREal!$G:$G)</f>
        <v>0</v>
      </c>
      <c r="H19" s="3">
        <f>SUMIF(PPvsREal!$C:$C,'PPvsREal Summary'!C19,PPvsREal!$H:$H)</f>
        <v>13500</v>
      </c>
      <c r="I19" s="3">
        <f>SUMIF(PPvsREal!$C:$C,'PPvsREal Summary'!C19,PPvsREal!$I:$I)</f>
        <v>0</v>
      </c>
      <c r="J19" s="3">
        <f>SUMIF(PPvsREal!$C:$C,'PPvsREal Summary'!C19,PPvsREal!$J:$J)</f>
        <v>13500</v>
      </c>
      <c r="K19" s="3">
        <f>SUMIF(PPvsREal!$C:$C,'PPvsREal Summary'!C19,PPvsREal!$K:$K)</f>
        <v>0</v>
      </c>
      <c r="L19" s="3">
        <f>SUMIF(PPvsREal!$C:$C,'PPvsREal Summary'!C19,PPvsREal!$L:$L)</f>
        <v>13500</v>
      </c>
      <c r="M19" s="3">
        <f>SUMIF(PPvsREal!$C:$C,'PPvsREal Summary'!C19,PPvsREal!$M:$M)</f>
        <v>0</v>
      </c>
      <c r="N19" s="3">
        <f>SUMIF(PPvsREal!$C:$C,'PPvsREal Summary'!C19,PPvsREal!$N:$N)</f>
        <v>13500</v>
      </c>
      <c r="O19" s="3">
        <f>SUMIF(PPvsREal!$C:$C,'PPvsREal Summary'!C19,PPvsREal!$O:$O)</f>
        <v>0</v>
      </c>
      <c r="P19" s="3">
        <f>SUMIF(PPvsREal!$C:$C,'PPvsREal Summary'!C19,PPvsREal!$P:$P)</f>
        <v>13500</v>
      </c>
      <c r="Q19" s="3">
        <f>SUMIF(PPvsREal!$C:$C,'PPvsREal Summary'!C19,PPvsREal!$Q:$Q)</f>
        <v>0</v>
      </c>
      <c r="R19" s="3">
        <f>SUMIF(PPvsREal!$C:$C,'PPvsREal Summary'!C19,PPvsREal!$R:$R)</f>
        <v>13500</v>
      </c>
      <c r="S19" s="3">
        <f>SUMIF(PPvsREal!$C:$C,'PPvsREal Summary'!C19,PPvsREal!$S:$S)</f>
        <v>0</v>
      </c>
      <c r="T19" s="3">
        <f>SUMIF(PPvsREal!$C:$C,'PPvsREal Summary'!C19,PPvsREal!$T:$T)</f>
        <v>13500</v>
      </c>
      <c r="U19" s="3">
        <f>SUMIF(PPvsREal!$C:$C,'PPvsREal Summary'!C19,PPvsREal!$U:$U)</f>
        <v>0</v>
      </c>
      <c r="V19" s="3">
        <f>SUMIF(PPvsREal!$C:$C,'PPvsREal Summary'!C19,PPvsREal!$V:$V)</f>
        <v>13500</v>
      </c>
      <c r="W19" s="3">
        <f>SUMIF(PPvsREal!$C:$C,'PPvsREal Summary'!C19,PPvsREal!$W:$W)</f>
        <v>0</v>
      </c>
      <c r="X19" s="3">
        <f>SUMIF(PPvsREal!$C:$C,'PPvsREal Summary'!C19,PPvsREal!$X:$X)</f>
        <v>13500</v>
      </c>
      <c r="Y19" s="3">
        <f>SUMIF(PPvsREal!$C:$C,'PPvsREal Summary'!C19,PPvsREal!$Y:$Y)</f>
        <v>0</v>
      </c>
      <c r="Z19" s="3">
        <f>SUMIF(PPvsREal!$C:$C,'PPvsREal Summary'!C19,PPvsREal!$Z:$Z)</f>
        <v>0</v>
      </c>
      <c r="AA19" s="190">
        <f>SUMIF(PPvsREal!$C:$C,'PPvsREal Summary'!C19,PPvsREal!$AA:$AA)</f>
        <v>0</v>
      </c>
      <c r="AB19" s="3"/>
      <c r="AC19" s="201">
        <f t="shared" ref="AC19:AD19" si="35">D19+F19+H19+J19+L19+N19+P19+R19+T19+V19+X19+Z19</f>
        <v>148500</v>
      </c>
      <c r="AD19" s="201">
        <f t="shared" si="35"/>
        <v>0</v>
      </c>
      <c r="AE19" s="3"/>
      <c r="AF19" s="201">
        <f t="shared" ref="AF19:AG19" si="36">D19+F19+H19+J19+L19+N19+P19+R19+T19+V19+X19+Z19</f>
        <v>148500</v>
      </c>
      <c r="AG19" s="201">
        <f t="shared" si="36"/>
        <v>0</v>
      </c>
    </row>
    <row r="20" ht="12.75" customHeight="1">
      <c r="A20" s="111"/>
      <c r="B20" s="188" t="s">
        <v>21</v>
      </c>
      <c r="C20" s="2" t="s">
        <v>143</v>
      </c>
      <c r="D20" s="189">
        <f>SUMIF(PPvsREal!$C:$C,'PPvsREal Summary'!C20,PPvsREal!$D:$D)</f>
        <v>0</v>
      </c>
      <c r="E20" s="3">
        <f>SUMIF(PPvsREal!$C:$C,'PPvsREal Summary'!C20,PPvsREal!$E:$E)</f>
        <v>0</v>
      </c>
      <c r="F20" s="3">
        <f>SUMIF(PPvsREal!$C:$C,'PPvsREal Summary'!C20,PPvsREal!$F:$F)</f>
        <v>0</v>
      </c>
      <c r="G20" s="3">
        <f>SUMIF(PPvsREal!$C:$C,'PPvsREal Summary'!C20,PPvsREal!$G:$G)</f>
        <v>0</v>
      </c>
      <c r="H20" s="3">
        <f>SUMIF(PPvsREal!$C:$C,'PPvsREal Summary'!C20,PPvsREal!$H:$H)</f>
        <v>0</v>
      </c>
      <c r="I20" s="3">
        <f>SUMIF(PPvsREal!$C:$C,'PPvsREal Summary'!C20,PPvsREal!$I:$I)</f>
        <v>0</v>
      </c>
      <c r="J20" s="3">
        <f>SUMIF(PPvsREal!$C:$C,'PPvsREal Summary'!C20,PPvsREal!$J:$J)</f>
        <v>0</v>
      </c>
      <c r="K20" s="3">
        <f>SUMIF(PPvsREal!$C:$C,'PPvsREal Summary'!C20,PPvsREal!$K:$K)</f>
        <v>0</v>
      </c>
      <c r="L20" s="3">
        <f>SUMIF(PPvsREal!$C:$C,'PPvsREal Summary'!C20,PPvsREal!$L:$L)</f>
        <v>0</v>
      </c>
      <c r="M20" s="3">
        <f>SUMIF(PPvsREal!$C:$C,'PPvsREal Summary'!C20,PPvsREal!$M:$M)</f>
        <v>0</v>
      </c>
      <c r="N20" s="3">
        <f>SUMIF(PPvsREal!$C:$C,'PPvsREal Summary'!C20,PPvsREal!$N:$N)</f>
        <v>0</v>
      </c>
      <c r="O20" s="3">
        <f>SUMIF(PPvsREal!$C:$C,'PPvsREal Summary'!C20,PPvsREal!$O:$O)</f>
        <v>0</v>
      </c>
      <c r="P20" s="3">
        <f>SUMIF(PPvsREal!$C:$C,'PPvsREal Summary'!C20,PPvsREal!$P:$P)</f>
        <v>0</v>
      </c>
      <c r="Q20" s="3">
        <f>SUMIF(PPvsREal!$C:$C,'PPvsREal Summary'!C20,PPvsREal!$Q:$Q)</f>
        <v>0</v>
      </c>
      <c r="R20" s="3">
        <f>SUMIF(PPvsREal!$C:$C,'PPvsREal Summary'!C20,PPvsREal!$R:$R)</f>
        <v>0</v>
      </c>
      <c r="S20" s="3">
        <f>SUMIF(PPvsREal!$C:$C,'PPvsREal Summary'!C20,PPvsREal!$S:$S)</f>
        <v>0</v>
      </c>
      <c r="T20" s="3">
        <f>SUMIF(PPvsREal!$C:$C,'PPvsREal Summary'!C20,PPvsREal!$T:$T)</f>
        <v>0</v>
      </c>
      <c r="U20" s="3">
        <f>SUMIF(PPvsREal!$C:$C,'PPvsREal Summary'!C20,PPvsREal!$U:$U)</f>
        <v>0</v>
      </c>
      <c r="V20" s="3">
        <f>SUMIF(PPvsREal!$C:$C,'PPvsREal Summary'!C20,PPvsREal!$V:$V)</f>
        <v>0</v>
      </c>
      <c r="W20" s="3">
        <f>SUMIF(PPvsREal!$C:$C,'PPvsREal Summary'!C20,PPvsREal!$W:$W)</f>
        <v>0</v>
      </c>
      <c r="X20" s="3">
        <f>SUMIF(PPvsREal!$C:$C,'PPvsREal Summary'!C20,PPvsREal!$X:$X)</f>
        <v>0</v>
      </c>
      <c r="Y20" s="3">
        <f>SUMIF(PPvsREal!$C:$C,'PPvsREal Summary'!C20,PPvsREal!$Y:$Y)</f>
        <v>0</v>
      </c>
      <c r="Z20" s="3">
        <f>SUMIF(PPvsREal!$C:$C,'PPvsREal Summary'!C20,PPvsREal!$Z:$Z)</f>
        <v>0</v>
      </c>
      <c r="AA20" s="190">
        <f>SUMIF(PPvsREal!$C:$C,'PPvsREal Summary'!C20,PPvsREal!$AA:$AA)</f>
        <v>0</v>
      </c>
      <c r="AB20" s="3"/>
      <c r="AC20" s="201">
        <f t="shared" ref="AC20:AD20" si="37">D20+F20+H20+J20+L20+N20+P20+R20+T20+V20+X20+Z20</f>
        <v>0</v>
      </c>
      <c r="AD20" s="201">
        <f t="shared" si="37"/>
        <v>0</v>
      </c>
      <c r="AE20" s="3"/>
      <c r="AF20" s="201">
        <f t="shared" ref="AF20:AG20" si="38">D20+F20+H20+J20+L20+N20+P20+R20+T20+V20+X20+Z20</f>
        <v>0</v>
      </c>
      <c r="AG20" s="201">
        <f t="shared" si="38"/>
        <v>0</v>
      </c>
    </row>
    <row r="21" ht="12.75" customHeight="1">
      <c r="A21" s="111"/>
      <c r="B21" s="188" t="s">
        <v>21</v>
      </c>
      <c r="C21" s="2" t="s">
        <v>127</v>
      </c>
      <c r="D21" s="189">
        <f>SUMIF(PPvsREal!$C:$C,'PPvsREal Summary'!C21,PPvsREal!$D:$D)</f>
        <v>13500</v>
      </c>
      <c r="E21" s="3">
        <f>SUMIF(PPvsREal!$C:$C,'PPvsREal Summary'!C21,PPvsREal!$E:$E)</f>
        <v>0</v>
      </c>
      <c r="F21" s="3">
        <f>SUMIF(PPvsREal!$C:$C,'PPvsREal Summary'!C21,PPvsREal!$F:$F)</f>
        <v>13500</v>
      </c>
      <c r="G21" s="3">
        <f>SUMIF(PPvsREal!$C:$C,'PPvsREal Summary'!C21,PPvsREal!$G:$G)</f>
        <v>0</v>
      </c>
      <c r="H21" s="3">
        <f>SUMIF(PPvsREal!$C:$C,'PPvsREal Summary'!C21,PPvsREal!$H:$H)</f>
        <v>13500</v>
      </c>
      <c r="I21" s="3">
        <f>SUMIF(PPvsREal!$C:$C,'PPvsREal Summary'!C21,PPvsREal!$I:$I)</f>
        <v>0</v>
      </c>
      <c r="J21" s="3">
        <f>SUMIF(PPvsREal!$C:$C,'PPvsREal Summary'!C21,PPvsREal!$J:$J)</f>
        <v>13500</v>
      </c>
      <c r="K21" s="3">
        <f>SUMIF(PPvsREal!$C:$C,'PPvsREal Summary'!C21,PPvsREal!$K:$K)</f>
        <v>0</v>
      </c>
      <c r="L21" s="3">
        <f>SUMIF(PPvsREal!$C:$C,'PPvsREal Summary'!C21,PPvsREal!$L:$L)</f>
        <v>13500</v>
      </c>
      <c r="M21" s="3">
        <f>SUMIF(PPvsREal!$C:$C,'PPvsREal Summary'!C21,PPvsREal!$M:$M)</f>
        <v>0</v>
      </c>
      <c r="N21" s="3">
        <f>SUMIF(PPvsREal!$C:$C,'PPvsREal Summary'!C21,PPvsREal!$N:$N)</f>
        <v>13500</v>
      </c>
      <c r="O21" s="3">
        <f>SUMIF(PPvsREal!$C:$C,'PPvsREal Summary'!C21,PPvsREal!$O:$O)</f>
        <v>0</v>
      </c>
      <c r="P21" s="3">
        <f>SUMIF(PPvsREal!$C:$C,'PPvsREal Summary'!C21,PPvsREal!$P:$P)</f>
        <v>13500</v>
      </c>
      <c r="Q21" s="3">
        <f>SUMIF(PPvsREal!$C:$C,'PPvsREal Summary'!C21,PPvsREal!$Q:$Q)</f>
        <v>0</v>
      </c>
      <c r="R21" s="3">
        <f>SUMIF(PPvsREal!$C:$C,'PPvsREal Summary'!C21,PPvsREal!$R:$R)</f>
        <v>13500</v>
      </c>
      <c r="S21" s="3">
        <f>SUMIF(PPvsREal!$C:$C,'PPvsREal Summary'!C21,PPvsREal!$S:$S)</f>
        <v>0</v>
      </c>
      <c r="T21" s="3">
        <f>SUMIF(PPvsREal!$C:$C,'PPvsREal Summary'!C21,PPvsREal!$T:$T)</f>
        <v>13500</v>
      </c>
      <c r="U21" s="3">
        <f>SUMIF(PPvsREal!$C:$C,'PPvsREal Summary'!C21,PPvsREal!$U:$U)</f>
        <v>0</v>
      </c>
      <c r="V21" s="3">
        <f>SUMIF(PPvsREal!$C:$C,'PPvsREal Summary'!C21,PPvsREal!$V:$V)</f>
        <v>13500</v>
      </c>
      <c r="W21" s="3">
        <f>SUMIF(PPvsREal!$C:$C,'PPvsREal Summary'!C21,PPvsREal!$W:$W)</f>
        <v>0</v>
      </c>
      <c r="X21" s="3">
        <f>SUMIF(PPvsREal!$C:$C,'PPvsREal Summary'!C21,PPvsREal!$X:$X)</f>
        <v>13500</v>
      </c>
      <c r="Y21" s="3">
        <f>SUMIF(PPvsREal!$C:$C,'PPvsREal Summary'!C21,PPvsREal!$Y:$Y)</f>
        <v>0</v>
      </c>
      <c r="Z21" s="3">
        <f>SUMIF(PPvsREal!$C:$C,'PPvsREal Summary'!C21,PPvsREal!$Z:$Z)</f>
        <v>0</v>
      </c>
      <c r="AA21" s="190">
        <f>SUMIF(PPvsREal!$C:$C,'PPvsREal Summary'!C21,PPvsREal!$AA:$AA)</f>
        <v>0</v>
      </c>
      <c r="AB21" s="3"/>
      <c r="AC21" s="201">
        <f t="shared" ref="AC21:AD21" si="39">D21+F21+H21+J21+L21+N21+P21+R21+T21+V21+X21+Z21</f>
        <v>148500</v>
      </c>
      <c r="AD21" s="201">
        <f t="shared" si="39"/>
        <v>0</v>
      </c>
      <c r="AE21" s="3"/>
      <c r="AF21" s="201">
        <f t="shared" ref="AF21:AG21" si="40">D21+F21+H21+J21+L21+N21+P21+R21+T21+V21+X21+Z21</f>
        <v>148500</v>
      </c>
      <c r="AG21" s="201">
        <f t="shared" si="40"/>
        <v>0</v>
      </c>
    </row>
    <row r="22" ht="12.75" customHeight="1">
      <c r="A22" s="111"/>
      <c r="B22" s="188" t="s">
        <v>427</v>
      </c>
      <c r="C22" s="2" t="s">
        <v>291</v>
      </c>
      <c r="D22" s="189">
        <f>SUMIF(PPvsREal!$C:$C,'PPvsREal Summary'!C22,PPvsREal!$D:$D)</f>
        <v>0</v>
      </c>
      <c r="E22" s="3">
        <f>SUMIF(PPvsREal!$C:$C,'PPvsREal Summary'!C22,PPvsREal!$E:$E)</f>
        <v>0</v>
      </c>
      <c r="F22" s="3">
        <f>SUMIF(PPvsREal!$C:$C,'PPvsREal Summary'!C22,PPvsREal!$F:$F)</f>
        <v>0</v>
      </c>
      <c r="G22" s="3">
        <f>SUMIF(PPvsREal!$C:$C,'PPvsREal Summary'!C22,PPvsREal!$G:$G)</f>
        <v>0</v>
      </c>
      <c r="H22" s="3">
        <f>SUMIF(PPvsREal!$C:$C,'PPvsREal Summary'!C22,PPvsREal!$H:$H)</f>
        <v>0</v>
      </c>
      <c r="I22" s="3">
        <f>SUMIF(PPvsREal!$C:$C,'PPvsREal Summary'!C22,PPvsREal!$I:$I)</f>
        <v>0</v>
      </c>
      <c r="J22" s="3">
        <f>SUMIF(PPvsREal!$C:$C,'PPvsREal Summary'!C22,PPvsREal!$J:$J)</f>
        <v>0</v>
      </c>
      <c r="K22" s="3">
        <f>SUMIF(PPvsREal!$C:$C,'PPvsREal Summary'!C22,PPvsREal!$K:$K)</f>
        <v>0</v>
      </c>
      <c r="L22" s="3">
        <f>SUMIF(PPvsREal!$C:$C,'PPvsREal Summary'!C22,PPvsREal!$L:$L)</f>
        <v>0</v>
      </c>
      <c r="M22" s="3">
        <f>SUMIF(PPvsREal!$C:$C,'PPvsREal Summary'!C22,PPvsREal!$M:$M)</f>
        <v>0</v>
      </c>
      <c r="N22" s="3">
        <f>SUMIF(PPvsREal!$C:$C,'PPvsREal Summary'!C22,PPvsREal!$N:$N)</f>
        <v>0</v>
      </c>
      <c r="O22" s="3">
        <f>SUMIF(PPvsREal!$C:$C,'PPvsREal Summary'!C22,PPvsREal!$O:$O)</f>
        <v>0</v>
      </c>
      <c r="P22" s="3">
        <f>SUMIF(PPvsREal!$C:$C,'PPvsREal Summary'!C22,PPvsREal!$P:$P)</f>
        <v>0</v>
      </c>
      <c r="Q22" s="3">
        <f>SUMIF(PPvsREal!$C:$C,'PPvsREal Summary'!C22,PPvsREal!$Q:$Q)</f>
        <v>0</v>
      </c>
      <c r="R22" s="3">
        <f>SUMIF(PPvsREal!$C:$C,'PPvsREal Summary'!C22,PPvsREal!$R:$R)</f>
        <v>0</v>
      </c>
      <c r="S22" s="3">
        <f>SUMIF(PPvsREal!$C:$C,'PPvsREal Summary'!C22,PPvsREal!$S:$S)</f>
        <v>0</v>
      </c>
      <c r="T22" s="3">
        <f>SUMIF(PPvsREal!$C:$C,'PPvsREal Summary'!C22,PPvsREal!$T:$T)</f>
        <v>0</v>
      </c>
      <c r="U22" s="3">
        <f>SUMIF(PPvsREal!$C:$C,'PPvsREal Summary'!C22,PPvsREal!$U:$U)</f>
        <v>0</v>
      </c>
      <c r="V22" s="3">
        <f>SUMIF(PPvsREal!$C:$C,'PPvsREal Summary'!C22,PPvsREal!$V:$V)</f>
        <v>0</v>
      </c>
      <c r="W22" s="3">
        <f>SUMIF(PPvsREal!$C:$C,'PPvsREal Summary'!C22,PPvsREal!$W:$W)</f>
        <v>0</v>
      </c>
      <c r="X22" s="3">
        <f>SUMIF(PPvsREal!$C:$C,'PPvsREal Summary'!C22,PPvsREal!$X:$X)</f>
        <v>0</v>
      </c>
      <c r="Y22" s="3">
        <f>SUMIF(PPvsREal!$C:$C,'PPvsREal Summary'!C22,PPvsREal!$Y:$Y)</f>
        <v>0</v>
      </c>
      <c r="Z22" s="3">
        <f>SUMIF(PPvsREal!$C:$C,'PPvsREal Summary'!C22,PPvsREal!$Z:$Z)</f>
        <v>0</v>
      </c>
      <c r="AA22" s="190">
        <f>SUMIF(PPvsREal!$C:$C,'PPvsREal Summary'!C22,PPvsREal!$AA:$AA)</f>
        <v>0</v>
      </c>
      <c r="AB22" s="3"/>
      <c r="AC22" s="201">
        <f t="shared" ref="AC22:AD22" si="41">D22+F22+H22+J22+L22+N22+P22+R22+T22+V22+X22+Z22</f>
        <v>0</v>
      </c>
      <c r="AD22" s="201">
        <f t="shared" si="41"/>
        <v>0</v>
      </c>
      <c r="AE22" s="3"/>
      <c r="AF22" s="201">
        <f t="shared" ref="AF22:AG22" si="42">D22+F22+H22+J22+L22+N22+P22+R22+T22+V22+X22+Z22</f>
        <v>0</v>
      </c>
      <c r="AG22" s="201">
        <f t="shared" si="42"/>
        <v>0</v>
      </c>
    </row>
    <row r="23" ht="12.75" customHeight="1">
      <c r="A23" s="111"/>
      <c r="B23" s="188" t="s">
        <v>21</v>
      </c>
      <c r="C23" s="2" t="s">
        <v>139</v>
      </c>
      <c r="D23" s="189">
        <f>SUMIF(PPvsREal!$C:$C,'PPvsREal Summary'!C23,PPvsREal!$D:$D)</f>
        <v>0</v>
      </c>
      <c r="E23" s="3">
        <f>SUMIF(PPvsREal!$C:$C,'PPvsREal Summary'!C23,PPvsREal!$E:$E)</f>
        <v>0</v>
      </c>
      <c r="F23" s="3">
        <f>SUMIF(PPvsREal!$C:$C,'PPvsREal Summary'!C23,PPvsREal!$F:$F)</f>
        <v>0</v>
      </c>
      <c r="G23" s="3">
        <f>SUMIF(PPvsREal!$C:$C,'PPvsREal Summary'!C23,PPvsREal!$G:$G)</f>
        <v>0</v>
      </c>
      <c r="H23" s="3">
        <f>SUMIF(PPvsREal!$C:$C,'PPvsREal Summary'!C23,PPvsREal!$H:$H)</f>
        <v>0</v>
      </c>
      <c r="I23" s="3">
        <f>SUMIF(PPvsREal!$C:$C,'PPvsREal Summary'!C23,PPvsREal!$I:$I)</f>
        <v>0</v>
      </c>
      <c r="J23" s="3">
        <f>SUMIF(PPvsREal!$C:$C,'PPvsREal Summary'!C23,PPvsREal!$J:$J)</f>
        <v>0</v>
      </c>
      <c r="K23" s="3">
        <f>SUMIF(PPvsREal!$C:$C,'PPvsREal Summary'!C23,PPvsREal!$K:$K)</f>
        <v>0</v>
      </c>
      <c r="L23" s="3">
        <f>SUMIF(PPvsREal!$C:$C,'PPvsREal Summary'!C23,PPvsREal!$L:$L)</f>
        <v>0</v>
      </c>
      <c r="M23" s="3">
        <f>SUMIF(PPvsREal!$C:$C,'PPvsREal Summary'!C23,PPvsREal!$M:$M)</f>
        <v>0</v>
      </c>
      <c r="N23" s="3">
        <f>SUMIF(PPvsREal!$C:$C,'PPvsREal Summary'!C23,PPvsREal!$N:$N)</f>
        <v>0</v>
      </c>
      <c r="O23" s="3">
        <f>SUMIF(PPvsREal!$C:$C,'PPvsREal Summary'!C23,PPvsREal!$O:$O)</f>
        <v>0</v>
      </c>
      <c r="P23" s="3">
        <f>SUMIF(PPvsREal!$C:$C,'PPvsREal Summary'!C23,PPvsREal!$P:$P)</f>
        <v>0</v>
      </c>
      <c r="Q23" s="3">
        <f>SUMIF(PPvsREal!$C:$C,'PPvsREal Summary'!C23,PPvsREal!$Q:$Q)</f>
        <v>0</v>
      </c>
      <c r="R23" s="3">
        <f>SUMIF(PPvsREal!$C:$C,'PPvsREal Summary'!C23,PPvsREal!$R:$R)</f>
        <v>0</v>
      </c>
      <c r="S23" s="3">
        <f>SUMIF(PPvsREal!$C:$C,'PPvsREal Summary'!C23,PPvsREal!$S:$S)</f>
        <v>0</v>
      </c>
      <c r="T23" s="3">
        <f>SUMIF(PPvsREal!$C:$C,'PPvsREal Summary'!C23,PPvsREal!$T:$T)</f>
        <v>0</v>
      </c>
      <c r="U23" s="3">
        <f>SUMIF(PPvsREal!$C:$C,'PPvsREal Summary'!C23,PPvsREal!$U:$U)</f>
        <v>0</v>
      </c>
      <c r="V23" s="3">
        <f>SUMIF(PPvsREal!$C:$C,'PPvsREal Summary'!C23,PPvsREal!$V:$V)</f>
        <v>0</v>
      </c>
      <c r="W23" s="3">
        <f>SUMIF(PPvsREal!$C:$C,'PPvsREal Summary'!C23,PPvsREal!$W:$W)</f>
        <v>0</v>
      </c>
      <c r="X23" s="3">
        <f>SUMIF(PPvsREal!$C:$C,'PPvsREal Summary'!C23,PPvsREal!$X:$X)</f>
        <v>0</v>
      </c>
      <c r="Y23" s="3">
        <f>SUMIF(PPvsREal!$C:$C,'PPvsREal Summary'!C23,PPvsREal!$Y:$Y)</f>
        <v>0</v>
      </c>
      <c r="Z23" s="3">
        <f>SUMIF(PPvsREal!$C:$C,'PPvsREal Summary'!C23,PPvsREal!$Z:$Z)</f>
        <v>0</v>
      </c>
      <c r="AA23" s="190">
        <f>SUMIF(PPvsREal!$C:$C,'PPvsREal Summary'!C23,PPvsREal!$AA:$AA)</f>
        <v>0</v>
      </c>
      <c r="AB23" s="3"/>
      <c r="AC23" s="201">
        <f t="shared" ref="AC23:AD23" si="43">D23+F23+H23+J23+L23+N23+P23+R23+T23+V23+X23+Z23</f>
        <v>0</v>
      </c>
      <c r="AD23" s="201">
        <f t="shared" si="43"/>
        <v>0</v>
      </c>
      <c r="AE23" s="3"/>
      <c r="AF23" s="201">
        <f t="shared" ref="AF23:AG23" si="44">D23+F23+H23+J23+L23+N23+P23+R23+T23+V23+X23+Z23</f>
        <v>0</v>
      </c>
      <c r="AG23" s="201">
        <f t="shared" si="44"/>
        <v>0</v>
      </c>
    </row>
    <row r="24" ht="12.75" customHeight="1">
      <c r="A24" s="111"/>
      <c r="B24" s="188" t="s">
        <v>21</v>
      </c>
      <c r="C24" s="2" t="s">
        <v>145</v>
      </c>
      <c r="D24" s="189">
        <f>SUMIF(PPvsREal!$C:$C,'PPvsREal Summary'!C24,PPvsREal!$D:$D)</f>
        <v>0</v>
      </c>
      <c r="E24" s="3">
        <f>SUMIF(PPvsREal!$C:$C,'PPvsREal Summary'!C24,PPvsREal!$E:$E)</f>
        <v>0</v>
      </c>
      <c r="F24" s="3">
        <f>SUMIF(PPvsREal!$C:$C,'PPvsREal Summary'!C24,PPvsREal!$F:$F)</f>
        <v>0</v>
      </c>
      <c r="G24" s="3">
        <f>SUMIF(PPvsREal!$C:$C,'PPvsREal Summary'!C24,PPvsREal!$G:$G)</f>
        <v>0</v>
      </c>
      <c r="H24" s="3">
        <f>SUMIF(PPvsREal!$C:$C,'PPvsREal Summary'!C24,PPvsREal!$H:$H)</f>
        <v>0</v>
      </c>
      <c r="I24" s="3">
        <f>SUMIF(PPvsREal!$C:$C,'PPvsREal Summary'!C24,PPvsREal!$I:$I)</f>
        <v>0</v>
      </c>
      <c r="J24" s="3">
        <f>SUMIF(PPvsREal!$C:$C,'PPvsREal Summary'!C24,PPvsREal!$J:$J)</f>
        <v>0</v>
      </c>
      <c r="K24" s="3">
        <f>SUMIF(PPvsREal!$C:$C,'PPvsREal Summary'!C24,PPvsREal!$K:$K)</f>
        <v>0</v>
      </c>
      <c r="L24" s="3">
        <f>SUMIF(PPvsREal!$C:$C,'PPvsREal Summary'!C24,PPvsREal!$L:$L)</f>
        <v>0</v>
      </c>
      <c r="M24" s="3">
        <f>SUMIF(PPvsREal!$C:$C,'PPvsREal Summary'!C24,PPvsREal!$M:$M)</f>
        <v>0</v>
      </c>
      <c r="N24" s="3">
        <f>SUMIF(PPvsREal!$C:$C,'PPvsREal Summary'!C24,PPvsREal!$N:$N)</f>
        <v>0</v>
      </c>
      <c r="O24" s="3">
        <f>SUMIF(PPvsREal!$C:$C,'PPvsREal Summary'!C24,PPvsREal!$O:$O)</f>
        <v>0</v>
      </c>
      <c r="P24" s="3">
        <f>SUMIF(PPvsREal!$C:$C,'PPvsREal Summary'!C24,PPvsREal!$P:$P)</f>
        <v>0</v>
      </c>
      <c r="Q24" s="3">
        <f>SUMIF(PPvsREal!$C:$C,'PPvsREal Summary'!C24,PPvsREal!$Q:$Q)</f>
        <v>0</v>
      </c>
      <c r="R24" s="3">
        <f>SUMIF(PPvsREal!$C:$C,'PPvsREal Summary'!C24,PPvsREal!$R:$R)</f>
        <v>0</v>
      </c>
      <c r="S24" s="3">
        <f>SUMIF(PPvsREal!$C:$C,'PPvsREal Summary'!C24,PPvsREal!$S:$S)</f>
        <v>0</v>
      </c>
      <c r="T24" s="3">
        <f>SUMIF(PPvsREal!$C:$C,'PPvsREal Summary'!C24,PPvsREal!$T:$T)</f>
        <v>0</v>
      </c>
      <c r="U24" s="3">
        <f>SUMIF(PPvsREal!$C:$C,'PPvsREal Summary'!C24,PPvsREal!$U:$U)</f>
        <v>0</v>
      </c>
      <c r="V24" s="3">
        <f>SUMIF(PPvsREal!$C:$C,'PPvsREal Summary'!C24,PPvsREal!$V:$V)</f>
        <v>0</v>
      </c>
      <c r="W24" s="3">
        <f>SUMIF(PPvsREal!$C:$C,'PPvsREal Summary'!C24,PPvsREal!$W:$W)</f>
        <v>0</v>
      </c>
      <c r="X24" s="3">
        <f>SUMIF(PPvsREal!$C:$C,'PPvsREal Summary'!C24,PPvsREal!$X:$X)</f>
        <v>0</v>
      </c>
      <c r="Y24" s="3">
        <f>SUMIF(PPvsREal!$C:$C,'PPvsREal Summary'!C24,PPvsREal!$Y:$Y)</f>
        <v>0</v>
      </c>
      <c r="Z24" s="3">
        <f>SUMIF(PPvsREal!$C:$C,'PPvsREal Summary'!C24,PPvsREal!$Z:$Z)</f>
        <v>0</v>
      </c>
      <c r="AA24" s="190">
        <f>SUMIF(PPvsREal!$C:$C,'PPvsREal Summary'!C24,PPvsREal!$AA:$AA)</f>
        <v>0</v>
      </c>
      <c r="AB24" s="3"/>
      <c r="AC24" s="201">
        <f t="shared" ref="AC24:AD24" si="45">D24+F24+H24+J24+L24+N24+P24+R24+T24+V24+X24+Z24</f>
        <v>0</v>
      </c>
      <c r="AD24" s="201">
        <f t="shared" si="45"/>
        <v>0</v>
      </c>
      <c r="AE24" s="3"/>
      <c r="AF24" s="201">
        <f t="shared" ref="AF24:AG24" si="46">D24+F24+H24+J24+L24+N24+P24+R24+T24+V24+X24+Z24</f>
        <v>0</v>
      </c>
      <c r="AG24" s="201">
        <f t="shared" si="46"/>
        <v>0</v>
      </c>
    </row>
    <row r="25" ht="12.75" customHeight="1">
      <c r="A25" s="111"/>
      <c r="B25" s="188" t="s">
        <v>21</v>
      </c>
      <c r="C25" s="2" t="s">
        <v>147</v>
      </c>
      <c r="D25" s="189">
        <f>SUMIF(PPvsREal!$C:$C,'PPvsREal Summary'!C25,PPvsREal!$D:$D)</f>
        <v>0</v>
      </c>
      <c r="E25" s="3">
        <f>SUMIF(PPvsREal!$C:$C,'PPvsREal Summary'!C25,PPvsREal!$E:$E)</f>
        <v>0</v>
      </c>
      <c r="F25" s="3">
        <f>SUMIF(PPvsREal!$C:$C,'PPvsREal Summary'!C25,PPvsREal!$F:$F)</f>
        <v>0</v>
      </c>
      <c r="G25" s="3">
        <f>SUMIF(PPvsREal!$C:$C,'PPvsREal Summary'!C25,PPvsREal!$G:$G)</f>
        <v>0</v>
      </c>
      <c r="H25" s="3">
        <f>SUMIF(PPvsREal!$C:$C,'PPvsREal Summary'!C25,PPvsREal!$H:$H)</f>
        <v>0</v>
      </c>
      <c r="I25" s="3">
        <f>SUMIF(PPvsREal!$C:$C,'PPvsREal Summary'!C25,PPvsREal!$I:$I)</f>
        <v>0</v>
      </c>
      <c r="J25" s="3">
        <f>SUMIF(PPvsREal!$C:$C,'PPvsREal Summary'!C25,PPvsREal!$J:$J)</f>
        <v>0</v>
      </c>
      <c r="K25" s="3">
        <f>SUMIF(PPvsREal!$C:$C,'PPvsREal Summary'!C25,PPvsREal!$K:$K)</f>
        <v>0</v>
      </c>
      <c r="L25" s="3">
        <f>SUMIF(PPvsREal!$C:$C,'PPvsREal Summary'!C25,PPvsREal!$L:$L)</f>
        <v>0</v>
      </c>
      <c r="M25" s="3">
        <f>SUMIF(PPvsREal!$C:$C,'PPvsREal Summary'!C25,PPvsREal!$M:$M)</f>
        <v>0</v>
      </c>
      <c r="N25" s="3">
        <f>SUMIF(PPvsREal!$C:$C,'PPvsREal Summary'!C25,PPvsREal!$N:$N)</f>
        <v>0</v>
      </c>
      <c r="O25" s="3">
        <f>SUMIF(PPvsREal!$C:$C,'PPvsREal Summary'!C25,PPvsREal!$O:$O)</f>
        <v>0</v>
      </c>
      <c r="P25" s="3">
        <f>SUMIF(PPvsREal!$C:$C,'PPvsREal Summary'!C25,PPvsREal!$P:$P)</f>
        <v>0</v>
      </c>
      <c r="Q25" s="3">
        <f>SUMIF(PPvsREal!$C:$C,'PPvsREal Summary'!C25,PPvsREal!$Q:$Q)</f>
        <v>0</v>
      </c>
      <c r="R25" s="3">
        <f>SUMIF(PPvsREal!$C:$C,'PPvsREal Summary'!C25,PPvsREal!$R:$R)</f>
        <v>0</v>
      </c>
      <c r="S25" s="3">
        <f>SUMIF(PPvsREal!$C:$C,'PPvsREal Summary'!C25,PPvsREal!$S:$S)</f>
        <v>0</v>
      </c>
      <c r="T25" s="3">
        <f>SUMIF(PPvsREal!$C:$C,'PPvsREal Summary'!C25,PPvsREal!$T:$T)</f>
        <v>0</v>
      </c>
      <c r="U25" s="3">
        <f>SUMIF(PPvsREal!$C:$C,'PPvsREal Summary'!C25,PPvsREal!$U:$U)</f>
        <v>0</v>
      </c>
      <c r="V25" s="3">
        <f>SUMIF(PPvsREal!$C:$C,'PPvsREal Summary'!C25,PPvsREal!$V:$V)</f>
        <v>0</v>
      </c>
      <c r="W25" s="3">
        <f>SUMIF(PPvsREal!$C:$C,'PPvsREal Summary'!C25,PPvsREal!$W:$W)</f>
        <v>0</v>
      </c>
      <c r="X25" s="3">
        <f>SUMIF(PPvsREal!$C:$C,'PPvsREal Summary'!C25,PPvsREal!$X:$X)</f>
        <v>0</v>
      </c>
      <c r="Y25" s="3">
        <f>SUMIF(PPvsREal!$C:$C,'PPvsREal Summary'!C25,PPvsREal!$Y:$Y)</f>
        <v>0</v>
      </c>
      <c r="Z25" s="3">
        <f>SUMIF(PPvsREal!$C:$C,'PPvsREal Summary'!C25,PPvsREal!$Z:$Z)</f>
        <v>0</v>
      </c>
      <c r="AA25" s="190">
        <f>SUMIF(PPvsREal!$C:$C,'PPvsREal Summary'!C25,PPvsREal!$AA:$AA)</f>
        <v>0</v>
      </c>
      <c r="AB25" s="3"/>
      <c r="AC25" s="201">
        <f t="shared" ref="AC25:AD25" si="47">D25+F25+H25+J25+L25+N25+P25+R25+T25+V25+X25+Z25</f>
        <v>0</v>
      </c>
      <c r="AD25" s="201">
        <f t="shared" si="47"/>
        <v>0</v>
      </c>
      <c r="AE25" s="3"/>
      <c r="AF25" s="201">
        <f t="shared" ref="AF25:AG25" si="48">D25+F25+H25+J25+L25+N25+P25+R25+T25+V25+X25+Z25</f>
        <v>0</v>
      </c>
      <c r="AG25" s="201">
        <f t="shared" si="48"/>
        <v>0</v>
      </c>
    </row>
    <row r="26" ht="12.75" customHeight="1">
      <c r="A26" s="111"/>
      <c r="B26" s="188" t="s">
        <v>427</v>
      </c>
      <c r="C26" s="2" t="s">
        <v>293</v>
      </c>
      <c r="D26" s="189">
        <f>SUMIF(PPvsREal!$C:$C,'PPvsREal Summary'!C26,PPvsREal!$D:$D)</f>
        <v>0</v>
      </c>
      <c r="E26" s="3">
        <f>SUMIF(PPvsREal!$C:$C,'PPvsREal Summary'!C26,PPvsREal!$E:$E)</f>
        <v>0</v>
      </c>
      <c r="F26" s="3">
        <f>SUMIF(PPvsREal!$C:$C,'PPvsREal Summary'!C26,PPvsREal!$F:$F)</f>
        <v>0</v>
      </c>
      <c r="G26" s="3">
        <f>SUMIF(PPvsREal!$C:$C,'PPvsREal Summary'!C26,PPvsREal!$G:$G)</f>
        <v>0</v>
      </c>
      <c r="H26" s="3">
        <f>SUMIF(PPvsREal!$C:$C,'PPvsREal Summary'!C26,PPvsREal!$H:$H)</f>
        <v>6435</v>
      </c>
      <c r="I26" s="3">
        <f>SUMIF(PPvsREal!$C:$C,'PPvsREal Summary'!C26,PPvsREal!$I:$I)</f>
        <v>0</v>
      </c>
      <c r="J26" s="3">
        <f>SUMIF(PPvsREal!$C:$C,'PPvsREal Summary'!C26,PPvsREal!$J:$J)</f>
        <v>3960</v>
      </c>
      <c r="K26" s="3">
        <f>SUMIF(PPvsREal!$C:$C,'PPvsREal Summary'!C26,PPvsREal!$K:$K)</f>
        <v>0</v>
      </c>
      <c r="L26" s="3">
        <f>SUMIF(PPvsREal!$C:$C,'PPvsREal Summary'!C26,PPvsREal!$L:$L)</f>
        <v>814</v>
      </c>
      <c r="M26" s="3">
        <f>SUMIF(PPvsREal!$C:$C,'PPvsREal Summary'!C26,PPvsREal!$M:$M)</f>
        <v>0</v>
      </c>
      <c r="N26" s="3">
        <f>SUMIF(PPvsREal!$C:$C,'PPvsREal Summary'!C26,PPvsREal!$N:$N)</f>
        <v>6435</v>
      </c>
      <c r="O26" s="3">
        <f>SUMIF(PPvsREal!$C:$C,'PPvsREal Summary'!C26,PPvsREal!$O:$O)</f>
        <v>0</v>
      </c>
      <c r="P26" s="3">
        <f>SUMIF(PPvsREal!$C:$C,'PPvsREal Summary'!C26,PPvsREal!$P:$P)</f>
        <v>7425</v>
      </c>
      <c r="Q26" s="3">
        <f>SUMIF(PPvsREal!$C:$C,'PPvsREal Summary'!C26,PPvsREal!$Q:$Q)</f>
        <v>0</v>
      </c>
      <c r="R26" s="3">
        <f>SUMIF(PPvsREal!$C:$C,'PPvsREal Summary'!C26,PPvsREal!$R:$R)</f>
        <v>4881.723</v>
      </c>
      <c r="S26" s="3">
        <f>SUMIF(PPvsREal!$C:$C,'PPvsREal Summary'!C26,PPvsREal!$S:$S)</f>
        <v>0</v>
      </c>
      <c r="T26" s="3">
        <f>SUMIF(PPvsREal!$C:$C,'PPvsREal Summary'!C26,PPvsREal!$T:$T)</f>
        <v>3465</v>
      </c>
      <c r="U26" s="3">
        <f>SUMIF(PPvsREal!$C:$C,'PPvsREal Summary'!C26,PPvsREal!$U:$U)</f>
        <v>0</v>
      </c>
      <c r="V26" s="3">
        <f>SUMIF(PPvsREal!$C:$C,'PPvsREal Summary'!C26,PPvsREal!$V:$V)</f>
        <v>10725</v>
      </c>
      <c r="W26" s="3">
        <f>SUMIF(PPvsREal!$C:$C,'PPvsREal Summary'!C26,PPvsREal!$W:$W)</f>
        <v>0</v>
      </c>
      <c r="X26" s="3">
        <f>SUMIF(PPvsREal!$C:$C,'PPvsREal Summary'!C26,PPvsREal!$X:$X)</f>
        <v>10725</v>
      </c>
      <c r="Y26" s="3">
        <f>SUMIF(PPvsREal!$C:$C,'PPvsREal Summary'!C26,PPvsREal!$Y:$Y)</f>
        <v>0</v>
      </c>
      <c r="Z26" s="3">
        <f>SUMIF(PPvsREal!$C:$C,'PPvsREal Summary'!C26,PPvsREal!$Z:$Z)</f>
        <v>10725</v>
      </c>
      <c r="AA26" s="190">
        <f>SUMIF(PPvsREal!$C:$C,'PPvsREal Summary'!C26,PPvsREal!$AA:$AA)</f>
        <v>0</v>
      </c>
      <c r="AB26" s="3"/>
      <c r="AC26" s="201">
        <f t="shared" ref="AC26:AD26" si="49">D26+F26+H26+J26+L26+N26+P26+R26+T26+V26+X26+Z26</f>
        <v>65590.723</v>
      </c>
      <c r="AD26" s="201">
        <f t="shared" si="49"/>
        <v>0</v>
      </c>
      <c r="AE26" s="3"/>
      <c r="AF26" s="201">
        <f t="shared" ref="AF26:AG26" si="50">D26+F26+H26+J26+L26+N26+P26+R26+T26+V26+X26+Z26</f>
        <v>65590.723</v>
      </c>
      <c r="AG26" s="201">
        <f t="shared" si="50"/>
        <v>0</v>
      </c>
    </row>
    <row r="27" ht="12.75" customHeight="1">
      <c r="A27" s="111"/>
      <c r="B27" s="188" t="s">
        <v>21</v>
      </c>
      <c r="C27" s="97" t="s">
        <v>132</v>
      </c>
      <c r="D27" s="189">
        <f>SUMIF(PPvsREal!$C:$C,'PPvsREal Summary'!C27,PPvsREal!$D:$D)</f>
        <v>0</v>
      </c>
      <c r="E27" s="3">
        <f>SUMIF(PPvsREal!$C:$C,'PPvsREal Summary'!C27,PPvsREal!$E:$E)</f>
        <v>0</v>
      </c>
      <c r="F27" s="3">
        <f>SUMIF(PPvsREal!$C:$C,'PPvsREal Summary'!C27,PPvsREal!$F:$F)</f>
        <v>0</v>
      </c>
      <c r="G27" s="3">
        <f>SUMIF(PPvsREal!$C:$C,'PPvsREal Summary'!C27,PPvsREal!$G:$G)</f>
        <v>0</v>
      </c>
      <c r="H27" s="3">
        <f>SUMIF(PPvsREal!$C:$C,'PPvsREal Summary'!C27,PPvsREal!$H:$H)</f>
        <v>0</v>
      </c>
      <c r="I27" s="3">
        <f>SUMIF(PPvsREal!$C:$C,'PPvsREal Summary'!C27,PPvsREal!$I:$I)</f>
        <v>0</v>
      </c>
      <c r="J27" s="3">
        <f>SUMIF(PPvsREal!$C:$C,'PPvsREal Summary'!C27,PPvsREal!$J:$J)</f>
        <v>0</v>
      </c>
      <c r="K27" s="3">
        <f>SUMIF(PPvsREal!$C:$C,'PPvsREal Summary'!C27,PPvsREal!$K:$K)</f>
        <v>0</v>
      </c>
      <c r="L27" s="3">
        <f>SUMIF(PPvsREal!$C:$C,'PPvsREal Summary'!C27,PPvsREal!$L:$L)</f>
        <v>0</v>
      </c>
      <c r="M27" s="3">
        <f>SUMIF(PPvsREal!$C:$C,'PPvsREal Summary'!C27,PPvsREal!$M:$M)</f>
        <v>0</v>
      </c>
      <c r="N27" s="3">
        <f>SUMIF(PPvsREal!$C:$C,'PPvsREal Summary'!C27,PPvsREal!$N:$N)</f>
        <v>0</v>
      </c>
      <c r="O27" s="3">
        <f>SUMIF(PPvsREal!$C:$C,'PPvsREal Summary'!C27,PPvsREal!$O:$O)</f>
        <v>0</v>
      </c>
      <c r="P27" s="3">
        <f>SUMIF(PPvsREal!$C:$C,'PPvsREal Summary'!C27,PPvsREal!$P:$P)</f>
        <v>0</v>
      </c>
      <c r="Q27" s="3">
        <f>SUMIF(PPvsREal!$C:$C,'PPvsREal Summary'!C27,PPvsREal!$Q:$Q)</f>
        <v>0</v>
      </c>
      <c r="R27" s="3">
        <f>SUMIF(PPvsREal!$C:$C,'PPvsREal Summary'!C27,PPvsREal!$R:$R)</f>
        <v>0</v>
      </c>
      <c r="S27" s="3">
        <f>SUMIF(PPvsREal!$C:$C,'PPvsREal Summary'!C27,PPvsREal!$S:$S)</f>
        <v>0</v>
      </c>
      <c r="T27" s="3">
        <f>SUMIF(PPvsREal!$C:$C,'PPvsREal Summary'!C27,PPvsREal!$T:$T)</f>
        <v>0</v>
      </c>
      <c r="U27" s="3">
        <f>SUMIF(PPvsREal!$C:$C,'PPvsREal Summary'!C27,PPvsREal!$U:$U)</f>
        <v>0</v>
      </c>
      <c r="V27" s="3">
        <f>SUMIF(PPvsREal!$C:$C,'PPvsREal Summary'!C27,PPvsREal!$V:$V)</f>
        <v>0</v>
      </c>
      <c r="W27" s="3">
        <f>SUMIF(PPvsREal!$C:$C,'PPvsREal Summary'!C27,PPvsREal!$W:$W)</f>
        <v>0</v>
      </c>
      <c r="X27" s="3">
        <f>SUMIF(PPvsREal!$C:$C,'PPvsREal Summary'!C27,PPvsREal!$X:$X)</f>
        <v>0</v>
      </c>
      <c r="Y27" s="3">
        <f>SUMIF(PPvsREal!$C:$C,'PPvsREal Summary'!C27,PPvsREal!$Y:$Y)</f>
        <v>0</v>
      </c>
      <c r="Z27" s="3">
        <f>SUMIF(PPvsREal!$C:$C,'PPvsREal Summary'!C27,PPvsREal!$Z:$Z)</f>
        <v>0</v>
      </c>
      <c r="AA27" s="190">
        <f>SUMIF(PPvsREal!$C:$C,'PPvsREal Summary'!C27,PPvsREal!$AA:$AA)</f>
        <v>0</v>
      </c>
      <c r="AB27" s="3"/>
      <c r="AC27" s="201">
        <f t="shared" ref="AC27:AD27" si="51">D27+F27+H27+J27+L27+N27+P27+R27+T27+V27+X27+Z27</f>
        <v>0</v>
      </c>
      <c r="AD27" s="201">
        <f t="shared" si="51"/>
        <v>0</v>
      </c>
      <c r="AE27" s="3"/>
      <c r="AF27" s="201">
        <f t="shared" ref="AF27:AG27" si="52">D27+F27+H27+J27+L27+N27+P27+R27+T27+V27+X27+Z27</f>
        <v>0</v>
      </c>
      <c r="AG27" s="201">
        <f t="shared" si="52"/>
        <v>0</v>
      </c>
    </row>
    <row r="28" ht="12.75" customHeight="1">
      <c r="A28" s="111"/>
      <c r="B28" s="188" t="s">
        <v>21</v>
      </c>
      <c r="C28" s="2" t="s">
        <v>136</v>
      </c>
      <c r="D28" s="189">
        <f>SUMIF(PPvsREal!$C:$C,'PPvsREal Summary'!C28,PPvsREal!$D:$D)</f>
        <v>0</v>
      </c>
      <c r="E28" s="3">
        <f>SUMIF(PPvsREal!$C:$C,'PPvsREal Summary'!C28,PPvsREal!$E:$E)</f>
        <v>0</v>
      </c>
      <c r="F28" s="3">
        <f>SUMIF(PPvsREal!$C:$C,'PPvsREal Summary'!C28,PPvsREal!$F:$F)</f>
        <v>0</v>
      </c>
      <c r="G28" s="3">
        <f>SUMIF(PPvsREal!$C:$C,'PPvsREal Summary'!C28,PPvsREal!$G:$G)</f>
        <v>0</v>
      </c>
      <c r="H28" s="3">
        <f>SUMIF(PPvsREal!$C:$C,'PPvsREal Summary'!C28,PPvsREal!$H:$H)</f>
        <v>0</v>
      </c>
      <c r="I28" s="3">
        <f>SUMIF(PPvsREal!$C:$C,'PPvsREal Summary'!C28,PPvsREal!$I:$I)</f>
        <v>0</v>
      </c>
      <c r="J28" s="3">
        <f>SUMIF(PPvsREal!$C:$C,'PPvsREal Summary'!C28,PPvsREal!$J:$J)</f>
        <v>0</v>
      </c>
      <c r="K28" s="3">
        <f>SUMIF(PPvsREal!$C:$C,'PPvsREal Summary'!C28,PPvsREal!$K:$K)</f>
        <v>0</v>
      </c>
      <c r="L28" s="3">
        <f>SUMIF(PPvsREal!$C:$C,'PPvsREal Summary'!C28,PPvsREal!$L:$L)</f>
        <v>0</v>
      </c>
      <c r="M28" s="3">
        <f>SUMIF(PPvsREal!$C:$C,'PPvsREal Summary'!C28,PPvsREal!$M:$M)</f>
        <v>0</v>
      </c>
      <c r="N28" s="3">
        <f>SUMIF(PPvsREal!$C:$C,'PPvsREal Summary'!C28,PPvsREal!$N:$N)</f>
        <v>0</v>
      </c>
      <c r="O28" s="3">
        <f>SUMIF(PPvsREal!$C:$C,'PPvsREal Summary'!C28,PPvsREal!$O:$O)</f>
        <v>0</v>
      </c>
      <c r="P28" s="3">
        <f>SUMIF(PPvsREal!$C:$C,'PPvsREal Summary'!C28,PPvsREal!$P:$P)</f>
        <v>0</v>
      </c>
      <c r="Q28" s="3">
        <f>SUMIF(PPvsREal!$C:$C,'PPvsREal Summary'!C28,PPvsREal!$Q:$Q)</f>
        <v>0</v>
      </c>
      <c r="R28" s="3">
        <f>SUMIF(PPvsREal!$C:$C,'PPvsREal Summary'!C28,PPvsREal!$R:$R)</f>
        <v>0</v>
      </c>
      <c r="S28" s="3">
        <f>SUMIF(PPvsREal!$C:$C,'PPvsREal Summary'!C28,PPvsREal!$S:$S)</f>
        <v>0</v>
      </c>
      <c r="T28" s="3">
        <f>SUMIF(PPvsREal!$C:$C,'PPvsREal Summary'!C28,PPvsREal!$T:$T)</f>
        <v>0</v>
      </c>
      <c r="U28" s="3">
        <f>SUMIF(PPvsREal!$C:$C,'PPvsREal Summary'!C28,PPvsREal!$U:$U)</f>
        <v>0</v>
      </c>
      <c r="V28" s="3">
        <f>SUMIF(PPvsREal!$C:$C,'PPvsREal Summary'!C28,PPvsREal!$V:$V)</f>
        <v>0</v>
      </c>
      <c r="W28" s="3">
        <f>SUMIF(PPvsREal!$C:$C,'PPvsREal Summary'!C28,PPvsREal!$W:$W)</f>
        <v>0</v>
      </c>
      <c r="X28" s="3">
        <f>SUMIF(PPvsREal!$C:$C,'PPvsREal Summary'!C28,PPvsREal!$X:$X)</f>
        <v>0</v>
      </c>
      <c r="Y28" s="3">
        <f>SUMIF(PPvsREal!$C:$C,'PPvsREal Summary'!C28,PPvsREal!$Y:$Y)</f>
        <v>0</v>
      </c>
      <c r="Z28" s="3">
        <f>SUMIF(PPvsREal!$C:$C,'PPvsREal Summary'!C28,PPvsREal!$Z:$Z)</f>
        <v>0</v>
      </c>
      <c r="AA28" s="190">
        <f>SUMIF(PPvsREal!$C:$C,'PPvsREal Summary'!C28,PPvsREal!$AA:$AA)</f>
        <v>0</v>
      </c>
      <c r="AB28" s="3"/>
      <c r="AC28" s="201">
        <f t="shared" ref="AC28:AD28" si="53">D28+F28+H28+J28+L28+N28+P28+R28+T28+V28+X28+Z28</f>
        <v>0</v>
      </c>
      <c r="AD28" s="201">
        <f t="shared" si="53"/>
        <v>0</v>
      </c>
      <c r="AE28" s="3"/>
      <c r="AF28" s="201">
        <f t="shared" ref="AF28:AG28" si="54">D28+F28+H28+J28+L28+N28+P28+R28+T28+V28+X28+Z28</f>
        <v>0</v>
      </c>
      <c r="AG28" s="201">
        <f t="shared" si="54"/>
        <v>0</v>
      </c>
    </row>
    <row r="29" ht="12.75" customHeight="1">
      <c r="A29" s="111"/>
      <c r="B29" s="188" t="s">
        <v>21</v>
      </c>
      <c r="C29" s="2" t="s">
        <v>124</v>
      </c>
      <c r="D29" s="189">
        <f>SUMIF(PPvsREal!$C:$C,'PPvsREal Summary'!C29,PPvsREal!$D:$D)</f>
        <v>0</v>
      </c>
      <c r="E29" s="3">
        <f>SUMIF(PPvsREal!$C:$C,'PPvsREal Summary'!C29,PPvsREal!$E:$E)</f>
        <v>0</v>
      </c>
      <c r="F29" s="3">
        <f>SUMIF(PPvsREal!$C:$C,'PPvsREal Summary'!C29,PPvsREal!$F:$F)</f>
        <v>0</v>
      </c>
      <c r="G29" s="3">
        <f>SUMIF(PPvsREal!$C:$C,'PPvsREal Summary'!C29,PPvsREal!$G:$G)</f>
        <v>0</v>
      </c>
      <c r="H29" s="3">
        <f>SUMIF(PPvsREal!$C:$C,'PPvsREal Summary'!C29,PPvsREal!$H:$H)</f>
        <v>0</v>
      </c>
      <c r="I29" s="3">
        <f>SUMIF(PPvsREal!$C:$C,'PPvsREal Summary'!C29,PPvsREal!$I:$I)</f>
        <v>0</v>
      </c>
      <c r="J29" s="3">
        <f>SUMIF(PPvsREal!$C:$C,'PPvsREal Summary'!C29,PPvsREal!$J:$J)</f>
        <v>0</v>
      </c>
      <c r="K29" s="3">
        <f>SUMIF(PPvsREal!$C:$C,'PPvsREal Summary'!C29,PPvsREal!$K:$K)</f>
        <v>0</v>
      </c>
      <c r="L29" s="3">
        <f>SUMIF(PPvsREal!$C:$C,'PPvsREal Summary'!C29,PPvsREal!$L:$L)</f>
        <v>0</v>
      </c>
      <c r="M29" s="3">
        <f>SUMIF(PPvsREal!$C:$C,'PPvsREal Summary'!C29,PPvsREal!$M:$M)</f>
        <v>0</v>
      </c>
      <c r="N29" s="3">
        <f>SUMIF(PPvsREal!$C:$C,'PPvsREal Summary'!C29,PPvsREal!$N:$N)</f>
        <v>0</v>
      </c>
      <c r="O29" s="3">
        <f>SUMIF(PPvsREal!$C:$C,'PPvsREal Summary'!C29,PPvsREal!$O:$O)</f>
        <v>0</v>
      </c>
      <c r="P29" s="3">
        <f>SUMIF(PPvsREal!$C:$C,'PPvsREal Summary'!C29,PPvsREal!$P:$P)</f>
        <v>5000</v>
      </c>
      <c r="Q29" s="3">
        <f>SUMIF(PPvsREal!$C:$C,'PPvsREal Summary'!C29,PPvsREal!$Q:$Q)</f>
        <v>0</v>
      </c>
      <c r="R29" s="3">
        <f>SUMIF(PPvsREal!$C:$C,'PPvsREal Summary'!C29,PPvsREal!$R:$R)</f>
        <v>0</v>
      </c>
      <c r="S29" s="3">
        <f>SUMIF(PPvsREal!$C:$C,'PPvsREal Summary'!C29,PPvsREal!$S:$S)</f>
        <v>0</v>
      </c>
      <c r="T29" s="3">
        <f>SUMIF(PPvsREal!$C:$C,'PPvsREal Summary'!C29,PPvsREal!$T:$T)</f>
        <v>0</v>
      </c>
      <c r="U29" s="3">
        <f>SUMIF(PPvsREal!$C:$C,'PPvsREal Summary'!C29,PPvsREal!$U:$U)</f>
        <v>0</v>
      </c>
      <c r="V29" s="3">
        <f>SUMIF(PPvsREal!$C:$C,'PPvsREal Summary'!C29,PPvsREal!$V:$V)</f>
        <v>0</v>
      </c>
      <c r="W29" s="3">
        <f>SUMIF(PPvsREal!$C:$C,'PPvsREal Summary'!C29,PPvsREal!$W:$W)</f>
        <v>0</v>
      </c>
      <c r="X29" s="3">
        <f>SUMIF(PPvsREal!$C:$C,'PPvsREal Summary'!C29,PPvsREal!$X:$X)</f>
        <v>0</v>
      </c>
      <c r="Y29" s="3">
        <f>SUMIF(PPvsREal!$C:$C,'PPvsREal Summary'!C29,PPvsREal!$Y:$Y)</f>
        <v>0</v>
      </c>
      <c r="Z29" s="3">
        <f>SUMIF(PPvsREal!$C:$C,'PPvsREal Summary'!C29,PPvsREal!$Z:$Z)</f>
        <v>0</v>
      </c>
      <c r="AA29" s="190">
        <f>SUMIF(PPvsREal!$C:$C,'PPvsREal Summary'!C29,PPvsREal!$AA:$AA)</f>
        <v>0</v>
      </c>
      <c r="AB29" s="3"/>
      <c r="AC29" s="201">
        <f t="shared" ref="AC29:AD29" si="55">D29+F29+H29+J29+L29+N29+P29+R29+T29+V29+X29+Z29</f>
        <v>5000</v>
      </c>
      <c r="AD29" s="201">
        <f t="shared" si="55"/>
        <v>0</v>
      </c>
      <c r="AE29" s="3"/>
      <c r="AF29" s="201">
        <f t="shared" ref="AF29:AG29" si="56">D29+F29+H29+J29+L29+N29+P29+R29+T29+V29+X29+Z29</f>
        <v>5000</v>
      </c>
      <c r="AG29" s="201">
        <f t="shared" si="56"/>
        <v>0</v>
      </c>
    </row>
    <row r="30" ht="12.75" customHeight="1">
      <c r="A30" s="111"/>
      <c r="B30" s="188" t="s">
        <v>21</v>
      </c>
      <c r="C30" s="2" t="s">
        <v>149</v>
      </c>
      <c r="D30" s="189">
        <f>SUMIF(PPvsREal!$C:$C,'PPvsREal Summary'!C30,PPvsREal!$D:$D)</f>
        <v>0</v>
      </c>
      <c r="E30" s="3">
        <f>SUMIF(PPvsREal!$C:$C,'PPvsREal Summary'!C30,PPvsREal!$E:$E)</f>
        <v>0</v>
      </c>
      <c r="F30" s="3">
        <f>SUMIF(PPvsREal!$C:$C,'PPvsREal Summary'!C30,PPvsREal!$F:$F)</f>
        <v>0</v>
      </c>
      <c r="G30" s="3">
        <f>SUMIF(PPvsREal!$C:$C,'PPvsREal Summary'!C30,PPvsREal!$G:$G)</f>
        <v>0</v>
      </c>
      <c r="H30" s="3">
        <f>SUMIF(PPvsREal!$C:$C,'PPvsREal Summary'!C30,PPvsREal!$H:$H)</f>
        <v>0</v>
      </c>
      <c r="I30" s="3">
        <f>SUMIF(PPvsREal!$C:$C,'PPvsREal Summary'!C30,PPvsREal!$I:$I)</f>
        <v>0</v>
      </c>
      <c r="J30" s="3">
        <f>SUMIF(PPvsREal!$C:$C,'PPvsREal Summary'!C30,PPvsREal!$J:$J)</f>
        <v>0</v>
      </c>
      <c r="K30" s="3">
        <f>SUMIF(PPvsREal!$C:$C,'PPvsREal Summary'!C30,PPvsREal!$K:$K)</f>
        <v>0</v>
      </c>
      <c r="L30" s="3">
        <f>SUMIF(PPvsREal!$C:$C,'PPvsREal Summary'!C30,PPvsREal!$L:$L)</f>
        <v>142928.57</v>
      </c>
      <c r="M30" s="3">
        <f>SUMIF(PPvsREal!$C:$C,'PPvsREal Summary'!C30,PPvsREal!$M:$M)</f>
        <v>0</v>
      </c>
      <c r="N30" s="3">
        <f>SUMIF(PPvsREal!$C:$C,'PPvsREal Summary'!C30,PPvsREal!$N:$N)</f>
        <v>286845.23</v>
      </c>
      <c r="O30" s="3">
        <f>SUMIF(PPvsREal!$C:$C,'PPvsREal Summary'!C30,PPvsREal!$O:$O)</f>
        <v>0</v>
      </c>
      <c r="P30" s="3">
        <f>SUMIF(PPvsREal!$C:$C,'PPvsREal Summary'!C30,PPvsREal!$P:$P)</f>
        <v>239178.56</v>
      </c>
      <c r="Q30" s="3">
        <f>SUMIF(PPvsREal!$C:$C,'PPvsREal Summary'!C30,PPvsREal!$Q:$Q)</f>
        <v>0</v>
      </c>
      <c r="R30" s="3">
        <f>SUMIF(PPvsREal!$C:$C,'PPvsREal Summary'!C30,PPvsREal!$R:$R)</f>
        <v>183345.23</v>
      </c>
      <c r="S30" s="3">
        <f>SUMIF(PPvsREal!$C:$C,'PPvsREal Summary'!C30,PPvsREal!$S:$S)</f>
        <v>0</v>
      </c>
      <c r="T30" s="3">
        <f>SUMIF(PPvsREal!$C:$C,'PPvsREal Summary'!C30,PPvsREal!$T:$T)</f>
        <v>83345.23</v>
      </c>
      <c r="U30" s="3">
        <f>SUMIF(PPvsREal!$C:$C,'PPvsREal Summary'!C30,PPvsREal!$U:$U)</f>
        <v>0</v>
      </c>
      <c r="V30" s="3">
        <f>SUMIF(PPvsREal!$C:$C,'PPvsREal Summary'!C30,PPvsREal!$V:$V)</f>
        <v>71428.57</v>
      </c>
      <c r="W30" s="3">
        <f>SUMIF(PPvsREal!$C:$C,'PPvsREal Summary'!C30,PPvsREal!$W:$W)</f>
        <v>0</v>
      </c>
      <c r="X30" s="3">
        <f>SUMIF(PPvsREal!$C:$C,'PPvsREal Summary'!C30,PPvsREal!$X:$X)</f>
        <v>71428.57</v>
      </c>
      <c r="Y30" s="3">
        <f>SUMIF(PPvsREal!$C:$C,'PPvsREal Summary'!C30,PPvsREal!$Y:$Y)</f>
        <v>0</v>
      </c>
      <c r="Z30" s="3">
        <f>SUMIF(PPvsREal!$C:$C,'PPvsREal Summary'!C30,PPvsREal!$Z:$Z)</f>
        <v>0</v>
      </c>
      <c r="AA30" s="190">
        <f>SUMIF(PPvsREal!$C:$C,'PPvsREal Summary'!C30,PPvsREal!$AA:$AA)</f>
        <v>0</v>
      </c>
      <c r="AB30" s="3"/>
      <c r="AC30" s="201">
        <f t="shared" ref="AC30:AD30" si="57">D30+F30+H30+J30+L30+N30+P30+R30+T30+V30+X30+Z30</f>
        <v>1078499.96</v>
      </c>
      <c r="AD30" s="201">
        <f t="shared" si="57"/>
        <v>0</v>
      </c>
      <c r="AE30" s="3"/>
      <c r="AF30" s="201">
        <f t="shared" ref="AF30:AG30" si="58">D30+F30+H30+J30+L30+N30+P30+R30+T30+V30+X30+Z30</f>
        <v>1078499.96</v>
      </c>
      <c r="AG30" s="201">
        <f t="shared" si="58"/>
        <v>0</v>
      </c>
    </row>
    <row r="31" ht="12.75" customHeight="1">
      <c r="A31" s="111"/>
      <c r="B31" s="202"/>
      <c r="C31" s="203">
        <v>4.04E20</v>
      </c>
      <c r="D31" s="204">
        <f t="shared" ref="D31:AA31" si="59">SUM(D18:D30)</f>
        <v>40500</v>
      </c>
      <c r="E31" s="204">
        <f t="shared" si="59"/>
        <v>0</v>
      </c>
      <c r="F31" s="204">
        <f t="shared" si="59"/>
        <v>40500</v>
      </c>
      <c r="G31" s="204">
        <f t="shared" si="59"/>
        <v>0</v>
      </c>
      <c r="H31" s="204">
        <f t="shared" si="59"/>
        <v>46935</v>
      </c>
      <c r="I31" s="204">
        <f t="shared" si="59"/>
        <v>0</v>
      </c>
      <c r="J31" s="204">
        <f t="shared" si="59"/>
        <v>44460</v>
      </c>
      <c r="K31" s="204">
        <f t="shared" si="59"/>
        <v>0</v>
      </c>
      <c r="L31" s="204">
        <f t="shared" si="59"/>
        <v>184242.57</v>
      </c>
      <c r="M31" s="204">
        <f t="shared" si="59"/>
        <v>0</v>
      </c>
      <c r="N31" s="204">
        <f t="shared" si="59"/>
        <v>333780.23</v>
      </c>
      <c r="O31" s="204">
        <f t="shared" si="59"/>
        <v>0</v>
      </c>
      <c r="P31" s="204">
        <f t="shared" si="59"/>
        <v>292103.56</v>
      </c>
      <c r="Q31" s="204">
        <f t="shared" si="59"/>
        <v>0</v>
      </c>
      <c r="R31" s="204">
        <f t="shared" si="59"/>
        <v>228726.953</v>
      </c>
      <c r="S31" s="204">
        <f t="shared" si="59"/>
        <v>0</v>
      </c>
      <c r="T31" s="204">
        <f t="shared" si="59"/>
        <v>127310.23</v>
      </c>
      <c r="U31" s="204">
        <f t="shared" si="59"/>
        <v>0</v>
      </c>
      <c r="V31" s="204">
        <f t="shared" si="59"/>
        <v>122653.57</v>
      </c>
      <c r="W31" s="204">
        <f t="shared" si="59"/>
        <v>0</v>
      </c>
      <c r="X31" s="204">
        <f t="shared" si="59"/>
        <v>122653.57</v>
      </c>
      <c r="Y31" s="204">
        <f t="shared" si="59"/>
        <v>0</v>
      </c>
      <c r="Z31" s="204">
        <f t="shared" si="59"/>
        <v>10725</v>
      </c>
      <c r="AA31" s="205">
        <f t="shared" si="59"/>
        <v>0</v>
      </c>
      <c r="AB31" s="3"/>
      <c r="AC31" s="206">
        <f t="shared" ref="AC31:AD31" si="60">D31+F31+H31+J31+L31+N31+P31+R31+T31+V31+X31+Z31</f>
        <v>1594590.683</v>
      </c>
      <c r="AD31" s="206">
        <f t="shared" si="60"/>
        <v>0</v>
      </c>
      <c r="AE31" s="3"/>
      <c r="AF31" s="206">
        <f t="shared" ref="AF31:AG31" si="61">D31+F31+H31+J31+L31+N31+P31+R31+T31+V31+X31+Z31</f>
        <v>1594590.683</v>
      </c>
      <c r="AG31" s="206">
        <f t="shared" si="61"/>
        <v>0</v>
      </c>
    </row>
    <row r="32" ht="15.75" customHeight="1">
      <c r="A32" s="111"/>
      <c r="B32" s="207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208"/>
      <c r="AB32" s="111"/>
      <c r="AC32" s="207">
        <f t="shared" ref="AC32:AD32" si="62">D32+F32+H32+J32+L32+N32+P32+R32+T32+V32+X32+Z32</f>
        <v>0</v>
      </c>
      <c r="AD32" s="207">
        <f t="shared" si="62"/>
        <v>0</v>
      </c>
      <c r="AE32" s="111"/>
      <c r="AF32" s="207">
        <f t="shared" ref="AF32:AG32" si="63">D32+F32+H32+J32+L32+N32+P32+R32+T32+V32+X32+Z32</f>
        <v>0</v>
      </c>
      <c r="AG32" s="207">
        <f t="shared" si="63"/>
        <v>0</v>
      </c>
    </row>
    <row r="33" ht="12.75" customHeight="1">
      <c r="A33" s="111"/>
      <c r="B33" s="188" t="s">
        <v>18</v>
      </c>
      <c r="C33" s="2" t="s">
        <v>196</v>
      </c>
      <c r="D33" s="189">
        <f>SUMIF(PPvsREal!$C:$C,'PPvsREal Summary'!C33,PPvsREal!$D:$D)</f>
        <v>475000</v>
      </c>
      <c r="E33" s="3">
        <f>SUMIF(PPvsREal!$C:$C,'PPvsREal Summary'!C33,PPvsREal!$E:$E)</f>
        <v>0</v>
      </c>
      <c r="F33" s="3">
        <f>SUMIF(PPvsREal!$C:$C,'PPvsREal Summary'!C33,PPvsREal!$F:$F)</f>
        <v>25000</v>
      </c>
      <c r="G33" s="3">
        <f>SUMIF(PPvsREal!$C:$C,'PPvsREal Summary'!C33,PPvsREal!$G:$G)</f>
        <v>0</v>
      </c>
      <c r="H33" s="3">
        <f>SUMIF(PPvsREal!$C:$C,'PPvsREal Summary'!C33,PPvsREal!$H:$H)</f>
        <v>0</v>
      </c>
      <c r="I33" s="3">
        <f>SUMIF(PPvsREal!$C:$C,'PPvsREal Summary'!C33,PPvsREal!$I:$I)</f>
        <v>0</v>
      </c>
      <c r="J33" s="3">
        <f>SUMIF(PPvsREal!$C:$C,'PPvsREal Summary'!C33,PPvsREal!$J:$J)</f>
        <v>0</v>
      </c>
      <c r="K33" s="3">
        <f>SUMIF(PPvsREal!$C:$C,'PPvsREal Summary'!C33,PPvsREal!$K:$K)</f>
        <v>0</v>
      </c>
      <c r="L33" s="3">
        <f>SUMIF(PPvsREal!$C:$C,'PPvsREal Summary'!C33,PPvsREal!$L:$L)</f>
        <v>0</v>
      </c>
      <c r="M33" s="3">
        <f>SUMIF(PPvsREal!$C:$C,'PPvsREal Summary'!C33,PPvsREal!$M:$M)</f>
        <v>0</v>
      </c>
      <c r="N33" s="3">
        <f>SUMIF(PPvsREal!$C:$C,'PPvsREal Summary'!C33,PPvsREal!$N:$N)</f>
        <v>0</v>
      </c>
      <c r="O33" s="3">
        <f>SUMIF(PPvsREal!$C:$C,'PPvsREal Summary'!C33,PPvsREal!$O:$O)</f>
        <v>0</v>
      </c>
      <c r="P33" s="3">
        <f>SUMIF(PPvsREal!$C:$C,'PPvsREal Summary'!C33,PPvsREal!$P:$P)</f>
        <v>0</v>
      </c>
      <c r="Q33" s="3">
        <f>SUMIF(PPvsREal!$C:$C,'PPvsREal Summary'!C33,PPvsREal!$Q:$Q)</f>
        <v>0</v>
      </c>
      <c r="R33" s="3">
        <f>SUMIF(PPvsREal!$C:$C,'PPvsREal Summary'!C33,PPvsREal!$R:$R)</f>
        <v>0</v>
      </c>
      <c r="S33" s="3">
        <f>SUMIF(PPvsREal!$C:$C,'PPvsREal Summary'!C33,PPvsREal!$S:$S)</f>
        <v>0</v>
      </c>
      <c r="T33" s="3">
        <f>SUMIF(PPvsREal!$C:$C,'PPvsREal Summary'!C33,PPvsREal!$T:$T)</f>
        <v>0</v>
      </c>
      <c r="U33" s="3">
        <f>SUMIF(PPvsREal!$C:$C,'PPvsREal Summary'!C33,PPvsREal!$U:$U)</f>
        <v>0</v>
      </c>
      <c r="V33" s="3">
        <f>SUMIF(PPvsREal!$C:$C,'PPvsREal Summary'!C33,PPvsREal!$V:$V)</f>
        <v>0</v>
      </c>
      <c r="W33" s="3">
        <f>SUMIF(PPvsREal!$C:$C,'PPvsREal Summary'!C33,PPvsREal!$W:$W)</f>
        <v>0</v>
      </c>
      <c r="X33" s="3">
        <f>SUMIF(PPvsREal!$C:$C,'PPvsREal Summary'!C33,PPvsREal!$X:$X)</f>
        <v>0</v>
      </c>
      <c r="Y33" s="3">
        <f>SUMIF(PPvsREal!$C:$C,'PPvsREal Summary'!C33,PPvsREal!$Y:$Y)</f>
        <v>0</v>
      </c>
      <c r="Z33" s="3">
        <f>SUMIF(PPvsREal!$C:$C,'PPvsREal Summary'!C33,PPvsREal!$Z:$Z)</f>
        <v>0</v>
      </c>
      <c r="AA33" s="190">
        <f>SUMIF(PPvsREal!$C:$C,'PPvsREal Summary'!C33,PPvsREal!$AA:$AA)</f>
        <v>0</v>
      </c>
      <c r="AB33" s="3"/>
      <c r="AC33" s="201">
        <f t="shared" ref="AC33:AD33" si="64">D33+F33+H33+J33+L33+N33+P33+R33+T33+V33+X33+Z33</f>
        <v>500000</v>
      </c>
      <c r="AD33" s="201">
        <f t="shared" si="64"/>
        <v>0</v>
      </c>
      <c r="AE33" s="3"/>
      <c r="AF33" s="201">
        <f t="shared" ref="AF33:AG33" si="65">D33+F33+H33+J33+L33+N33+P33+R33+T33+V33+X33+Z33</f>
        <v>500000</v>
      </c>
      <c r="AG33" s="201">
        <f t="shared" si="65"/>
        <v>0</v>
      </c>
    </row>
    <row r="34" ht="12.75" customHeight="1">
      <c r="A34" s="111"/>
      <c r="B34" s="188" t="s">
        <v>18</v>
      </c>
      <c r="C34" s="2" t="s">
        <v>194</v>
      </c>
      <c r="D34" s="189">
        <f>SUMIF(PPvsREal!$C:$C,'PPvsREal Summary'!C34,PPvsREal!$D:$D)</f>
        <v>0</v>
      </c>
      <c r="E34" s="3">
        <f>SUMIF(PPvsREal!$C:$C,'PPvsREal Summary'!C34,PPvsREal!$E:$E)</f>
        <v>0</v>
      </c>
      <c r="F34" s="3">
        <f>SUMIF(PPvsREal!$C:$C,'PPvsREal Summary'!C34,PPvsREal!$F:$F)</f>
        <v>0</v>
      </c>
      <c r="G34" s="3">
        <f>SUMIF(PPvsREal!$C:$C,'PPvsREal Summary'!C34,PPvsREal!$G:$G)</f>
        <v>0</v>
      </c>
      <c r="H34" s="3">
        <f>SUMIF(PPvsREal!$C:$C,'PPvsREal Summary'!C34,PPvsREal!$H:$H)</f>
        <v>220000</v>
      </c>
      <c r="I34" s="3">
        <f>SUMIF(PPvsREal!$C:$C,'PPvsREal Summary'!C34,PPvsREal!$I:$I)</f>
        <v>0</v>
      </c>
      <c r="J34" s="3">
        <f>SUMIF(PPvsREal!$C:$C,'PPvsREal Summary'!C34,PPvsREal!$J:$J)</f>
        <v>30000</v>
      </c>
      <c r="K34" s="3">
        <f>SUMIF(PPvsREal!$C:$C,'PPvsREal Summary'!C34,PPvsREal!$K:$K)</f>
        <v>0</v>
      </c>
      <c r="L34" s="3">
        <f>SUMIF(PPvsREal!$C:$C,'PPvsREal Summary'!C34,PPvsREal!$L:$L)</f>
        <v>0</v>
      </c>
      <c r="M34" s="3">
        <f>SUMIF(PPvsREal!$C:$C,'PPvsREal Summary'!C34,PPvsREal!$M:$M)</f>
        <v>0</v>
      </c>
      <c r="N34" s="3">
        <f>SUMIF(PPvsREal!$C:$C,'PPvsREal Summary'!C34,PPvsREal!$N:$N)</f>
        <v>0</v>
      </c>
      <c r="O34" s="3">
        <f>SUMIF(PPvsREal!$C:$C,'PPvsREal Summary'!C34,PPvsREal!$O:$O)</f>
        <v>0</v>
      </c>
      <c r="P34" s="3">
        <f>SUMIF(PPvsREal!$C:$C,'PPvsREal Summary'!C34,PPvsREal!$P:$P)</f>
        <v>0</v>
      </c>
      <c r="Q34" s="3">
        <f>SUMIF(PPvsREal!$C:$C,'PPvsREal Summary'!C34,PPvsREal!$Q:$Q)</f>
        <v>0</v>
      </c>
      <c r="R34" s="3">
        <f>SUMIF(PPvsREal!$C:$C,'PPvsREal Summary'!C34,PPvsREal!$R:$R)</f>
        <v>0</v>
      </c>
      <c r="S34" s="3">
        <f>SUMIF(PPvsREal!$C:$C,'PPvsREal Summary'!C34,PPvsREal!$S:$S)</f>
        <v>0</v>
      </c>
      <c r="T34" s="3">
        <f>SUMIF(PPvsREal!$C:$C,'PPvsREal Summary'!C34,PPvsREal!$T:$T)</f>
        <v>0</v>
      </c>
      <c r="U34" s="3">
        <f>SUMIF(PPvsREal!$C:$C,'PPvsREal Summary'!C34,PPvsREal!$U:$U)</f>
        <v>0</v>
      </c>
      <c r="V34" s="3">
        <f>SUMIF(PPvsREal!$C:$C,'PPvsREal Summary'!C34,PPvsREal!$V:$V)</f>
        <v>0</v>
      </c>
      <c r="W34" s="3">
        <f>SUMIF(PPvsREal!$C:$C,'PPvsREal Summary'!C34,PPvsREal!$W:$W)</f>
        <v>0</v>
      </c>
      <c r="X34" s="3">
        <f>SUMIF(PPvsREal!$C:$C,'PPvsREal Summary'!C34,PPvsREal!$X:$X)</f>
        <v>0</v>
      </c>
      <c r="Y34" s="3">
        <f>SUMIF(PPvsREal!$C:$C,'PPvsREal Summary'!C34,PPvsREal!$Y:$Y)</f>
        <v>0</v>
      </c>
      <c r="Z34" s="3">
        <f>SUMIF(PPvsREal!$C:$C,'PPvsREal Summary'!C34,PPvsREal!$Z:$Z)</f>
        <v>0</v>
      </c>
      <c r="AA34" s="190">
        <f>SUMIF(PPvsREal!$C:$C,'PPvsREal Summary'!C34,PPvsREal!$AA:$AA)</f>
        <v>0</v>
      </c>
      <c r="AB34" s="3"/>
      <c r="AC34" s="201">
        <f t="shared" ref="AC34:AD34" si="66">D34+F34+H34+J34+L34+N34+P34+R34+T34+V34+X34+Z34</f>
        <v>250000</v>
      </c>
      <c r="AD34" s="201">
        <f t="shared" si="66"/>
        <v>0</v>
      </c>
      <c r="AE34" s="3"/>
      <c r="AF34" s="201">
        <f t="shared" ref="AF34:AG34" si="67">D34+F34+H34+J34+L34+N34+P34+R34+T34+V34+X34+Z34</f>
        <v>250000</v>
      </c>
      <c r="AG34" s="201">
        <f t="shared" si="67"/>
        <v>0</v>
      </c>
    </row>
    <row r="35" ht="12.75" customHeight="1">
      <c r="A35" s="111"/>
      <c r="B35" s="188" t="s">
        <v>18</v>
      </c>
      <c r="C35" s="2" t="s">
        <v>418</v>
      </c>
      <c r="D35" s="189">
        <f>SUMIF(PPvsREal!$C:$C,'PPvsREal Summary'!C35,PPvsREal!$D:$D)</f>
        <v>0</v>
      </c>
      <c r="E35" s="3">
        <f>SUMIF(PPvsREal!$C:$C,'PPvsREal Summary'!C35,PPvsREal!$E:$E)</f>
        <v>0</v>
      </c>
      <c r="F35" s="3">
        <f>SUMIF(PPvsREal!$C:$C,'PPvsREal Summary'!C35,PPvsREal!$F:$F)</f>
        <v>0</v>
      </c>
      <c r="G35" s="3">
        <f>SUMIF(PPvsREal!$C:$C,'PPvsREal Summary'!C35,PPvsREal!$G:$G)</f>
        <v>0</v>
      </c>
      <c r="H35" s="3">
        <f>SUMIF(PPvsREal!$C:$C,'PPvsREal Summary'!C35,PPvsREal!$H:$H)</f>
        <v>0</v>
      </c>
      <c r="I35" s="3">
        <f>SUMIF(PPvsREal!$C:$C,'PPvsREal Summary'!C35,PPvsREal!$I:$I)</f>
        <v>0</v>
      </c>
      <c r="J35" s="3">
        <f>SUMIF(PPvsREal!$C:$C,'PPvsREal Summary'!C35,PPvsREal!$J:$J)</f>
        <v>0</v>
      </c>
      <c r="K35" s="3">
        <f>SUMIF(PPvsREal!$C:$C,'PPvsREal Summary'!C35,PPvsREal!$K:$K)</f>
        <v>0</v>
      </c>
      <c r="L35" s="3">
        <f>SUMIF(PPvsREal!$C:$C,'PPvsREal Summary'!C35,PPvsREal!$L:$L)</f>
        <v>0</v>
      </c>
      <c r="M35" s="3">
        <f>SUMIF(PPvsREal!$C:$C,'PPvsREal Summary'!C35,PPvsREal!$M:$M)</f>
        <v>0</v>
      </c>
      <c r="N35" s="3">
        <f>SUMIF(PPvsREal!$C:$C,'PPvsREal Summary'!C35,PPvsREal!$N:$N)</f>
        <v>0</v>
      </c>
      <c r="O35" s="3">
        <f>SUMIF(PPvsREal!$C:$C,'PPvsREal Summary'!C35,PPvsREal!$O:$O)</f>
        <v>0</v>
      </c>
      <c r="P35" s="3">
        <f>SUMIF(PPvsREal!$C:$C,'PPvsREal Summary'!C35,PPvsREal!$P:$P)</f>
        <v>0</v>
      </c>
      <c r="Q35" s="3">
        <f>SUMIF(PPvsREal!$C:$C,'PPvsREal Summary'!C35,PPvsREal!$Q:$Q)</f>
        <v>0</v>
      </c>
      <c r="R35" s="3">
        <f>SUMIF(PPvsREal!$C:$C,'PPvsREal Summary'!C35,PPvsREal!$R:$R)</f>
        <v>0</v>
      </c>
      <c r="S35" s="3">
        <f>SUMIF(PPvsREal!$C:$C,'PPvsREal Summary'!C35,PPvsREal!$S:$S)</f>
        <v>0</v>
      </c>
      <c r="T35" s="3">
        <f>SUMIF(PPvsREal!$C:$C,'PPvsREal Summary'!C35,PPvsREal!$T:$T)</f>
        <v>0</v>
      </c>
      <c r="U35" s="3">
        <f>SUMIF(PPvsREal!$C:$C,'PPvsREal Summary'!C35,PPvsREal!$U:$U)</f>
        <v>0</v>
      </c>
      <c r="V35" s="3">
        <f>SUMIF(PPvsREal!$C:$C,'PPvsREal Summary'!C35,PPvsREal!$V:$V)</f>
        <v>0</v>
      </c>
      <c r="W35" s="3">
        <f>SUMIF(PPvsREal!$C:$C,'PPvsREal Summary'!C35,PPvsREal!$W:$W)</f>
        <v>0</v>
      </c>
      <c r="X35" s="3">
        <f>SUMIF(PPvsREal!$C:$C,'PPvsREal Summary'!C35,PPvsREal!$X:$X)</f>
        <v>0</v>
      </c>
      <c r="Y35" s="3">
        <f>SUMIF(PPvsREal!$C:$C,'PPvsREal Summary'!C35,PPvsREal!$Y:$Y)</f>
        <v>0</v>
      </c>
      <c r="Z35" s="3">
        <f>SUMIF(PPvsREal!$C:$C,'PPvsREal Summary'!C35,PPvsREal!$Z:$Z)</f>
        <v>0</v>
      </c>
      <c r="AA35" s="190">
        <f>SUMIF(PPvsREal!$C:$C,'PPvsREal Summary'!C35,PPvsREal!$AA:$AA)</f>
        <v>0</v>
      </c>
      <c r="AB35" s="3"/>
      <c r="AC35" s="201">
        <f t="shared" ref="AC35:AD35" si="68">D35+F35+H35+J35+L35+N35+P35+R35+T35+V35+X35+Z35</f>
        <v>0</v>
      </c>
      <c r="AD35" s="201">
        <f t="shared" si="68"/>
        <v>0</v>
      </c>
      <c r="AE35" s="3"/>
      <c r="AF35" s="201">
        <f t="shared" ref="AF35:AG35" si="69">D35+F35+H35+J35+L35+N35+P35+R35+T35+V35+X35+Z35</f>
        <v>0</v>
      </c>
      <c r="AG35" s="201">
        <f t="shared" si="69"/>
        <v>0</v>
      </c>
    </row>
    <row r="36" ht="12.75" customHeight="1">
      <c r="A36" s="111"/>
      <c r="B36" s="188" t="s">
        <v>18</v>
      </c>
      <c r="C36" s="2" t="s">
        <v>210</v>
      </c>
      <c r="D36" s="189">
        <f>SUMIF(PPvsREal!$C:$C,'PPvsREal Summary'!C36,PPvsREal!$D:$D)</f>
        <v>0</v>
      </c>
      <c r="E36" s="3">
        <f>SUMIF(PPvsREal!$C:$C,'PPvsREal Summary'!C36,PPvsREal!$E:$E)</f>
        <v>0</v>
      </c>
      <c r="F36" s="3">
        <f>SUMIF(PPvsREal!$C:$C,'PPvsREal Summary'!C36,PPvsREal!$F:$F)</f>
        <v>0</v>
      </c>
      <c r="G36" s="3">
        <f>SUMIF(PPvsREal!$C:$C,'PPvsREal Summary'!C36,PPvsREal!$G:$G)</f>
        <v>0</v>
      </c>
      <c r="H36" s="3">
        <f>SUMIF(PPvsREal!$C:$C,'PPvsREal Summary'!C36,PPvsREal!$H:$H)</f>
        <v>0</v>
      </c>
      <c r="I36" s="3">
        <f>SUMIF(PPvsREal!$C:$C,'PPvsREal Summary'!C36,PPvsREal!$I:$I)</f>
        <v>0</v>
      </c>
      <c r="J36" s="3">
        <f>SUMIF(PPvsREal!$C:$C,'PPvsREal Summary'!C36,PPvsREal!$J:$J)</f>
        <v>0</v>
      </c>
      <c r="K36" s="3">
        <f>SUMIF(PPvsREal!$C:$C,'PPvsREal Summary'!C36,PPvsREal!$K:$K)</f>
        <v>0</v>
      </c>
      <c r="L36" s="3">
        <f>SUMIF(PPvsREal!$C:$C,'PPvsREal Summary'!C36,PPvsREal!$L:$L)</f>
        <v>0</v>
      </c>
      <c r="M36" s="3">
        <f>SUMIF(PPvsREal!$C:$C,'PPvsREal Summary'!C36,PPvsREal!$M:$M)</f>
        <v>0</v>
      </c>
      <c r="N36" s="3">
        <f>SUMIF(PPvsREal!$C:$C,'PPvsREal Summary'!C36,PPvsREal!$N:$N)</f>
        <v>0</v>
      </c>
      <c r="O36" s="3">
        <f>SUMIF(PPvsREal!$C:$C,'PPvsREal Summary'!C36,PPvsREal!$O:$O)</f>
        <v>0</v>
      </c>
      <c r="P36" s="3">
        <f>SUMIF(PPvsREal!$C:$C,'PPvsREal Summary'!C36,PPvsREal!$P:$P)</f>
        <v>0</v>
      </c>
      <c r="Q36" s="3">
        <f>SUMIF(PPvsREal!$C:$C,'PPvsREal Summary'!C36,PPvsREal!$Q:$Q)</f>
        <v>0</v>
      </c>
      <c r="R36" s="3">
        <f>SUMIF(PPvsREal!$C:$C,'PPvsREal Summary'!C36,PPvsREal!$R:$R)</f>
        <v>0</v>
      </c>
      <c r="S36" s="3">
        <f>SUMIF(PPvsREal!$C:$C,'PPvsREal Summary'!C36,PPvsREal!$S:$S)</f>
        <v>0</v>
      </c>
      <c r="T36" s="3">
        <f>SUMIF(PPvsREal!$C:$C,'PPvsREal Summary'!C36,PPvsREal!$T:$T)</f>
        <v>0</v>
      </c>
      <c r="U36" s="3">
        <f>SUMIF(PPvsREal!$C:$C,'PPvsREal Summary'!C36,PPvsREal!$U:$U)</f>
        <v>0</v>
      </c>
      <c r="V36" s="3">
        <f>SUMIF(PPvsREal!$C:$C,'PPvsREal Summary'!C36,PPvsREal!$V:$V)</f>
        <v>0</v>
      </c>
      <c r="W36" s="3">
        <f>SUMIF(PPvsREal!$C:$C,'PPvsREal Summary'!C36,PPvsREal!$W:$W)</f>
        <v>0</v>
      </c>
      <c r="X36" s="3">
        <f>SUMIF(PPvsREal!$C:$C,'PPvsREal Summary'!C36,PPvsREal!$X:$X)</f>
        <v>0</v>
      </c>
      <c r="Y36" s="3">
        <f>SUMIF(PPvsREal!$C:$C,'PPvsREal Summary'!C36,PPvsREal!$Y:$Y)</f>
        <v>0</v>
      </c>
      <c r="Z36" s="3">
        <f>SUMIF(PPvsREal!$C:$C,'PPvsREal Summary'!C36,PPvsREal!$Z:$Z)</f>
        <v>0</v>
      </c>
      <c r="AA36" s="190">
        <f>SUMIF(PPvsREal!$C:$C,'PPvsREal Summary'!C36,PPvsREal!$AA:$AA)</f>
        <v>0</v>
      </c>
      <c r="AB36" s="3"/>
      <c r="AC36" s="201">
        <f t="shared" ref="AC36:AD36" si="70">D36+F36+H36+J36+L36+N36+P36+R36+T36+V36+X36+Z36</f>
        <v>0</v>
      </c>
      <c r="AD36" s="201">
        <f t="shared" si="70"/>
        <v>0</v>
      </c>
      <c r="AE36" s="3"/>
      <c r="AF36" s="201">
        <f t="shared" ref="AF36:AG36" si="71">D36+F36+H36+J36+L36+N36+P36+R36+T36+V36+X36+Z36</f>
        <v>0</v>
      </c>
      <c r="AG36" s="201">
        <f t="shared" si="71"/>
        <v>0</v>
      </c>
    </row>
    <row r="37" ht="12.75" customHeight="1">
      <c r="A37" s="111"/>
      <c r="B37" s="188" t="s">
        <v>18</v>
      </c>
      <c r="C37" s="2" t="s">
        <v>206</v>
      </c>
      <c r="D37" s="189">
        <f>SUMIF(PPvsREal!$C:$C,'PPvsREal Summary'!C37,PPvsREal!$D:$D)</f>
        <v>0</v>
      </c>
      <c r="E37" s="3">
        <f>SUMIF(PPvsREal!$C:$C,'PPvsREal Summary'!C37,PPvsREal!$E:$E)</f>
        <v>0</v>
      </c>
      <c r="F37" s="3">
        <f>SUMIF(PPvsREal!$C:$C,'PPvsREal Summary'!C37,PPvsREal!$F:$F)</f>
        <v>0</v>
      </c>
      <c r="G37" s="3">
        <f>SUMIF(PPvsREal!$C:$C,'PPvsREal Summary'!C37,PPvsREal!$G:$G)</f>
        <v>0</v>
      </c>
      <c r="H37" s="3">
        <f>SUMIF(PPvsREal!$C:$C,'PPvsREal Summary'!C37,PPvsREal!$H:$H)</f>
        <v>0</v>
      </c>
      <c r="I37" s="3">
        <f>SUMIF(PPvsREal!$C:$C,'PPvsREal Summary'!C37,PPvsREal!$I:$I)</f>
        <v>0</v>
      </c>
      <c r="J37" s="3">
        <f>SUMIF(PPvsREal!$C:$C,'PPvsREal Summary'!C37,PPvsREal!$J:$J)</f>
        <v>0</v>
      </c>
      <c r="K37" s="3">
        <f>SUMIF(PPvsREal!$C:$C,'PPvsREal Summary'!C37,PPvsREal!$K:$K)</f>
        <v>0</v>
      </c>
      <c r="L37" s="3">
        <f>SUMIF(PPvsREal!$C:$C,'PPvsREal Summary'!C37,PPvsREal!$L:$L)</f>
        <v>0</v>
      </c>
      <c r="M37" s="3">
        <f>SUMIF(PPvsREal!$C:$C,'PPvsREal Summary'!C37,PPvsREal!$M:$M)</f>
        <v>0</v>
      </c>
      <c r="N37" s="3">
        <f>SUMIF(PPvsREal!$C:$C,'PPvsREal Summary'!C37,PPvsREal!$N:$N)</f>
        <v>0</v>
      </c>
      <c r="O37" s="3">
        <f>SUMIF(PPvsREal!$C:$C,'PPvsREal Summary'!C37,PPvsREal!$O:$O)</f>
        <v>0</v>
      </c>
      <c r="P37" s="3">
        <f>SUMIF(PPvsREal!$C:$C,'PPvsREal Summary'!C37,PPvsREal!$P:$P)</f>
        <v>0</v>
      </c>
      <c r="Q37" s="3">
        <f>SUMIF(PPvsREal!$C:$C,'PPvsREal Summary'!C37,PPvsREal!$Q:$Q)</f>
        <v>0</v>
      </c>
      <c r="R37" s="3">
        <f>SUMIF(PPvsREal!$C:$C,'PPvsREal Summary'!C37,PPvsREal!$R:$R)</f>
        <v>0</v>
      </c>
      <c r="S37" s="3">
        <f>SUMIF(PPvsREal!$C:$C,'PPvsREal Summary'!C37,PPvsREal!$S:$S)</f>
        <v>0</v>
      </c>
      <c r="T37" s="3">
        <f>SUMIF(PPvsREal!$C:$C,'PPvsREal Summary'!C37,PPvsREal!$T:$T)</f>
        <v>0</v>
      </c>
      <c r="U37" s="3">
        <f>SUMIF(PPvsREal!$C:$C,'PPvsREal Summary'!C37,PPvsREal!$U:$U)</f>
        <v>0</v>
      </c>
      <c r="V37" s="3">
        <f>SUMIF(PPvsREal!$C:$C,'PPvsREal Summary'!C37,PPvsREal!$V:$V)</f>
        <v>0</v>
      </c>
      <c r="W37" s="3">
        <f>SUMIF(PPvsREal!$C:$C,'PPvsREal Summary'!C37,PPvsREal!$W:$W)</f>
        <v>0</v>
      </c>
      <c r="X37" s="3">
        <f>SUMIF(PPvsREal!$C:$C,'PPvsREal Summary'!C37,PPvsREal!$X:$X)</f>
        <v>0</v>
      </c>
      <c r="Y37" s="3">
        <f>SUMIF(PPvsREal!$C:$C,'PPvsREal Summary'!C37,PPvsREal!$Y:$Y)</f>
        <v>0</v>
      </c>
      <c r="Z37" s="3">
        <f>SUMIF(PPvsREal!$C:$C,'PPvsREal Summary'!C37,PPvsREal!$Z:$Z)</f>
        <v>0</v>
      </c>
      <c r="AA37" s="190">
        <f>SUMIF(PPvsREal!$C:$C,'PPvsREal Summary'!C37,PPvsREal!$AA:$AA)</f>
        <v>0</v>
      </c>
      <c r="AB37" s="3"/>
      <c r="AC37" s="201">
        <f t="shared" ref="AC37:AD37" si="72">D37+F37+H37+J37+L37+N37+P37+R37+T37+V37+X37+Z37</f>
        <v>0</v>
      </c>
      <c r="AD37" s="201">
        <f t="shared" si="72"/>
        <v>0</v>
      </c>
      <c r="AE37" s="3"/>
      <c r="AF37" s="201">
        <f t="shared" ref="AF37:AG37" si="73">D37+F37+H37+J37+L37+N37+P37+R37+T37+V37+X37+Z37</f>
        <v>0</v>
      </c>
      <c r="AG37" s="201">
        <f t="shared" si="73"/>
        <v>0</v>
      </c>
    </row>
    <row r="38" ht="12.75" customHeight="1">
      <c r="A38" s="111"/>
      <c r="B38" s="188" t="s">
        <v>18</v>
      </c>
      <c r="C38" s="2" t="s">
        <v>208</v>
      </c>
      <c r="D38" s="189">
        <f>SUMIF(PPvsREal!$C:$C,'PPvsREal Summary'!C38,PPvsREal!$D:$D)</f>
        <v>0</v>
      </c>
      <c r="E38" s="3">
        <f>SUMIF(PPvsREal!$C:$C,'PPvsREal Summary'!C38,PPvsREal!$E:$E)</f>
        <v>0</v>
      </c>
      <c r="F38" s="3">
        <f>SUMIF(PPvsREal!$C:$C,'PPvsREal Summary'!C38,PPvsREal!$F:$F)</f>
        <v>0</v>
      </c>
      <c r="G38" s="3">
        <f>SUMIF(PPvsREal!$C:$C,'PPvsREal Summary'!C38,PPvsREal!$G:$G)</f>
        <v>0</v>
      </c>
      <c r="H38" s="3">
        <f>SUMIF(PPvsREal!$C:$C,'PPvsREal Summary'!C38,PPvsREal!$H:$H)</f>
        <v>0</v>
      </c>
      <c r="I38" s="3">
        <f>SUMIF(PPvsREal!$C:$C,'PPvsREal Summary'!C38,PPvsREal!$I:$I)</f>
        <v>0</v>
      </c>
      <c r="J38" s="3">
        <f>SUMIF(PPvsREal!$C:$C,'PPvsREal Summary'!C38,PPvsREal!$J:$J)</f>
        <v>0</v>
      </c>
      <c r="K38" s="3">
        <f>SUMIF(PPvsREal!$C:$C,'PPvsREal Summary'!C38,PPvsREal!$K:$K)</f>
        <v>0</v>
      </c>
      <c r="L38" s="3">
        <f>SUMIF(PPvsREal!$C:$C,'PPvsREal Summary'!C38,PPvsREal!$L:$L)</f>
        <v>0</v>
      </c>
      <c r="M38" s="3">
        <f>SUMIF(PPvsREal!$C:$C,'PPvsREal Summary'!C38,PPvsREal!$M:$M)</f>
        <v>0</v>
      </c>
      <c r="N38" s="3">
        <f>SUMIF(PPvsREal!$C:$C,'PPvsREal Summary'!C38,PPvsREal!$N:$N)</f>
        <v>0</v>
      </c>
      <c r="O38" s="3">
        <f>SUMIF(PPvsREal!$C:$C,'PPvsREal Summary'!C38,PPvsREal!$O:$O)</f>
        <v>0</v>
      </c>
      <c r="P38" s="3">
        <f>SUMIF(PPvsREal!$C:$C,'PPvsREal Summary'!C38,PPvsREal!$P:$P)</f>
        <v>0</v>
      </c>
      <c r="Q38" s="3">
        <f>SUMIF(PPvsREal!$C:$C,'PPvsREal Summary'!C38,PPvsREal!$Q:$Q)</f>
        <v>0</v>
      </c>
      <c r="R38" s="3">
        <f>SUMIF(PPvsREal!$C:$C,'PPvsREal Summary'!C38,PPvsREal!$R:$R)</f>
        <v>0</v>
      </c>
      <c r="S38" s="3">
        <f>SUMIF(PPvsREal!$C:$C,'PPvsREal Summary'!C38,PPvsREal!$S:$S)</f>
        <v>0</v>
      </c>
      <c r="T38" s="3">
        <f>SUMIF(PPvsREal!$C:$C,'PPvsREal Summary'!C38,PPvsREal!$T:$T)</f>
        <v>0</v>
      </c>
      <c r="U38" s="3">
        <f>SUMIF(PPvsREal!$C:$C,'PPvsREal Summary'!C38,PPvsREal!$U:$U)</f>
        <v>0</v>
      </c>
      <c r="V38" s="3">
        <f>SUMIF(PPvsREal!$C:$C,'PPvsREal Summary'!C38,PPvsREal!$V:$V)</f>
        <v>0</v>
      </c>
      <c r="W38" s="3">
        <f>SUMIF(PPvsREal!$C:$C,'PPvsREal Summary'!C38,PPvsREal!$W:$W)</f>
        <v>0</v>
      </c>
      <c r="X38" s="3">
        <f>SUMIF(PPvsREal!$C:$C,'PPvsREal Summary'!C38,PPvsREal!$X:$X)</f>
        <v>0</v>
      </c>
      <c r="Y38" s="3">
        <f>SUMIF(PPvsREal!$C:$C,'PPvsREal Summary'!C38,PPvsREal!$Y:$Y)</f>
        <v>0</v>
      </c>
      <c r="Z38" s="3">
        <f>SUMIF(PPvsREal!$C:$C,'PPvsREal Summary'!C38,PPvsREal!$Z:$Z)</f>
        <v>0</v>
      </c>
      <c r="AA38" s="190">
        <f>SUMIF(PPvsREal!$C:$C,'PPvsREal Summary'!C38,PPvsREal!$AA:$AA)</f>
        <v>0</v>
      </c>
      <c r="AB38" s="3"/>
      <c r="AC38" s="201">
        <f t="shared" ref="AC38:AD38" si="74">D38+F38+H38+J38+L38+N38+P38+R38+T38+V38+X38+Z38</f>
        <v>0</v>
      </c>
      <c r="AD38" s="201">
        <f t="shared" si="74"/>
        <v>0</v>
      </c>
      <c r="AE38" s="3"/>
      <c r="AF38" s="201">
        <f t="shared" ref="AF38:AG38" si="75">D38+F38+H38+J38+L38+N38+P38+R38+T38+V38+X38+Z38</f>
        <v>0</v>
      </c>
      <c r="AG38" s="201">
        <f t="shared" si="75"/>
        <v>0</v>
      </c>
    </row>
    <row r="39" ht="12.75" customHeight="1">
      <c r="A39" s="111"/>
      <c r="B39" s="188" t="s">
        <v>18</v>
      </c>
      <c r="C39" s="2" t="s">
        <v>419</v>
      </c>
      <c r="D39" s="189">
        <f>SUMIF(PPvsREal!$C:$C,'PPvsREal Summary'!C39,PPvsREal!$D:$D)</f>
        <v>0</v>
      </c>
      <c r="E39" s="3">
        <f>SUMIF(PPvsREal!$C:$C,'PPvsREal Summary'!C39,PPvsREal!$E:$E)</f>
        <v>0</v>
      </c>
      <c r="F39" s="3">
        <f>SUMIF(PPvsREal!$C:$C,'PPvsREal Summary'!C39,PPvsREal!$F:$F)</f>
        <v>0</v>
      </c>
      <c r="G39" s="3">
        <f>SUMIF(PPvsREal!$C:$C,'PPvsREal Summary'!C39,PPvsREal!$G:$G)</f>
        <v>0</v>
      </c>
      <c r="H39" s="3">
        <f>SUMIF(PPvsREal!$C:$C,'PPvsREal Summary'!C39,PPvsREal!$H:$H)</f>
        <v>0</v>
      </c>
      <c r="I39" s="3">
        <f>SUMIF(PPvsREal!$C:$C,'PPvsREal Summary'!C39,PPvsREal!$I:$I)</f>
        <v>0</v>
      </c>
      <c r="J39" s="3">
        <f>SUMIF(PPvsREal!$C:$C,'PPvsREal Summary'!C39,PPvsREal!$J:$J)</f>
        <v>0</v>
      </c>
      <c r="K39" s="3">
        <f>SUMIF(PPvsREal!$C:$C,'PPvsREal Summary'!C39,PPvsREal!$K:$K)</f>
        <v>0</v>
      </c>
      <c r="L39" s="3">
        <f>SUMIF(PPvsREal!$C:$C,'PPvsREal Summary'!C39,PPvsREal!$L:$L)</f>
        <v>0</v>
      </c>
      <c r="M39" s="3">
        <f>SUMIF(PPvsREal!$C:$C,'PPvsREal Summary'!C39,PPvsREal!$M:$M)</f>
        <v>0</v>
      </c>
      <c r="N39" s="3">
        <f>SUMIF(PPvsREal!$C:$C,'PPvsREal Summary'!C39,PPvsREal!$N:$N)</f>
        <v>0</v>
      </c>
      <c r="O39" s="3">
        <f>SUMIF(PPvsREal!$C:$C,'PPvsREal Summary'!C39,PPvsREal!$O:$O)</f>
        <v>0</v>
      </c>
      <c r="P39" s="3">
        <f>SUMIF(PPvsREal!$C:$C,'PPvsREal Summary'!C39,PPvsREal!$P:$P)</f>
        <v>0</v>
      </c>
      <c r="Q39" s="3">
        <f>SUMIF(PPvsREal!$C:$C,'PPvsREal Summary'!C39,PPvsREal!$Q:$Q)</f>
        <v>0</v>
      </c>
      <c r="R39" s="3">
        <f>SUMIF(PPvsREal!$C:$C,'PPvsREal Summary'!C39,PPvsREal!$R:$R)</f>
        <v>0</v>
      </c>
      <c r="S39" s="3">
        <f>SUMIF(PPvsREal!$C:$C,'PPvsREal Summary'!C39,PPvsREal!$S:$S)</f>
        <v>0</v>
      </c>
      <c r="T39" s="3">
        <f>SUMIF(PPvsREal!$C:$C,'PPvsREal Summary'!C39,PPvsREal!$T:$T)</f>
        <v>0</v>
      </c>
      <c r="U39" s="3">
        <f>SUMIF(PPvsREal!$C:$C,'PPvsREal Summary'!C39,PPvsREal!$U:$U)</f>
        <v>0</v>
      </c>
      <c r="V39" s="3">
        <f>SUMIF(PPvsREal!$C:$C,'PPvsREal Summary'!C39,PPvsREal!$V:$V)</f>
        <v>0</v>
      </c>
      <c r="W39" s="3">
        <f>SUMIF(PPvsREal!$C:$C,'PPvsREal Summary'!C39,PPvsREal!$W:$W)</f>
        <v>0</v>
      </c>
      <c r="X39" s="3">
        <f>SUMIF(PPvsREal!$C:$C,'PPvsREal Summary'!C39,PPvsREal!$X:$X)</f>
        <v>0</v>
      </c>
      <c r="Y39" s="3">
        <f>SUMIF(PPvsREal!$C:$C,'PPvsREal Summary'!C39,PPvsREal!$Y:$Y)</f>
        <v>0</v>
      </c>
      <c r="Z39" s="3">
        <f>SUMIF(PPvsREal!$C:$C,'PPvsREal Summary'!C39,PPvsREal!$Z:$Z)</f>
        <v>0</v>
      </c>
      <c r="AA39" s="190">
        <f>SUMIF(PPvsREal!$C:$C,'PPvsREal Summary'!C39,PPvsREal!$AA:$AA)</f>
        <v>0</v>
      </c>
      <c r="AB39" s="3"/>
      <c r="AC39" s="201">
        <f t="shared" ref="AC39:AD39" si="76">D39+F39+H39+J39+L39+N39+P39+R39+T39+V39+X39+Z39</f>
        <v>0</v>
      </c>
      <c r="AD39" s="201">
        <f t="shared" si="76"/>
        <v>0</v>
      </c>
      <c r="AE39" s="3"/>
      <c r="AF39" s="201">
        <f t="shared" ref="AF39:AG39" si="77">D39+F39+H39+J39+L39+N39+P39+R39+T39+V39+X39+Z39</f>
        <v>0</v>
      </c>
      <c r="AG39" s="201">
        <f t="shared" si="77"/>
        <v>0</v>
      </c>
    </row>
    <row r="40" ht="12.75" customHeight="1">
      <c r="A40" s="111"/>
      <c r="B40" s="188" t="s">
        <v>18</v>
      </c>
      <c r="C40" s="2" t="s">
        <v>198</v>
      </c>
      <c r="D40" s="189">
        <f>SUMIF(PPvsREal!$C:$C,'PPvsREal Summary'!C40,PPvsREal!$D:$D)</f>
        <v>0</v>
      </c>
      <c r="E40" s="3">
        <f>SUMIF(PPvsREal!$C:$C,'PPvsREal Summary'!C40,PPvsREal!$E:$E)</f>
        <v>0</v>
      </c>
      <c r="F40" s="3">
        <f>SUMIF(PPvsREal!$C:$C,'PPvsREal Summary'!C40,PPvsREal!$F:$F)</f>
        <v>0</v>
      </c>
      <c r="G40" s="3">
        <f>SUMIF(PPvsREal!$C:$C,'PPvsREal Summary'!C40,PPvsREal!$G:$G)</f>
        <v>0</v>
      </c>
      <c r="H40" s="3">
        <f>SUMIF(PPvsREal!$C:$C,'PPvsREal Summary'!C40,PPvsREal!$H:$H)</f>
        <v>0</v>
      </c>
      <c r="I40" s="3">
        <f>SUMIF(PPvsREal!$C:$C,'PPvsREal Summary'!C40,PPvsREal!$I:$I)</f>
        <v>0</v>
      </c>
      <c r="J40" s="3">
        <f>SUMIF(PPvsREal!$C:$C,'PPvsREal Summary'!C40,PPvsREal!$J:$J)</f>
        <v>0</v>
      </c>
      <c r="K40" s="3">
        <f>SUMIF(PPvsREal!$C:$C,'PPvsREal Summary'!C40,PPvsREal!$K:$K)</f>
        <v>0</v>
      </c>
      <c r="L40" s="3">
        <f>SUMIF(PPvsREal!$C:$C,'PPvsREal Summary'!C40,PPvsREal!$L:$L)</f>
        <v>0</v>
      </c>
      <c r="M40" s="3">
        <f>SUMIF(PPvsREal!$C:$C,'PPvsREal Summary'!C40,PPvsREal!$M:$M)</f>
        <v>0</v>
      </c>
      <c r="N40" s="3">
        <f>SUMIF(PPvsREal!$C:$C,'PPvsREal Summary'!C40,PPvsREal!$N:$N)</f>
        <v>0</v>
      </c>
      <c r="O40" s="3">
        <f>SUMIF(PPvsREal!$C:$C,'PPvsREal Summary'!C40,PPvsREal!$O:$O)</f>
        <v>0</v>
      </c>
      <c r="P40" s="3">
        <f>SUMIF(PPvsREal!$C:$C,'PPvsREal Summary'!C40,PPvsREal!$P:$P)</f>
        <v>0</v>
      </c>
      <c r="Q40" s="3">
        <f>SUMIF(PPvsREal!$C:$C,'PPvsREal Summary'!C40,PPvsREal!$Q:$Q)</f>
        <v>0</v>
      </c>
      <c r="R40" s="3">
        <f>SUMIF(PPvsREal!$C:$C,'PPvsREal Summary'!C40,PPvsREal!$R:$R)</f>
        <v>0</v>
      </c>
      <c r="S40" s="3">
        <f>SUMIF(PPvsREal!$C:$C,'PPvsREal Summary'!C40,PPvsREal!$S:$S)</f>
        <v>0</v>
      </c>
      <c r="T40" s="3">
        <f>SUMIF(PPvsREal!$C:$C,'PPvsREal Summary'!C40,PPvsREal!$T:$T)</f>
        <v>0</v>
      </c>
      <c r="U40" s="3">
        <f>SUMIF(PPvsREal!$C:$C,'PPvsREal Summary'!C40,PPvsREal!$U:$U)</f>
        <v>0</v>
      </c>
      <c r="V40" s="3">
        <f>SUMIF(PPvsREal!$C:$C,'PPvsREal Summary'!C40,PPvsREal!$V:$V)</f>
        <v>90000</v>
      </c>
      <c r="W40" s="3">
        <f>SUMIF(PPvsREal!$C:$C,'PPvsREal Summary'!C40,PPvsREal!$W:$W)</f>
        <v>0</v>
      </c>
      <c r="X40" s="3">
        <f>SUMIF(PPvsREal!$C:$C,'PPvsREal Summary'!C40,PPvsREal!$X:$X)</f>
        <v>10000</v>
      </c>
      <c r="Y40" s="3">
        <f>SUMIF(PPvsREal!$C:$C,'PPvsREal Summary'!C40,PPvsREal!$Y:$Y)</f>
        <v>0</v>
      </c>
      <c r="Z40" s="3">
        <f>SUMIF(PPvsREal!$C:$C,'PPvsREal Summary'!C40,PPvsREal!$Z:$Z)</f>
        <v>0</v>
      </c>
      <c r="AA40" s="190">
        <f>SUMIF(PPvsREal!$C:$C,'PPvsREal Summary'!C40,PPvsREal!$AA:$AA)</f>
        <v>0</v>
      </c>
      <c r="AB40" s="3"/>
      <c r="AC40" s="201">
        <f t="shared" ref="AC40:AD40" si="78">D40+F40+H40+J40+L40+N40+P40+R40+T40+V40+X40+Z40</f>
        <v>100000</v>
      </c>
      <c r="AD40" s="201">
        <f t="shared" si="78"/>
        <v>0</v>
      </c>
      <c r="AE40" s="3"/>
      <c r="AF40" s="201">
        <f t="shared" ref="AF40:AG40" si="79">D40+F40+H40+J40+L40+N40+P40+R40+T40+V40+X40+Z40</f>
        <v>100000</v>
      </c>
      <c r="AG40" s="201">
        <f t="shared" si="79"/>
        <v>0</v>
      </c>
    </row>
    <row r="41" ht="12.75" customHeight="1">
      <c r="A41" s="111"/>
      <c r="B41" s="188" t="s">
        <v>18</v>
      </c>
      <c r="C41" s="2" t="s">
        <v>200</v>
      </c>
      <c r="D41" s="189">
        <f>SUMIF(PPvsREal!$C:$C,'PPvsREal Summary'!C41,PPvsREal!$D:$D)</f>
        <v>0</v>
      </c>
      <c r="E41" s="3">
        <f>SUMIF(PPvsREal!$C:$C,'PPvsREal Summary'!C41,PPvsREal!$E:$E)</f>
        <v>0</v>
      </c>
      <c r="F41" s="3">
        <f>SUMIF(PPvsREal!$C:$C,'PPvsREal Summary'!C41,PPvsREal!$F:$F)</f>
        <v>0</v>
      </c>
      <c r="G41" s="3">
        <f>SUMIF(PPvsREal!$C:$C,'PPvsREal Summary'!C41,PPvsREal!$G:$G)</f>
        <v>0</v>
      </c>
      <c r="H41" s="3">
        <f>SUMIF(PPvsREal!$C:$C,'PPvsREal Summary'!C41,PPvsREal!$H:$H)</f>
        <v>60000</v>
      </c>
      <c r="I41" s="3">
        <f>SUMIF(PPvsREal!$C:$C,'PPvsREal Summary'!C41,PPvsREal!$I:$I)</f>
        <v>0</v>
      </c>
      <c r="J41" s="3">
        <f>SUMIF(PPvsREal!$C:$C,'PPvsREal Summary'!C41,PPvsREal!$J:$J)</f>
        <v>0</v>
      </c>
      <c r="K41" s="3">
        <f>SUMIF(PPvsREal!$C:$C,'PPvsREal Summary'!C41,PPvsREal!$K:$K)</f>
        <v>0</v>
      </c>
      <c r="L41" s="3">
        <f>SUMIF(PPvsREal!$C:$C,'PPvsREal Summary'!C41,PPvsREal!$L:$L)</f>
        <v>0</v>
      </c>
      <c r="M41" s="3">
        <f>SUMIF(PPvsREal!$C:$C,'PPvsREal Summary'!C41,PPvsREal!$M:$M)</f>
        <v>0</v>
      </c>
      <c r="N41" s="3">
        <f>SUMIF(PPvsREal!$C:$C,'PPvsREal Summary'!C41,PPvsREal!$N:$N)</f>
        <v>0</v>
      </c>
      <c r="O41" s="3">
        <f>SUMIF(PPvsREal!$C:$C,'PPvsREal Summary'!C41,PPvsREal!$O:$O)</f>
        <v>0</v>
      </c>
      <c r="P41" s="3">
        <f>SUMIF(PPvsREal!$C:$C,'PPvsREal Summary'!C41,PPvsREal!$P:$P)</f>
        <v>0</v>
      </c>
      <c r="Q41" s="3">
        <f>SUMIF(PPvsREal!$C:$C,'PPvsREal Summary'!C41,PPvsREal!$Q:$Q)</f>
        <v>0</v>
      </c>
      <c r="R41" s="3">
        <f>SUMIF(PPvsREal!$C:$C,'PPvsREal Summary'!C41,PPvsREal!$R:$R)</f>
        <v>0</v>
      </c>
      <c r="S41" s="3">
        <f>SUMIF(PPvsREal!$C:$C,'PPvsREal Summary'!C41,PPvsREal!$S:$S)</f>
        <v>0</v>
      </c>
      <c r="T41" s="3">
        <f>SUMIF(PPvsREal!$C:$C,'PPvsREal Summary'!C41,PPvsREal!$T:$T)</f>
        <v>0</v>
      </c>
      <c r="U41" s="3">
        <f>SUMIF(PPvsREal!$C:$C,'PPvsREal Summary'!C41,PPvsREal!$U:$U)</f>
        <v>0</v>
      </c>
      <c r="V41" s="3">
        <f>SUMIF(PPvsREal!$C:$C,'PPvsREal Summary'!C41,PPvsREal!$V:$V)</f>
        <v>0</v>
      </c>
      <c r="W41" s="3">
        <f>SUMIF(PPvsREal!$C:$C,'PPvsREal Summary'!C41,PPvsREal!$W:$W)</f>
        <v>0</v>
      </c>
      <c r="X41" s="3">
        <f>SUMIF(PPvsREal!$C:$C,'PPvsREal Summary'!C41,PPvsREal!$X:$X)</f>
        <v>0</v>
      </c>
      <c r="Y41" s="3">
        <f>SUMIF(PPvsREal!$C:$C,'PPvsREal Summary'!C41,PPvsREal!$Y:$Y)</f>
        <v>0</v>
      </c>
      <c r="Z41" s="3">
        <f>SUMIF(PPvsREal!$C:$C,'PPvsREal Summary'!C41,PPvsREal!$Z:$Z)</f>
        <v>0</v>
      </c>
      <c r="AA41" s="190">
        <f>SUMIF(PPvsREal!$C:$C,'PPvsREal Summary'!C41,PPvsREal!$AA:$AA)</f>
        <v>0</v>
      </c>
      <c r="AB41" s="3"/>
      <c r="AC41" s="201">
        <f t="shared" ref="AC41:AD41" si="80">D41+F41+H41+J41+L41+N41+P41+R41+T41+V41+X41+Z41</f>
        <v>60000</v>
      </c>
      <c r="AD41" s="201">
        <f t="shared" si="80"/>
        <v>0</v>
      </c>
      <c r="AE41" s="3"/>
      <c r="AF41" s="201">
        <f t="shared" ref="AF41:AG41" si="81">D41+F41+H41+J41+L41+N41+P41+R41+T41+V41+X41+Z41</f>
        <v>60000</v>
      </c>
      <c r="AG41" s="201">
        <f t="shared" si="81"/>
        <v>0</v>
      </c>
    </row>
    <row r="42" ht="12.75" customHeight="1">
      <c r="A42" s="111"/>
      <c r="B42" s="188" t="s">
        <v>18</v>
      </c>
      <c r="C42" s="2" t="s">
        <v>216</v>
      </c>
      <c r="D42" s="189">
        <f>SUMIF(PPvsREal!$C:$C,'PPvsREal Summary'!C42,PPvsREal!$D:$D)</f>
        <v>0</v>
      </c>
      <c r="E42" s="3">
        <f>SUMIF(PPvsREal!$C:$C,'PPvsREal Summary'!C42,PPvsREal!$E:$E)</f>
        <v>0</v>
      </c>
      <c r="F42" s="3">
        <f>SUMIF(PPvsREal!$C:$C,'PPvsREal Summary'!C42,PPvsREal!$F:$F)</f>
        <v>0</v>
      </c>
      <c r="G42" s="3">
        <f>SUMIF(PPvsREal!$C:$C,'PPvsREal Summary'!C42,PPvsREal!$G:$G)</f>
        <v>0</v>
      </c>
      <c r="H42" s="3">
        <f>SUMIF(PPvsREal!$C:$C,'PPvsREal Summary'!C42,PPvsREal!$H:$H)</f>
        <v>0</v>
      </c>
      <c r="I42" s="3">
        <f>SUMIF(PPvsREal!$C:$C,'PPvsREal Summary'!C42,PPvsREal!$I:$I)</f>
        <v>0</v>
      </c>
      <c r="J42" s="3">
        <f>SUMIF(PPvsREal!$C:$C,'PPvsREal Summary'!C42,PPvsREal!$J:$J)</f>
        <v>0</v>
      </c>
      <c r="K42" s="3">
        <f>SUMIF(PPvsREal!$C:$C,'PPvsREal Summary'!C42,PPvsREal!$K:$K)</f>
        <v>0</v>
      </c>
      <c r="L42" s="3">
        <f>SUMIF(PPvsREal!$C:$C,'PPvsREal Summary'!C42,PPvsREal!$L:$L)</f>
        <v>0</v>
      </c>
      <c r="M42" s="3">
        <f>SUMIF(PPvsREal!$C:$C,'PPvsREal Summary'!C42,PPvsREal!$M:$M)</f>
        <v>0</v>
      </c>
      <c r="N42" s="3">
        <f>SUMIF(PPvsREal!$C:$C,'PPvsREal Summary'!C42,PPvsREal!$N:$N)</f>
        <v>0</v>
      </c>
      <c r="O42" s="3">
        <f>SUMIF(PPvsREal!$C:$C,'PPvsREal Summary'!C42,PPvsREal!$O:$O)</f>
        <v>0</v>
      </c>
      <c r="P42" s="3">
        <f>SUMIF(PPvsREal!$C:$C,'PPvsREal Summary'!C42,PPvsREal!$P:$P)</f>
        <v>0</v>
      </c>
      <c r="Q42" s="3">
        <f>SUMIF(PPvsREal!$C:$C,'PPvsREal Summary'!C42,PPvsREal!$Q:$Q)</f>
        <v>0</v>
      </c>
      <c r="R42" s="3">
        <f>SUMIF(PPvsREal!$C:$C,'PPvsREal Summary'!C42,PPvsREal!$R:$R)</f>
        <v>0</v>
      </c>
      <c r="S42" s="3">
        <f>SUMIF(PPvsREal!$C:$C,'PPvsREal Summary'!C42,PPvsREal!$S:$S)</f>
        <v>0</v>
      </c>
      <c r="T42" s="3">
        <f>SUMIF(PPvsREal!$C:$C,'PPvsREal Summary'!C42,PPvsREal!$T:$T)</f>
        <v>0</v>
      </c>
      <c r="U42" s="3">
        <f>SUMIF(PPvsREal!$C:$C,'PPvsREal Summary'!C42,PPvsREal!$U:$U)</f>
        <v>0</v>
      </c>
      <c r="V42" s="3">
        <f>SUMIF(PPvsREal!$C:$C,'PPvsREal Summary'!C42,PPvsREal!$V:$V)</f>
        <v>0</v>
      </c>
      <c r="W42" s="3">
        <f>SUMIF(PPvsREal!$C:$C,'PPvsREal Summary'!C42,PPvsREal!$W:$W)</f>
        <v>0</v>
      </c>
      <c r="X42" s="3">
        <f>SUMIF(PPvsREal!$C:$C,'PPvsREal Summary'!C42,PPvsREal!$X:$X)</f>
        <v>0</v>
      </c>
      <c r="Y42" s="3">
        <f>SUMIF(PPvsREal!$C:$C,'PPvsREal Summary'!C42,PPvsREal!$Y:$Y)</f>
        <v>0</v>
      </c>
      <c r="Z42" s="3">
        <f>SUMIF(PPvsREal!$C:$C,'PPvsREal Summary'!C42,PPvsREal!$Z:$Z)</f>
        <v>0</v>
      </c>
      <c r="AA42" s="190">
        <f>SUMIF(PPvsREal!$C:$C,'PPvsREal Summary'!C42,PPvsREal!$AA:$AA)</f>
        <v>0</v>
      </c>
      <c r="AB42" s="3"/>
      <c r="AC42" s="201">
        <f t="shared" ref="AC42:AD42" si="82">D42+F42+H42+J42+L42+N42+P42+R42+T42+V42+X42+Z42</f>
        <v>0</v>
      </c>
      <c r="AD42" s="201">
        <f t="shared" si="82"/>
        <v>0</v>
      </c>
      <c r="AE42" s="3"/>
      <c r="AF42" s="201">
        <f t="shared" ref="AF42:AG42" si="83">D42+F42+H42+J42+L42+N42+P42+R42+T42+V42+X42+Z42</f>
        <v>0</v>
      </c>
      <c r="AG42" s="201">
        <f t="shared" si="83"/>
        <v>0</v>
      </c>
    </row>
    <row r="43" ht="12.75" customHeight="1">
      <c r="A43" s="111"/>
      <c r="B43" s="188" t="s">
        <v>18</v>
      </c>
      <c r="C43" s="2" t="s">
        <v>202</v>
      </c>
      <c r="D43" s="189">
        <f>SUMIF(PPvsREal!$C:$C,'PPvsREal Summary'!C43,PPvsREal!$D:$D)</f>
        <v>0</v>
      </c>
      <c r="E43" s="3">
        <f>SUMIF(PPvsREal!$C:$C,'PPvsREal Summary'!C43,PPvsREal!$E:$E)</f>
        <v>0</v>
      </c>
      <c r="F43" s="3">
        <f>SUMIF(PPvsREal!$C:$C,'PPvsREal Summary'!C43,PPvsREal!$F:$F)</f>
        <v>0</v>
      </c>
      <c r="G43" s="3">
        <f>SUMIF(PPvsREal!$C:$C,'PPvsREal Summary'!C43,PPvsREal!$G:$G)</f>
        <v>0</v>
      </c>
      <c r="H43" s="3">
        <f>SUMIF(PPvsREal!$C:$C,'PPvsREal Summary'!C43,PPvsREal!$H:$H)</f>
        <v>0</v>
      </c>
      <c r="I43" s="3">
        <f>SUMIF(PPvsREal!$C:$C,'PPvsREal Summary'!C43,PPvsREal!$I:$I)</f>
        <v>0</v>
      </c>
      <c r="J43" s="3">
        <f>SUMIF(PPvsREal!$C:$C,'PPvsREal Summary'!C43,PPvsREal!$J:$J)</f>
        <v>0</v>
      </c>
      <c r="K43" s="3">
        <f>SUMIF(PPvsREal!$C:$C,'PPvsREal Summary'!C43,PPvsREal!$K:$K)</f>
        <v>0</v>
      </c>
      <c r="L43" s="3">
        <f>SUMIF(PPvsREal!$C:$C,'PPvsREal Summary'!C43,PPvsREal!$L:$L)</f>
        <v>35000</v>
      </c>
      <c r="M43" s="3">
        <f>SUMIF(PPvsREal!$C:$C,'PPvsREal Summary'!C43,PPvsREal!$M:$M)</f>
        <v>0</v>
      </c>
      <c r="N43" s="3">
        <f>SUMIF(PPvsREal!$C:$C,'PPvsREal Summary'!C43,PPvsREal!$N:$N)</f>
        <v>5000</v>
      </c>
      <c r="O43" s="3">
        <f>SUMIF(PPvsREal!$C:$C,'PPvsREal Summary'!C43,PPvsREal!$O:$O)</f>
        <v>0</v>
      </c>
      <c r="P43" s="3">
        <f>SUMIF(PPvsREal!$C:$C,'PPvsREal Summary'!C43,PPvsREal!$P:$P)</f>
        <v>0</v>
      </c>
      <c r="Q43" s="3">
        <f>SUMIF(PPvsREal!$C:$C,'PPvsREal Summary'!C43,PPvsREal!$Q:$Q)</f>
        <v>0</v>
      </c>
      <c r="R43" s="3">
        <f>SUMIF(PPvsREal!$C:$C,'PPvsREal Summary'!C43,PPvsREal!$R:$R)</f>
        <v>0</v>
      </c>
      <c r="S43" s="3">
        <f>SUMIF(PPvsREal!$C:$C,'PPvsREal Summary'!C43,PPvsREal!$S:$S)</f>
        <v>0</v>
      </c>
      <c r="T43" s="3">
        <f>SUMIF(PPvsREal!$C:$C,'PPvsREal Summary'!C43,PPvsREal!$T:$T)</f>
        <v>0</v>
      </c>
      <c r="U43" s="3">
        <f>SUMIF(PPvsREal!$C:$C,'PPvsREal Summary'!C43,PPvsREal!$U:$U)</f>
        <v>0</v>
      </c>
      <c r="V43" s="3">
        <f>SUMIF(PPvsREal!$C:$C,'PPvsREal Summary'!C43,PPvsREal!$V:$V)</f>
        <v>0</v>
      </c>
      <c r="W43" s="3">
        <f>SUMIF(PPvsREal!$C:$C,'PPvsREal Summary'!C43,PPvsREal!$W:$W)</f>
        <v>0</v>
      </c>
      <c r="X43" s="3">
        <f>SUMIF(PPvsREal!$C:$C,'PPvsREal Summary'!C43,PPvsREal!$X:$X)</f>
        <v>0</v>
      </c>
      <c r="Y43" s="3">
        <f>SUMIF(PPvsREal!$C:$C,'PPvsREal Summary'!C43,PPvsREal!$Y:$Y)</f>
        <v>0</v>
      </c>
      <c r="Z43" s="3">
        <f>SUMIF(PPvsREal!$C:$C,'PPvsREal Summary'!C43,PPvsREal!$Z:$Z)</f>
        <v>0</v>
      </c>
      <c r="AA43" s="190">
        <f>SUMIF(PPvsREal!$C:$C,'PPvsREal Summary'!C43,PPvsREal!$AA:$AA)</f>
        <v>0</v>
      </c>
      <c r="AB43" s="3"/>
      <c r="AC43" s="201">
        <f t="shared" ref="AC43:AD43" si="84">D43+F43+H43+J43+L43+N43+P43+R43+T43+V43+X43+Z43</f>
        <v>40000</v>
      </c>
      <c r="AD43" s="201">
        <f t="shared" si="84"/>
        <v>0</v>
      </c>
      <c r="AE43" s="3"/>
      <c r="AF43" s="201">
        <f t="shared" ref="AF43:AG43" si="85">D43+F43+H43+J43+L43+N43+P43+R43+T43+V43+X43+Z43</f>
        <v>40000</v>
      </c>
      <c r="AG43" s="201">
        <f t="shared" si="85"/>
        <v>0</v>
      </c>
    </row>
    <row r="44" ht="12.75" customHeight="1">
      <c r="A44" s="111"/>
      <c r="B44" s="188" t="s">
        <v>18</v>
      </c>
      <c r="C44" s="97" t="s">
        <v>204</v>
      </c>
      <c r="D44" s="189">
        <f>SUMIF(PPvsREal!$C:$C,'PPvsREal Summary'!C44,PPvsREal!$D:$D)</f>
        <v>0</v>
      </c>
      <c r="E44" s="3">
        <f>SUMIF(PPvsREal!$C:$C,'PPvsREal Summary'!C44,PPvsREal!$E:$E)</f>
        <v>0</v>
      </c>
      <c r="F44" s="3">
        <f>SUMIF(PPvsREal!$C:$C,'PPvsREal Summary'!C44,PPvsREal!$F:$F)</f>
        <v>0</v>
      </c>
      <c r="G44" s="3">
        <f>SUMIF(PPvsREal!$C:$C,'PPvsREal Summary'!C44,PPvsREal!$G:$G)</f>
        <v>0</v>
      </c>
      <c r="H44" s="3">
        <f>SUMIF(PPvsREal!$C:$C,'PPvsREal Summary'!C44,PPvsREal!$H:$H)</f>
        <v>0</v>
      </c>
      <c r="I44" s="3">
        <f>SUMIF(PPvsREal!$C:$C,'PPvsREal Summary'!C44,PPvsREal!$I:$I)</f>
        <v>0</v>
      </c>
      <c r="J44" s="3">
        <f>SUMIF(PPvsREal!$C:$C,'PPvsREal Summary'!C44,PPvsREal!$J:$J)</f>
        <v>0</v>
      </c>
      <c r="K44" s="3">
        <f>SUMIF(PPvsREal!$C:$C,'PPvsREal Summary'!C44,PPvsREal!$K:$K)</f>
        <v>0</v>
      </c>
      <c r="L44" s="3">
        <f>SUMIF(PPvsREal!$C:$C,'PPvsREal Summary'!C44,PPvsREal!$L:$L)</f>
        <v>40000</v>
      </c>
      <c r="M44" s="3">
        <f>SUMIF(PPvsREal!$C:$C,'PPvsREal Summary'!C44,PPvsREal!$M:$M)</f>
        <v>0</v>
      </c>
      <c r="N44" s="3">
        <f>SUMIF(PPvsREal!$C:$C,'PPvsREal Summary'!C44,PPvsREal!$N:$N)</f>
        <v>0</v>
      </c>
      <c r="O44" s="3">
        <f>SUMIF(PPvsREal!$C:$C,'PPvsREal Summary'!C44,PPvsREal!$O:$O)</f>
        <v>0</v>
      </c>
      <c r="P44" s="3">
        <f>SUMIF(PPvsREal!$C:$C,'PPvsREal Summary'!C44,PPvsREal!$P:$P)</f>
        <v>0</v>
      </c>
      <c r="Q44" s="3">
        <f>SUMIF(PPvsREal!$C:$C,'PPvsREal Summary'!C44,PPvsREal!$Q:$Q)</f>
        <v>0</v>
      </c>
      <c r="R44" s="3">
        <f>SUMIF(PPvsREal!$C:$C,'PPvsREal Summary'!C44,PPvsREal!$R:$R)</f>
        <v>0</v>
      </c>
      <c r="S44" s="3">
        <f>SUMIF(PPvsREal!$C:$C,'PPvsREal Summary'!C44,PPvsREal!$S:$S)</f>
        <v>0</v>
      </c>
      <c r="T44" s="3">
        <f>SUMIF(PPvsREal!$C:$C,'PPvsREal Summary'!C44,PPvsREal!$T:$T)</f>
        <v>0</v>
      </c>
      <c r="U44" s="3">
        <f>SUMIF(PPvsREal!$C:$C,'PPvsREal Summary'!C44,PPvsREal!$U:$U)</f>
        <v>0</v>
      </c>
      <c r="V44" s="3">
        <f>SUMIF(PPvsREal!$C:$C,'PPvsREal Summary'!C44,PPvsREal!$V:$V)</f>
        <v>0</v>
      </c>
      <c r="W44" s="3">
        <f>SUMIF(PPvsREal!$C:$C,'PPvsREal Summary'!C44,PPvsREal!$W:$W)</f>
        <v>0</v>
      </c>
      <c r="X44" s="3">
        <f>SUMIF(PPvsREal!$C:$C,'PPvsREal Summary'!C44,PPvsREal!$X:$X)</f>
        <v>0</v>
      </c>
      <c r="Y44" s="3">
        <f>SUMIF(PPvsREal!$C:$C,'PPvsREal Summary'!C44,PPvsREal!$Y:$Y)</f>
        <v>0</v>
      </c>
      <c r="Z44" s="3">
        <f>SUMIF(PPvsREal!$C:$C,'PPvsREal Summary'!C44,PPvsREal!$Z:$Z)</f>
        <v>0</v>
      </c>
      <c r="AA44" s="190">
        <f>SUMIF(PPvsREal!$C:$C,'PPvsREal Summary'!C44,PPvsREal!$AA:$AA)</f>
        <v>0</v>
      </c>
      <c r="AB44" s="3"/>
      <c r="AC44" s="201">
        <f t="shared" ref="AC44:AD44" si="86">D44+F44+H44+J44+L44+N44+P44+R44+T44+V44+X44+Z44</f>
        <v>40000</v>
      </c>
      <c r="AD44" s="201">
        <f t="shared" si="86"/>
        <v>0</v>
      </c>
      <c r="AE44" s="3"/>
      <c r="AF44" s="201">
        <f t="shared" ref="AF44:AG44" si="87">D44+F44+H44+J44+L44+N44+P44+R44+T44+V44+X44+Z44</f>
        <v>40000</v>
      </c>
      <c r="AG44" s="201">
        <f t="shared" si="87"/>
        <v>0</v>
      </c>
    </row>
    <row r="45" ht="12.75" customHeight="1">
      <c r="A45" s="111"/>
      <c r="B45" s="188" t="s">
        <v>18</v>
      </c>
      <c r="C45" s="97" t="s">
        <v>212</v>
      </c>
      <c r="D45" s="189">
        <f>SUMIF(PPvsREal!$C:$C,'PPvsREal Summary'!C45,PPvsREal!$D:$D)</f>
        <v>0</v>
      </c>
      <c r="E45" s="3">
        <f>SUMIF(PPvsREal!$C:$C,'PPvsREal Summary'!C45,PPvsREal!$E:$E)</f>
        <v>0</v>
      </c>
      <c r="F45" s="3">
        <f>SUMIF(PPvsREal!$C:$C,'PPvsREal Summary'!C45,PPvsREal!$F:$F)</f>
        <v>0</v>
      </c>
      <c r="G45" s="3">
        <f>SUMIF(PPvsREal!$C:$C,'PPvsREal Summary'!C45,PPvsREal!$G:$G)</f>
        <v>0</v>
      </c>
      <c r="H45" s="3">
        <f>SUMIF(PPvsREal!$C:$C,'PPvsREal Summary'!C45,PPvsREal!$H:$H)</f>
        <v>0</v>
      </c>
      <c r="I45" s="3">
        <f>SUMIF(PPvsREal!$C:$C,'PPvsREal Summary'!C45,PPvsREal!$I:$I)</f>
        <v>0</v>
      </c>
      <c r="J45" s="3">
        <f>SUMIF(PPvsREal!$C:$C,'PPvsREal Summary'!C45,PPvsREal!$J:$J)</f>
        <v>0</v>
      </c>
      <c r="K45" s="3">
        <f>SUMIF(PPvsREal!$C:$C,'PPvsREal Summary'!C45,PPvsREal!$K:$K)</f>
        <v>0</v>
      </c>
      <c r="L45" s="3">
        <f>SUMIF(PPvsREal!$C:$C,'PPvsREal Summary'!C45,PPvsREal!$L:$L)</f>
        <v>0</v>
      </c>
      <c r="M45" s="3">
        <f>SUMIF(PPvsREal!$C:$C,'PPvsREal Summary'!C45,PPvsREal!$M:$M)</f>
        <v>0</v>
      </c>
      <c r="N45" s="3">
        <f>SUMIF(PPvsREal!$C:$C,'PPvsREal Summary'!C45,PPvsREal!$N:$N)</f>
        <v>0</v>
      </c>
      <c r="O45" s="3">
        <f>SUMIF(PPvsREal!$C:$C,'PPvsREal Summary'!C45,PPvsREal!$O:$O)</f>
        <v>0</v>
      </c>
      <c r="P45" s="3">
        <f>SUMIF(PPvsREal!$C:$C,'PPvsREal Summary'!C45,PPvsREal!$P:$P)</f>
        <v>0</v>
      </c>
      <c r="Q45" s="3">
        <f>SUMIF(PPvsREal!$C:$C,'PPvsREal Summary'!C45,PPvsREal!$Q:$Q)</f>
        <v>0</v>
      </c>
      <c r="R45" s="3">
        <f>SUMIF(PPvsREal!$C:$C,'PPvsREal Summary'!C45,PPvsREal!$R:$R)</f>
        <v>0</v>
      </c>
      <c r="S45" s="3">
        <f>SUMIF(PPvsREal!$C:$C,'PPvsREal Summary'!C45,PPvsREal!$S:$S)</f>
        <v>0</v>
      </c>
      <c r="T45" s="3">
        <f>SUMIF(PPvsREal!$C:$C,'PPvsREal Summary'!C45,PPvsREal!$T:$T)</f>
        <v>0</v>
      </c>
      <c r="U45" s="3">
        <f>SUMIF(PPvsREal!$C:$C,'PPvsREal Summary'!C45,PPvsREal!$U:$U)</f>
        <v>0</v>
      </c>
      <c r="V45" s="3">
        <f>SUMIF(PPvsREal!$C:$C,'PPvsREal Summary'!C45,PPvsREal!$V:$V)</f>
        <v>0</v>
      </c>
      <c r="W45" s="3">
        <f>SUMIF(PPvsREal!$C:$C,'PPvsREal Summary'!C45,PPvsREal!$W:$W)</f>
        <v>0</v>
      </c>
      <c r="X45" s="3">
        <f>SUMIF(PPvsREal!$C:$C,'PPvsREal Summary'!C45,PPvsREal!$X:$X)</f>
        <v>0</v>
      </c>
      <c r="Y45" s="3">
        <f>SUMIF(PPvsREal!$C:$C,'PPvsREal Summary'!C45,PPvsREal!$Y:$Y)</f>
        <v>0</v>
      </c>
      <c r="Z45" s="3">
        <f>SUMIF(PPvsREal!$C:$C,'PPvsREal Summary'!C45,PPvsREal!$Z:$Z)</f>
        <v>200000</v>
      </c>
      <c r="AA45" s="190">
        <f>SUMIF(PPvsREal!$C:$C,'PPvsREal Summary'!C45,PPvsREal!$AA:$AA)</f>
        <v>0</v>
      </c>
      <c r="AB45" s="3"/>
      <c r="AC45" s="201">
        <f t="shared" ref="AC45:AD45" si="88">D45+F45+H45+J45+L45+N45+P45+R45+T45+V45+X45+Z45</f>
        <v>200000</v>
      </c>
      <c r="AD45" s="201">
        <f t="shared" si="88"/>
        <v>0</v>
      </c>
      <c r="AE45" s="3"/>
      <c r="AF45" s="201">
        <f t="shared" ref="AF45:AG45" si="89">D45+F45+H45+J45+L45+N45+P45+R45+T45+V45+X45+Z45</f>
        <v>200000</v>
      </c>
      <c r="AG45" s="201">
        <f t="shared" si="89"/>
        <v>0</v>
      </c>
    </row>
    <row r="46" ht="12.75" customHeight="1">
      <c r="A46" s="111"/>
      <c r="B46" s="188" t="s">
        <v>18</v>
      </c>
      <c r="C46" s="97" t="s">
        <v>214</v>
      </c>
      <c r="D46" s="189">
        <f>SUMIF(PPvsREal!$C:$C,'PPvsREal Summary'!C46,PPvsREal!$D:$D)</f>
        <v>0</v>
      </c>
      <c r="E46" s="3">
        <f>SUMIF(PPvsREal!$C:$C,'PPvsREal Summary'!C46,PPvsREal!$E:$E)</f>
        <v>0</v>
      </c>
      <c r="F46" s="3">
        <f>SUMIF(PPvsREal!$C:$C,'PPvsREal Summary'!C46,PPvsREal!$F:$F)</f>
        <v>0</v>
      </c>
      <c r="G46" s="3">
        <f>SUMIF(PPvsREal!$C:$C,'PPvsREal Summary'!C46,PPvsREal!$G:$G)</f>
        <v>0</v>
      </c>
      <c r="H46" s="3">
        <f>SUMIF(PPvsREal!$C:$C,'PPvsREal Summary'!C46,PPvsREal!$H:$H)</f>
        <v>0</v>
      </c>
      <c r="I46" s="3">
        <f>SUMIF(PPvsREal!$C:$C,'PPvsREal Summary'!C46,PPvsREal!$I:$I)</f>
        <v>0</v>
      </c>
      <c r="J46" s="3">
        <f>SUMIF(PPvsREal!$C:$C,'PPvsREal Summary'!C46,PPvsREal!$J:$J)</f>
        <v>0</v>
      </c>
      <c r="K46" s="3">
        <f>SUMIF(PPvsREal!$C:$C,'PPvsREal Summary'!C46,PPvsREal!$K:$K)</f>
        <v>0</v>
      </c>
      <c r="L46" s="3">
        <f>SUMIF(PPvsREal!$C:$C,'PPvsREal Summary'!C46,PPvsREal!$L:$L)</f>
        <v>0</v>
      </c>
      <c r="M46" s="3">
        <f>SUMIF(PPvsREal!$C:$C,'PPvsREal Summary'!C46,PPvsREal!$M:$M)</f>
        <v>0</v>
      </c>
      <c r="N46" s="3">
        <f>SUMIF(PPvsREal!$C:$C,'PPvsREal Summary'!C46,PPvsREal!$N:$N)</f>
        <v>0</v>
      </c>
      <c r="O46" s="3">
        <f>SUMIF(PPvsREal!$C:$C,'PPvsREal Summary'!C46,PPvsREal!$O:$O)</f>
        <v>0</v>
      </c>
      <c r="P46" s="3">
        <f>SUMIF(PPvsREal!$C:$C,'PPvsREal Summary'!C46,PPvsREal!$P:$P)</f>
        <v>0</v>
      </c>
      <c r="Q46" s="3">
        <f>SUMIF(PPvsREal!$C:$C,'PPvsREal Summary'!C46,PPvsREal!$Q:$Q)</f>
        <v>0</v>
      </c>
      <c r="R46" s="3">
        <f>SUMIF(PPvsREal!$C:$C,'PPvsREal Summary'!C46,PPvsREal!$R:$R)</f>
        <v>0</v>
      </c>
      <c r="S46" s="3">
        <f>SUMIF(PPvsREal!$C:$C,'PPvsREal Summary'!C46,PPvsREal!$S:$S)</f>
        <v>0</v>
      </c>
      <c r="T46" s="3">
        <f>SUMIF(PPvsREal!$C:$C,'PPvsREal Summary'!C46,PPvsREal!$T:$T)</f>
        <v>0</v>
      </c>
      <c r="U46" s="3">
        <f>SUMIF(PPvsREal!$C:$C,'PPvsREal Summary'!C46,PPvsREal!$U:$U)</f>
        <v>0</v>
      </c>
      <c r="V46" s="3">
        <f>SUMIF(PPvsREal!$C:$C,'PPvsREal Summary'!C46,PPvsREal!$V:$V)</f>
        <v>0</v>
      </c>
      <c r="W46" s="3">
        <f>SUMIF(PPvsREal!$C:$C,'PPvsREal Summary'!C46,PPvsREal!$W:$W)</f>
        <v>0</v>
      </c>
      <c r="X46" s="3">
        <f>SUMIF(PPvsREal!$C:$C,'PPvsREal Summary'!C46,PPvsREal!$X:$X)</f>
        <v>0</v>
      </c>
      <c r="Y46" s="3">
        <f>SUMIF(PPvsREal!$C:$C,'PPvsREal Summary'!C46,PPvsREal!$Y:$Y)</f>
        <v>0</v>
      </c>
      <c r="Z46" s="3">
        <f>SUMIF(PPvsREal!$C:$C,'PPvsREal Summary'!C46,PPvsREal!$Z:$Z)</f>
        <v>0</v>
      </c>
      <c r="AA46" s="190">
        <f>SUMIF(PPvsREal!$C:$C,'PPvsREal Summary'!C46,PPvsREal!$AA:$AA)</f>
        <v>0</v>
      </c>
      <c r="AB46" s="3"/>
      <c r="AC46" s="201">
        <f t="shared" ref="AC46:AD46" si="90">D46+F46+H46+J46+L46+N46+P46+R46+T46+V46+X46+Z46</f>
        <v>0</v>
      </c>
      <c r="AD46" s="201">
        <f t="shared" si="90"/>
        <v>0</v>
      </c>
      <c r="AE46" s="3"/>
      <c r="AF46" s="201">
        <f t="shared" ref="AF46:AG46" si="91">D46+F46+H46+J46+L46+N46+P46+R46+T46+V46+X46+Z46</f>
        <v>0</v>
      </c>
      <c r="AG46" s="201">
        <f t="shared" si="91"/>
        <v>0</v>
      </c>
    </row>
    <row r="47" ht="12.75" customHeight="1">
      <c r="A47" s="111"/>
      <c r="B47" s="202"/>
      <c r="C47" s="203">
        <v>4.05E20</v>
      </c>
      <c r="D47" s="204">
        <f t="shared" ref="D47:AA47" si="92">SUM(D33:D46)</f>
        <v>475000</v>
      </c>
      <c r="E47" s="204">
        <f t="shared" si="92"/>
        <v>0</v>
      </c>
      <c r="F47" s="204">
        <f t="shared" si="92"/>
        <v>25000</v>
      </c>
      <c r="G47" s="204">
        <f t="shared" si="92"/>
        <v>0</v>
      </c>
      <c r="H47" s="204">
        <f t="shared" si="92"/>
        <v>280000</v>
      </c>
      <c r="I47" s="204">
        <f t="shared" si="92"/>
        <v>0</v>
      </c>
      <c r="J47" s="204">
        <f t="shared" si="92"/>
        <v>30000</v>
      </c>
      <c r="K47" s="204">
        <f t="shared" si="92"/>
        <v>0</v>
      </c>
      <c r="L47" s="204">
        <f t="shared" si="92"/>
        <v>75000</v>
      </c>
      <c r="M47" s="204">
        <f t="shared" si="92"/>
        <v>0</v>
      </c>
      <c r="N47" s="204">
        <f t="shared" si="92"/>
        <v>5000</v>
      </c>
      <c r="O47" s="204">
        <f t="shared" si="92"/>
        <v>0</v>
      </c>
      <c r="P47" s="204">
        <f t="shared" si="92"/>
        <v>0</v>
      </c>
      <c r="Q47" s="204">
        <f t="shared" si="92"/>
        <v>0</v>
      </c>
      <c r="R47" s="204">
        <f t="shared" si="92"/>
        <v>0</v>
      </c>
      <c r="S47" s="204">
        <f t="shared" si="92"/>
        <v>0</v>
      </c>
      <c r="T47" s="204">
        <f t="shared" si="92"/>
        <v>0</v>
      </c>
      <c r="U47" s="204">
        <f t="shared" si="92"/>
        <v>0</v>
      </c>
      <c r="V47" s="204">
        <f t="shared" si="92"/>
        <v>90000</v>
      </c>
      <c r="W47" s="204">
        <f t="shared" si="92"/>
        <v>0</v>
      </c>
      <c r="X47" s="204">
        <f t="shared" si="92"/>
        <v>10000</v>
      </c>
      <c r="Y47" s="204">
        <f t="shared" si="92"/>
        <v>0</v>
      </c>
      <c r="Z47" s="204">
        <f t="shared" si="92"/>
        <v>200000</v>
      </c>
      <c r="AA47" s="205">
        <f t="shared" si="92"/>
        <v>0</v>
      </c>
      <c r="AB47" s="3"/>
      <c r="AC47" s="206">
        <f t="shared" ref="AC47:AD47" si="93">SUM(AC33:AC46)</f>
        <v>1190000</v>
      </c>
      <c r="AD47" s="206">
        <f t="shared" si="93"/>
        <v>0</v>
      </c>
      <c r="AE47" s="3"/>
      <c r="AF47" s="206">
        <f t="shared" ref="AF47:AG47" si="94">SUM(AF33:AF46)</f>
        <v>1190000</v>
      </c>
      <c r="AG47" s="206">
        <f t="shared" si="94"/>
        <v>0</v>
      </c>
    </row>
    <row r="48" ht="12.75" customHeight="1">
      <c r="A48" s="111"/>
      <c r="B48" s="188"/>
      <c r="C48" s="2"/>
      <c r="D48" s="189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190"/>
      <c r="AB48" s="3"/>
      <c r="AC48" s="201">
        <f t="shared" ref="AC48:AD48" si="95">D48+F48+H48+J48+L48+N48+P48+R48+T48+V48+X48+Z48</f>
        <v>0</v>
      </c>
      <c r="AD48" s="201">
        <f t="shared" si="95"/>
        <v>0</v>
      </c>
      <c r="AE48" s="3"/>
      <c r="AF48" s="201">
        <f t="shared" ref="AF48:AG48" si="96">D48+F48+H48+J48+L48+N48+P48+R48+T48+V48+X48+Z48</f>
        <v>0</v>
      </c>
      <c r="AG48" s="201">
        <f t="shared" si="96"/>
        <v>0</v>
      </c>
    </row>
    <row r="49" ht="12.75" customHeight="1">
      <c r="A49" s="111"/>
      <c r="B49" s="188" t="s">
        <v>18</v>
      </c>
      <c r="C49" s="2" t="s">
        <v>219</v>
      </c>
      <c r="D49" s="189">
        <f>SUMIF(PPvsREal!$C:$C,'PPvsREal Summary'!C49,PPvsREal!$D:$D)</f>
        <v>0</v>
      </c>
      <c r="E49" s="3">
        <f>SUMIF(PPvsREal!$C:$C,'PPvsREal Summary'!C49,PPvsREal!$E:$E)</f>
        <v>0</v>
      </c>
      <c r="F49" s="3">
        <f>SUMIF(PPvsREal!$C:$C,'PPvsREal Summary'!C49,PPvsREal!$F:$F)</f>
        <v>0</v>
      </c>
      <c r="G49" s="3">
        <f>SUMIF(PPvsREal!$C:$C,'PPvsREal Summary'!C49,PPvsREal!$G:$G)</f>
        <v>0</v>
      </c>
      <c r="H49" s="3">
        <f>SUMIF(PPvsREal!$C:$C,'PPvsREal Summary'!C49,PPvsREal!$H:$H)</f>
        <v>300000</v>
      </c>
      <c r="I49" s="3">
        <f>SUMIF(PPvsREal!$C:$C,'PPvsREal Summary'!C49,PPvsREal!$I:$I)</f>
        <v>0</v>
      </c>
      <c r="J49" s="3">
        <f>SUMIF(PPvsREal!$C:$C,'PPvsREal Summary'!C49,PPvsREal!$J:$J)</f>
        <v>50000</v>
      </c>
      <c r="K49" s="3">
        <f>SUMIF(PPvsREal!$C:$C,'PPvsREal Summary'!C49,PPvsREal!$K:$K)</f>
        <v>0</v>
      </c>
      <c r="L49" s="3">
        <f>SUMIF(PPvsREal!$C:$C,'PPvsREal Summary'!C49,PPvsREal!$L:$L)</f>
        <v>0</v>
      </c>
      <c r="M49" s="3">
        <f>SUMIF(PPvsREal!$C:$C,'PPvsREal Summary'!C49,PPvsREal!$M:$M)</f>
        <v>0</v>
      </c>
      <c r="N49" s="3">
        <f>SUMIF(PPvsREal!$C:$C,'PPvsREal Summary'!C49,PPvsREal!$N:$N)</f>
        <v>0</v>
      </c>
      <c r="O49" s="3">
        <f>SUMIF(PPvsREal!$C:$C,'PPvsREal Summary'!C49,PPvsREal!$O:$O)</f>
        <v>0</v>
      </c>
      <c r="P49" s="3">
        <f>SUMIF(PPvsREal!$C:$C,'PPvsREal Summary'!C49,PPvsREal!$P:$P)</f>
        <v>0</v>
      </c>
      <c r="Q49" s="3">
        <f>SUMIF(PPvsREal!$C:$C,'PPvsREal Summary'!C49,PPvsREal!$Q:$Q)</f>
        <v>0</v>
      </c>
      <c r="R49" s="3">
        <f>SUMIF(PPvsREal!$C:$C,'PPvsREal Summary'!C49,PPvsREal!$R:$R)</f>
        <v>0</v>
      </c>
      <c r="S49" s="3">
        <f>SUMIF(PPvsREal!$C:$C,'PPvsREal Summary'!C49,PPvsREal!$S:$S)</f>
        <v>0</v>
      </c>
      <c r="T49" s="3">
        <f>SUMIF(PPvsREal!$C:$C,'PPvsREal Summary'!C49,PPvsREal!$T:$T)</f>
        <v>0</v>
      </c>
      <c r="U49" s="3">
        <f>SUMIF(PPvsREal!$C:$C,'PPvsREal Summary'!C49,PPvsREal!$U:$U)</f>
        <v>0</v>
      </c>
      <c r="V49" s="3">
        <f>SUMIF(PPvsREal!$C:$C,'PPvsREal Summary'!C49,PPvsREal!$V:$V)</f>
        <v>0</v>
      </c>
      <c r="W49" s="3">
        <f>SUMIF(PPvsREal!$C:$C,'PPvsREal Summary'!C49,PPvsREal!$W:$W)</f>
        <v>0</v>
      </c>
      <c r="X49" s="3">
        <f>SUMIF(PPvsREal!$C:$C,'PPvsREal Summary'!C49,PPvsREal!$X:$X)</f>
        <v>0</v>
      </c>
      <c r="Y49" s="3">
        <f>SUMIF(PPvsREal!$C:$C,'PPvsREal Summary'!C49,PPvsREal!$Y:$Y)</f>
        <v>0</v>
      </c>
      <c r="Z49" s="3">
        <f>SUMIF(PPvsREal!$C:$C,'PPvsREal Summary'!C49,PPvsREal!$Z:$Z)</f>
        <v>0</v>
      </c>
      <c r="AA49" s="190">
        <f>SUMIF(PPvsREal!$C:$C,'PPvsREal Summary'!C49,PPvsREal!$AA:$AA)</f>
        <v>0</v>
      </c>
      <c r="AB49" s="3"/>
      <c r="AC49" s="201">
        <f t="shared" ref="AC49:AD49" si="97">D49+F49+H49+J49+L49+N49+P49+R49+T49+V49+X49+Z49</f>
        <v>350000</v>
      </c>
      <c r="AD49" s="201">
        <f t="shared" si="97"/>
        <v>0</v>
      </c>
      <c r="AE49" s="3"/>
      <c r="AF49" s="201">
        <f t="shared" ref="AF49:AG49" si="98">D49+F49+H49+J49+L49+N49+P49+R49+T49+V49+X49+Z49</f>
        <v>350000</v>
      </c>
      <c r="AG49" s="201">
        <f t="shared" si="98"/>
        <v>0</v>
      </c>
    </row>
    <row r="50" ht="12.75" customHeight="1">
      <c r="A50" s="111"/>
      <c r="B50" s="188" t="s">
        <v>18</v>
      </c>
      <c r="C50" s="2" t="s">
        <v>220</v>
      </c>
      <c r="D50" s="189">
        <f>SUMIF(PPvsREal!$C:$C,'PPvsREal Summary'!C50,PPvsREal!$D:$D)</f>
        <v>450000</v>
      </c>
      <c r="E50" s="3">
        <f>SUMIF(PPvsREal!$C:$C,'PPvsREal Summary'!C50,PPvsREal!$E:$E)</f>
        <v>0</v>
      </c>
      <c r="F50" s="3">
        <f>SUMIF(PPvsREal!$C:$C,'PPvsREal Summary'!C50,PPvsREal!$F:$F)</f>
        <v>50000</v>
      </c>
      <c r="G50" s="3">
        <f>SUMIF(PPvsREal!$C:$C,'PPvsREal Summary'!C50,PPvsREal!$G:$G)</f>
        <v>0</v>
      </c>
      <c r="H50" s="3">
        <f>SUMIF(PPvsREal!$C:$C,'PPvsREal Summary'!C50,PPvsREal!$H:$H)</f>
        <v>0</v>
      </c>
      <c r="I50" s="3">
        <f>SUMIF(PPvsREal!$C:$C,'PPvsREal Summary'!C50,PPvsREal!$I:$I)</f>
        <v>0</v>
      </c>
      <c r="J50" s="3">
        <f>SUMIF(PPvsREal!$C:$C,'PPvsREal Summary'!C50,PPvsREal!$J:$J)</f>
        <v>0</v>
      </c>
      <c r="K50" s="3">
        <f>SUMIF(PPvsREal!$C:$C,'PPvsREal Summary'!C50,PPvsREal!$K:$K)</f>
        <v>0</v>
      </c>
      <c r="L50" s="3">
        <f>SUMIF(PPvsREal!$C:$C,'PPvsREal Summary'!C50,PPvsREal!$L:$L)</f>
        <v>0</v>
      </c>
      <c r="M50" s="3">
        <f>SUMIF(PPvsREal!$C:$C,'PPvsREal Summary'!C50,PPvsREal!$M:$M)</f>
        <v>0</v>
      </c>
      <c r="N50" s="3">
        <f>SUMIF(PPvsREal!$C:$C,'PPvsREal Summary'!C50,PPvsREal!$N:$N)</f>
        <v>0</v>
      </c>
      <c r="O50" s="3">
        <f>SUMIF(PPvsREal!$C:$C,'PPvsREal Summary'!C50,PPvsREal!$O:$O)</f>
        <v>0</v>
      </c>
      <c r="P50" s="3">
        <f>SUMIF(PPvsREal!$C:$C,'PPvsREal Summary'!C50,PPvsREal!$P:$P)</f>
        <v>0</v>
      </c>
      <c r="Q50" s="3">
        <f>SUMIF(PPvsREal!$C:$C,'PPvsREal Summary'!C50,PPvsREal!$Q:$Q)</f>
        <v>0</v>
      </c>
      <c r="R50" s="3">
        <f>SUMIF(PPvsREal!$C:$C,'PPvsREal Summary'!C50,PPvsREal!$R:$R)</f>
        <v>0</v>
      </c>
      <c r="S50" s="3">
        <f>SUMIF(PPvsREal!$C:$C,'PPvsREal Summary'!C50,PPvsREal!$S:$S)</f>
        <v>0</v>
      </c>
      <c r="T50" s="3">
        <f>SUMIF(PPvsREal!$C:$C,'PPvsREal Summary'!C50,PPvsREal!$T:$T)</f>
        <v>0</v>
      </c>
      <c r="U50" s="3">
        <f>SUMIF(PPvsREal!$C:$C,'PPvsREal Summary'!C50,PPvsREal!$U:$U)</f>
        <v>0</v>
      </c>
      <c r="V50" s="3">
        <f>SUMIF(PPvsREal!$C:$C,'PPvsREal Summary'!C50,PPvsREal!$V:$V)</f>
        <v>0</v>
      </c>
      <c r="W50" s="3">
        <f>SUMIF(PPvsREal!$C:$C,'PPvsREal Summary'!C50,PPvsREal!$W:$W)</f>
        <v>0</v>
      </c>
      <c r="X50" s="3">
        <f>SUMIF(PPvsREal!$C:$C,'PPvsREal Summary'!C50,PPvsREal!$X:$X)</f>
        <v>0</v>
      </c>
      <c r="Y50" s="3">
        <f>SUMIF(PPvsREal!$C:$C,'PPvsREal Summary'!C50,PPvsREal!$Y:$Y)</f>
        <v>0</v>
      </c>
      <c r="Z50" s="3">
        <f>SUMIF(PPvsREal!$C:$C,'PPvsREal Summary'!C50,PPvsREal!$Z:$Z)</f>
        <v>0</v>
      </c>
      <c r="AA50" s="190">
        <f>SUMIF(PPvsREal!$C:$C,'PPvsREal Summary'!C50,PPvsREal!$AA:$AA)</f>
        <v>0</v>
      </c>
      <c r="AB50" s="3"/>
      <c r="AC50" s="201">
        <f t="shared" ref="AC50:AD50" si="99">D50+F50+H50+J50+L50+N50+P50+R50+T50+V50+X50+Z50</f>
        <v>500000</v>
      </c>
      <c r="AD50" s="201">
        <f t="shared" si="99"/>
        <v>0</v>
      </c>
      <c r="AE50" s="3"/>
      <c r="AF50" s="201">
        <f t="shared" ref="AF50:AG50" si="100">D50+F50+H50+J50+L50+N50+P50+R50+T50+V50+X50+Z50</f>
        <v>500000</v>
      </c>
      <c r="AG50" s="201">
        <f t="shared" si="100"/>
        <v>0</v>
      </c>
    </row>
    <row r="51" ht="12.75" customHeight="1">
      <c r="A51" s="111"/>
      <c r="B51" s="188" t="s">
        <v>18</v>
      </c>
      <c r="C51" s="2" t="s">
        <v>221</v>
      </c>
      <c r="D51" s="189">
        <f>SUMIF(PPvsREal!$C:$C,'PPvsREal Summary'!C51,PPvsREal!$D:$D)</f>
        <v>0</v>
      </c>
      <c r="E51" s="3">
        <f>SUMIF(PPvsREal!$C:$C,'PPvsREal Summary'!C51,PPvsREal!$E:$E)</f>
        <v>0</v>
      </c>
      <c r="F51" s="3">
        <f>SUMIF(PPvsREal!$C:$C,'PPvsREal Summary'!C51,PPvsREal!$F:$F)</f>
        <v>0</v>
      </c>
      <c r="G51" s="3">
        <f>SUMIF(PPvsREal!$C:$C,'PPvsREal Summary'!C51,PPvsREal!$G:$G)</f>
        <v>0</v>
      </c>
      <c r="H51" s="3">
        <f>SUMIF(PPvsREal!$C:$C,'PPvsREal Summary'!C51,PPvsREal!$H:$H)</f>
        <v>0</v>
      </c>
      <c r="I51" s="3">
        <f>SUMIF(PPvsREal!$C:$C,'PPvsREal Summary'!C51,PPvsREal!$I:$I)</f>
        <v>0</v>
      </c>
      <c r="J51" s="3">
        <f>SUMIF(PPvsREal!$C:$C,'PPvsREal Summary'!C51,PPvsREal!$J:$J)</f>
        <v>0</v>
      </c>
      <c r="K51" s="3">
        <f>SUMIF(PPvsREal!$C:$C,'PPvsREal Summary'!C51,PPvsREal!$K:$K)</f>
        <v>0</v>
      </c>
      <c r="L51" s="3">
        <f>SUMIF(PPvsREal!$C:$C,'PPvsREal Summary'!C51,PPvsREal!$L:$L)</f>
        <v>0</v>
      </c>
      <c r="M51" s="3">
        <f>SUMIF(PPvsREal!$C:$C,'PPvsREal Summary'!C51,PPvsREal!$M:$M)</f>
        <v>0</v>
      </c>
      <c r="N51" s="3">
        <f>SUMIF(PPvsREal!$C:$C,'PPvsREal Summary'!C51,PPvsREal!$N:$N)</f>
        <v>0</v>
      </c>
      <c r="O51" s="3">
        <f>SUMIF(PPvsREal!$C:$C,'PPvsREal Summary'!C51,PPvsREal!$O:$O)</f>
        <v>0</v>
      </c>
      <c r="P51" s="3">
        <f>SUMIF(PPvsREal!$C:$C,'PPvsREal Summary'!C51,PPvsREal!$P:$P)</f>
        <v>0</v>
      </c>
      <c r="Q51" s="3">
        <f>SUMIF(PPvsREal!$C:$C,'PPvsREal Summary'!C51,PPvsREal!$Q:$Q)</f>
        <v>0</v>
      </c>
      <c r="R51" s="3">
        <f>SUMIF(PPvsREal!$C:$C,'PPvsREal Summary'!C51,PPvsREal!$R:$R)</f>
        <v>0</v>
      </c>
      <c r="S51" s="3">
        <f>SUMIF(PPvsREal!$C:$C,'PPvsREal Summary'!C51,PPvsREal!$S:$S)</f>
        <v>0</v>
      </c>
      <c r="T51" s="3">
        <f>SUMIF(PPvsREal!$C:$C,'PPvsREal Summary'!C51,PPvsREal!$T:$T)</f>
        <v>0</v>
      </c>
      <c r="U51" s="3">
        <f>SUMIF(PPvsREal!$C:$C,'PPvsREal Summary'!C51,PPvsREal!$U:$U)</f>
        <v>0</v>
      </c>
      <c r="V51" s="3">
        <f>SUMIF(PPvsREal!$C:$C,'PPvsREal Summary'!C51,PPvsREal!$V:$V)</f>
        <v>300000</v>
      </c>
      <c r="W51" s="3">
        <f>SUMIF(PPvsREal!$C:$C,'PPvsREal Summary'!C51,PPvsREal!$W:$W)</f>
        <v>0</v>
      </c>
      <c r="X51" s="3">
        <f>SUMIF(PPvsREal!$C:$C,'PPvsREal Summary'!C51,PPvsREal!$X:$X)</f>
        <v>50000</v>
      </c>
      <c r="Y51" s="3">
        <f>SUMIF(PPvsREal!$C:$C,'PPvsREal Summary'!C51,PPvsREal!$Y:$Y)</f>
        <v>0</v>
      </c>
      <c r="Z51" s="3">
        <f>SUMIF(PPvsREal!$C:$C,'PPvsREal Summary'!C51,PPvsREal!$Z:$Z)</f>
        <v>0</v>
      </c>
      <c r="AA51" s="190">
        <f>SUMIF(PPvsREal!$C:$C,'PPvsREal Summary'!C51,PPvsREal!$AA:$AA)</f>
        <v>0</v>
      </c>
      <c r="AB51" s="3"/>
      <c r="AC51" s="201">
        <f t="shared" ref="AC51:AD51" si="101">D51+F51+H51+J51+L51+N51+P51+R51+T51+V51+X51+Z51</f>
        <v>350000</v>
      </c>
      <c r="AD51" s="201">
        <f t="shared" si="101"/>
        <v>0</v>
      </c>
      <c r="AE51" s="3"/>
      <c r="AF51" s="201">
        <f t="shared" ref="AF51:AG51" si="102">D51+F51+H51+J51+L51+N51+P51+R51+T51+V51+X51+Z51</f>
        <v>350000</v>
      </c>
      <c r="AG51" s="201">
        <f t="shared" si="102"/>
        <v>0</v>
      </c>
    </row>
    <row r="52" ht="12.75" customHeight="1">
      <c r="A52" s="111"/>
      <c r="B52" s="188" t="s">
        <v>18</v>
      </c>
      <c r="C52" s="2" t="s">
        <v>420</v>
      </c>
      <c r="D52" s="189">
        <f>SUMIF(PPvsREal!$C:$C,'PPvsREal Summary'!C52,PPvsREal!$D:$D)</f>
        <v>0</v>
      </c>
      <c r="E52" s="3">
        <f>SUMIF(PPvsREal!$C:$C,'PPvsREal Summary'!C52,PPvsREal!$E:$E)</f>
        <v>0</v>
      </c>
      <c r="F52" s="3">
        <f>SUMIF(PPvsREal!$C:$C,'PPvsREal Summary'!C52,PPvsREal!$F:$F)</f>
        <v>0</v>
      </c>
      <c r="G52" s="3">
        <f>SUMIF(PPvsREal!$C:$C,'PPvsREal Summary'!C52,PPvsREal!$G:$G)</f>
        <v>0</v>
      </c>
      <c r="H52" s="3">
        <f>SUMIF(PPvsREal!$C:$C,'PPvsREal Summary'!C52,PPvsREal!$H:$H)</f>
        <v>0</v>
      </c>
      <c r="I52" s="3">
        <f>SUMIF(PPvsREal!$C:$C,'PPvsREal Summary'!C52,PPvsREal!$I:$I)</f>
        <v>0</v>
      </c>
      <c r="J52" s="3">
        <f>SUMIF(PPvsREal!$C:$C,'PPvsREal Summary'!C52,PPvsREal!$J:$J)</f>
        <v>0</v>
      </c>
      <c r="K52" s="3">
        <f>SUMIF(PPvsREal!$C:$C,'PPvsREal Summary'!C52,PPvsREal!$K:$K)</f>
        <v>0</v>
      </c>
      <c r="L52" s="3">
        <f>SUMIF(PPvsREal!$C:$C,'PPvsREal Summary'!C52,PPvsREal!$L:$L)</f>
        <v>0</v>
      </c>
      <c r="M52" s="3">
        <f>SUMIF(PPvsREal!$C:$C,'PPvsREal Summary'!C52,PPvsREal!$M:$M)</f>
        <v>0</v>
      </c>
      <c r="N52" s="3">
        <f>SUMIF(PPvsREal!$C:$C,'PPvsREal Summary'!C52,PPvsREal!$N:$N)</f>
        <v>0</v>
      </c>
      <c r="O52" s="3">
        <f>SUMIF(PPvsREal!$C:$C,'PPvsREal Summary'!C52,PPvsREal!$O:$O)</f>
        <v>0</v>
      </c>
      <c r="P52" s="3">
        <f>SUMIF(PPvsREal!$C:$C,'PPvsREal Summary'!C52,PPvsREal!$P:$P)</f>
        <v>0</v>
      </c>
      <c r="Q52" s="3">
        <f>SUMIF(PPvsREal!$C:$C,'PPvsREal Summary'!C52,PPvsREal!$Q:$Q)</f>
        <v>0</v>
      </c>
      <c r="R52" s="3">
        <f>SUMIF(PPvsREal!$C:$C,'PPvsREal Summary'!C52,PPvsREal!$R:$R)</f>
        <v>0</v>
      </c>
      <c r="S52" s="3">
        <f>SUMIF(PPvsREal!$C:$C,'PPvsREal Summary'!C52,PPvsREal!$S:$S)</f>
        <v>0</v>
      </c>
      <c r="T52" s="3">
        <f>SUMIF(PPvsREal!$C:$C,'PPvsREal Summary'!C52,PPvsREal!$T:$T)</f>
        <v>0</v>
      </c>
      <c r="U52" s="3">
        <f>SUMIF(PPvsREal!$C:$C,'PPvsREal Summary'!C52,PPvsREal!$U:$U)</f>
        <v>0</v>
      </c>
      <c r="V52" s="3">
        <f>SUMIF(PPvsREal!$C:$C,'PPvsREal Summary'!C52,PPvsREal!$V:$V)</f>
        <v>0</v>
      </c>
      <c r="W52" s="3">
        <f>SUMIF(PPvsREal!$C:$C,'PPvsREal Summary'!C52,PPvsREal!$W:$W)</f>
        <v>0</v>
      </c>
      <c r="X52" s="3">
        <f>SUMIF(PPvsREal!$C:$C,'PPvsREal Summary'!C52,PPvsREal!$X:$X)</f>
        <v>0</v>
      </c>
      <c r="Y52" s="3">
        <f>SUMIF(PPvsREal!$C:$C,'PPvsREal Summary'!C52,PPvsREal!$Y:$Y)</f>
        <v>0</v>
      </c>
      <c r="Z52" s="3">
        <f>SUMIF(PPvsREal!$C:$C,'PPvsREal Summary'!C52,PPvsREal!$Z:$Z)</f>
        <v>0</v>
      </c>
      <c r="AA52" s="190">
        <f>SUMIF(PPvsREal!$C:$C,'PPvsREal Summary'!C52,PPvsREal!$AA:$AA)</f>
        <v>0</v>
      </c>
      <c r="AB52" s="3"/>
      <c r="AC52" s="201">
        <f t="shared" ref="AC52:AD52" si="103">D52+F52+H52+J52+L52+N52+P52+R52+T52+V52+X52+Z52</f>
        <v>0</v>
      </c>
      <c r="AD52" s="201">
        <f t="shared" si="103"/>
        <v>0</v>
      </c>
      <c r="AE52" s="3"/>
      <c r="AF52" s="201">
        <f t="shared" ref="AF52:AG52" si="104">D52+F52+H52+J52+L52+N52+P52+R52+T52+V52+X52+Z52</f>
        <v>0</v>
      </c>
      <c r="AG52" s="201">
        <f t="shared" si="104"/>
        <v>0</v>
      </c>
    </row>
    <row r="53" ht="12.75" customHeight="1">
      <c r="A53" s="111"/>
      <c r="B53" s="188" t="s">
        <v>18</v>
      </c>
      <c r="C53" s="2" t="s">
        <v>223</v>
      </c>
      <c r="D53" s="189">
        <f>SUMIF(PPvsREal!$C:$C,'PPvsREal Summary'!C53,PPvsREal!$D:$D)</f>
        <v>0</v>
      </c>
      <c r="E53" s="3">
        <f>SUMIF(PPvsREal!$C:$C,'PPvsREal Summary'!C53,PPvsREal!$E:$E)</f>
        <v>0</v>
      </c>
      <c r="F53" s="3">
        <f>SUMIF(PPvsREal!$C:$C,'PPvsREal Summary'!C53,PPvsREal!$F:$F)</f>
        <v>0</v>
      </c>
      <c r="G53" s="3">
        <f>SUMIF(PPvsREal!$C:$C,'PPvsREal Summary'!C53,PPvsREal!$G:$G)</f>
        <v>0</v>
      </c>
      <c r="H53" s="3">
        <f>SUMIF(PPvsREal!$C:$C,'PPvsREal Summary'!C53,PPvsREal!$H:$H)</f>
        <v>0</v>
      </c>
      <c r="I53" s="3">
        <f>SUMIF(PPvsREal!$C:$C,'PPvsREal Summary'!C53,PPvsREal!$I:$I)</f>
        <v>0</v>
      </c>
      <c r="J53" s="3">
        <f>SUMIF(PPvsREal!$C:$C,'PPvsREal Summary'!C53,PPvsREal!$J:$J)</f>
        <v>0</v>
      </c>
      <c r="K53" s="3">
        <f>SUMIF(PPvsREal!$C:$C,'PPvsREal Summary'!C53,PPvsREal!$K:$K)</f>
        <v>0</v>
      </c>
      <c r="L53" s="3">
        <f>SUMIF(PPvsREal!$C:$C,'PPvsREal Summary'!C53,PPvsREal!$L:$L)</f>
        <v>210000</v>
      </c>
      <c r="M53" s="3">
        <f>SUMIF(PPvsREal!$C:$C,'PPvsREal Summary'!C53,PPvsREal!$M:$M)</f>
        <v>0</v>
      </c>
      <c r="N53" s="3">
        <f>SUMIF(PPvsREal!$C:$C,'PPvsREal Summary'!C53,PPvsREal!$N:$N)</f>
        <v>20000</v>
      </c>
      <c r="O53" s="3">
        <f>SUMIF(PPvsREal!$C:$C,'PPvsREal Summary'!C53,PPvsREal!$O:$O)</f>
        <v>0</v>
      </c>
      <c r="P53" s="3">
        <f>SUMIF(PPvsREal!$C:$C,'PPvsREal Summary'!C53,PPvsREal!$P:$P)</f>
        <v>0</v>
      </c>
      <c r="Q53" s="3">
        <f>SUMIF(PPvsREal!$C:$C,'PPvsREal Summary'!C53,PPvsREal!$Q:$Q)</f>
        <v>0</v>
      </c>
      <c r="R53" s="3">
        <f>SUMIF(PPvsREal!$C:$C,'PPvsREal Summary'!C53,PPvsREal!$R:$R)</f>
        <v>0</v>
      </c>
      <c r="S53" s="3">
        <f>SUMIF(PPvsREal!$C:$C,'PPvsREal Summary'!C53,PPvsREal!$S:$S)</f>
        <v>0</v>
      </c>
      <c r="T53" s="3">
        <f>SUMIF(PPvsREal!$C:$C,'PPvsREal Summary'!C53,PPvsREal!$T:$T)</f>
        <v>0</v>
      </c>
      <c r="U53" s="3">
        <f>SUMIF(PPvsREal!$C:$C,'PPvsREal Summary'!C53,PPvsREal!$U:$U)</f>
        <v>0</v>
      </c>
      <c r="V53" s="3">
        <f>SUMIF(PPvsREal!$C:$C,'PPvsREal Summary'!C53,PPvsREal!$V:$V)</f>
        <v>0</v>
      </c>
      <c r="W53" s="3">
        <f>SUMIF(PPvsREal!$C:$C,'PPvsREal Summary'!C53,PPvsREal!$W:$W)</f>
        <v>0</v>
      </c>
      <c r="X53" s="3">
        <f>SUMIF(PPvsREal!$C:$C,'PPvsREal Summary'!C53,PPvsREal!$X:$X)</f>
        <v>0</v>
      </c>
      <c r="Y53" s="3">
        <f>SUMIF(PPvsREal!$C:$C,'PPvsREal Summary'!C53,PPvsREal!$Y:$Y)</f>
        <v>0</v>
      </c>
      <c r="Z53" s="3">
        <f>SUMIF(PPvsREal!$C:$C,'PPvsREal Summary'!C53,PPvsREal!$Z:$Z)</f>
        <v>0</v>
      </c>
      <c r="AA53" s="190">
        <f>SUMIF(PPvsREal!$C:$C,'PPvsREal Summary'!C53,PPvsREal!$AA:$AA)</f>
        <v>0</v>
      </c>
      <c r="AB53" s="3"/>
      <c r="AC53" s="201">
        <f t="shared" ref="AC53:AD53" si="105">D53+F53+H53+J53+L53+N53+P53+R53+T53+V53+X53+Z53</f>
        <v>230000</v>
      </c>
      <c r="AD53" s="201">
        <f t="shared" si="105"/>
        <v>0</v>
      </c>
      <c r="AE53" s="3"/>
      <c r="AF53" s="201">
        <f t="shared" ref="AF53:AG53" si="106">D53+F53+H53+J53+L53+N53+P53+R53+T53+V53+X53+Z53</f>
        <v>230000</v>
      </c>
      <c r="AG53" s="201">
        <f t="shared" si="106"/>
        <v>0</v>
      </c>
    </row>
    <row r="54" ht="12.75" customHeight="1">
      <c r="A54" s="111"/>
      <c r="B54" s="188" t="s">
        <v>18</v>
      </c>
      <c r="C54" s="2" t="s">
        <v>224</v>
      </c>
      <c r="D54" s="189">
        <f>SUMIF(PPvsREal!$C:$C,'PPvsREal Summary'!C54,PPvsREal!$D:$D)</f>
        <v>0</v>
      </c>
      <c r="E54" s="3">
        <f>SUMIF(PPvsREal!$C:$C,'PPvsREal Summary'!C54,PPvsREal!$E:$E)</f>
        <v>0</v>
      </c>
      <c r="F54" s="3">
        <f>SUMIF(PPvsREal!$C:$C,'PPvsREal Summary'!C54,PPvsREal!$F:$F)</f>
        <v>0</v>
      </c>
      <c r="G54" s="3">
        <f>SUMIF(PPvsREal!$C:$C,'PPvsREal Summary'!C54,PPvsREal!$G:$G)</f>
        <v>0</v>
      </c>
      <c r="H54" s="3">
        <f>SUMIF(PPvsREal!$C:$C,'PPvsREal Summary'!C54,PPvsREal!$H:$H)</f>
        <v>0</v>
      </c>
      <c r="I54" s="3">
        <f>SUMIF(PPvsREal!$C:$C,'PPvsREal Summary'!C54,PPvsREal!$I:$I)</f>
        <v>0</v>
      </c>
      <c r="J54" s="3">
        <f>SUMIF(PPvsREal!$C:$C,'PPvsREal Summary'!C54,PPvsREal!$J:$J)</f>
        <v>0</v>
      </c>
      <c r="K54" s="3">
        <f>SUMIF(PPvsREal!$C:$C,'PPvsREal Summary'!C54,PPvsREal!$K:$K)</f>
        <v>0</v>
      </c>
      <c r="L54" s="3">
        <f>SUMIF(PPvsREal!$C:$C,'PPvsREal Summary'!C54,PPvsREal!$L:$L)</f>
        <v>170000</v>
      </c>
      <c r="M54" s="3">
        <f>SUMIF(PPvsREal!$C:$C,'PPvsREal Summary'!C54,PPvsREal!$M:$M)</f>
        <v>0</v>
      </c>
      <c r="N54" s="3">
        <f>SUMIF(PPvsREal!$C:$C,'PPvsREal Summary'!C54,PPvsREal!$N:$N)</f>
        <v>0</v>
      </c>
      <c r="O54" s="3">
        <f>SUMIF(PPvsREal!$C:$C,'PPvsREal Summary'!C54,PPvsREal!$O:$O)</f>
        <v>0</v>
      </c>
      <c r="P54" s="3">
        <f>SUMIF(PPvsREal!$C:$C,'PPvsREal Summary'!C54,PPvsREal!$P:$P)</f>
        <v>0</v>
      </c>
      <c r="Q54" s="3">
        <f>SUMIF(PPvsREal!$C:$C,'PPvsREal Summary'!C54,PPvsREal!$Q:$Q)</f>
        <v>0</v>
      </c>
      <c r="R54" s="3">
        <f>SUMIF(PPvsREal!$C:$C,'PPvsREal Summary'!C54,PPvsREal!$R:$R)</f>
        <v>0</v>
      </c>
      <c r="S54" s="3">
        <f>SUMIF(PPvsREal!$C:$C,'PPvsREal Summary'!C54,PPvsREal!$S:$S)</f>
        <v>0</v>
      </c>
      <c r="T54" s="3">
        <f>SUMIF(PPvsREal!$C:$C,'PPvsREal Summary'!C54,PPvsREal!$T:$T)</f>
        <v>0</v>
      </c>
      <c r="U54" s="3">
        <f>SUMIF(PPvsREal!$C:$C,'PPvsREal Summary'!C54,PPvsREal!$U:$U)</f>
        <v>0</v>
      </c>
      <c r="V54" s="3">
        <f>SUMIF(PPvsREal!$C:$C,'PPvsREal Summary'!C54,PPvsREal!$V:$V)</f>
        <v>0</v>
      </c>
      <c r="W54" s="3">
        <f>SUMIF(PPvsREal!$C:$C,'PPvsREal Summary'!C54,PPvsREal!$W:$W)</f>
        <v>0</v>
      </c>
      <c r="X54" s="3">
        <f>SUMIF(PPvsREal!$C:$C,'PPvsREal Summary'!C54,PPvsREal!$X:$X)</f>
        <v>0</v>
      </c>
      <c r="Y54" s="3">
        <f>SUMIF(PPvsREal!$C:$C,'PPvsREal Summary'!C54,PPvsREal!$Y:$Y)</f>
        <v>0</v>
      </c>
      <c r="Z54" s="3">
        <f>SUMIF(PPvsREal!$C:$C,'PPvsREal Summary'!C54,PPvsREal!$Z:$Z)</f>
        <v>0</v>
      </c>
      <c r="AA54" s="190">
        <f>SUMIF(PPvsREal!$C:$C,'PPvsREal Summary'!C54,PPvsREal!$AA:$AA)</f>
        <v>0</v>
      </c>
      <c r="AB54" s="3"/>
      <c r="AC54" s="201">
        <f t="shared" ref="AC54:AD54" si="107">D54+F54+H54+J54+L54+N54+P54+R54+T54+V54+X54+Z54</f>
        <v>170000</v>
      </c>
      <c r="AD54" s="201">
        <f t="shared" si="107"/>
        <v>0</v>
      </c>
      <c r="AE54" s="3"/>
      <c r="AF54" s="201">
        <f t="shared" ref="AF54:AG54" si="108">D54+F54+H54+J54+L54+N54+P54+R54+T54+V54+X54+Z54</f>
        <v>170000</v>
      </c>
      <c r="AG54" s="201">
        <f t="shared" si="108"/>
        <v>0</v>
      </c>
    </row>
    <row r="55" ht="12.75" customHeight="1">
      <c r="A55" s="111"/>
      <c r="B55" s="188" t="s">
        <v>18</v>
      </c>
      <c r="C55" s="2" t="s">
        <v>421</v>
      </c>
      <c r="D55" s="189">
        <f>SUMIF(PPvsREal!$C:$C,'PPvsREal Summary'!C55,PPvsREal!$D:$D)</f>
        <v>0</v>
      </c>
      <c r="E55" s="3">
        <f>SUMIF(PPvsREal!$C:$C,'PPvsREal Summary'!C55,PPvsREal!$E:$E)</f>
        <v>0</v>
      </c>
      <c r="F55" s="3">
        <f>SUMIF(PPvsREal!$C:$C,'PPvsREal Summary'!C55,PPvsREal!$F:$F)</f>
        <v>0</v>
      </c>
      <c r="G55" s="3">
        <f>SUMIF(PPvsREal!$C:$C,'PPvsREal Summary'!C55,PPvsREal!$G:$G)</f>
        <v>0</v>
      </c>
      <c r="H55" s="3">
        <f>SUMIF(PPvsREal!$C:$C,'PPvsREal Summary'!C55,PPvsREal!$H:$H)</f>
        <v>0</v>
      </c>
      <c r="I55" s="3">
        <f>SUMIF(PPvsREal!$C:$C,'PPvsREal Summary'!C55,PPvsREal!$I:$I)</f>
        <v>0</v>
      </c>
      <c r="J55" s="3">
        <f>SUMIF(PPvsREal!$C:$C,'PPvsREal Summary'!C55,PPvsREal!$J:$J)</f>
        <v>0</v>
      </c>
      <c r="K55" s="3">
        <f>SUMIF(PPvsREal!$C:$C,'PPvsREal Summary'!C55,PPvsREal!$K:$K)</f>
        <v>0</v>
      </c>
      <c r="L55" s="3">
        <f>SUMIF(PPvsREal!$C:$C,'PPvsREal Summary'!C55,PPvsREal!$L:$L)</f>
        <v>0</v>
      </c>
      <c r="M55" s="3">
        <f>SUMIF(PPvsREal!$C:$C,'PPvsREal Summary'!C55,PPvsREal!$M:$M)</f>
        <v>0</v>
      </c>
      <c r="N55" s="3">
        <f>SUMIF(PPvsREal!$C:$C,'PPvsREal Summary'!C55,PPvsREal!$N:$N)</f>
        <v>0</v>
      </c>
      <c r="O55" s="3">
        <f>SUMIF(PPvsREal!$C:$C,'PPvsREal Summary'!C55,PPvsREal!$O:$O)</f>
        <v>0</v>
      </c>
      <c r="P55" s="3">
        <f>SUMIF(PPvsREal!$C:$C,'PPvsREal Summary'!C55,PPvsREal!$P:$P)</f>
        <v>0</v>
      </c>
      <c r="Q55" s="3">
        <f>SUMIF(PPvsREal!$C:$C,'PPvsREal Summary'!C55,PPvsREal!$Q:$Q)</f>
        <v>0</v>
      </c>
      <c r="R55" s="3">
        <f>SUMIF(PPvsREal!$C:$C,'PPvsREal Summary'!C55,PPvsREal!$R:$R)</f>
        <v>0</v>
      </c>
      <c r="S55" s="3">
        <f>SUMIF(PPvsREal!$C:$C,'PPvsREal Summary'!C55,PPvsREal!$S:$S)</f>
        <v>0</v>
      </c>
      <c r="T55" s="3">
        <f>SUMIF(PPvsREal!$C:$C,'PPvsREal Summary'!C55,PPvsREal!$T:$T)</f>
        <v>0</v>
      </c>
      <c r="U55" s="3">
        <f>SUMIF(PPvsREal!$C:$C,'PPvsREal Summary'!C55,PPvsREal!$U:$U)</f>
        <v>0</v>
      </c>
      <c r="V55" s="3">
        <f>SUMIF(PPvsREal!$C:$C,'PPvsREal Summary'!C55,PPvsREal!$V:$V)</f>
        <v>0</v>
      </c>
      <c r="W55" s="3">
        <f>SUMIF(PPvsREal!$C:$C,'PPvsREal Summary'!C55,PPvsREal!$W:$W)</f>
        <v>0</v>
      </c>
      <c r="X55" s="3">
        <f>SUMIF(PPvsREal!$C:$C,'PPvsREal Summary'!C55,PPvsREal!$X:$X)</f>
        <v>0</v>
      </c>
      <c r="Y55" s="3">
        <f>SUMIF(PPvsREal!$C:$C,'PPvsREal Summary'!C55,PPvsREal!$Y:$Y)</f>
        <v>0</v>
      </c>
      <c r="Z55" s="3">
        <f>SUMIF(PPvsREal!$C:$C,'PPvsREal Summary'!C55,PPvsREal!$Z:$Z)</f>
        <v>0</v>
      </c>
      <c r="AA55" s="190">
        <f>SUMIF(PPvsREal!$C:$C,'PPvsREal Summary'!C55,PPvsREal!$AA:$AA)</f>
        <v>0</v>
      </c>
      <c r="AB55" s="3"/>
      <c r="AC55" s="201">
        <f t="shared" ref="AC55:AD55" si="109">D55+F55+H55+J55+L55+N55+P55+R55+T55+V55+X55+Z55</f>
        <v>0</v>
      </c>
      <c r="AD55" s="201">
        <f t="shared" si="109"/>
        <v>0</v>
      </c>
      <c r="AE55" s="3"/>
      <c r="AF55" s="201">
        <f t="shared" ref="AF55:AG55" si="110">D55+F55+H55+J55+L55+N55+P55+R55+T55+V55+X55+Z55</f>
        <v>0</v>
      </c>
      <c r="AG55" s="201">
        <f t="shared" si="110"/>
        <v>0</v>
      </c>
    </row>
    <row r="56" ht="12.75" customHeight="1">
      <c r="A56" s="111"/>
      <c r="B56" s="188" t="s">
        <v>18</v>
      </c>
      <c r="C56" s="2" t="s">
        <v>222</v>
      </c>
      <c r="D56" s="189">
        <f>SUMIF(PPvsREal!$C:$C,'PPvsREal Summary'!C56,PPvsREal!$D:$D)</f>
        <v>0</v>
      </c>
      <c r="E56" s="3">
        <f>SUMIF(PPvsREal!$C:$C,'PPvsREal Summary'!C56,PPvsREal!$E:$E)</f>
        <v>0</v>
      </c>
      <c r="F56" s="3">
        <f>SUMIF(PPvsREal!$C:$C,'PPvsREal Summary'!C56,PPvsREal!$F:$F)</f>
        <v>0</v>
      </c>
      <c r="G56" s="3">
        <f>SUMIF(PPvsREal!$C:$C,'PPvsREal Summary'!C56,PPvsREal!$G:$G)</f>
        <v>0</v>
      </c>
      <c r="H56" s="3">
        <f>SUMIF(PPvsREal!$C:$C,'PPvsREal Summary'!C56,PPvsREal!$H:$H)</f>
        <v>180000</v>
      </c>
      <c r="I56" s="3">
        <f>SUMIF(PPvsREal!$C:$C,'PPvsREal Summary'!C56,PPvsREal!$I:$I)</f>
        <v>0</v>
      </c>
      <c r="J56" s="3">
        <f>SUMIF(PPvsREal!$C:$C,'PPvsREal Summary'!C56,PPvsREal!$J:$J)</f>
        <v>0</v>
      </c>
      <c r="K56" s="3">
        <f>SUMIF(PPvsREal!$C:$C,'PPvsREal Summary'!C56,PPvsREal!$K:$K)</f>
        <v>0</v>
      </c>
      <c r="L56" s="3">
        <f>SUMIF(PPvsREal!$C:$C,'PPvsREal Summary'!C56,PPvsREal!$L:$L)</f>
        <v>0</v>
      </c>
      <c r="M56" s="3">
        <f>SUMIF(PPvsREal!$C:$C,'PPvsREal Summary'!C56,PPvsREal!$M:$M)</f>
        <v>0</v>
      </c>
      <c r="N56" s="3">
        <f>SUMIF(PPvsREal!$C:$C,'PPvsREal Summary'!C56,PPvsREal!$N:$N)</f>
        <v>0</v>
      </c>
      <c r="O56" s="3">
        <f>SUMIF(PPvsREal!$C:$C,'PPvsREal Summary'!C56,PPvsREal!$O:$O)</f>
        <v>0</v>
      </c>
      <c r="P56" s="3">
        <f>SUMIF(PPvsREal!$C:$C,'PPvsREal Summary'!C56,PPvsREal!$P:$P)</f>
        <v>0</v>
      </c>
      <c r="Q56" s="3">
        <f>SUMIF(PPvsREal!$C:$C,'PPvsREal Summary'!C56,PPvsREal!$Q:$Q)</f>
        <v>0</v>
      </c>
      <c r="R56" s="3">
        <f>SUMIF(PPvsREal!$C:$C,'PPvsREal Summary'!C56,PPvsREal!$R:$R)</f>
        <v>0</v>
      </c>
      <c r="S56" s="3">
        <f>SUMIF(PPvsREal!$C:$C,'PPvsREal Summary'!C56,PPvsREal!$S:$S)</f>
        <v>0</v>
      </c>
      <c r="T56" s="3">
        <f>SUMIF(PPvsREal!$C:$C,'PPvsREal Summary'!C56,PPvsREal!$T:$T)</f>
        <v>0</v>
      </c>
      <c r="U56" s="3">
        <f>SUMIF(PPvsREal!$C:$C,'PPvsREal Summary'!C56,PPvsREal!$U:$U)</f>
        <v>0</v>
      </c>
      <c r="V56" s="3">
        <f>SUMIF(PPvsREal!$C:$C,'PPvsREal Summary'!C56,PPvsREal!$V:$V)</f>
        <v>0</v>
      </c>
      <c r="W56" s="3">
        <f>SUMIF(PPvsREal!$C:$C,'PPvsREal Summary'!C56,PPvsREal!$W:$W)</f>
        <v>0</v>
      </c>
      <c r="X56" s="3">
        <f>SUMIF(PPvsREal!$C:$C,'PPvsREal Summary'!C56,PPvsREal!$X:$X)</f>
        <v>0</v>
      </c>
      <c r="Y56" s="3">
        <f>SUMIF(PPvsREal!$C:$C,'PPvsREal Summary'!C56,PPvsREal!$Y:$Y)</f>
        <v>0</v>
      </c>
      <c r="Z56" s="3">
        <f>SUMIF(PPvsREal!$C:$C,'PPvsREal Summary'!C56,PPvsREal!$Z:$Z)</f>
        <v>0</v>
      </c>
      <c r="AA56" s="190">
        <f>SUMIF(PPvsREal!$C:$C,'PPvsREal Summary'!C56,PPvsREal!$AA:$AA)</f>
        <v>0</v>
      </c>
      <c r="AB56" s="3"/>
      <c r="AC56" s="201">
        <f t="shared" ref="AC56:AD56" si="111">D56+F56+H56+J56+L56+N56+P56+R56+T56+V56+X56+Z56</f>
        <v>180000</v>
      </c>
      <c r="AD56" s="201">
        <f t="shared" si="111"/>
        <v>0</v>
      </c>
      <c r="AE56" s="3"/>
      <c r="AF56" s="201">
        <f t="shared" ref="AF56:AG56" si="112">D56+F56+H56+J56+L56+N56+P56+R56+T56+V56+X56+Z56</f>
        <v>180000</v>
      </c>
      <c r="AG56" s="201">
        <f t="shared" si="112"/>
        <v>0</v>
      </c>
    </row>
    <row r="57" ht="12.75" customHeight="1">
      <c r="A57" s="111"/>
      <c r="B57" s="188" t="s">
        <v>18</v>
      </c>
      <c r="C57" s="2" t="s">
        <v>225</v>
      </c>
      <c r="D57" s="189">
        <f>SUMIF(PPvsREal!$C:$C,'PPvsREal Summary'!C57,PPvsREal!$D:$D)</f>
        <v>0</v>
      </c>
      <c r="E57" s="3">
        <f>SUMIF(PPvsREal!$C:$C,'PPvsREal Summary'!C57,PPvsREal!$E:$E)</f>
        <v>0</v>
      </c>
      <c r="F57" s="3">
        <f>SUMIF(PPvsREal!$C:$C,'PPvsREal Summary'!C57,PPvsREal!$F:$F)</f>
        <v>100000</v>
      </c>
      <c r="G57" s="3">
        <f>SUMIF(PPvsREal!$C:$C,'PPvsREal Summary'!C57,PPvsREal!$G:$G)</f>
        <v>0</v>
      </c>
      <c r="H57" s="3">
        <f>SUMIF(PPvsREal!$C:$C,'PPvsREal Summary'!C57,PPvsREal!$H:$H)</f>
        <v>0</v>
      </c>
      <c r="I57" s="3">
        <f>SUMIF(PPvsREal!$C:$C,'PPvsREal Summary'!C57,PPvsREal!$I:$I)</f>
        <v>0</v>
      </c>
      <c r="J57" s="3">
        <f>SUMIF(PPvsREal!$C:$C,'PPvsREal Summary'!C57,PPvsREal!$J:$J)</f>
        <v>0</v>
      </c>
      <c r="K57" s="3">
        <f>SUMIF(PPvsREal!$C:$C,'PPvsREal Summary'!C57,PPvsREal!$K:$K)</f>
        <v>0</v>
      </c>
      <c r="L57" s="3">
        <f>SUMIF(PPvsREal!$C:$C,'PPvsREal Summary'!C57,PPvsREal!$L:$L)</f>
        <v>0</v>
      </c>
      <c r="M57" s="3">
        <f>SUMIF(PPvsREal!$C:$C,'PPvsREal Summary'!C57,PPvsREal!$M:$M)</f>
        <v>0</v>
      </c>
      <c r="N57" s="3">
        <f>SUMIF(PPvsREal!$C:$C,'PPvsREal Summary'!C57,PPvsREal!$N:$N)</f>
        <v>0</v>
      </c>
      <c r="O57" s="3">
        <f>SUMIF(PPvsREal!$C:$C,'PPvsREal Summary'!C57,PPvsREal!$O:$O)</f>
        <v>0</v>
      </c>
      <c r="P57" s="3">
        <f>SUMIF(PPvsREal!$C:$C,'PPvsREal Summary'!C57,PPvsREal!$P:$P)</f>
        <v>100000</v>
      </c>
      <c r="Q57" s="3">
        <f>SUMIF(PPvsREal!$C:$C,'PPvsREal Summary'!C57,PPvsREal!$Q:$Q)</f>
        <v>0</v>
      </c>
      <c r="R57" s="3">
        <f>SUMIF(PPvsREal!$C:$C,'PPvsREal Summary'!C57,PPvsREal!$R:$R)</f>
        <v>0</v>
      </c>
      <c r="S57" s="3">
        <f>SUMIF(PPvsREal!$C:$C,'PPvsREal Summary'!C57,PPvsREal!$S:$S)</f>
        <v>0</v>
      </c>
      <c r="T57" s="3">
        <f>SUMIF(PPvsREal!$C:$C,'PPvsREal Summary'!C57,PPvsREal!$T:$T)</f>
        <v>0</v>
      </c>
      <c r="U57" s="3">
        <f>SUMIF(PPvsREal!$C:$C,'PPvsREal Summary'!C57,PPvsREal!$U:$U)</f>
        <v>0</v>
      </c>
      <c r="V57" s="3">
        <f>SUMIF(PPvsREal!$C:$C,'PPvsREal Summary'!C57,PPvsREal!$V:$V)</f>
        <v>0</v>
      </c>
      <c r="W57" s="3">
        <f>SUMIF(PPvsREal!$C:$C,'PPvsREal Summary'!C57,PPvsREal!$W:$W)</f>
        <v>0</v>
      </c>
      <c r="X57" s="3">
        <f>SUMIF(PPvsREal!$C:$C,'PPvsREal Summary'!C57,PPvsREal!$X:$X)</f>
        <v>100000</v>
      </c>
      <c r="Y57" s="3">
        <f>SUMIF(PPvsREal!$C:$C,'PPvsREal Summary'!C57,PPvsREal!$Y:$Y)</f>
        <v>0</v>
      </c>
      <c r="Z57" s="3">
        <f>SUMIF(PPvsREal!$C:$C,'PPvsREal Summary'!C57,PPvsREal!$Z:$Z)</f>
        <v>0</v>
      </c>
      <c r="AA57" s="190">
        <f>SUMIF(PPvsREal!$C:$C,'PPvsREal Summary'!C57,PPvsREal!$AA:$AA)</f>
        <v>0</v>
      </c>
      <c r="AB57" s="3"/>
      <c r="AC57" s="201">
        <f t="shared" ref="AC57:AD57" si="113">D57+F57+H57+J57+L57+N57+P57+R57+T57+V57+X57+Z57</f>
        <v>300000</v>
      </c>
      <c r="AD57" s="201">
        <f t="shared" si="113"/>
        <v>0</v>
      </c>
      <c r="AE57" s="3"/>
      <c r="AF57" s="201">
        <f t="shared" ref="AF57:AG57" si="114">D57+F57+H57+J57+L57+N57+P57+R57+T57+V57+X57+Z57</f>
        <v>300000</v>
      </c>
      <c r="AG57" s="201">
        <f t="shared" si="114"/>
        <v>0</v>
      </c>
    </row>
    <row r="58" ht="12.75" customHeight="1">
      <c r="A58" s="111"/>
      <c r="B58" s="188" t="s">
        <v>18</v>
      </c>
      <c r="C58" s="2" t="s">
        <v>226</v>
      </c>
      <c r="D58" s="189">
        <f>SUMIF(PPvsREal!$C:$C,'PPvsREal Summary'!C58,PPvsREal!$D:$D)</f>
        <v>0</v>
      </c>
      <c r="E58" s="3">
        <f>SUMIF(PPvsREal!$C:$C,'PPvsREal Summary'!C58,PPvsREal!$E:$E)</f>
        <v>0</v>
      </c>
      <c r="F58" s="3">
        <f>SUMIF(PPvsREal!$C:$C,'PPvsREal Summary'!C58,PPvsREal!$F:$F)</f>
        <v>0</v>
      </c>
      <c r="G58" s="3">
        <f>SUMIF(PPvsREal!$C:$C,'PPvsREal Summary'!C58,PPvsREal!$G:$G)</f>
        <v>0</v>
      </c>
      <c r="H58" s="3">
        <f>SUMIF(PPvsREal!$C:$C,'PPvsREal Summary'!C58,PPvsREal!$H:$H)</f>
        <v>0</v>
      </c>
      <c r="I58" s="3">
        <f>SUMIF(PPvsREal!$C:$C,'PPvsREal Summary'!C58,PPvsREal!$I:$I)</f>
        <v>0</v>
      </c>
      <c r="J58" s="3">
        <f>SUMIF(PPvsREal!$C:$C,'PPvsREal Summary'!C58,PPvsREal!$J:$J)</f>
        <v>0</v>
      </c>
      <c r="K58" s="3">
        <f>SUMIF(PPvsREal!$C:$C,'PPvsREal Summary'!C58,PPvsREal!$K:$K)</f>
        <v>0</v>
      </c>
      <c r="L58" s="3">
        <f>SUMIF(PPvsREal!$C:$C,'PPvsREal Summary'!C58,PPvsREal!$L:$L)</f>
        <v>0</v>
      </c>
      <c r="M58" s="3">
        <f>SUMIF(PPvsREal!$C:$C,'PPvsREal Summary'!C58,PPvsREal!$M:$M)</f>
        <v>0</v>
      </c>
      <c r="N58" s="3">
        <f>SUMIF(PPvsREal!$C:$C,'PPvsREal Summary'!C58,PPvsREal!$N:$N)</f>
        <v>0</v>
      </c>
      <c r="O58" s="3">
        <f>SUMIF(PPvsREal!$C:$C,'PPvsREal Summary'!C58,PPvsREal!$O:$O)</f>
        <v>0</v>
      </c>
      <c r="P58" s="3">
        <f>SUMIF(PPvsREal!$C:$C,'PPvsREal Summary'!C58,PPvsREal!$P:$P)</f>
        <v>0</v>
      </c>
      <c r="Q58" s="3">
        <f>SUMIF(PPvsREal!$C:$C,'PPvsREal Summary'!C58,PPvsREal!$Q:$Q)</f>
        <v>0</v>
      </c>
      <c r="R58" s="3">
        <f>SUMIF(PPvsREal!$C:$C,'PPvsREal Summary'!C58,PPvsREal!$R:$R)</f>
        <v>0</v>
      </c>
      <c r="S58" s="3">
        <f>SUMIF(PPvsREal!$C:$C,'PPvsREal Summary'!C58,PPvsREal!$S:$S)</f>
        <v>0</v>
      </c>
      <c r="T58" s="3">
        <f>SUMIF(PPvsREal!$C:$C,'PPvsREal Summary'!C58,PPvsREal!$T:$T)</f>
        <v>0</v>
      </c>
      <c r="U58" s="3">
        <f>SUMIF(PPvsREal!$C:$C,'PPvsREal Summary'!C58,PPvsREal!$U:$U)</f>
        <v>0</v>
      </c>
      <c r="V58" s="3">
        <f>SUMIF(PPvsREal!$C:$C,'PPvsREal Summary'!C58,PPvsREal!$V:$V)</f>
        <v>0</v>
      </c>
      <c r="W58" s="3">
        <f>SUMIF(PPvsREal!$C:$C,'PPvsREal Summary'!C58,PPvsREal!$W:$W)</f>
        <v>0</v>
      </c>
      <c r="X58" s="3">
        <f>SUMIF(PPvsREal!$C:$C,'PPvsREal Summary'!C58,PPvsREal!$X:$X)</f>
        <v>0</v>
      </c>
      <c r="Y58" s="3">
        <f>SUMIF(PPvsREal!$C:$C,'PPvsREal Summary'!C58,PPvsREal!$Y:$Y)</f>
        <v>0</v>
      </c>
      <c r="Z58" s="3">
        <f>SUMIF(PPvsREal!$C:$C,'PPvsREal Summary'!C58,PPvsREal!$Z:$Z)</f>
        <v>0</v>
      </c>
      <c r="AA58" s="190">
        <f>SUMIF(PPvsREal!$C:$C,'PPvsREal Summary'!C58,PPvsREal!$AA:$AA)</f>
        <v>0</v>
      </c>
      <c r="AB58" s="3"/>
      <c r="AC58" s="201">
        <f t="shared" ref="AC58:AD58" si="115">D58+F58+H58+J58+L58+N58+P58+R58+T58+V58+X58+Z58</f>
        <v>0</v>
      </c>
      <c r="AD58" s="201">
        <f t="shared" si="115"/>
        <v>0</v>
      </c>
      <c r="AE58" s="3"/>
      <c r="AF58" s="201">
        <f t="shared" ref="AF58:AG58" si="116">D58+F58+H58+J58+L58+N58+P58+R58+T58+V58+X58+Z58</f>
        <v>0</v>
      </c>
      <c r="AG58" s="201">
        <f t="shared" si="116"/>
        <v>0</v>
      </c>
    </row>
    <row r="59" ht="12.75" customHeight="1">
      <c r="A59" s="111"/>
      <c r="B59" s="188" t="s">
        <v>18</v>
      </c>
      <c r="C59" s="2" t="s">
        <v>227</v>
      </c>
      <c r="D59" s="189">
        <f>SUMIF(PPvsREal!$C:$C,'PPvsREal Summary'!C59,PPvsREal!$D:$D)</f>
        <v>0</v>
      </c>
      <c r="E59" s="3">
        <f>SUMIF(PPvsREal!$C:$C,'PPvsREal Summary'!C59,PPvsREal!$E:$E)</f>
        <v>0</v>
      </c>
      <c r="F59" s="3">
        <f>SUMIF(PPvsREal!$C:$C,'PPvsREal Summary'!C59,PPvsREal!$F:$F)</f>
        <v>0</v>
      </c>
      <c r="G59" s="3">
        <f>SUMIF(PPvsREal!$C:$C,'PPvsREal Summary'!C59,PPvsREal!$G:$G)</f>
        <v>0</v>
      </c>
      <c r="H59" s="3">
        <f>SUMIF(PPvsREal!$C:$C,'PPvsREal Summary'!C59,PPvsREal!$H:$H)</f>
        <v>0</v>
      </c>
      <c r="I59" s="3">
        <f>SUMIF(PPvsREal!$C:$C,'PPvsREal Summary'!C59,PPvsREal!$I:$I)</f>
        <v>0</v>
      </c>
      <c r="J59" s="3">
        <f>SUMIF(PPvsREal!$C:$C,'PPvsREal Summary'!C59,PPvsREal!$J:$J)</f>
        <v>0</v>
      </c>
      <c r="K59" s="3">
        <f>SUMIF(PPvsREal!$C:$C,'PPvsREal Summary'!C59,PPvsREal!$K:$K)</f>
        <v>0</v>
      </c>
      <c r="L59" s="3">
        <f>SUMIF(PPvsREal!$C:$C,'PPvsREal Summary'!C59,PPvsREal!$L:$L)</f>
        <v>0</v>
      </c>
      <c r="M59" s="3">
        <f>SUMIF(PPvsREal!$C:$C,'PPvsREal Summary'!C59,PPvsREal!$M:$M)</f>
        <v>0</v>
      </c>
      <c r="N59" s="3">
        <f>SUMIF(PPvsREal!$C:$C,'PPvsREal Summary'!C59,PPvsREal!$N:$N)</f>
        <v>0</v>
      </c>
      <c r="O59" s="3">
        <f>SUMIF(PPvsREal!$C:$C,'PPvsREal Summary'!C59,PPvsREal!$O:$O)</f>
        <v>0</v>
      </c>
      <c r="P59" s="3">
        <f>SUMIF(PPvsREal!$C:$C,'PPvsREal Summary'!C59,PPvsREal!$P:$P)</f>
        <v>0</v>
      </c>
      <c r="Q59" s="3">
        <f>SUMIF(PPvsREal!$C:$C,'PPvsREal Summary'!C59,PPvsREal!$Q:$Q)</f>
        <v>0</v>
      </c>
      <c r="R59" s="3">
        <f>SUMIF(PPvsREal!$C:$C,'PPvsREal Summary'!C59,PPvsREal!$R:$R)</f>
        <v>0</v>
      </c>
      <c r="S59" s="3">
        <f>SUMIF(PPvsREal!$C:$C,'PPvsREal Summary'!C59,PPvsREal!$S:$S)</f>
        <v>0</v>
      </c>
      <c r="T59" s="3">
        <f>SUMIF(PPvsREal!$C:$C,'PPvsREal Summary'!C59,PPvsREal!$T:$T)</f>
        <v>0</v>
      </c>
      <c r="U59" s="3">
        <f>SUMIF(PPvsREal!$C:$C,'PPvsREal Summary'!C59,PPvsREal!$U:$U)</f>
        <v>0</v>
      </c>
      <c r="V59" s="3">
        <f>SUMIF(PPvsREal!$C:$C,'PPvsREal Summary'!C59,PPvsREal!$V:$V)</f>
        <v>0</v>
      </c>
      <c r="W59" s="3">
        <f>SUMIF(PPvsREal!$C:$C,'PPvsREal Summary'!C59,PPvsREal!$W:$W)</f>
        <v>0</v>
      </c>
      <c r="X59" s="3">
        <f>SUMIF(PPvsREal!$C:$C,'PPvsREal Summary'!C59,PPvsREal!$X:$X)</f>
        <v>0</v>
      </c>
      <c r="Y59" s="3">
        <f>SUMIF(PPvsREal!$C:$C,'PPvsREal Summary'!C59,PPvsREal!$Y:$Y)</f>
        <v>0</v>
      </c>
      <c r="Z59" s="3">
        <f>SUMIF(PPvsREal!$C:$C,'PPvsREal Summary'!C59,PPvsREal!$Z:$Z)</f>
        <v>0</v>
      </c>
      <c r="AA59" s="190">
        <f>SUMIF(PPvsREal!$C:$C,'PPvsREal Summary'!C59,PPvsREal!$AA:$AA)</f>
        <v>0</v>
      </c>
      <c r="AB59" s="3"/>
      <c r="AC59" s="201">
        <f t="shared" ref="AC59:AD59" si="117">D59+F59+H59+J59+L59+N59+P59+R59+T59+V59+X59+Z59</f>
        <v>0</v>
      </c>
      <c r="AD59" s="201">
        <f t="shared" si="117"/>
        <v>0</v>
      </c>
      <c r="AE59" s="3"/>
      <c r="AF59" s="201">
        <f t="shared" ref="AF59:AG59" si="118">D59+F59+H59+J59+L59+N59+P59+R59+T59+V59+X59+Z59</f>
        <v>0</v>
      </c>
      <c r="AG59" s="201">
        <f t="shared" si="118"/>
        <v>0</v>
      </c>
    </row>
    <row r="60" ht="12.75" customHeight="1">
      <c r="A60" s="111"/>
      <c r="B60" s="188" t="s">
        <v>18</v>
      </c>
      <c r="C60" s="97" t="s">
        <v>228</v>
      </c>
      <c r="D60" s="189">
        <f>SUMIF(PPvsREal!$C:$C,'PPvsREal Summary'!C60,PPvsREal!$D:$D)</f>
        <v>0</v>
      </c>
      <c r="E60" s="3">
        <f>SUMIF(PPvsREal!$C:$C,'PPvsREal Summary'!C60,PPvsREal!$E:$E)</f>
        <v>0</v>
      </c>
      <c r="F60" s="3">
        <f>SUMIF(PPvsREal!$C:$C,'PPvsREal Summary'!C60,PPvsREal!$F:$F)</f>
        <v>0</v>
      </c>
      <c r="G60" s="3">
        <f>SUMIF(PPvsREal!$C:$C,'PPvsREal Summary'!C60,PPvsREal!$G:$G)</f>
        <v>0</v>
      </c>
      <c r="H60" s="3">
        <f>SUMIF(PPvsREal!$C:$C,'PPvsREal Summary'!C60,PPvsREal!$H:$H)</f>
        <v>0</v>
      </c>
      <c r="I60" s="3">
        <f>SUMIF(PPvsREal!$C:$C,'PPvsREal Summary'!C60,PPvsREal!$I:$I)</f>
        <v>0</v>
      </c>
      <c r="J60" s="3">
        <f>SUMIF(PPvsREal!$C:$C,'PPvsREal Summary'!C60,PPvsREal!$J:$J)</f>
        <v>0</v>
      </c>
      <c r="K60" s="3">
        <f>SUMIF(PPvsREal!$C:$C,'PPvsREal Summary'!C60,PPvsREal!$K:$K)</f>
        <v>0</v>
      </c>
      <c r="L60" s="3">
        <f>SUMIF(PPvsREal!$C:$C,'PPvsREal Summary'!C60,PPvsREal!$L:$L)</f>
        <v>0</v>
      </c>
      <c r="M60" s="3">
        <f>SUMIF(PPvsREal!$C:$C,'PPvsREal Summary'!C60,PPvsREal!$M:$M)</f>
        <v>0</v>
      </c>
      <c r="N60" s="3">
        <f>SUMIF(PPvsREal!$C:$C,'PPvsREal Summary'!C60,PPvsREal!$N:$N)</f>
        <v>0</v>
      </c>
      <c r="O60" s="3">
        <f>SUMIF(PPvsREal!$C:$C,'PPvsREal Summary'!C60,PPvsREal!$O:$O)</f>
        <v>0</v>
      </c>
      <c r="P60" s="3">
        <f>SUMIF(PPvsREal!$C:$C,'PPvsREal Summary'!C60,PPvsREal!$P:$P)</f>
        <v>0</v>
      </c>
      <c r="Q60" s="3">
        <f>SUMIF(PPvsREal!$C:$C,'PPvsREal Summary'!C60,PPvsREal!$Q:$Q)</f>
        <v>0</v>
      </c>
      <c r="R60" s="3">
        <f>SUMIF(PPvsREal!$C:$C,'PPvsREal Summary'!C60,PPvsREal!$R:$R)</f>
        <v>0</v>
      </c>
      <c r="S60" s="3">
        <f>SUMIF(PPvsREal!$C:$C,'PPvsREal Summary'!C60,PPvsREal!$S:$S)</f>
        <v>0</v>
      </c>
      <c r="T60" s="3">
        <f>SUMIF(PPvsREal!$C:$C,'PPvsREal Summary'!C60,PPvsREal!$T:$T)</f>
        <v>0</v>
      </c>
      <c r="U60" s="3">
        <f>SUMIF(PPvsREal!$C:$C,'PPvsREal Summary'!C60,PPvsREal!$U:$U)</f>
        <v>0</v>
      </c>
      <c r="V60" s="3">
        <f>SUMIF(PPvsREal!$C:$C,'PPvsREal Summary'!C60,PPvsREal!$V:$V)</f>
        <v>0</v>
      </c>
      <c r="W60" s="3">
        <f>SUMIF(PPvsREal!$C:$C,'PPvsREal Summary'!C60,PPvsREal!$W:$W)</f>
        <v>0</v>
      </c>
      <c r="X60" s="3">
        <f>SUMIF(PPvsREal!$C:$C,'PPvsREal Summary'!C60,PPvsREal!$X:$X)</f>
        <v>0</v>
      </c>
      <c r="Y60" s="3">
        <f>SUMIF(PPvsREal!$C:$C,'PPvsREal Summary'!C60,PPvsREal!$Y:$Y)</f>
        <v>0</v>
      </c>
      <c r="Z60" s="3">
        <f>SUMIF(PPvsREal!$C:$C,'PPvsREal Summary'!C60,PPvsREal!$Z:$Z)</f>
        <v>400000</v>
      </c>
      <c r="AA60" s="190">
        <f>SUMIF(PPvsREal!$C:$C,'PPvsREal Summary'!C60,PPvsREal!$AA:$AA)</f>
        <v>0</v>
      </c>
      <c r="AB60" s="3"/>
      <c r="AC60" s="201">
        <f t="shared" ref="AC60:AD60" si="119">D60+F60+H60+J60+L60+N60+P60+R60+T60+V60+X60+Z60</f>
        <v>400000</v>
      </c>
      <c r="AD60" s="201">
        <f t="shared" si="119"/>
        <v>0</v>
      </c>
      <c r="AE60" s="3"/>
      <c r="AF60" s="201">
        <f t="shared" ref="AF60:AG60" si="120">D60+F60+H60+J60+L60+N60+P60+R60+T60+V60+X60+Z60</f>
        <v>400000</v>
      </c>
      <c r="AG60" s="201">
        <f t="shared" si="120"/>
        <v>0</v>
      </c>
    </row>
    <row r="61" ht="12.75" customHeight="1">
      <c r="A61" s="111"/>
      <c r="B61" s="188" t="s">
        <v>18</v>
      </c>
      <c r="C61" s="97" t="s">
        <v>230</v>
      </c>
      <c r="D61" s="189">
        <f>SUMIF(PPvsREal!$C:$C,'PPvsREal Summary'!C61,PPvsREal!$D:$D)</f>
        <v>0</v>
      </c>
      <c r="E61" s="3">
        <f>SUMIF(PPvsREal!$C:$C,'PPvsREal Summary'!C61,PPvsREal!$E:$E)</f>
        <v>0</v>
      </c>
      <c r="F61" s="3">
        <f>SUMIF(PPvsREal!$C:$C,'PPvsREal Summary'!C61,PPvsREal!$F:$F)</f>
        <v>0</v>
      </c>
      <c r="G61" s="3">
        <f>SUMIF(PPvsREal!$C:$C,'PPvsREal Summary'!C61,PPvsREal!$G:$G)</f>
        <v>0</v>
      </c>
      <c r="H61" s="3">
        <f>SUMIF(PPvsREal!$C:$C,'PPvsREal Summary'!C61,PPvsREal!$H:$H)</f>
        <v>0</v>
      </c>
      <c r="I61" s="3">
        <f>SUMIF(PPvsREal!$C:$C,'PPvsREal Summary'!C61,PPvsREal!$I:$I)</f>
        <v>0</v>
      </c>
      <c r="J61" s="3">
        <f>SUMIF(PPvsREal!$C:$C,'PPvsREal Summary'!C61,PPvsREal!$J:$J)</f>
        <v>0</v>
      </c>
      <c r="K61" s="3">
        <f>SUMIF(PPvsREal!$C:$C,'PPvsREal Summary'!C61,PPvsREal!$K:$K)</f>
        <v>0</v>
      </c>
      <c r="L61" s="3">
        <f>SUMIF(PPvsREal!$C:$C,'PPvsREal Summary'!C61,PPvsREal!$L:$L)</f>
        <v>0</v>
      </c>
      <c r="M61" s="3">
        <f>SUMIF(PPvsREal!$C:$C,'PPvsREal Summary'!C61,PPvsREal!$M:$M)</f>
        <v>0</v>
      </c>
      <c r="N61" s="3">
        <f>SUMIF(PPvsREal!$C:$C,'PPvsREal Summary'!C61,PPvsREal!$N:$N)</f>
        <v>0</v>
      </c>
      <c r="O61" s="3">
        <f>SUMIF(PPvsREal!$C:$C,'PPvsREal Summary'!C61,PPvsREal!$O:$O)</f>
        <v>0</v>
      </c>
      <c r="P61" s="3">
        <f>SUMIF(PPvsREal!$C:$C,'PPvsREal Summary'!C61,PPvsREal!$P:$P)</f>
        <v>0</v>
      </c>
      <c r="Q61" s="3">
        <f>SUMIF(PPvsREal!$C:$C,'PPvsREal Summary'!C61,PPvsREal!$Q:$Q)</f>
        <v>0</v>
      </c>
      <c r="R61" s="3">
        <f>SUMIF(PPvsREal!$C:$C,'PPvsREal Summary'!C61,PPvsREal!$R:$R)</f>
        <v>50000</v>
      </c>
      <c r="S61" s="3">
        <f>SUMIF(PPvsREal!$C:$C,'PPvsREal Summary'!C61,PPvsREal!$S:$S)</f>
        <v>0</v>
      </c>
      <c r="T61" s="3">
        <f>SUMIF(PPvsREal!$C:$C,'PPvsREal Summary'!C61,PPvsREal!$T:$T)</f>
        <v>0</v>
      </c>
      <c r="U61" s="3">
        <f>SUMIF(PPvsREal!$C:$C,'PPvsREal Summary'!C61,PPvsREal!$U:$U)</f>
        <v>0</v>
      </c>
      <c r="V61" s="3">
        <f>SUMIF(PPvsREal!$C:$C,'PPvsREal Summary'!C61,PPvsREal!$V:$V)</f>
        <v>0</v>
      </c>
      <c r="W61" s="3">
        <f>SUMIF(PPvsREal!$C:$C,'PPvsREal Summary'!C61,PPvsREal!$W:$W)</f>
        <v>0</v>
      </c>
      <c r="X61" s="3">
        <f>SUMIF(PPvsREal!$C:$C,'PPvsREal Summary'!C61,PPvsREal!$X:$X)</f>
        <v>0</v>
      </c>
      <c r="Y61" s="3">
        <f>SUMIF(PPvsREal!$C:$C,'PPvsREal Summary'!C61,PPvsREal!$Y:$Y)</f>
        <v>0</v>
      </c>
      <c r="Z61" s="3">
        <f>SUMIF(PPvsREal!$C:$C,'PPvsREal Summary'!C61,PPvsREal!$Z:$Z)</f>
        <v>0</v>
      </c>
      <c r="AA61" s="190">
        <f>SUMIF(PPvsREal!$C:$C,'PPvsREal Summary'!C61,PPvsREal!$AA:$AA)</f>
        <v>0</v>
      </c>
      <c r="AB61" s="3"/>
      <c r="AC61" s="201">
        <f t="shared" ref="AC61:AD61" si="121">D61+F61+H61+J61+L61+N61+P61+R61+T61+V61+X61+Z61</f>
        <v>50000</v>
      </c>
      <c r="AD61" s="201">
        <f t="shared" si="121"/>
        <v>0</v>
      </c>
      <c r="AE61" s="3"/>
      <c r="AF61" s="201">
        <f t="shared" ref="AF61:AG61" si="122">D61+F61+H61+J61+L61+N61+P61+R61+T61+V61+X61+Z61</f>
        <v>50000</v>
      </c>
      <c r="AG61" s="201">
        <f t="shared" si="122"/>
        <v>0</v>
      </c>
    </row>
    <row r="62" ht="12.75" customHeight="1">
      <c r="A62" s="111"/>
      <c r="B62" s="188" t="s">
        <v>18</v>
      </c>
      <c r="C62" s="97" t="s">
        <v>229</v>
      </c>
      <c r="D62" s="189">
        <f>SUMIF(PPvsREal!$C:$C,'PPvsREal Summary'!C62,PPvsREal!$D:$D)</f>
        <v>0</v>
      </c>
      <c r="E62" s="3">
        <f>SUMIF(PPvsREal!$C:$C,'PPvsREal Summary'!C62,PPvsREal!$E:$E)</f>
        <v>0</v>
      </c>
      <c r="F62" s="3">
        <f>SUMIF(PPvsREal!$C:$C,'PPvsREal Summary'!C62,PPvsREal!$F:$F)</f>
        <v>0</v>
      </c>
      <c r="G62" s="3">
        <f>SUMIF(PPvsREal!$C:$C,'PPvsREal Summary'!C62,PPvsREal!$G:$G)</f>
        <v>0</v>
      </c>
      <c r="H62" s="3">
        <f>SUMIF(PPvsREal!$C:$C,'PPvsREal Summary'!C62,PPvsREal!$H:$H)</f>
        <v>0</v>
      </c>
      <c r="I62" s="3">
        <f>SUMIF(PPvsREal!$C:$C,'PPvsREal Summary'!C62,PPvsREal!$I:$I)</f>
        <v>0</v>
      </c>
      <c r="J62" s="3">
        <f>SUMIF(PPvsREal!$C:$C,'PPvsREal Summary'!C62,PPvsREal!$J:$J)</f>
        <v>0</v>
      </c>
      <c r="K62" s="3">
        <f>SUMIF(PPvsREal!$C:$C,'PPvsREal Summary'!C62,PPvsREal!$K:$K)</f>
        <v>0</v>
      </c>
      <c r="L62" s="3">
        <f>SUMIF(PPvsREal!$C:$C,'PPvsREal Summary'!C62,PPvsREal!$L:$L)</f>
        <v>0</v>
      </c>
      <c r="M62" s="3">
        <f>SUMIF(PPvsREal!$C:$C,'PPvsREal Summary'!C62,PPvsREal!$M:$M)</f>
        <v>0</v>
      </c>
      <c r="N62" s="3">
        <f>SUMIF(PPvsREal!$C:$C,'PPvsREal Summary'!C62,PPvsREal!$N:$N)</f>
        <v>50000</v>
      </c>
      <c r="O62" s="3">
        <f>SUMIF(PPvsREal!$C:$C,'PPvsREal Summary'!C62,PPvsREal!$O:$O)</f>
        <v>0</v>
      </c>
      <c r="P62" s="3">
        <f>SUMIF(PPvsREal!$C:$C,'PPvsREal Summary'!C62,PPvsREal!$P:$P)</f>
        <v>0</v>
      </c>
      <c r="Q62" s="3">
        <f>SUMIF(PPvsREal!$C:$C,'PPvsREal Summary'!C62,PPvsREal!$Q:$Q)</f>
        <v>0</v>
      </c>
      <c r="R62" s="3">
        <f>SUMIF(PPvsREal!$C:$C,'PPvsREal Summary'!C62,PPvsREal!$R:$R)</f>
        <v>0</v>
      </c>
      <c r="S62" s="3">
        <f>SUMIF(PPvsREal!$C:$C,'PPvsREal Summary'!C62,PPvsREal!$S:$S)</f>
        <v>0</v>
      </c>
      <c r="T62" s="3">
        <f>SUMIF(PPvsREal!$C:$C,'PPvsREal Summary'!C62,PPvsREal!$T:$T)</f>
        <v>0</v>
      </c>
      <c r="U62" s="3">
        <f>SUMIF(PPvsREal!$C:$C,'PPvsREal Summary'!C62,PPvsREal!$U:$U)</f>
        <v>0</v>
      </c>
      <c r="V62" s="3">
        <f>SUMIF(PPvsREal!$C:$C,'PPvsREal Summary'!C62,PPvsREal!$V:$V)</f>
        <v>50000</v>
      </c>
      <c r="W62" s="3">
        <f>SUMIF(PPvsREal!$C:$C,'PPvsREal Summary'!C62,PPvsREal!$W:$W)</f>
        <v>0</v>
      </c>
      <c r="X62" s="3">
        <f>SUMIF(PPvsREal!$C:$C,'PPvsREal Summary'!C62,PPvsREal!$X:$X)</f>
        <v>0</v>
      </c>
      <c r="Y62" s="3">
        <f>SUMIF(PPvsREal!$C:$C,'PPvsREal Summary'!C62,PPvsREal!$Y:$Y)</f>
        <v>0</v>
      </c>
      <c r="Z62" s="3">
        <f>SUMIF(PPvsREal!$C:$C,'PPvsREal Summary'!C62,PPvsREal!$Z:$Z)</f>
        <v>0</v>
      </c>
      <c r="AA62" s="190">
        <f>SUMIF(PPvsREal!$C:$C,'PPvsREal Summary'!C62,PPvsREal!$AA:$AA)</f>
        <v>0</v>
      </c>
      <c r="AB62" s="3"/>
      <c r="AC62" s="201">
        <f t="shared" ref="AC62:AD62" si="123">D62+F62+H62+J62+L62+N62+P62+R62+T62+V62+X62+Z62</f>
        <v>100000</v>
      </c>
      <c r="AD62" s="201">
        <f t="shared" si="123"/>
        <v>0</v>
      </c>
      <c r="AE62" s="3"/>
      <c r="AF62" s="201">
        <f t="shared" ref="AF62:AG62" si="124">D62+F62+H62+J62+L62+N62+P62+R62+T62+V62+X62+Z62</f>
        <v>100000</v>
      </c>
      <c r="AG62" s="201">
        <f t="shared" si="124"/>
        <v>0</v>
      </c>
    </row>
    <row r="63" ht="12.75" customHeight="1">
      <c r="A63" s="111"/>
      <c r="B63" s="202"/>
      <c r="C63" s="203">
        <v>4.06E20</v>
      </c>
      <c r="D63" s="204">
        <f t="shared" ref="D63:AA63" si="125">SUM(D49:D62)</f>
        <v>450000</v>
      </c>
      <c r="E63" s="204">
        <f t="shared" si="125"/>
        <v>0</v>
      </c>
      <c r="F63" s="204">
        <f t="shared" si="125"/>
        <v>150000</v>
      </c>
      <c r="G63" s="204">
        <f t="shared" si="125"/>
        <v>0</v>
      </c>
      <c r="H63" s="204">
        <f t="shared" si="125"/>
        <v>480000</v>
      </c>
      <c r="I63" s="204">
        <f t="shared" si="125"/>
        <v>0</v>
      </c>
      <c r="J63" s="204">
        <f t="shared" si="125"/>
        <v>50000</v>
      </c>
      <c r="K63" s="204">
        <f t="shared" si="125"/>
        <v>0</v>
      </c>
      <c r="L63" s="204">
        <f t="shared" si="125"/>
        <v>380000</v>
      </c>
      <c r="M63" s="204">
        <f t="shared" si="125"/>
        <v>0</v>
      </c>
      <c r="N63" s="204">
        <f t="shared" si="125"/>
        <v>70000</v>
      </c>
      <c r="O63" s="204">
        <f t="shared" si="125"/>
        <v>0</v>
      </c>
      <c r="P63" s="204">
        <f t="shared" si="125"/>
        <v>100000</v>
      </c>
      <c r="Q63" s="204">
        <f t="shared" si="125"/>
        <v>0</v>
      </c>
      <c r="R63" s="204">
        <f t="shared" si="125"/>
        <v>50000</v>
      </c>
      <c r="S63" s="204">
        <f t="shared" si="125"/>
        <v>0</v>
      </c>
      <c r="T63" s="204">
        <f t="shared" si="125"/>
        <v>0</v>
      </c>
      <c r="U63" s="204">
        <f t="shared" si="125"/>
        <v>0</v>
      </c>
      <c r="V63" s="204">
        <f t="shared" si="125"/>
        <v>350000</v>
      </c>
      <c r="W63" s="204">
        <f t="shared" si="125"/>
        <v>0</v>
      </c>
      <c r="X63" s="204">
        <f t="shared" si="125"/>
        <v>150000</v>
      </c>
      <c r="Y63" s="204">
        <f t="shared" si="125"/>
        <v>0</v>
      </c>
      <c r="Z63" s="204">
        <f t="shared" si="125"/>
        <v>400000</v>
      </c>
      <c r="AA63" s="205">
        <f t="shared" si="125"/>
        <v>0</v>
      </c>
      <c r="AB63" s="3"/>
      <c r="AC63" s="206">
        <f t="shared" ref="AC63:AD63" si="126">SUM(AC49:AC62)</f>
        <v>2630000</v>
      </c>
      <c r="AD63" s="206">
        <f t="shared" si="126"/>
        <v>0</v>
      </c>
      <c r="AE63" s="3"/>
      <c r="AF63" s="206">
        <f t="shared" ref="AF63:AG63" si="127">SUM(AF49:AF62)</f>
        <v>2630000</v>
      </c>
      <c r="AG63" s="206">
        <f t="shared" si="127"/>
        <v>0</v>
      </c>
    </row>
    <row r="64" ht="12.75" customHeight="1">
      <c r="A64" s="111"/>
      <c r="B64" s="188"/>
      <c r="C64" s="2"/>
      <c r="D64" s="189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190"/>
      <c r="AB64" s="3"/>
      <c r="AC64" s="201">
        <f t="shared" ref="AC64:AD64" si="128">D64+F64+H64+J64+L64+N64+P64+R64+T64+V64+X64+Z64</f>
        <v>0</v>
      </c>
      <c r="AD64" s="201">
        <f t="shared" si="128"/>
        <v>0</v>
      </c>
      <c r="AE64" s="3"/>
      <c r="AF64" s="201">
        <f t="shared" ref="AF64:AG64" si="129">D64+F64+H64+J64+L64+N64+P64+R64+T64+V64+X64+Z64</f>
        <v>0</v>
      </c>
      <c r="AG64" s="201">
        <f t="shared" si="129"/>
        <v>0</v>
      </c>
    </row>
    <row r="65" ht="12.75" customHeight="1">
      <c r="A65" s="111"/>
      <c r="B65" s="188" t="s">
        <v>22</v>
      </c>
      <c r="C65" s="2" t="s">
        <v>176</v>
      </c>
      <c r="D65" s="189">
        <f>SUMIF(PPvsREal!$C:$C,'PPvsREal Summary'!C65,PPvsREal!$D:$D)</f>
        <v>0</v>
      </c>
      <c r="E65" s="3">
        <f>SUMIF(PPvsREal!$C:$C,'PPvsREal Summary'!C65,PPvsREal!$E:$E)</f>
        <v>0</v>
      </c>
      <c r="F65" s="3">
        <f>SUMIF(PPvsREal!$C:$C,'PPvsREal Summary'!C65,PPvsREal!$F:$F)</f>
        <v>0</v>
      </c>
      <c r="G65" s="3">
        <f>SUMIF(PPvsREal!$C:$C,'PPvsREal Summary'!C65,PPvsREal!$G:$G)</f>
        <v>0</v>
      </c>
      <c r="H65" s="3">
        <f>SUMIF(PPvsREal!$C:$C,'PPvsREal Summary'!C65,PPvsREal!$H:$H)</f>
        <v>0</v>
      </c>
      <c r="I65" s="3">
        <f>SUMIF(PPvsREal!$C:$C,'PPvsREal Summary'!C65,PPvsREal!$I:$I)</f>
        <v>0</v>
      </c>
      <c r="J65" s="3">
        <f>SUMIF(PPvsREal!$C:$C,'PPvsREal Summary'!C65,PPvsREal!$J:$J)</f>
        <v>0</v>
      </c>
      <c r="K65" s="3">
        <f>SUMIF(PPvsREal!$C:$C,'PPvsREal Summary'!C65,PPvsREal!$K:$K)</f>
        <v>0</v>
      </c>
      <c r="L65" s="3">
        <f>SUMIF(PPvsREal!$C:$C,'PPvsREal Summary'!C65,PPvsREal!$L:$L)</f>
        <v>0</v>
      </c>
      <c r="M65" s="3">
        <f>SUMIF(PPvsREal!$C:$C,'PPvsREal Summary'!C65,PPvsREal!$M:$M)</f>
        <v>0</v>
      </c>
      <c r="N65" s="3">
        <f>SUMIF(PPvsREal!$C:$C,'PPvsREal Summary'!C65,PPvsREal!$N:$N)</f>
        <v>0</v>
      </c>
      <c r="O65" s="3">
        <f>SUMIF(PPvsREal!$C:$C,'PPvsREal Summary'!C65,PPvsREal!$O:$O)</f>
        <v>0</v>
      </c>
      <c r="P65" s="3">
        <f>SUMIF(PPvsREal!$C:$C,'PPvsREal Summary'!C65,PPvsREal!$P:$P)</f>
        <v>0</v>
      </c>
      <c r="Q65" s="3">
        <f>SUMIF(PPvsREal!$C:$C,'PPvsREal Summary'!C65,PPvsREal!$Q:$Q)</f>
        <v>0</v>
      </c>
      <c r="R65" s="3">
        <f>SUMIF(PPvsREal!$C:$C,'PPvsREal Summary'!C65,PPvsREal!$R:$R)</f>
        <v>0</v>
      </c>
      <c r="S65" s="3">
        <f>SUMIF(PPvsREal!$C:$C,'PPvsREal Summary'!C65,PPvsREal!$S:$S)</f>
        <v>0</v>
      </c>
      <c r="T65" s="3">
        <f>SUMIF(PPvsREal!$C:$C,'PPvsREal Summary'!C65,PPvsREal!$T:$T)</f>
        <v>0</v>
      </c>
      <c r="U65" s="3">
        <f>SUMIF(PPvsREal!$C:$C,'PPvsREal Summary'!C65,PPvsREal!$U:$U)</f>
        <v>0</v>
      </c>
      <c r="V65" s="3">
        <f>SUMIF(PPvsREal!$C:$C,'PPvsREal Summary'!C65,PPvsREal!$V:$V)</f>
        <v>50000</v>
      </c>
      <c r="W65" s="3">
        <f>SUMIF(PPvsREal!$C:$C,'PPvsREal Summary'!C65,PPvsREal!$W:$W)</f>
        <v>0</v>
      </c>
      <c r="X65" s="3">
        <f>SUMIF(PPvsREal!$C:$C,'PPvsREal Summary'!C65,PPvsREal!$X:$X)</f>
        <v>0</v>
      </c>
      <c r="Y65" s="3">
        <f>SUMIF(PPvsREal!$C:$C,'PPvsREal Summary'!C65,PPvsREal!$Y:$Y)</f>
        <v>0</v>
      </c>
      <c r="Z65" s="3">
        <f>SUMIF(PPvsREal!$C:$C,'PPvsREal Summary'!C65,PPvsREal!$Z:$Z)</f>
        <v>0</v>
      </c>
      <c r="AA65" s="190">
        <f>SUMIF(PPvsREal!$C:$C,'PPvsREal Summary'!C65,PPvsREal!$AA:$AA)</f>
        <v>0</v>
      </c>
      <c r="AB65" s="3"/>
      <c r="AC65" s="201">
        <f t="shared" ref="AC65:AD65" si="130">D65+F65+H65+J65+L65+N65+P65+R65+T65+V65+X65+Z65</f>
        <v>50000</v>
      </c>
      <c r="AD65" s="201">
        <f t="shared" si="130"/>
        <v>0</v>
      </c>
      <c r="AE65" s="3"/>
      <c r="AF65" s="201">
        <f t="shared" ref="AF65:AG65" si="131">D65+F65+H65+J65+L65+N65+P65+R65+T65+V65+X65+Z65</f>
        <v>50000</v>
      </c>
      <c r="AG65" s="201">
        <f t="shared" si="131"/>
        <v>0</v>
      </c>
    </row>
    <row r="66" ht="12.75" customHeight="1">
      <c r="A66" s="111"/>
      <c r="B66" s="188" t="s">
        <v>22</v>
      </c>
      <c r="C66" s="2" t="s">
        <v>180</v>
      </c>
      <c r="D66" s="189">
        <f>SUMIF(PPvsREal!$C:$C,'PPvsREal Summary'!C66,PPvsREal!$D:$D)</f>
        <v>0</v>
      </c>
      <c r="E66" s="3">
        <f>SUMIF(PPvsREal!$C:$C,'PPvsREal Summary'!C66,PPvsREal!$E:$E)</f>
        <v>0</v>
      </c>
      <c r="F66" s="3">
        <f>SUMIF(PPvsREal!$C:$C,'PPvsREal Summary'!C66,PPvsREal!$F:$F)</f>
        <v>0</v>
      </c>
      <c r="G66" s="3">
        <f>SUMIF(PPvsREal!$C:$C,'PPvsREal Summary'!C66,PPvsREal!$G:$G)</f>
        <v>0</v>
      </c>
      <c r="H66" s="3">
        <f>SUMIF(PPvsREal!$C:$C,'PPvsREal Summary'!C66,PPvsREal!$H:$H)</f>
        <v>0</v>
      </c>
      <c r="I66" s="3">
        <f>SUMIF(PPvsREal!$C:$C,'PPvsREal Summary'!C66,PPvsREal!$I:$I)</f>
        <v>0</v>
      </c>
      <c r="J66" s="3">
        <f>SUMIF(PPvsREal!$C:$C,'PPvsREal Summary'!C66,PPvsREal!$J:$J)</f>
        <v>0</v>
      </c>
      <c r="K66" s="3">
        <f>SUMIF(PPvsREal!$C:$C,'PPvsREal Summary'!C66,PPvsREal!$K:$K)</f>
        <v>0</v>
      </c>
      <c r="L66" s="3">
        <f>SUMIF(PPvsREal!$C:$C,'PPvsREal Summary'!C66,PPvsREal!$L:$L)</f>
        <v>0</v>
      </c>
      <c r="M66" s="3">
        <f>SUMIF(PPvsREal!$C:$C,'PPvsREal Summary'!C66,PPvsREal!$M:$M)</f>
        <v>0</v>
      </c>
      <c r="N66" s="3">
        <f>SUMIF(PPvsREal!$C:$C,'PPvsREal Summary'!C66,PPvsREal!$N:$N)</f>
        <v>0</v>
      </c>
      <c r="O66" s="3">
        <f>SUMIF(PPvsREal!$C:$C,'PPvsREal Summary'!C66,PPvsREal!$O:$O)</f>
        <v>0</v>
      </c>
      <c r="P66" s="3">
        <f>SUMIF(PPvsREal!$C:$C,'PPvsREal Summary'!C66,PPvsREal!$P:$P)</f>
        <v>0</v>
      </c>
      <c r="Q66" s="3">
        <f>SUMIF(PPvsREal!$C:$C,'PPvsREal Summary'!C66,PPvsREal!$Q:$Q)</f>
        <v>0</v>
      </c>
      <c r="R66" s="3">
        <f>SUMIF(PPvsREal!$C:$C,'PPvsREal Summary'!C66,PPvsREal!$R:$R)</f>
        <v>0</v>
      </c>
      <c r="S66" s="3">
        <f>SUMIF(PPvsREal!$C:$C,'PPvsREal Summary'!C66,PPvsREal!$S:$S)</f>
        <v>0</v>
      </c>
      <c r="T66" s="3">
        <f>SUMIF(PPvsREal!$C:$C,'PPvsREal Summary'!C66,PPvsREal!$T:$T)</f>
        <v>0</v>
      </c>
      <c r="U66" s="3">
        <f>SUMIF(PPvsREal!$C:$C,'PPvsREal Summary'!C66,PPvsREal!$U:$U)</f>
        <v>0</v>
      </c>
      <c r="V66" s="3">
        <f>SUMIF(PPvsREal!$C:$C,'PPvsREal Summary'!C66,PPvsREal!$V:$V)</f>
        <v>0</v>
      </c>
      <c r="W66" s="3">
        <f>SUMIF(PPvsREal!$C:$C,'PPvsREal Summary'!C66,PPvsREal!$W:$W)</f>
        <v>0</v>
      </c>
      <c r="X66" s="3">
        <f>SUMIF(PPvsREal!$C:$C,'PPvsREal Summary'!C66,PPvsREal!$X:$X)</f>
        <v>0</v>
      </c>
      <c r="Y66" s="3">
        <f>SUMIF(PPvsREal!$C:$C,'PPvsREal Summary'!C66,PPvsREal!$Y:$Y)</f>
        <v>0</v>
      </c>
      <c r="Z66" s="3">
        <f>SUMIF(PPvsREal!$C:$C,'PPvsREal Summary'!C66,PPvsREal!$Z:$Z)</f>
        <v>0</v>
      </c>
      <c r="AA66" s="190">
        <f>SUMIF(PPvsREal!$C:$C,'PPvsREal Summary'!C66,PPvsREal!$AA:$AA)</f>
        <v>0</v>
      </c>
      <c r="AB66" s="3"/>
      <c r="AC66" s="201">
        <f t="shared" ref="AC66:AD66" si="132">D66+F66+H66+J66+L66+N66+P66+R66+T66+V66+X66+Z66</f>
        <v>0</v>
      </c>
      <c r="AD66" s="201">
        <f t="shared" si="132"/>
        <v>0</v>
      </c>
      <c r="AE66" s="3"/>
      <c r="AF66" s="201">
        <f t="shared" ref="AF66:AG66" si="133">D66+F66+H66+J66+L66+N66+P66+R66+T66+V66+X66+Z66</f>
        <v>0</v>
      </c>
      <c r="AG66" s="201">
        <f t="shared" si="133"/>
        <v>0</v>
      </c>
    </row>
    <row r="67" ht="12.75" customHeight="1">
      <c r="A67" s="111"/>
      <c r="B67" s="202"/>
      <c r="C67" s="203">
        <v>4.07E20</v>
      </c>
      <c r="D67" s="204">
        <f t="shared" ref="D67:AA67" si="134">SUM(D65:D66)</f>
        <v>0</v>
      </c>
      <c r="E67" s="204">
        <f t="shared" si="134"/>
        <v>0</v>
      </c>
      <c r="F67" s="204">
        <f t="shared" si="134"/>
        <v>0</v>
      </c>
      <c r="G67" s="204">
        <f t="shared" si="134"/>
        <v>0</v>
      </c>
      <c r="H67" s="204">
        <f t="shared" si="134"/>
        <v>0</v>
      </c>
      <c r="I67" s="204">
        <f t="shared" si="134"/>
        <v>0</v>
      </c>
      <c r="J67" s="204">
        <f t="shared" si="134"/>
        <v>0</v>
      </c>
      <c r="K67" s="204">
        <f t="shared" si="134"/>
        <v>0</v>
      </c>
      <c r="L67" s="204">
        <f t="shared" si="134"/>
        <v>0</v>
      </c>
      <c r="M67" s="204">
        <f t="shared" si="134"/>
        <v>0</v>
      </c>
      <c r="N67" s="204">
        <f t="shared" si="134"/>
        <v>0</v>
      </c>
      <c r="O67" s="204">
        <f t="shared" si="134"/>
        <v>0</v>
      </c>
      <c r="P67" s="204">
        <f t="shared" si="134"/>
        <v>0</v>
      </c>
      <c r="Q67" s="204">
        <f t="shared" si="134"/>
        <v>0</v>
      </c>
      <c r="R67" s="204">
        <f t="shared" si="134"/>
        <v>0</v>
      </c>
      <c r="S67" s="204">
        <f t="shared" si="134"/>
        <v>0</v>
      </c>
      <c r="T67" s="204">
        <f t="shared" si="134"/>
        <v>0</v>
      </c>
      <c r="U67" s="204">
        <f t="shared" si="134"/>
        <v>0</v>
      </c>
      <c r="V67" s="204">
        <f t="shared" si="134"/>
        <v>50000</v>
      </c>
      <c r="W67" s="204">
        <f t="shared" si="134"/>
        <v>0</v>
      </c>
      <c r="X67" s="204">
        <f t="shared" si="134"/>
        <v>0</v>
      </c>
      <c r="Y67" s="204">
        <f t="shared" si="134"/>
        <v>0</v>
      </c>
      <c r="Z67" s="204">
        <f t="shared" si="134"/>
        <v>0</v>
      </c>
      <c r="AA67" s="205">
        <f t="shared" si="134"/>
        <v>0</v>
      </c>
      <c r="AB67" s="3"/>
      <c r="AC67" s="206">
        <f t="shared" ref="AC67:AD67" si="135">D67+F67+H67+J67+L67+N67+P67+R67+T67+V67+X67+Z67</f>
        <v>50000</v>
      </c>
      <c r="AD67" s="206">
        <f t="shared" si="135"/>
        <v>0</v>
      </c>
      <c r="AE67" s="3"/>
      <c r="AF67" s="206">
        <f t="shared" ref="AF67:AG67" si="136">D67+F67+H67+J67+L67+N67+P67+R67+T67+V67+X67+Z67</f>
        <v>50000</v>
      </c>
      <c r="AG67" s="206">
        <f t="shared" si="136"/>
        <v>0</v>
      </c>
    </row>
    <row r="68" ht="15.75" customHeight="1">
      <c r="A68" s="111"/>
      <c r="B68" s="207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208"/>
      <c r="AB68" s="111"/>
      <c r="AC68" s="207">
        <f t="shared" ref="AC68:AD68" si="137">D68+F68+H68+J68+L68+N68+P68+R68+T68+V68+X68+Z68</f>
        <v>0</v>
      </c>
      <c r="AD68" s="207">
        <f t="shared" si="137"/>
        <v>0</v>
      </c>
      <c r="AE68" s="111"/>
      <c r="AF68" s="207">
        <f t="shared" ref="AF68:AG68" si="138">D68+F68+H68+J68+L68+N68+P68+R68+T68+V68+X68+Z68</f>
        <v>0</v>
      </c>
      <c r="AG68" s="207">
        <f t="shared" si="138"/>
        <v>0</v>
      </c>
    </row>
    <row r="69" ht="12.75" customHeight="1">
      <c r="A69" s="111"/>
      <c r="B69" s="188" t="s">
        <v>37</v>
      </c>
      <c r="C69" s="2" t="s">
        <v>321</v>
      </c>
      <c r="D69" s="189">
        <f>SUMIF(PPvsREal!$C:$C,'PPvsREal Summary'!C69,PPvsREal!$D:$D)</f>
        <v>0</v>
      </c>
      <c r="E69" s="3">
        <f>SUMIF(PPvsREal!$C:$C,'PPvsREal Summary'!C69,PPvsREal!$E:$E)</f>
        <v>0</v>
      </c>
      <c r="F69" s="3">
        <f>SUMIF(PPvsREal!$C:$C,'PPvsREal Summary'!C69,PPvsREal!$F:$F)</f>
        <v>0</v>
      </c>
      <c r="G69" s="3">
        <f>SUMIF(PPvsREal!$C:$C,'PPvsREal Summary'!C69,PPvsREal!$G:$G)</f>
        <v>0</v>
      </c>
      <c r="H69" s="3">
        <f>SUMIF(PPvsREal!$C:$C,'PPvsREal Summary'!C69,PPvsREal!$H:$H)</f>
        <v>0</v>
      </c>
      <c r="I69" s="3">
        <f>SUMIF(PPvsREal!$C:$C,'PPvsREal Summary'!C69,PPvsREal!$I:$I)</f>
        <v>0</v>
      </c>
      <c r="J69" s="3">
        <f>SUMIF(PPvsREal!$C:$C,'PPvsREal Summary'!C69,PPvsREal!$J:$J)</f>
        <v>0</v>
      </c>
      <c r="K69" s="3">
        <f>SUMIF(PPvsREal!$C:$C,'PPvsREal Summary'!C69,PPvsREal!$K:$K)</f>
        <v>0</v>
      </c>
      <c r="L69" s="3">
        <f>SUMIF(PPvsREal!$C:$C,'PPvsREal Summary'!C69,PPvsREal!$L:$L)</f>
        <v>0</v>
      </c>
      <c r="M69" s="3">
        <f>SUMIF(PPvsREal!$C:$C,'PPvsREal Summary'!C69,PPvsREal!$M:$M)</f>
        <v>0</v>
      </c>
      <c r="N69" s="3">
        <f>SUMIF(PPvsREal!$C:$C,'PPvsREal Summary'!C69,PPvsREal!$N:$N)</f>
        <v>0</v>
      </c>
      <c r="O69" s="3">
        <f>SUMIF(PPvsREal!$C:$C,'PPvsREal Summary'!C69,PPvsREal!$O:$O)</f>
        <v>0</v>
      </c>
      <c r="P69" s="3">
        <f>SUMIF(PPvsREal!$C:$C,'PPvsREal Summary'!C69,PPvsREal!$P:$P)</f>
        <v>0</v>
      </c>
      <c r="Q69" s="3">
        <f>SUMIF(PPvsREal!$C:$C,'PPvsREal Summary'!C69,PPvsREal!$Q:$Q)</f>
        <v>0</v>
      </c>
      <c r="R69" s="3">
        <f>SUMIF(PPvsREal!$C:$C,'PPvsREal Summary'!C69,PPvsREal!$R:$R)</f>
        <v>0</v>
      </c>
      <c r="S69" s="3">
        <f>SUMIF(PPvsREal!$C:$C,'PPvsREal Summary'!C69,PPvsREal!$S:$S)</f>
        <v>0</v>
      </c>
      <c r="T69" s="3">
        <f>SUMIF(PPvsREal!$C:$C,'PPvsREal Summary'!C69,PPvsREal!$T:$T)</f>
        <v>0</v>
      </c>
      <c r="U69" s="3">
        <f>SUMIF(PPvsREal!$C:$C,'PPvsREal Summary'!C69,PPvsREal!$U:$U)</f>
        <v>0</v>
      </c>
      <c r="V69" s="3">
        <f>SUMIF(PPvsREal!$C:$C,'PPvsREal Summary'!C69,PPvsREal!$V:$V)</f>
        <v>0</v>
      </c>
      <c r="W69" s="3">
        <f>SUMIF(PPvsREal!$C:$C,'PPvsREal Summary'!C69,PPvsREal!$W:$W)</f>
        <v>0</v>
      </c>
      <c r="X69" s="3">
        <f>SUMIF(PPvsREal!$C:$C,'PPvsREal Summary'!C69,PPvsREal!$X:$X)</f>
        <v>0</v>
      </c>
      <c r="Y69" s="3">
        <f>SUMIF(PPvsREal!$C:$C,'PPvsREal Summary'!C69,PPvsREal!$Y:$Y)</f>
        <v>0</v>
      </c>
      <c r="Z69" s="3">
        <f>SUMIF(PPvsREal!$C:$C,'PPvsREal Summary'!C69,PPvsREal!$Z:$Z)</f>
        <v>0</v>
      </c>
      <c r="AA69" s="190">
        <f>SUMIF(PPvsREal!$C:$C,'PPvsREal Summary'!C69,PPvsREal!$AA:$AA)</f>
        <v>0</v>
      </c>
      <c r="AB69" s="3"/>
      <c r="AC69" s="201">
        <f t="shared" ref="AC69:AD69" si="139">D69+F69+H69+J69+L69+N69+P69+R69+T69+V69+X69+Z69</f>
        <v>0</v>
      </c>
      <c r="AD69" s="201">
        <f t="shared" si="139"/>
        <v>0</v>
      </c>
      <c r="AE69" s="3"/>
      <c r="AF69" s="201">
        <f t="shared" ref="AF69:AG69" si="140">D69+F69+H69+J69+L69+N69+P69+R69+T69+V69+X69+Z69</f>
        <v>0</v>
      </c>
      <c r="AG69" s="201">
        <f t="shared" si="140"/>
        <v>0</v>
      </c>
    </row>
    <row r="70" ht="12.75" customHeight="1">
      <c r="A70" s="111"/>
      <c r="B70" s="202"/>
      <c r="C70" s="203">
        <v>4.1E20</v>
      </c>
      <c r="D70" s="204">
        <f t="shared" ref="D70:AA70" si="141">D69</f>
        <v>0</v>
      </c>
      <c r="E70" s="204">
        <f t="shared" si="141"/>
        <v>0</v>
      </c>
      <c r="F70" s="204">
        <f t="shared" si="141"/>
        <v>0</v>
      </c>
      <c r="G70" s="204">
        <f t="shared" si="141"/>
        <v>0</v>
      </c>
      <c r="H70" s="204">
        <f t="shared" si="141"/>
        <v>0</v>
      </c>
      <c r="I70" s="204">
        <f t="shared" si="141"/>
        <v>0</v>
      </c>
      <c r="J70" s="204">
        <f t="shared" si="141"/>
        <v>0</v>
      </c>
      <c r="K70" s="204">
        <f t="shared" si="141"/>
        <v>0</v>
      </c>
      <c r="L70" s="204">
        <f t="shared" si="141"/>
        <v>0</v>
      </c>
      <c r="M70" s="204">
        <f t="shared" si="141"/>
        <v>0</v>
      </c>
      <c r="N70" s="204">
        <f t="shared" si="141"/>
        <v>0</v>
      </c>
      <c r="O70" s="204">
        <f t="shared" si="141"/>
        <v>0</v>
      </c>
      <c r="P70" s="204">
        <f t="shared" si="141"/>
        <v>0</v>
      </c>
      <c r="Q70" s="204">
        <f t="shared" si="141"/>
        <v>0</v>
      </c>
      <c r="R70" s="204">
        <f t="shared" si="141"/>
        <v>0</v>
      </c>
      <c r="S70" s="204">
        <f t="shared" si="141"/>
        <v>0</v>
      </c>
      <c r="T70" s="204">
        <f t="shared" si="141"/>
        <v>0</v>
      </c>
      <c r="U70" s="204">
        <f t="shared" si="141"/>
        <v>0</v>
      </c>
      <c r="V70" s="204">
        <f t="shared" si="141"/>
        <v>0</v>
      </c>
      <c r="W70" s="204">
        <f t="shared" si="141"/>
        <v>0</v>
      </c>
      <c r="X70" s="204">
        <f t="shared" si="141"/>
        <v>0</v>
      </c>
      <c r="Y70" s="204">
        <f t="shared" si="141"/>
        <v>0</v>
      </c>
      <c r="Z70" s="204">
        <f t="shared" si="141"/>
        <v>0</v>
      </c>
      <c r="AA70" s="205">
        <f t="shared" si="141"/>
        <v>0</v>
      </c>
      <c r="AB70" s="3"/>
      <c r="AC70" s="206">
        <f t="shared" ref="AC70:AD70" si="142">D70+F70+H70+J70+L70+N70+P70+R70+T70+V70+X70+Z70</f>
        <v>0</v>
      </c>
      <c r="AD70" s="206">
        <f t="shared" si="142"/>
        <v>0</v>
      </c>
      <c r="AE70" s="3"/>
      <c r="AF70" s="206">
        <f t="shared" ref="AF70:AG70" si="143">D70+F70+H70+J70+L70+N70+P70+R70+T70+V70+X70+Z70</f>
        <v>0</v>
      </c>
      <c r="AG70" s="206">
        <f t="shared" si="143"/>
        <v>0</v>
      </c>
    </row>
    <row r="71" ht="12.75" customHeight="1">
      <c r="A71" s="111"/>
      <c r="B71" s="188"/>
      <c r="C71" s="2"/>
      <c r="D71" s="189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190"/>
      <c r="AB71" s="3"/>
      <c r="AC71" s="201"/>
      <c r="AD71" s="201"/>
      <c r="AE71" s="3"/>
      <c r="AF71" s="201"/>
      <c r="AG71" s="201"/>
    </row>
    <row r="72" ht="12.75" customHeight="1">
      <c r="A72" s="111"/>
      <c r="B72" s="188" t="s">
        <v>37</v>
      </c>
      <c r="C72" s="2" t="s">
        <v>375</v>
      </c>
      <c r="D72" s="189">
        <f>SUMIF(PPvsREal!$C:$C,'PPvsREal Summary'!C72,PPvsREal!$D:$D)</f>
        <v>559332.32</v>
      </c>
      <c r="E72" s="3">
        <f>SUMIF(PPvsREal!$C:$C,'PPvsREal Summary'!C72,PPvsREal!$E:$E)</f>
        <v>0</v>
      </c>
      <c r="F72" s="3">
        <f>SUMIF(PPvsREal!$C:$C,'PPvsREal Summary'!C72,PPvsREal!$F:$F)</f>
        <v>559332.32</v>
      </c>
      <c r="G72" s="3">
        <f>SUMIF(PPvsREal!$C:$C,'PPvsREal Summary'!C72,PPvsREal!$G:$G)</f>
        <v>618121.5</v>
      </c>
      <c r="H72" s="3">
        <f>SUMIF(PPvsREal!$C:$C,'PPvsREal Summary'!C72,PPvsREal!$H:$H)</f>
        <v>559332.32</v>
      </c>
      <c r="I72" s="3">
        <f>SUMIF(PPvsREal!$C:$C,'PPvsREal Summary'!C72,PPvsREal!$I:$I)</f>
        <v>618121.5</v>
      </c>
      <c r="J72" s="3">
        <f>SUMIF(PPvsREal!$C:$C,'PPvsREal Summary'!C72,PPvsREal!$J:$J)</f>
        <v>559332.32</v>
      </c>
      <c r="K72" s="3">
        <f>SUMIF(PPvsREal!$C:$C,'PPvsREal Summary'!C72,PPvsREal!$K:$K)</f>
        <v>618121.5</v>
      </c>
      <c r="L72" s="3">
        <f>SUMIF(PPvsREal!$C:$C,'PPvsREal Summary'!C72,PPvsREal!$L:$L)</f>
        <v>559332.32</v>
      </c>
      <c r="M72" s="3">
        <f>SUMIF(PPvsREal!$C:$C,'PPvsREal Summary'!C72,PPvsREal!$M:$M)</f>
        <v>618121.5</v>
      </c>
      <c r="N72" s="3">
        <f>SUMIF(PPvsREal!$C:$C,'PPvsREal Summary'!C72,PPvsREal!$N:$N)</f>
        <v>559332.32</v>
      </c>
      <c r="O72" s="3">
        <f>SUMIF(PPvsREal!$C:$C,'PPvsREal Summary'!C72,PPvsREal!$O:$O)</f>
        <v>618121.5</v>
      </c>
      <c r="P72" s="3">
        <f>SUMIF(PPvsREal!$C:$C,'PPvsREal Summary'!C72,PPvsREal!$P:$P)</f>
        <v>559332.32</v>
      </c>
      <c r="Q72" s="3">
        <f>SUMIF(PPvsREal!$C:$C,'PPvsREal Summary'!C72,PPvsREal!$Q:$Q)</f>
        <v>618121.5</v>
      </c>
      <c r="R72" s="3">
        <f>SUMIF(PPvsREal!$C:$C,'PPvsREal Summary'!C72,PPvsREal!$R:$R)</f>
        <v>559332.32</v>
      </c>
      <c r="S72" s="3">
        <f>SUMIF(PPvsREal!$C:$C,'PPvsREal Summary'!C72,PPvsREal!$S:$S)</f>
        <v>618121.5</v>
      </c>
      <c r="T72" s="3">
        <f>SUMIF(PPvsREal!$C:$C,'PPvsREal Summary'!C72,PPvsREal!$T:$T)</f>
        <v>559332.32</v>
      </c>
      <c r="U72" s="3">
        <f>SUMIF(PPvsREal!$C:$C,'PPvsREal Summary'!C72,PPvsREal!$U:$U)</f>
        <v>618121.5</v>
      </c>
      <c r="V72" s="3">
        <f>SUMIF(PPvsREal!$C:$C,'PPvsREal Summary'!C72,PPvsREal!$V:$V)</f>
        <v>559332.32</v>
      </c>
      <c r="W72" s="3">
        <f>SUMIF(PPvsREal!$C:$C,'PPvsREal Summary'!C72,PPvsREal!$W:$W)</f>
        <v>618121.5</v>
      </c>
      <c r="X72" s="3">
        <f>SUMIF(PPvsREal!$C:$C,'PPvsREal Summary'!C72,PPvsREal!$X:$X)</f>
        <v>559332.32</v>
      </c>
      <c r="Y72" s="3">
        <f>SUMIF(PPvsREal!$C:$C,'PPvsREal Summary'!C72,PPvsREal!$Y:$Y)</f>
        <v>618121.5</v>
      </c>
      <c r="Z72" s="3">
        <f>SUMIF(PPvsREal!$C:$C,'PPvsREal Summary'!C72,PPvsREal!$Z:$Z)</f>
        <v>559332.32</v>
      </c>
      <c r="AA72" s="190">
        <f>SUMIF(PPvsREal!$C:$C,'PPvsREal Summary'!C72,PPvsREal!$AA:$AA)</f>
        <v>0</v>
      </c>
      <c r="AB72" s="3"/>
      <c r="AC72" s="201">
        <f t="shared" ref="AC72:AD72" si="144">D72+F72+H72+J72+L72+N72+P72+R72+T72+V72+X72+Z72</f>
        <v>6711987.84</v>
      </c>
      <c r="AD72" s="201">
        <f t="shared" si="144"/>
        <v>6181215</v>
      </c>
      <c r="AE72" s="3"/>
      <c r="AF72" s="201">
        <f t="shared" ref="AF72:AG72" si="145">D72+F72+H72+J72+L72+N72+P72+R72+T72+V72+X72+Z72</f>
        <v>6711987.84</v>
      </c>
      <c r="AG72" s="201">
        <f t="shared" si="145"/>
        <v>6181215</v>
      </c>
    </row>
    <row r="73" ht="12.75" customHeight="1">
      <c r="A73" s="111"/>
      <c r="B73" s="202"/>
      <c r="C73" s="203">
        <v>5.01E20</v>
      </c>
      <c r="D73" s="204">
        <f t="shared" ref="D73:AA73" si="146">D72</f>
        <v>559332.32</v>
      </c>
      <c r="E73" s="204">
        <f t="shared" si="146"/>
        <v>0</v>
      </c>
      <c r="F73" s="204">
        <f t="shared" si="146"/>
        <v>559332.32</v>
      </c>
      <c r="G73" s="204">
        <f t="shared" si="146"/>
        <v>618121.5</v>
      </c>
      <c r="H73" s="204">
        <f t="shared" si="146"/>
        <v>559332.32</v>
      </c>
      <c r="I73" s="204">
        <f t="shared" si="146"/>
        <v>618121.5</v>
      </c>
      <c r="J73" s="204">
        <f t="shared" si="146"/>
        <v>559332.32</v>
      </c>
      <c r="K73" s="204">
        <f t="shared" si="146"/>
        <v>618121.5</v>
      </c>
      <c r="L73" s="204">
        <f t="shared" si="146"/>
        <v>559332.32</v>
      </c>
      <c r="M73" s="204">
        <f t="shared" si="146"/>
        <v>618121.5</v>
      </c>
      <c r="N73" s="204">
        <f t="shared" si="146"/>
        <v>559332.32</v>
      </c>
      <c r="O73" s="204">
        <f t="shared" si="146"/>
        <v>618121.5</v>
      </c>
      <c r="P73" s="204">
        <f t="shared" si="146"/>
        <v>559332.32</v>
      </c>
      <c r="Q73" s="204">
        <f t="shared" si="146"/>
        <v>618121.5</v>
      </c>
      <c r="R73" s="204">
        <f t="shared" si="146"/>
        <v>559332.32</v>
      </c>
      <c r="S73" s="204">
        <f t="shared" si="146"/>
        <v>618121.5</v>
      </c>
      <c r="T73" s="204">
        <f t="shared" si="146"/>
        <v>559332.32</v>
      </c>
      <c r="U73" s="204">
        <f t="shared" si="146"/>
        <v>618121.5</v>
      </c>
      <c r="V73" s="204">
        <f t="shared" si="146"/>
        <v>559332.32</v>
      </c>
      <c r="W73" s="204">
        <f t="shared" si="146"/>
        <v>618121.5</v>
      </c>
      <c r="X73" s="204">
        <f t="shared" si="146"/>
        <v>559332.32</v>
      </c>
      <c r="Y73" s="204">
        <f t="shared" si="146"/>
        <v>618121.5</v>
      </c>
      <c r="Z73" s="204">
        <f t="shared" si="146"/>
        <v>559332.32</v>
      </c>
      <c r="AA73" s="205">
        <f t="shared" si="146"/>
        <v>0</v>
      </c>
      <c r="AB73" s="3"/>
      <c r="AC73" s="206">
        <f t="shared" ref="AC73:AD73" si="147">D73+F73+H73+J73+L73+N73+P73+R73+T73+V73+X73+Z73</f>
        <v>6711987.84</v>
      </c>
      <c r="AD73" s="206">
        <f t="shared" si="147"/>
        <v>6181215</v>
      </c>
      <c r="AE73" s="3"/>
      <c r="AF73" s="206">
        <f t="shared" ref="AF73:AG73" si="148">D73+F73+H73+J73+L73+N73+P73+R73+T73+V73+X73+Z73</f>
        <v>6711987.84</v>
      </c>
      <c r="AG73" s="206">
        <f t="shared" si="148"/>
        <v>6181215</v>
      </c>
    </row>
    <row r="74" ht="12.75" customHeight="1">
      <c r="A74" s="111"/>
      <c r="B74" s="188"/>
      <c r="C74" s="2"/>
      <c r="D74" s="189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190"/>
      <c r="AB74" s="3"/>
      <c r="AC74" s="201"/>
      <c r="AD74" s="201"/>
      <c r="AE74" s="3"/>
      <c r="AF74" s="201"/>
      <c r="AG74" s="201"/>
    </row>
    <row r="75" ht="12.75" customHeight="1">
      <c r="A75" s="111"/>
      <c r="B75" s="188" t="s">
        <v>21</v>
      </c>
      <c r="C75" s="2" t="s">
        <v>156</v>
      </c>
      <c r="D75" s="189">
        <f>SUMIF(PPvsREal!$C:$C,'PPvsREal Summary'!C75,PPvsREal!$D:$D)</f>
        <v>12000</v>
      </c>
      <c r="E75" s="3">
        <f>SUMIF(PPvsREal!$C:$C,'PPvsREal Summary'!C75,PPvsREal!$E:$E)</f>
        <v>0</v>
      </c>
      <c r="F75" s="3">
        <f>SUMIF(PPvsREal!$C:$C,'PPvsREal Summary'!C75,PPvsREal!$F:$F)</f>
        <v>12000</v>
      </c>
      <c r="G75" s="3">
        <f>SUMIF(PPvsREal!$C:$C,'PPvsREal Summary'!C75,PPvsREal!$G:$G)</f>
        <v>0</v>
      </c>
      <c r="H75" s="3">
        <f>SUMIF(PPvsREal!$C:$C,'PPvsREal Summary'!C75,PPvsREal!$H:$H)</f>
        <v>12000</v>
      </c>
      <c r="I75" s="3">
        <f>SUMIF(PPvsREal!$C:$C,'PPvsREal Summary'!C75,PPvsREal!$I:$I)</f>
        <v>0</v>
      </c>
      <c r="J75" s="3">
        <f>SUMIF(PPvsREal!$C:$C,'PPvsREal Summary'!C75,PPvsREal!$J:$J)</f>
        <v>12000</v>
      </c>
      <c r="K75" s="3">
        <f>SUMIF(PPvsREal!$C:$C,'PPvsREal Summary'!C75,PPvsREal!$K:$K)</f>
        <v>0</v>
      </c>
      <c r="L75" s="3">
        <f>SUMIF(PPvsREal!$C:$C,'PPvsREal Summary'!C75,PPvsREal!$L:$L)</f>
        <v>12000</v>
      </c>
      <c r="M75" s="3">
        <f>SUMIF(PPvsREal!$C:$C,'PPvsREal Summary'!C75,PPvsREal!$M:$M)</f>
        <v>0</v>
      </c>
      <c r="N75" s="3">
        <f>SUMIF(PPvsREal!$C:$C,'PPvsREal Summary'!C75,PPvsREal!$N:$N)</f>
        <v>12000</v>
      </c>
      <c r="O75" s="3">
        <f>SUMIF(PPvsREal!$C:$C,'PPvsREal Summary'!C75,PPvsREal!$O:$O)</f>
        <v>0</v>
      </c>
      <c r="P75" s="3">
        <f>SUMIF(PPvsREal!$C:$C,'PPvsREal Summary'!C75,PPvsREal!$P:$P)</f>
        <v>12000</v>
      </c>
      <c r="Q75" s="3">
        <f>SUMIF(PPvsREal!$C:$C,'PPvsREal Summary'!C75,PPvsREal!$Q:$Q)</f>
        <v>0</v>
      </c>
      <c r="R75" s="3">
        <f>SUMIF(PPvsREal!$C:$C,'PPvsREal Summary'!C75,PPvsREal!$R:$R)</f>
        <v>12000</v>
      </c>
      <c r="S75" s="3">
        <f>SUMIF(PPvsREal!$C:$C,'PPvsREal Summary'!C75,PPvsREal!$S:$S)</f>
        <v>0</v>
      </c>
      <c r="T75" s="3">
        <f>SUMIF(PPvsREal!$C:$C,'PPvsREal Summary'!C75,PPvsREal!$T:$T)</f>
        <v>12000</v>
      </c>
      <c r="U75" s="3">
        <f>SUMIF(PPvsREal!$C:$C,'PPvsREal Summary'!C75,PPvsREal!$U:$U)</f>
        <v>0</v>
      </c>
      <c r="V75" s="3">
        <f>SUMIF(PPvsREal!$C:$C,'PPvsREal Summary'!C75,PPvsREal!$V:$V)</f>
        <v>12000</v>
      </c>
      <c r="W75" s="3">
        <f>SUMIF(PPvsREal!$C:$C,'PPvsREal Summary'!C75,PPvsREal!$W:$W)</f>
        <v>0</v>
      </c>
      <c r="X75" s="3">
        <f>SUMIF(PPvsREal!$C:$C,'PPvsREal Summary'!C75,PPvsREal!$X:$X)</f>
        <v>12000</v>
      </c>
      <c r="Y75" s="3">
        <f>SUMIF(PPvsREal!$C:$C,'PPvsREal Summary'!C75,PPvsREal!$Y:$Y)</f>
        <v>0</v>
      </c>
      <c r="Z75" s="3">
        <f>SUMIF(PPvsREal!$C:$C,'PPvsREal Summary'!C75,PPvsREal!$Z:$Z)</f>
        <v>0</v>
      </c>
      <c r="AA75" s="190">
        <f>SUMIF(PPvsREal!$C:$C,'PPvsREal Summary'!C75,PPvsREal!$AA:$AA)</f>
        <v>0</v>
      </c>
      <c r="AB75" s="3"/>
      <c r="AC75" s="201">
        <f t="shared" ref="AC75:AD75" si="149">D75+F75+H75+J75+L75+N75+P75+R75+T75+V75+X75+Z75</f>
        <v>132000</v>
      </c>
      <c r="AD75" s="201">
        <f t="shared" si="149"/>
        <v>0</v>
      </c>
      <c r="AE75" s="3"/>
      <c r="AF75" s="201">
        <f t="shared" ref="AF75:AG75" si="150">D75+F75+H75+J75+L75+N75+P75+R75+T75+V75+X75+Z75</f>
        <v>132000</v>
      </c>
      <c r="AG75" s="201">
        <f t="shared" si="150"/>
        <v>0</v>
      </c>
    </row>
    <row r="76" ht="12.75" customHeight="1">
      <c r="A76" s="111"/>
      <c r="B76" s="188" t="s">
        <v>21</v>
      </c>
      <c r="C76" s="2" t="s">
        <v>163</v>
      </c>
      <c r="D76" s="189">
        <f>SUMIF(PPvsREal!$C:$C,'PPvsREal Summary'!C76,PPvsREal!$D:$D)</f>
        <v>0</v>
      </c>
      <c r="E76" s="3">
        <f>SUMIF(PPvsREal!$C:$C,'PPvsREal Summary'!C76,PPvsREal!$E:$E)</f>
        <v>0</v>
      </c>
      <c r="F76" s="3">
        <f>SUMIF(PPvsREal!$C:$C,'PPvsREal Summary'!C76,PPvsREal!$F:$F)</f>
        <v>500</v>
      </c>
      <c r="G76" s="3">
        <f>SUMIF(PPvsREal!$C:$C,'PPvsREal Summary'!C76,PPvsREal!$G:$G)</f>
        <v>0</v>
      </c>
      <c r="H76" s="3">
        <f>SUMIF(PPvsREal!$C:$C,'PPvsREal Summary'!C76,PPvsREal!$H:$H)</f>
        <v>500</v>
      </c>
      <c r="I76" s="3">
        <f>SUMIF(PPvsREal!$C:$C,'PPvsREal Summary'!C76,PPvsREal!$I:$I)</f>
        <v>0</v>
      </c>
      <c r="J76" s="3">
        <f>SUMIF(PPvsREal!$C:$C,'PPvsREal Summary'!C76,PPvsREal!$J:$J)</f>
        <v>500</v>
      </c>
      <c r="K76" s="3">
        <f>SUMIF(PPvsREal!$C:$C,'PPvsREal Summary'!C76,PPvsREal!$K:$K)</f>
        <v>0</v>
      </c>
      <c r="L76" s="3">
        <f>SUMIF(PPvsREal!$C:$C,'PPvsREal Summary'!C76,PPvsREal!$L:$L)</f>
        <v>500</v>
      </c>
      <c r="M76" s="3">
        <f>SUMIF(PPvsREal!$C:$C,'PPvsREal Summary'!C76,PPvsREal!$M:$M)</f>
        <v>0</v>
      </c>
      <c r="N76" s="3">
        <f>SUMIF(PPvsREal!$C:$C,'PPvsREal Summary'!C76,PPvsREal!$N:$N)</f>
        <v>500</v>
      </c>
      <c r="O76" s="3">
        <f>SUMIF(PPvsREal!$C:$C,'PPvsREal Summary'!C76,PPvsREal!$O:$O)</f>
        <v>0</v>
      </c>
      <c r="P76" s="3">
        <f>SUMIF(PPvsREal!$C:$C,'PPvsREal Summary'!C76,PPvsREal!$P:$P)</f>
        <v>500</v>
      </c>
      <c r="Q76" s="3">
        <f>SUMIF(PPvsREal!$C:$C,'PPvsREal Summary'!C76,PPvsREal!$Q:$Q)</f>
        <v>0</v>
      </c>
      <c r="R76" s="3">
        <f>SUMIF(PPvsREal!$C:$C,'PPvsREal Summary'!C76,PPvsREal!$R:$R)</f>
        <v>500</v>
      </c>
      <c r="S76" s="3">
        <f>SUMIF(PPvsREal!$C:$C,'PPvsREal Summary'!C76,PPvsREal!$S:$S)</f>
        <v>0</v>
      </c>
      <c r="T76" s="3">
        <f>SUMIF(PPvsREal!$C:$C,'PPvsREal Summary'!C76,PPvsREal!$T:$T)</f>
        <v>500</v>
      </c>
      <c r="U76" s="3">
        <f>SUMIF(PPvsREal!$C:$C,'PPvsREal Summary'!C76,PPvsREal!$U:$U)</f>
        <v>0</v>
      </c>
      <c r="V76" s="3">
        <f>SUMIF(PPvsREal!$C:$C,'PPvsREal Summary'!C76,PPvsREal!$V:$V)</f>
        <v>500</v>
      </c>
      <c r="W76" s="3">
        <f>SUMIF(PPvsREal!$C:$C,'PPvsREal Summary'!C76,PPvsREal!$W:$W)</f>
        <v>0</v>
      </c>
      <c r="X76" s="3">
        <f>SUMIF(PPvsREal!$C:$C,'PPvsREal Summary'!C76,PPvsREal!$X:$X)</f>
        <v>500</v>
      </c>
      <c r="Y76" s="3">
        <f>SUMIF(PPvsREal!$C:$C,'PPvsREal Summary'!C76,PPvsREal!$Y:$Y)</f>
        <v>0</v>
      </c>
      <c r="Z76" s="3">
        <f>SUMIF(PPvsREal!$C:$C,'PPvsREal Summary'!C76,PPvsREal!$Z:$Z)</f>
        <v>0</v>
      </c>
      <c r="AA76" s="190">
        <f>SUMIF(PPvsREal!$C:$C,'PPvsREal Summary'!C76,PPvsREal!$AA:$AA)</f>
        <v>0</v>
      </c>
      <c r="AB76" s="3"/>
      <c r="AC76" s="201">
        <f t="shared" ref="AC76:AD76" si="151">D76+F76+H76+J76+L76+N76+P76+R76+T76+V76+X76+Z76</f>
        <v>5000</v>
      </c>
      <c r="AD76" s="201">
        <f t="shared" si="151"/>
        <v>0</v>
      </c>
      <c r="AE76" s="3"/>
      <c r="AF76" s="201">
        <f t="shared" ref="AF76:AG76" si="152">D76+F76+H76+J76+L76+N76+P76+R76+T76+V76+X76+Z76</f>
        <v>5000</v>
      </c>
      <c r="AG76" s="201">
        <f t="shared" si="152"/>
        <v>0</v>
      </c>
    </row>
    <row r="77" ht="12.75" customHeight="1">
      <c r="A77" s="111"/>
      <c r="B77" s="188" t="s">
        <v>21</v>
      </c>
      <c r="C77" s="2" t="s">
        <v>158</v>
      </c>
      <c r="D77" s="189">
        <f>SUMIF(PPvsREal!$C:$C,'PPvsREal Summary'!C77,PPvsREal!$D:$D)</f>
        <v>12000</v>
      </c>
      <c r="E77" s="3">
        <f>SUMIF(PPvsREal!$C:$C,'PPvsREal Summary'!C77,PPvsREal!$E:$E)</f>
        <v>0</v>
      </c>
      <c r="F77" s="3">
        <f>SUMIF(PPvsREal!$C:$C,'PPvsREal Summary'!C77,PPvsREal!$F:$F)</f>
        <v>12000</v>
      </c>
      <c r="G77" s="3">
        <f>SUMIF(PPvsREal!$C:$C,'PPvsREal Summary'!C77,PPvsREal!$G:$G)</f>
        <v>0</v>
      </c>
      <c r="H77" s="3">
        <f>SUMIF(PPvsREal!$C:$C,'PPvsREal Summary'!C77,PPvsREal!$H:$H)</f>
        <v>12000</v>
      </c>
      <c r="I77" s="3">
        <f>SUMIF(PPvsREal!$C:$C,'PPvsREal Summary'!C77,PPvsREal!$I:$I)</f>
        <v>0</v>
      </c>
      <c r="J77" s="3">
        <f>SUMIF(PPvsREal!$C:$C,'PPvsREal Summary'!C77,PPvsREal!$J:$J)</f>
        <v>12000</v>
      </c>
      <c r="K77" s="3">
        <f>SUMIF(PPvsREal!$C:$C,'PPvsREal Summary'!C77,PPvsREal!$K:$K)</f>
        <v>0</v>
      </c>
      <c r="L77" s="3">
        <f>SUMIF(PPvsREal!$C:$C,'PPvsREal Summary'!C77,PPvsREal!$L:$L)</f>
        <v>12000</v>
      </c>
      <c r="M77" s="3">
        <f>SUMIF(PPvsREal!$C:$C,'PPvsREal Summary'!C77,PPvsREal!$M:$M)</f>
        <v>0</v>
      </c>
      <c r="N77" s="3">
        <f>SUMIF(PPvsREal!$C:$C,'PPvsREal Summary'!C77,PPvsREal!$N:$N)</f>
        <v>12000</v>
      </c>
      <c r="O77" s="3">
        <f>SUMIF(PPvsREal!$C:$C,'PPvsREal Summary'!C77,PPvsREal!$O:$O)</f>
        <v>0</v>
      </c>
      <c r="P77" s="3">
        <f>SUMIF(PPvsREal!$C:$C,'PPvsREal Summary'!C77,PPvsREal!$P:$P)</f>
        <v>12000</v>
      </c>
      <c r="Q77" s="3">
        <f>SUMIF(PPvsREal!$C:$C,'PPvsREal Summary'!C77,PPvsREal!$Q:$Q)</f>
        <v>0</v>
      </c>
      <c r="R77" s="3">
        <f>SUMIF(PPvsREal!$C:$C,'PPvsREal Summary'!C77,PPvsREal!$R:$R)</f>
        <v>12000</v>
      </c>
      <c r="S77" s="3">
        <f>SUMIF(PPvsREal!$C:$C,'PPvsREal Summary'!C77,PPvsREal!$S:$S)</f>
        <v>0</v>
      </c>
      <c r="T77" s="3">
        <f>SUMIF(PPvsREal!$C:$C,'PPvsREal Summary'!C77,PPvsREal!$T:$T)</f>
        <v>12000</v>
      </c>
      <c r="U77" s="3">
        <f>SUMIF(PPvsREal!$C:$C,'PPvsREal Summary'!C77,PPvsREal!$U:$U)</f>
        <v>0</v>
      </c>
      <c r="V77" s="3">
        <f>SUMIF(PPvsREal!$C:$C,'PPvsREal Summary'!C77,PPvsREal!$V:$V)</f>
        <v>12000</v>
      </c>
      <c r="W77" s="3">
        <f>SUMIF(PPvsREal!$C:$C,'PPvsREal Summary'!C77,PPvsREal!$W:$W)</f>
        <v>0</v>
      </c>
      <c r="X77" s="3">
        <f>SUMIF(PPvsREal!$C:$C,'PPvsREal Summary'!C77,PPvsREal!$X:$X)</f>
        <v>12000</v>
      </c>
      <c r="Y77" s="3">
        <f>SUMIF(PPvsREal!$C:$C,'PPvsREal Summary'!C77,PPvsREal!$Y:$Y)</f>
        <v>0</v>
      </c>
      <c r="Z77" s="3">
        <f>SUMIF(PPvsREal!$C:$C,'PPvsREal Summary'!C77,PPvsREal!$Z:$Z)</f>
        <v>0</v>
      </c>
      <c r="AA77" s="190">
        <f>SUMIF(PPvsREal!$C:$C,'PPvsREal Summary'!C77,PPvsREal!$AA:$AA)</f>
        <v>0</v>
      </c>
      <c r="AB77" s="3"/>
      <c r="AC77" s="201">
        <f t="shared" ref="AC77:AD77" si="153">D77+F77+H77+J77+L77+N77+P77+R77+T77+V77+X77+Z77</f>
        <v>132000</v>
      </c>
      <c r="AD77" s="201">
        <f t="shared" si="153"/>
        <v>0</v>
      </c>
      <c r="AE77" s="3"/>
      <c r="AF77" s="201">
        <f t="shared" ref="AF77:AG77" si="154">D77+F77+H77+J77+L77+N77+P77+R77+T77+V77+X77+Z77</f>
        <v>132000</v>
      </c>
      <c r="AG77" s="201">
        <f t="shared" si="154"/>
        <v>0</v>
      </c>
    </row>
    <row r="78" ht="12.75" customHeight="1">
      <c r="A78" s="111"/>
      <c r="B78" s="188" t="s">
        <v>21</v>
      </c>
      <c r="C78" s="2" t="s">
        <v>162</v>
      </c>
      <c r="D78" s="189">
        <f>SUMIF(PPvsREal!$C:$C,'PPvsREal Summary'!C78,PPvsREal!$D:$D)</f>
        <v>0</v>
      </c>
      <c r="E78" s="3">
        <f>SUMIF(PPvsREal!$C:$C,'PPvsREal Summary'!C78,PPvsREal!$E:$E)</f>
        <v>0</v>
      </c>
      <c r="F78" s="3">
        <f>SUMIF(PPvsREal!$C:$C,'PPvsREal Summary'!C78,PPvsREal!$F:$F)</f>
        <v>500</v>
      </c>
      <c r="G78" s="3">
        <f>SUMIF(PPvsREal!$C:$C,'PPvsREal Summary'!C78,PPvsREal!$G:$G)</f>
        <v>0</v>
      </c>
      <c r="H78" s="3">
        <f>SUMIF(PPvsREal!$C:$C,'PPvsREal Summary'!C78,PPvsREal!$H:$H)</f>
        <v>500</v>
      </c>
      <c r="I78" s="3">
        <f>SUMIF(PPvsREal!$C:$C,'PPvsREal Summary'!C78,PPvsREal!$I:$I)</f>
        <v>0</v>
      </c>
      <c r="J78" s="3">
        <f>SUMIF(PPvsREal!$C:$C,'PPvsREal Summary'!C78,PPvsREal!$J:$J)</f>
        <v>500</v>
      </c>
      <c r="K78" s="3">
        <f>SUMIF(PPvsREal!$C:$C,'PPvsREal Summary'!C78,PPvsREal!$K:$K)</f>
        <v>0</v>
      </c>
      <c r="L78" s="3">
        <f>SUMIF(PPvsREal!$C:$C,'PPvsREal Summary'!C78,PPvsREal!$L:$L)</f>
        <v>500</v>
      </c>
      <c r="M78" s="3">
        <f>SUMIF(PPvsREal!$C:$C,'PPvsREal Summary'!C78,PPvsREal!$M:$M)</f>
        <v>0</v>
      </c>
      <c r="N78" s="3">
        <f>SUMIF(PPvsREal!$C:$C,'PPvsREal Summary'!C78,PPvsREal!$N:$N)</f>
        <v>500</v>
      </c>
      <c r="O78" s="3">
        <f>SUMIF(PPvsREal!$C:$C,'PPvsREal Summary'!C78,PPvsREal!$O:$O)</f>
        <v>0</v>
      </c>
      <c r="P78" s="3">
        <f>SUMIF(PPvsREal!$C:$C,'PPvsREal Summary'!C78,PPvsREal!$P:$P)</f>
        <v>500</v>
      </c>
      <c r="Q78" s="3">
        <f>SUMIF(PPvsREal!$C:$C,'PPvsREal Summary'!C78,PPvsREal!$Q:$Q)</f>
        <v>0</v>
      </c>
      <c r="R78" s="3">
        <f>SUMIF(PPvsREal!$C:$C,'PPvsREal Summary'!C78,PPvsREal!$R:$R)</f>
        <v>500</v>
      </c>
      <c r="S78" s="3">
        <f>SUMIF(PPvsREal!$C:$C,'PPvsREal Summary'!C78,PPvsREal!$S:$S)</f>
        <v>0</v>
      </c>
      <c r="T78" s="3">
        <f>SUMIF(PPvsREal!$C:$C,'PPvsREal Summary'!C78,PPvsREal!$T:$T)</f>
        <v>500</v>
      </c>
      <c r="U78" s="3">
        <f>SUMIF(PPvsREal!$C:$C,'PPvsREal Summary'!C78,PPvsREal!$U:$U)</f>
        <v>0</v>
      </c>
      <c r="V78" s="3">
        <f>SUMIF(PPvsREal!$C:$C,'PPvsREal Summary'!C78,PPvsREal!$V:$V)</f>
        <v>500</v>
      </c>
      <c r="W78" s="3">
        <f>SUMIF(PPvsREal!$C:$C,'PPvsREal Summary'!C78,PPvsREal!$W:$W)</f>
        <v>0</v>
      </c>
      <c r="X78" s="3">
        <f>SUMIF(PPvsREal!$C:$C,'PPvsREal Summary'!C78,PPvsREal!$X:$X)</f>
        <v>500</v>
      </c>
      <c r="Y78" s="3">
        <f>SUMIF(PPvsREal!$C:$C,'PPvsREal Summary'!C78,PPvsREal!$Y:$Y)</f>
        <v>0</v>
      </c>
      <c r="Z78" s="3">
        <f>SUMIF(PPvsREal!$C:$C,'PPvsREal Summary'!C78,PPvsREal!$Z:$Z)</f>
        <v>0</v>
      </c>
      <c r="AA78" s="190">
        <f>SUMIF(PPvsREal!$C:$C,'PPvsREal Summary'!C78,PPvsREal!$AA:$AA)</f>
        <v>0</v>
      </c>
      <c r="AB78" s="3"/>
      <c r="AC78" s="201">
        <f t="shared" ref="AC78:AD78" si="155">D78+F78+H78+J78+L78+N78+P78+R78+T78+V78+X78+Z78</f>
        <v>5000</v>
      </c>
      <c r="AD78" s="201">
        <f t="shared" si="155"/>
        <v>0</v>
      </c>
      <c r="AE78" s="3"/>
      <c r="AF78" s="201">
        <f t="shared" ref="AF78:AG78" si="156">D78+F78+H78+J78+L78+N78+P78+R78+T78+V78+X78+Z78</f>
        <v>5000</v>
      </c>
      <c r="AG78" s="201">
        <f t="shared" si="156"/>
        <v>0</v>
      </c>
    </row>
    <row r="79" ht="12.75" customHeight="1">
      <c r="A79" s="111"/>
      <c r="B79" s="188" t="s">
        <v>21</v>
      </c>
      <c r="C79" s="2" t="s">
        <v>155</v>
      </c>
      <c r="D79" s="189">
        <f>SUMIF(PPvsREal!$C:$C,'PPvsREal Summary'!C79,PPvsREal!$D:$D)</f>
        <v>12000</v>
      </c>
      <c r="E79" s="3">
        <f>SUMIF(PPvsREal!$C:$C,'PPvsREal Summary'!C79,PPvsREal!$E:$E)</f>
        <v>0</v>
      </c>
      <c r="F79" s="3">
        <f>SUMIF(PPvsREal!$C:$C,'PPvsREal Summary'!C79,PPvsREal!$F:$F)</f>
        <v>12000</v>
      </c>
      <c r="G79" s="3">
        <f>SUMIF(PPvsREal!$C:$C,'PPvsREal Summary'!C79,PPvsREal!$G:$G)</f>
        <v>0</v>
      </c>
      <c r="H79" s="3">
        <f>SUMIF(PPvsREal!$C:$C,'PPvsREal Summary'!C79,PPvsREal!$H:$H)</f>
        <v>12000</v>
      </c>
      <c r="I79" s="3">
        <f>SUMIF(PPvsREal!$C:$C,'PPvsREal Summary'!C79,PPvsREal!$I:$I)</f>
        <v>0</v>
      </c>
      <c r="J79" s="3">
        <f>SUMIF(PPvsREal!$C:$C,'PPvsREal Summary'!C79,PPvsREal!$J:$J)</f>
        <v>12000</v>
      </c>
      <c r="K79" s="3">
        <f>SUMIF(PPvsREal!$C:$C,'PPvsREal Summary'!C79,PPvsREal!$K:$K)</f>
        <v>0</v>
      </c>
      <c r="L79" s="3">
        <f>SUMIF(PPvsREal!$C:$C,'PPvsREal Summary'!C79,PPvsREal!$L:$L)</f>
        <v>12000</v>
      </c>
      <c r="M79" s="3">
        <f>SUMIF(PPvsREal!$C:$C,'PPvsREal Summary'!C79,PPvsREal!$M:$M)</f>
        <v>0</v>
      </c>
      <c r="N79" s="3">
        <f>SUMIF(PPvsREal!$C:$C,'PPvsREal Summary'!C79,PPvsREal!$N:$N)</f>
        <v>12000</v>
      </c>
      <c r="O79" s="3">
        <f>SUMIF(PPvsREal!$C:$C,'PPvsREal Summary'!C79,PPvsREal!$O:$O)</f>
        <v>0</v>
      </c>
      <c r="P79" s="3">
        <f>SUMIF(PPvsREal!$C:$C,'PPvsREal Summary'!C79,PPvsREal!$P:$P)</f>
        <v>12000</v>
      </c>
      <c r="Q79" s="3">
        <f>SUMIF(PPvsREal!$C:$C,'PPvsREal Summary'!C79,PPvsREal!$Q:$Q)</f>
        <v>0</v>
      </c>
      <c r="R79" s="3">
        <f>SUMIF(PPvsREal!$C:$C,'PPvsREal Summary'!C79,PPvsREal!$R:$R)</f>
        <v>12000</v>
      </c>
      <c r="S79" s="3">
        <f>SUMIF(PPvsREal!$C:$C,'PPvsREal Summary'!C79,PPvsREal!$S:$S)</f>
        <v>0</v>
      </c>
      <c r="T79" s="3">
        <f>SUMIF(PPvsREal!$C:$C,'PPvsREal Summary'!C79,PPvsREal!$T:$T)</f>
        <v>12000</v>
      </c>
      <c r="U79" s="3">
        <f>SUMIF(PPvsREal!$C:$C,'PPvsREal Summary'!C79,PPvsREal!$U:$U)</f>
        <v>0</v>
      </c>
      <c r="V79" s="3">
        <f>SUMIF(PPvsREal!$C:$C,'PPvsREal Summary'!C79,PPvsREal!$V:$V)</f>
        <v>12000</v>
      </c>
      <c r="W79" s="3">
        <f>SUMIF(PPvsREal!$C:$C,'PPvsREal Summary'!C79,PPvsREal!$W:$W)</f>
        <v>0</v>
      </c>
      <c r="X79" s="3">
        <f>SUMIF(PPvsREal!$C:$C,'PPvsREal Summary'!C79,PPvsREal!$X:$X)</f>
        <v>12000</v>
      </c>
      <c r="Y79" s="3">
        <f>SUMIF(PPvsREal!$C:$C,'PPvsREal Summary'!C79,PPvsREal!$Y:$Y)</f>
        <v>0</v>
      </c>
      <c r="Z79" s="3">
        <f>SUMIF(PPvsREal!$C:$C,'PPvsREal Summary'!C79,PPvsREal!$Z:$Z)</f>
        <v>0</v>
      </c>
      <c r="AA79" s="190">
        <f>SUMIF(PPvsREal!$C:$C,'PPvsREal Summary'!C79,PPvsREal!$AA:$AA)</f>
        <v>0</v>
      </c>
      <c r="AB79" s="3"/>
      <c r="AC79" s="201">
        <f t="shared" ref="AC79:AD79" si="157">D79+F79+H79+J79+L79+N79+P79+R79+T79+V79+X79+Z79</f>
        <v>132000</v>
      </c>
      <c r="AD79" s="201">
        <f t="shared" si="157"/>
        <v>0</v>
      </c>
      <c r="AE79" s="3"/>
      <c r="AF79" s="201">
        <f t="shared" ref="AF79:AG79" si="158">D79+F79+H79+J79+L79+N79+P79+R79+T79+V79+X79+Z79</f>
        <v>132000</v>
      </c>
      <c r="AG79" s="201">
        <f t="shared" si="158"/>
        <v>0</v>
      </c>
    </row>
    <row r="80" ht="12.75" customHeight="1">
      <c r="A80" s="111"/>
      <c r="B80" s="188" t="s">
        <v>427</v>
      </c>
      <c r="C80" s="2" t="s">
        <v>160</v>
      </c>
      <c r="D80" s="189">
        <f>SUMIF(PPvsREal!$C:$C,'PPvsREal Summary'!C80,PPvsREal!$D:$D)</f>
        <v>0</v>
      </c>
      <c r="E80" s="3">
        <f>SUMIF(PPvsREal!$C:$C,'PPvsREal Summary'!C80,PPvsREal!$E:$E)</f>
        <v>0</v>
      </c>
      <c r="F80" s="3">
        <f>SUMIF(PPvsREal!$C:$C,'PPvsREal Summary'!C80,PPvsREal!$F:$F)</f>
        <v>500</v>
      </c>
      <c r="G80" s="3">
        <f>SUMIF(PPvsREal!$C:$C,'PPvsREal Summary'!C80,PPvsREal!$G:$G)</f>
        <v>0</v>
      </c>
      <c r="H80" s="3">
        <f>SUMIF(PPvsREal!$C:$C,'PPvsREal Summary'!C80,PPvsREal!$H:$H)</f>
        <v>500</v>
      </c>
      <c r="I80" s="3">
        <f>SUMIF(PPvsREal!$C:$C,'PPvsREal Summary'!C80,PPvsREal!$I:$I)</f>
        <v>0</v>
      </c>
      <c r="J80" s="3">
        <f>SUMIF(PPvsREal!$C:$C,'PPvsREal Summary'!C80,PPvsREal!$J:$J)</f>
        <v>500</v>
      </c>
      <c r="K80" s="3">
        <f>SUMIF(PPvsREal!$C:$C,'PPvsREal Summary'!C80,PPvsREal!$K:$K)</f>
        <v>0</v>
      </c>
      <c r="L80" s="3">
        <f>SUMIF(PPvsREal!$C:$C,'PPvsREal Summary'!C80,PPvsREal!$L:$L)</f>
        <v>500</v>
      </c>
      <c r="M80" s="3">
        <f>SUMIF(PPvsREal!$C:$C,'PPvsREal Summary'!C80,PPvsREal!$M:$M)</f>
        <v>0</v>
      </c>
      <c r="N80" s="3">
        <f>SUMIF(PPvsREal!$C:$C,'PPvsREal Summary'!C80,PPvsREal!$N:$N)</f>
        <v>500</v>
      </c>
      <c r="O80" s="3">
        <f>SUMIF(PPvsREal!$C:$C,'PPvsREal Summary'!C80,PPvsREal!$O:$O)</f>
        <v>0</v>
      </c>
      <c r="P80" s="3">
        <f>SUMIF(PPvsREal!$C:$C,'PPvsREal Summary'!C80,PPvsREal!$P:$P)</f>
        <v>500</v>
      </c>
      <c r="Q80" s="3">
        <f>SUMIF(PPvsREal!$C:$C,'PPvsREal Summary'!C80,PPvsREal!$Q:$Q)</f>
        <v>0</v>
      </c>
      <c r="R80" s="3">
        <f>SUMIF(PPvsREal!$C:$C,'PPvsREal Summary'!C80,PPvsREal!$R:$R)</f>
        <v>500</v>
      </c>
      <c r="S80" s="3">
        <f>SUMIF(PPvsREal!$C:$C,'PPvsREal Summary'!C80,PPvsREal!$S:$S)</f>
        <v>0</v>
      </c>
      <c r="T80" s="3">
        <f>SUMIF(PPvsREal!$C:$C,'PPvsREal Summary'!C80,PPvsREal!$T:$T)</f>
        <v>500</v>
      </c>
      <c r="U80" s="3">
        <f>SUMIF(PPvsREal!$C:$C,'PPvsREal Summary'!C80,PPvsREal!$U:$U)</f>
        <v>0</v>
      </c>
      <c r="V80" s="3">
        <f>SUMIF(PPvsREal!$C:$C,'PPvsREal Summary'!C80,PPvsREal!$V:$V)</f>
        <v>500</v>
      </c>
      <c r="W80" s="3">
        <f>SUMIF(PPvsREal!$C:$C,'PPvsREal Summary'!C80,PPvsREal!$W:$W)</f>
        <v>0</v>
      </c>
      <c r="X80" s="3">
        <f>SUMIF(PPvsREal!$C:$C,'PPvsREal Summary'!C80,PPvsREal!$X:$X)</f>
        <v>500</v>
      </c>
      <c r="Y80" s="3">
        <f>SUMIF(PPvsREal!$C:$C,'PPvsREal Summary'!C80,PPvsREal!$Y:$Y)</f>
        <v>0</v>
      </c>
      <c r="Z80" s="3">
        <f>SUMIF(PPvsREal!$C:$C,'PPvsREal Summary'!C80,PPvsREal!$Z:$Z)</f>
        <v>0</v>
      </c>
      <c r="AA80" s="190">
        <f>SUMIF(PPvsREal!$C:$C,'PPvsREal Summary'!C80,PPvsREal!$AA:$AA)</f>
        <v>0</v>
      </c>
      <c r="AB80" s="3"/>
      <c r="AC80" s="201">
        <f t="shared" ref="AC80:AD80" si="159">D80+F80+H80+J80+L80+N80+P80+R80+T80+V80+X80+Z80</f>
        <v>5000</v>
      </c>
      <c r="AD80" s="201">
        <f t="shared" si="159"/>
        <v>0</v>
      </c>
      <c r="AE80" s="3"/>
      <c r="AF80" s="201">
        <f t="shared" ref="AF80:AG80" si="160">D80+F80+H80+J80+L80+N80+P80+R80+T80+V80+X80+Z80</f>
        <v>5000</v>
      </c>
      <c r="AG80" s="201">
        <f t="shared" si="160"/>
        <v>0</v>
      </c>
    </row>
    <row r="81" ht="12.75" customHeight="1">
      <c r="A81" s="111"/>
      <c r="B81" s="188" t="s">
        <v>21</v>
      </c>
      <c r="C81" s="97" t="s">
        <v>157</v>
      </c>
      <c r="D81" s="189">
        <f>SUMIF(PPvsREal!$C:$C,'PPvsREal Summary'!C81,PPvsREal!$D:$D)</f>
        <v>0</v>
      </c>
      <c r="E81" s="3">
        <f>SUMIF(PPvsREal!$C:$C,'PPvsREal Summary'!C81,PPvsREal!$E:$E)</f>
        <v>0</v>
      </c>
      <c r="F81" s="3">
        <f>SUMIF(PPvsREal!$C:$C,'PPvsREal Summary'!C81,PPvsREal!$F:$F)</f>
        <v>500</v>
      </c>
      <c r="G81" s="3">
        <f>SUMIF(PPvsREal!$C:$C,'PPvsREal Summary'!C81,PPvsREal!$G:$G)</f>
        <v>0</v>
      </c>
      <c r="H81" s="3">
        <f>SUMIF(PPvsREal!$C:$C,'PPvsREal Summary'!C81,PPvsREal!$H:$H)</f>
        <v>500</v>
      </c>
      <c r="I81" s="3">
        <f>SUMIF(PPvsREal!$C:$C,'PPvsREal Summary'!C81,PPvsREal!$I:$I)</f>
        <v>0</v>
      </c>
      <c r="J81" s="3">
        <f>SUMIF(PPvsREal!$C:$C,'PPvsREal Summary'!C81,PPvsREal!$J:$J)</f>
        <v>500</v>
      </c>
      <c r="K81" s="3">
        <f>SUMIF(PPvsREal!$C:$C,'PPvsREal Summary'!C81,PPvsREal!$K:$K)</f>
        <v>0</v>
      </c>
      <c r="L81" s="3">
        <f>SUMIF(PPvsREal!$C:$C,'PPvsREal Summary'!C81,PPvsREal!$L:$L)</f>
        <v>500</v>
      </c>
      <c r="M81" s="3">
        <f>SUMIF(PPvsREal!$C:$C,'PPvsREal Summary'!C81,PPvsREal!$M:$M)</f>
        <v>0</v>
      </c>
      <c r="N81" s="3">
        <f>SUMIF(PPvsREal!$C:$C,'PPvsREal Summary'!C81,PPvsREal!$N:$N)</f>
        <v>500</v>
      </c>
      <c r="O81" s="3">
        <f>SUMIF(PPvsREal!$C:$C,'PPvsREal Summary'!C81,PPvsREal!$O:$O)</f>
        <v>0</v>
      </c>
      <c r="P81" s="3">
        <f>SUMIF(PPvsREal!$C:$C,'PPvsREal Summary'!C81,PPvsREal!$P:$P)</f>
        <v>500</v>
      </c>
      <c r="Q81" s="3">
        <f>SUMIF(PPvsREal!$C:$C,'PPvsREal Summary'!C81,PPvsREal!$Q:$Q)</f>
        <v>0</v>
      </c>
      <c r="R81" s="3">
        <f>SUMIF(PPvsREal!$C:$C,'PPvsREal Summary'!C81,PPvsREal!$R:$R)</f>
        <v>500</v>
      </c>
      <c r="S81" s="3">
        <f>SUMIF(PPvsREal!$C:$C,'PPvsREal Summary'!C81,PPvsREal!$S:$S)</f>
        <v>0</v>
      </c>
      <c r="T81" s="3">
        <f>SUMIF(PPvsREal!$C:$C,'PPvsREal Summary'!C81,PPvsREal!$T:$T)</f>
        <v>500</v>
      </c>
      <c r="U81" s="3">
        <f>SUMIF(PPvsREal!$C:$C,'PPvsREal Summary'!C81,PPvsREal!$U:$U)</f>
        <v>0</v>
      </c>
      <c r="V81" s="3">
        <f>SUMIF(PPvsREal!$C:$C,'PPvsREal Summary'!C81,PPvsREal!$V:$V)</f>
        <v>500</v>
      </c>
      <c r="W81" s="3">
        <f>SUMIF(PPvsREal!$C:$C,'PPvsREal Summary'!C81,PPvsREal!$W:$W)</f>
        <v>0</v>
      </c>
      <c r="X81" s="3">
        <f>SUMIF(PPvsREal!$C:$C,'PPvsREal Summary'!C81,PPvsREal!$X:$X)</f>
        <v>500</v>
      </c>
      <c r="Y81" s="3">
        <f>SUMIF(PPvsREal!$C:$C,'PPvsREal Summary'!C81,PPvsREal!$Y:$Y)</f>
        <v>0</v>
      </c>
      <c r="Z81" s="3">
        <f>SUMIF(PPvsREal!$C:$C,'PPvsREal Summary'!C81,PPvsREal!$Z:$Z)</f>
        <v>0</v>
      </c>
      <c r="AA81" s="190">
        <f>SUMIF(PPvsREal!$C:$C,'PPvsREal Summary'!C81,PPvsREal!$AA:$AA)</f>
        <v>0</v>
      </c>
      <c r="AB81" s="3"/>
      <c r="AC81" s="201">
        <f t="shared" ref="AC81:AD81" si="161">D81+F81+H81+J81+L81+N81+P81+R81+T81+V81+X81+Z81</f>
        <v>5000</v>
      </c>
      <c r="AD81" s="201">
        <f t="shared" si="161"/>
        <v>0</v>
      </c>
      <c r="AE81" s="3"/>
      <c r="AF81" s="201">
        <f t="shared" ref="AF81:AG81" si="162">D81+F81+H81+J81+L81+N81+P81+R81+T81+V81+X81+Z81</f>
        <v>5000</v>
      </c>
      <c r="AG81" s="201">
        <f t="shared" si="162"/>
        <v>0</v>
      </c>
    </row>
    <row r="82" ht="12.75" customHeight="1">
      <c r="A82" s="111"/>
      <c r="B82" s="188" t="s">
        <v>21</v>
      </c>
      <c r="C82" s="2" t="s">
        <v>164</v>
      </c>
      <c r="D82" s="189">
        <f>SUMIF(PPvsREal!$C:$C,'PPvsREal Summary'!C82,PPvsREal!$D:$D)</f>
        <v>0</v>
      </c>
      <c r="E82" s="3">
        <f>SUMIF(PPvsREal!$C:$C,'PPvsREal Summary'!C82,PPvsREal!$E:$E)</f>
        <v>0</v>
      </c>
      <c r="F82" s="3">
        <f>SUMIF(PPvsREal!$C:$C,'PPvsREal Summary'!C82,PPvsREal!$F:$F)</f>
        <v>500</v>
      </c>
      <c r="G82" s="3">
        <f>SUMIF(PPvsREal!$C:$C,'PPvsREal Summary'!C82,PPvsREal!$G:$G)</f>
        <v>0</v>
      </c>
      <c r="H82" s="3">
        <f>SUMIF(PPvsREal!$C:$C,'PPvsREal Summary'!C82,PPvsREal!$H:$H)</f>
        <v>500</v>
      </c>
      <c r="I82" s="3">
        <f>SUMIF(PPvsREal!$C:$C,'PPvsREal Summary'!C82,PPvsREal!$I:$I)</f>
        <v>0</v>
      </c>
      <c r="J82" s="3">
        <f>SUMIF(PPvsREal!$C:$C,'PPvsREal Summary'!C82,PPvsREal!$J:$J)</f>
        <v>500</v>
      </c>
      <c r="K82" s="3">
        <f>SUMIF(PPvsREal!$C:$C,'PPvsREal Summary'!C82,PPvsREal!$K:$K)</f>
        <v>0</v>
      </c>
      <c r="L82" s="3">
        <f>SUMIF(PPvsREal!$C:$C,'PPvsREal Summary'!C82,PPvsREal!$L:$L)</f>
        <v>500</v>
      </c>
      <c r="M82" s="3">
        <f>SUMIF(PPvsREal!$C:$C,'PPvsREal Summary'!C82,PPvsREal!$M:$M)</f>
        <v>0</v>
      </c>
      <c r="N82" s="3">
        <f>SUMIF(PPvsREal!$C:$C,'PPvsREal Summary'!C82,PPvsREal!$N:$N)</f>
        <v>500</v>
      </c>
      <c r="O82" s="3">
        <f>SUMIF(PPvsREal!$C:$C,'PPvsREal Summary'!C82,PPvsREal!$O:$O)</f>
        <v>0</v>
      </c>
      <c r="P82" s="3">
        <f>SUMIF(PPvsREal!$C:$C,'PPvsREal Summary'!C82,PPvsREal!$P:$P)</f>
        <v>500</v>
      </c>
      <c r="Q82" s="3">
        <f>SUMIF(PPvsREal!$C:$C,'PPvsREal Summary'!C82,PPvsREal!$Q:$Q)</f>
        <v>0</v>
      </c>
      <c r="R82" s="3">
        <f>SUMIF(PPvsREal!$C:$C,'PPvsREal Summary'!C82,PPvsREal!$R:$R)</f>
        <v>500</v>
      </c>
      <c r="S82" s="3">
        <f>SUMIF(PPvsREal!$C:$C,'PPvsREal Summary'!C82,PPvsREal!$S:$S)</f>
        <v>0</v>
      </c>
      <c r="T82" s="3">
        <f>SUMIF(PPvsREal!$C:$C,'PPvsREal Summary'!C82,PPvsREal!$T:$T)</f>
        <v>500</v>
      </c>
      <c r="U82" s="3">
        <f>SUMIF(PPvsREal!$C:$C,'PPvsREal Summary'!C82,PPvsREal!$U:$U)</f>
        <v>0</v>
      </c>
      <c r="V82" s="3">
        <f>SUMIF(PPvsREal!$C:$C,'PPvsREal Summary'!C82,PPvsREal!$V:$V)</f>
        <v>500</v>
      </c>
      <c r="W82" s="3">
        <f>SUMIF(PPvsREal!$C:$C,'PPvsREal Summary'!C82,PPvsREal!$W:$W)</f>
        <v>0</v>
      </c>
      <c r="X82" s="3">
        <f>SUMIF(PPvsREal!$C:$C,'PPvsREal Summary'!C82,PPvsREal!$X:$X)</f>
        <v>500</v>
      </c>
      <c r="Y82" s="3">
        <f>SUMIF(PPvsREal!$C:$C,'PPvsREal Summary'!C82,PPvsREal!$Y:$Y)</f>
        <v>0</v>
      </c>
      <c r="Z82" s="3">
        <f>SUMIF(PPvsREal!$C:$C,'PPvsREal Summary'!C82,PPvsREal!$Z:$Z)</f>
        <v>0</v>
      </c>
      <c r="AA82" s="190">
        <f>SUMIF(PPvsREal!$C:$C,'PPvsREal Summary'!C82,PPvsREal!$AA:$AA)</f>
        <v>0</v>
      </c>
      <c r="AB82" s="3"/>
      <c r="AC82" s="201">
        <f t="shared" ref="AC82:AD82" si="163">D82+F82+H82+J82+L82+N82+P82+R82+T82+V82+X82+Z82</f>
        <v>5000</v>
      </c>
      <c r="AD82" s="201">
        <f t="shared" si="163"/>
        <v>0</v>
      </c>
      <c r="AE82" s="3"/>
      <c r="AF82" s="201">
        <f t="shared" ref="AF82:AG82" si="164">D82+F82+H82+J82+L82+N82+P82+R82+T82+V82+X82+Z82</f>
        <v>5000</v>
      </c>
      <c r="AG82" s="201">
        <f t="shared" si="164"/>
        <v>0</v>
      </c>
    </row>
    <row r="83" ht="12.75" customHeight="1">
      <c r="A83" s="111"/>
      <c r="B83" s="188" t="s">
        <v>21</v>
      </c>
      <c r="C83" s="97" t="s">
        <v>165</v>
      </c>
      <c r="D83" s="189">
        <f>SUMIF(PPvsREal!$C:$C,'PPvsREal Summary'!C83,PPvsREal!$D:$D)</f>
        <v>0</v>
      </c>
      <c r="E83" s="3">
        <f>SUMIF(PPvsREal!$C:$C,'PPvsREal Summary'!C83,PPvsREal!$E:$E)</f>
        <v>0</v>
      </c>
      <c r="F83" s="3">
        <f>SUMIF(PPvsREal!$C:$C,'PPvsREal Summary'!C83,PPvsREal!$F:$F)</f>
        <v>500</v>
      </c>
      <c r="G83" s="3">
        <f>SUMIF(PPvsREal!$C:$C,'PPvsREal Summary'!C83,PPvsREal!$G:$G)</f>
        <v>0</v>
      </c>
      <c r="H83" s="3">
        <f>SUMIF(PPvsREal!$C:$C,'PPvsREal Summary'!C83,PPvsREal!$H:$H)</f>
        <v>500</v>
      </c>
      <c r="I83" s="3">
        <f>SUMIF(PPvsREal!$C:$C,'PPvsREal Summary'!C83,PPvsREal!$I:$I)</f>
        <v>0</v>
      </c>
      <c r="J83" s="3">
        <f>SUMIF(PPvsREal!$C:$C,'PPvsREal Summary'!C83,PPvsREal!$J:$J)</f>
        <v>500</v>
      </c>
      <c r="K83" s="3">
        <f>SUMIF(PPvsREal!$C:$C,'PPvsREal Summary'!C83,PPvsREal!$K:$K)</f>
        <v>0</v>
      </c>
      <c r="L83" s="3">
        <f>SUMIF(PPvsREal!$C:$C,'PPvsREal Summary'!C83,PPvsREal!$L:$L)</f>
        <v>500</v>
      </c>
      <c r="M83" s="3">
        <f>SUMIF(PPvsREal!$C:$C,'PPvsREal Summary'!C83,PPvsREal!$M:$M)</f>
        <v>0</v>
      </c>
      <c r="N83" s="3">
        <f>SUMIF(PPvsREal!$C:$C,'PPvsREal Summary'!C83,PPvsREal!$N:$N)</f>
        <v>500</v>
      </c>
      <c r="O83" s="3">
        <f>SUMIF(PPvsREal!$C:$C,'PPvsREal Summary'!C83,PPvsREal!$O:$O)</f>
        <v>0</v>
      </c>
      <c r="P83" s="3">
        <f>SUMIF(PPvsREal!$C:$C,'PPvsREal Summary'!C83,PPvsREal!$P:$P)</f>
        <v>500</v>
      </c>
      <c r="Q83" s="3">
        <f>SUMIF(PPvsREal!$C:$C,'PPvsREal Summary'!C83,PPvsREal!$Q:$Q)</f>
        <v>0</v>
      </c>
      <c r="R83" s="3">
        <f>SUMIF(PPvsREal!$C:$C,'PPvsREal Summary'!C83,PPvsREal!$R:$R)</f>
        <v>500</v>
      </c>
      <c r="S83" s="3">
        <f>SUMIF(PPvsREal!$C:$C,'PPvsREal Summary'!C83,PPvsREal!$S:$S)</f>
        <v>0</v>
      </c>
      <c r="T83" s="3">
        <f>SUMIF(PPvsREal!$C:$C,'PPvsREal Summary'!C83,PPvsREal!$T:$T)</f>
        <v>500</v>
      </c>
      <c r="U83" s="3">
        <f>SUMIF(PPvsREal!$C:$C,'PPvsREal Summary'!C83,PPvsREal!$U:$U)</f>
        <v>0</v>
      </c>
      <c r="V83" s="3">
        <f>SUMIF(PPvsREal!$C:$C,'PPvsREal Summary'!C83,PPvsREal!$V:$V)</f>
        <v>500</v>
      </c>
      <c r="W83" s="3">
        <f>SUMIF(PPvsREal!$C:$C,'PPvsREal Summary'!C83,PPvsREal!$W:$W)</f>
        <v>0</v>
      </c>
      <c r="X83" s="3">
        <f>SUMIF(PPvsREal!$C:$C,'PPvsREal Summary'!C83,PPvsREal!$X:$X)</f>
        <v>500</v>
      </c>
      <c r="Y83" s="3">
        <f>SUMIF(PPvsREal!$C:$C,'PPvsREal Summary'!C83,PPvsREal!$Y:$Y)</f>
        <v>0</v>
      </c>
      <c r="Z83" s="3">
        <f>SUMIF(PPvsREal!$C:$C,'PPvsREal Summary'!C83,PPvsREal!$Z:$Z)</f>
        <v>0</v>
      </c>
      <c r="AA83" s="190">
        <f>SUMIF(PPvsREal!$C:$C,'PPvsREal Summary'!C83,PPvsREal!$AA:$AA)</f>
        <v>0</v>
      </c>
      <c r="AB83" s="3"/>
      <c r="AC83" s="201">
        <f t="shared" ref="AC83:AD83" si="165">D83+F83+H83+J83+L83+N83+P83+R83+T83+V83+X83+Z83</f>
        <v>5000</v>
      </c>
      <c r="AD83" s="201">
        <f t="shared" si="165"/>
        <v>0</v>
      </c>
      <c r="AE83" s="3"/>
      <c r="AF83" s="201">
        <f t="shared" ref="AF83:AG83" si="166">D83+F83+H83+J83+L83+N83+P83+R83+T83+V83+X83+Z83</f>
        <v>5000</v>
      </c>
      <c r="AG83" s="201">
        <f t="shared" si="166"/>
        <v>0</v>
      </c>
    </row>
    <row r="84" ht="12.75" customHeight="1">
      <c r="A84" s="111"/>
      <c r="B84" s="188" t="s">
        <v>427</v>
      </c>
      <c r="C84" s="2" t="s">
        <v>299</v>
      </c>
      <c r="D84" s="189">
        <f>SUMIF(PPvsREal!$C:$C,'PPvsREal Summary'!C84,PPvsREal!$D:$D)</f>
        <v>0</v>
      </c>
      <c r="E84" s="3">
        <f>SUMIF(PPvsREal!$C:$C,'PPvsREal Summary'!C84,PPvsREal!$E:$E)</f>
        <v>0</v>
      </c>
      <c r="F84" s="3">
        <f>SUMIF(PPvsREal!$C:$C,'PPvsREal Summary'!C84,PPvsREal!$F:$F)</f>
        <v>0</v>
      </c>
      <c r="G84" s="3">
        <f>SUMIF(PPvsREal!$C:$C,'PPvsREal Summary'!C84,PPvsREal!$G:$G)</f>
        <v>0</v>
      </c>
      <c r="H84" s="3">
        <f>SUMIF(PPvsREal!$C:$C,'PPvsREal Summary'!C84,PPvsREal!$H:$H)</f>
        <v>722.15</v>
      </c>
      <c r="I84" s="3">
        <f>SUMIF(PPvsREal!$C:$C,'PPvsREal Summary'!C84,PPvsREal!$I:$I)</f>
        <v>0</v>
      </c>
      <c r="J84" s="3">
        <f>SUMIF(PPvsREal!$C:$C,'PPvsREal Summary'!C84,PPvsREal!$J:$J)</f>
        <v>9799.636</v>
      </c>
      <c r="K84" s="3">
        <f>SUMIF(PPvsREal!$C:$C,'PPvsREal Summary'!C84,PPvsREal!$K:$K)</f>
        <v>0</v>
      </c>
      <c r="L84" s="3">
        <f>SUMIF(PPvsREal!$C:$C,'PPvsREal Summary'!C84,PPvsREal!$L:$L)</f>
        <v>9799.636</v>
      </c>
      <c r="M84" s="3">
        <f>SUMIF(PPvsREal!$C:$C,'PPvsREal Summary'!C84,PPvsREal!$M:$M)</f>
        <v>0</v>
      </c>
      <c r="N84" s="3">
        <f>SUMIF(PPvsREal!$C:$C,'PPvsREal Summary'!C84,PPvsREal!$N:$N)</f>
        <v>9306.264</v>
      </c>
      <c r="O84" s="3">
        <f>SUMIF(PPvsREal!$C:$C,'PPvsREal Summary'!C84,PPvsREal!$O:$O)</f>
        <v>0</v>
      </c>
      <c r="P84" s="3">
        <f>SUMIF(PPvsREal!$C:$C,'PPvsREal Summary'!C84,PPvsREal!$P:$P)</f>
        <v>2420</v>
      </c>
      <c r="Q84" s="3">
        <f>SUMIF(PPvsREal!$C:$C,'PPvsREal Summary'!C84,PPvsREal!$Q:$Q)</f>
        <v>0</v>
      </c>
      <c r="R84" s="3">
        <f>SUMIF(PPvsREal!$C:$C,'PPvsREal Summary'!C84,PPvsREal!$R:$R)</f>
        <v>9799.636</v>
      </c>
      <c r="S84" s="3">
        <f>SUMIF(PPvsREal!$C:$C,'PPvsREal Summary'!C84,PPvsREal!$S:$S)</f>
        <v>0</v>
      </c>
      <c r="T84" s="3">
        <f>SUMIF(PPvsREal!$C:$C,'PPvsREal Summary'!C84,PPvsREal!$T:$T)</f>
        <v>9790.55</v>
      </c>
      <c r="U84" s="3">
        <f>SUMIF(PPvsREal!$C:$C,'PPvsREal Summary'!C84,PPvsREal!$U:$U)</f>
        <v>0</v>
      </c>
      <c r="V84" s="3">
        <f>SUMIF(PPvsREal!$C:$C,'PPvsREal Summary'!C84,PPvsREal!$V:$V)</f>
        <v>8624</v>
      </c>
      <c r="W84" s="3">
        <f>SUMIF(PPvsREal!$C:$C,'PPvsREal Summary'!C84,PPvsREal!$W:$W)</f>
        <v>0</v>
      </c>
      <c r="X84" s="3">
        <f>SUMIF(PPvsREal!$C:$C,'PPvsREal Summary'!C84,PPvsREal!$X:$X)</f>
        <v>8624</v>
      </c>
      <c r="Y84" s="3">
        <f>SUMIF(PPvsREal!$C:$C,'PPvsREal Summary'!C84,PPvsREal!$Y:$Y)</f>
        <v>0</v>
      </c>
      <c r="Z84" s="3">
        <f>SUMIF(PPvsREal!$C:$C,'PPvsREal Summary'!C84,PPvsREal!$Z:$Z)</f>
        <v>8624</v>
      </c>
      <c r="AA84" s="190">
        <f>SUMIF(PPvsREal!$C:$C,'PPvsREal Summary'!C84,PPvsREal!$AA:$AA)</f>
        <v>0</v>
      </c>
      <c r="AB84" s="3"/>
      <c r="AC84" s="201">
        <f t="shared" ref="AC84:AD84" si="167">D84+F84+H84+J84+L84+N84+P84+R84+T84+V84+X84+Z84</f>
        <v>77509.872</v>
      </c>
      <c r="AD84" s="201">
        <f t="shared" si="167"/>
        <v>0</v>
      </c>
      <c r="AE84" s="3"/>
      <c r="AF84" s="201">
        <f t="shared" ref="AF84:AG84" si="168">D84+F84+H84+J84+L84+N84+P84+R84+T84+V84+X84+Z84</f>
        <v>77509.872</v>
      </c>
      <c r="AG84" s="201">
        <f t="shared" si="168"/>
        <v>0</v>
      </c>
    </row>
    <row r="85" ht="12.75" customHeight="1">
      <c r="A85" s="111"/>
      <c r="B85" s="188" t="s">
        <v>21</v>
      </c>
      <c r="C85" s="2" t="s">
        <v>159</v>
      </c>
      <c r="D85" s="189">
        <f>SUMIF(PPvsREal!$C:$C,'PPvsREal Summary'!C85,PPvsREal!$D:$D)</f>
        <v>0</v>
      </c>
      <c r="E85" s="3">
        <f>SUMIF(PPvsREal!$C:$C,'PPvsREal Summary'!C85,PPvsREal!$E:$E)</f>
        <v>0</v>
      </c>
      <c r="F85" s="3">
        <f>SUMIF(PPvsREal!$C:$C,'PPvsREal Summary'!C85,PPvsREal!$F:$F)</f>
        <v>500</v>
      </c>
      <c r="G85" s="3">
        <f>SUMIF(PPvsREal!$C:$C,'PPvsREal Summary'!C85,PPvsREal!$G:$G)</f>
        <v>0</v>
      </c>
      <c r="H85" s="3">
        <f>SUMIF(PPvsREal!$C:$C,'PPvsREal Summary'!C85,PPvsREal!$H:$H)</f>
        <v>500</v>
      </c>
      <c r="I85" s="3">
        <f>SUMIF(PPvsREal!$C:$C,'PPvsREal Summary'!C85,PPvsREal!$I:$I)</f>
        <v>0</v>
      </c>
      <c r="J85" s="3">
        <f>SUMIF(PPvsREal!$C:$C,'PPvsREal Summary'!C85,PPvsREal!$J:$J)</f>
        <v>500</v>
      </c>
      <c r="K85" s="3">
        <f>SUMIF(PPvsREal!$C:$C,'PPvsREal Summary'!C85,PPvsREal!$K:$K)</f>
        <v>0</v>
      </c>
      <c r="L85" s="3">
        <f>SUMIF(PPvsREal!$C:$C,'PPvsREal Summary'!C85,PPvsREal!$L:$L)</f>
        <v>500</v>
      </c>
      <c r="M85" s="3">
        <f>SUMIF(PPvsREal!$C:$C,'PPvsREal Summary'!C85,PPvsREal!$M:$M)</f>
        <v>0</v>
      </c>
      <c r="N85" s="3">
        <f>SUMIF(PPvsREal!$C:$C,'PPvsREal Summary'!C85,PPvsREal!$N:$N)</f>
        <v>500</v>
      </c>
      <c r="O85" s="3">
        <f>SUMIF(PPvsREal!$C:$C,'PPvsREal Summary'!C85,PPvsREal!$O:$O)</f>
        <v>0</v>
      </c>
      <c r="P85" s="3">
        <f>SUMIF(PPvsREal!$C:$C,'PPvsREal Summary'!C85,PPvsREal!$P:$P)</f>
        <v>500</v>
      </c>
      <c r="Q85" s="3">
        <f>SUMIF(PPvsREal!$C:$C,'PPvsREal Summary'!C85,PPvsREal!$Q:$Q)</f>
        <v>0</v>
      </c>
      <c r="R85" s="3">
        <f>SUMIF(PPvsREal!$C:$C,'PPvsREal Summary'!C85,PPvsREal!$R:$R)</f>
        <v>500</v>
      </c>
      <c r="S85" s="3">
        <f>SUMIF(PPvsREal!$C:$C,'PPvsREal Summary'!C85,PPvsREal!$S:$S)</f>
        <v>0</v>
      </c>
      <c r="T85" s="3">
        <f>SUMIF(PPvsREal!$C:$C,'PPvsREal Summary'!C85,PPvsREal!$T:$T)</f>
        <v>500</v>
      </c>
      <c r="U85" s="3">
        <f>SUMIF(PPvsREal!$C:$C,'PPvsREal Summary'!C85,PPvsREal!$U:$U)</f>
        <v>0</v>
      </c>
      <c r="V85" s="3">
        <f>SUMIF(PPvsREal!$C:$C,'PPvsREal Summary'!C85,PPvsREal!$V:$V)</f>
        <v>500</v>
      </c>
      <c r="W85" s="3">
        <f>SUMIF(PPvsREal!$C:$C,'PPvsREal Summary'!C85,PPvsREal!$W:$W)</f>
        <v>0</v>
      </c>
      <c r="X85" s="3">
        <f>SUMIF(PPvsREal!$C:$C,'PPvsREal Summary'!C85,PPvsREal!$X:$X)</f>
        <v>500</v>
      </c>
      <c r="Y85" s="3">
        <f>SUMIF(PPvsREal!$C:$C,'PPvsREal Summary'!C85,PPvsREal!$Y:$Y)</f>
        <v>0</v>
      </c>
      <c r="Z85" s="3">
        <f>SUMIF(PPvsREal!$C:$C,'PPvsREal Summary'!C85,PPvsREal!$Z:$Z)</f>
        <v>0</v>
      </c>
      <c r="AA85" s="190">
        <f>SUMIF(PPvsREal!$C:$C,'PPvsREal Summary'!C85,PPvsREal!$AA:$AA)</f>
        <v>0</v>
      </c>
      <c r="AB85" s="3"/>
      <c r="AC85" s="201">
        <f t="shared" ref="AC85:AD85" si="169">D85+F85+H85+J85+L85+N85+P85+R85+T85+V85+X85+Z85</f>
        <v>5000</v>
      </c>
      <c r="AD85" s="201">
        <f t="shared" si="169"/>
        <v>0</v>
      </c>
      <c r="AE85" s="3"/>
      <c r="AF85" s="201">
        <f t="shared" ref="AF85:AG85" si="170">D85+F85+H85+J85+L85+N85+P85+R85+T85+V85+X85+Z85</f>
        <v>5000</v>
      </c>
      <c r="AG85" s="201">
        <f t="shared" si="170"/>
        <v>0</v>
      </c>
    </row>
    <row r="86" ht="12.75" customHeight="1">
      <c r="A86" s="111"/>
      <c r="B86" s="188" t="s">
        <v>21</v>
      </c>
      <c r="C86" s="2" t="s">
        <v>154</v>
      </c>
      <c r="D86" s="189">
        <f>SUMIF(PPvsREal!$C:$C,'PPvsREal Summary'!C86,PPvsREal!$D:$D)</f>
        <v>0</v>
      </c>
      <c r="E86" s="3">
        <f>SUMIF(PPvsREal!$C:$C,'PPvsREal Summary'!C86,PPvsREal!$E:$E)</f>
        <v>0</v>
      </c>
      <c r="F86" s="3">
        <f>SUMIF(PPvsREal!$C:$C,'PPvsREal Summary'!C86,PPvsREal!$F:$F)</f>
        <v>500</v>
      </c>
      <c r="G86" s="3">
        <f>SUMIF(PPvsREal!$C:$C,'PPvsREal Summary'!C86,PPvsREal!$G:$G)</f>
        <v>0</v>
      </c>
      <c r="H86" s="3">
        <f>SUMIF(PPvsREal!$C:$C,'PPvsREal Summary'!C86,PPvsREal!$H:$H)</f>
        <v>500</v>
      </c>
      <c r="I86" s="3">
        <f>SUMIF(PPvsREal!$C:$C,'PPvsREal Summary'!C86,PPvsREal!$I:$I)</f>
        <v>0</v>
      </c>
      <c r="J86" s="3">
        <f>SUMIF(PPvsREal!$C:$C,'PPvsREal Summary'!C86,PPvsREal!$J:$J)</f>
        <v>500</v>
      </c>
      <c r="K86" s="3">
        <f>SUMIF(PPvsREal!$C:$C,'PPvsREal Summary'!C86,PPvsREal!$K:$K)</f>
        <v>0</v>
      </c>
      <c r="L86" s="3">
        <f>SUMIF(PPvsREal!$C:$C,'PPvsREal Summary'!C86,PPvsREal!$L:$L)</f>
        <v>500</v>
      </c>
      <c r="M86" s="3">
        <f>SUMIF(PPvsREal!$C:$C,'PPvsREal Summary'!C86,PPvsREal!$M:$M)</f>
        <v>0</v>
      </c>
      <c r="N86" s="3">
        <f>SUMIF(PPvsREal!$C:$C,'PPvsREal Summary'!C86,PPvsREal!$N:$N)</f>
        <v>500</v>
      </c>
      <c r="O86" s="3">
        <f>SUMIF(PPvsREal!$C:$C,'PPvsREal Summary'!C86,PPvsREal!$O:$O)</f>
        <v>0</v>
      </c>
      <c r="P86" s="3">
        <f>SUMIF(PPvsREal!$C:$C,'PPvsREal Summary'!C86,PPvsREal!$P:$P)</f>
        <v>500</v>
      </c>
      <c r="Q86" s="3">
        <f>SUMIF(PPvsREal!$C:$C,'PPvsREal Summary'!C86,PPvsREal!$Q:$Q)</f>
        <v>0</v>
      </c>
      <c r="R86" s="3">
        <f>SUMIF(PPvsREal!$C:$C,'PPvsREal Summary'!C86,PPvsREal!$R:$R)</f>
        <v>500</v>
      </c>
      <c r="S86" s="3">
        <f>SUMIF(PPvsREal!$C:$C,'PPvsREal Summary'!C86,PPvsREal!$S:$S)</f>
        <v>0</v>
      </c>
      <c r="T86" s="3">
        <f>SUMIF(PPvsREal!$C:$C,'PPvsREal Summary'!C86,PPvsREal!$T:$T)</f>
        <v>500</v>
      </c>
      <c r="U86" s="3">
        <f>SUMIF(PPvsREal!$C:$C,'PPvsREal Summary'!C86,PPvsREal!$U:$U)</f>
        <v>0</v>
      </c>
      <c r="V86" s="3">
        <f>SUMIF(PPvsREal!$C:$C,'PPvsREal Summary'!C86,PPvsREal!$V:$V)</f>
        <v>500</v>
      </c>
      <c r="W86" s="3">
        <f>SUMIF(PPvsREal!$C:$C,'PPvsREal Summary'!C86,PPvsREal!$W:$W)</f>
        <v>0</v>
      </c>
      <c r="X86" s="3">
        <f>SUMIF(PPvsREal!$C:$C,'PPvsREal Summary'!C86,PPvsREal!$X:$X)</f>
        <v>500</v>
      </c>
      <c r="Y86" s="3">
        <f>SUMIF(PPvsREal!$C:$C,'PPvsREal Summary'!C86,PPvsREal!$Y:$Y)</f>
        <v>0</v>
      </c>
      <c r="Z86" s="3">
        <f>SUMIF(PPvsREal!$C:$C,'PPvsREal Summary'!C86,PPvsREal!$Z:$Z)</f>
        <v>0</v>
      </c>
      <c r="AA86" s="190">
        <f>SUMIF(PPvsREal!$C:$C,'PPvsREal Summary'!C86,PPvsREal!$AA:$AA)</f>
        <v>0</v>
      </c>
      <c r="AB86" s="3"/>
      <c r="AC86" s="201">
        <f t="shared" ref="AC86:AD86" si="171">D86+F86+H86+J86+L86+N86+P86+R86+T86+V86+X86+Z86</f>
        <v>5000</v>
      </c>
      <c r="AD86" s="201">
        <f t="shared" si="171"/>
        <v>0</v>
      </c>
      <c r="AE86" s="3"/>
      <c r="AF86" s="201">
        <f t="shared" ref="AF86:AG86" si="172">D86+F86+H86+J86+L86+N86+P86+R86+T86+V86+X86+Z86</f>
        <v>5000</v>
      </c>
      <c r="AG86" s="201">
        <f t="shared" si="172"/>
        <v>0</v>
      </c>
    </row>
    <row r="87" ht="12.75" customHeight="1">
      <c r="A87" s="111"/>
      <c r="B87" s="188" t="s">
        <v>21</v>
      </c>
      <c r="C87" s="2" t="s">
        <v>161</v>
      </c>
      <c r="D87" s="189">
        <f>SUMIF(PPvsREal!$C:$C,'PPvsREal Summary'!C87,PPvsREal!$D:$D)</f>
        <v>0</v>
      </c>
      <c r="E87" s="3">
        <f>SUMIF(PPvsREal!$C:$C,'PPvsREal Summary'!C87,PPvsREal!$E:$E)</f>
        <v>0</v>
      </c>
      <c r="F87" s="3">
        <f>SUMIF(PPvsREal!$C:$C,'PPvsREal Summary'!C87,PPvsREal!$F:$F)</f>
        <v>500</v>
      </c>
      <c r="G87" s="3">
        <f>SUMIF(PPvsREal!$C:$C,'PPvsREal Summary'!C87,PPvsREal!$G:$G)</f>
        <v>0</v>
      </c>
      <c r="H87" s="3">
        <f>SUMIF(PPvsREal!$C:$C,'PPvsREal Summary'!C87,PPvsREal!$H:$H)</f>
        <v>500</v>
      </c>
      <c r="I87" s="3">
        <f>SUMIF(PPvsREal!$C:$C,'PPvsREal Summary'!C87,PPvsREal!$I:$I)</f>
        <v>0</v>
      </c>
      <c r="J87" s="3">
        <f>SUMIF(PPvsREal!$C:$C,'PPvsREal Summary'!C87,PPvsREal!$J:$J)</f>
        <v>500</v>
      </c>
      <c r="K87" s="3">
        <f>SUMIF(PPvsREal!$C:$C,'PPvsREal Summary'!C87,PPvsREal!$K:$K)</f>
        <v>0</v>
      </c>
      <c r="L87" s="3">
        <f>SUMIF(PPvsREal!$C:$C,'PPvsREal Summary'!C87,PPvsREal!$L:$L)</f>
        <v>500</v>
      </c>
      <c r="M87" s="3">
        <f>SUMIF(PPvsREal!$C:$C,'PPvsREal Summary'!C87,PPvsREal!$M:$M)</f>
        <v>0</v>
      </c>
      <c r="N87" s="3">
        <f>SUMIF(PPvsREal!$C:$C,'PPvsREal Summary'!C87,PPvsREal!$N:$N)</f>
        <v>500</v>
      </c>
      <c r="O87" s="3">
        <f>SUMIF(PPvsREal!$C:$C,'PPvsREal Summary'!C87,PPvsREal!$O:$O)</f>
        <v>0</v>
      </c>
      <c r="P87" s="3">
        <f>SUMIF(PPvsREal!$C:$C,'PPvsREal Summary'!C87,PPvsREal!$P:$P)</f>
        <v>500</v>
      </c>
      <c r="Q87" s="3">
        <f>SUMIF(PPvsREal!$C:$C,'PPvsREal Summary'!C87,PPvsREal!$Q:$Q)</f>
        <v>0</v>
      </c>
      <c r="R87" s="3">
        <f>SUMIF(PPvsREal!$C:$C,'PPvsREal Summary'!C87,PPvsREal!$R:$R)</f>
        <v>500</v>
      </c>
      <c r="S87" s="3">
        <f>SUMIF(PPvsREal!$C:$C,'PPvsREal Summary'!C87,PPvsREal!$S:$S)</f>
        <v>0</v>
      </c>
      <c r="T87" s="3">
        <f>SUMIF(PPvsREal!$C:$C,'PPvsREal Summary'!C87,PPvsREal!$T:$T)</f>
        <v>500</v>
      </c>
      <c r="U87" s="3">
        <f>SUMIF(PPvsREal!$C:$C,'PPvsREal Summary'!C87,PPvsREal!$U:$U)</f>
        <v>0</v>
      </c>
      <c r="V87" s="3">
        <f>SUMIF(PPvsREal!$C:$C,'PPvsREal Summary'!C87,PPvsREal!$V:$V)</f>
        <v>500</v>
      </c>
      <c r="W87" s="3">
        <f>SUMIF(PPvsREal!$C:$C,'PPvsREal Summary'!C87,PPvsREal!$W:$W)</f>
        <v>0</v>
      </c>
      <c r="X87" s="3">
        <f>SUMIF(PPvsREal!$C:$C,'PPvsREal Summary'!C87,PPvsREal!$X:$X)</f>
        <v>500</v>
      </c>
      <c r="Y87" s="3">
        <f>SUMIF(PPvsREal!$C:$C,'PPvsREal Summary'!C87,PPvsREal!$Y:$Y)</f>
        <v>0</v>
      </c>
      <c r="Z87" s="3">
        <f>SUMIF(PPvsREal!$C:$C,'PPvsREal Summary'!C87,PPvsREal!$Z:$Z)</f>
        <v>0</v>
      </c>
      <c r="AA87" s="190">
        <f>SUMIF(PPvsREal!$C:$C,'PPvsREal Summary'!C87,PPvsREal!$AA:$AA)</f>
        <v>0</v>
      </c>
      <c r="AB87" s="3"/>
      <c r="AC87" s="201">
        <f t="shared" ref="AC87:AD87" si="173">D87+F87+H87+J87+L87+N87+P87+R87+T87+V87+X87+Z87</f>
        <v>5000</v>
      </c>
      <c r="AD87" s="201">
        <f t="shared" si="173"/>
        <v>0</v>
      </c>
      <c r="AE87" s="3"/>
      <c r="AF87" s="201">
        <f t="shared" ref="AF87:AG87" si="174">D87+F87+H87+J87+L87+N87+P87+R87+T87+V87+X87+Z87</f>
        <v>5000</v>
      </c>
      <c r="AG87" s="201">
        <f t="shared" si="174"/>
        <v>0</v>
      </c>
    </row>
    <row r="88" ht="12.75" customHeight="1">
      <c r="A88" s="111"/>
      <c r="B88" s="188" t="s">
        <v>21</v>
      </c>
      <c r="C88" s="2" t="s">
        <v>167</v>
      </c>
      <c r="D88" s="189">
        <f>SUMIF(PPvsREal!$C:$C,'PPvsREal Summary'!C88,PPvsREal!$D:$D)</f>
        <v>0</v>
      </c>
      <c r="E88" s="3">
        <f>SUMIF(PPvsREal!$C:$C,'PPvsREal Summary'!C88,PPvsREal!$E:$E)</f>
        <v>0</v>
      </c>
      <c r="F88" s="3">
        <f>SUMIF(PPvsREal!$C:$C,'PPvsREal Summary'!C88,PPvsREal!$F:$F)</f>
        <v>0</v>
      </c>
      <c r="G88" s="3">
        <f>SUMIF(PPvsREal!$C:$C,'PPvsREal Summary'!C88,PPvsREal!$G:$G)</f>
        <v>0</v>
      </c>
      <c r="H88" s="3">
        <f>SUMIF(PPvsREal!$C:$C,'PPvsREal Summary'!C88,PPvsREal!$H:$H)</f>
        <v>0</v>
      </c>
      <c r="I88" s="3">
        <f>SUMIF(PPvsREal!$C:$C,'PPvsREal Summary'!C88,PPvsREal!$I:$I)</f>
        <v>0</v>
      </c>
      <c r="J88" s="3">
        <f>SUMIF(PPvsREal!$C:$C,'PPvsREal Summary'!C88,PPvsREal!$J:$J)</f>
        <v>0</v>
      </c>
      <c r="K88" s="3">
        <f>SUMIF(PPvsREal!$C:$C,'PPvsREal Summary'!C88,PPvsREal!$K:$K)</f>
        <v>0</v>
      </c>
      <c r="L88" s="3">
        <f>SUMIF(PPvsREal!$C:$C,'PPvsREal Summary'!C88,PPvsREal!$L:$L)</f>
        <v>357564.9</v>
      </c>
      <c r="M88" s="3">
        <f>SUMIF(PPvsREal!$C:$C,'PPvsREal Summary'!C88,PPvsREal!$M:$M)</f>
        <v>0</v>
      </c>
      <c r="N88" s="3">
        <f>SUMIF(PPvsREal!$C:$C,'PPvsREal Summary'!C88,PPvsREal!$N:$N)</f>
        <v>3352.745</v>
      </c>
      <c r="O88" s="3">
        <f>SUMIF(PPvsREal!$C:$C,'PPvsREal Summary'!C88,PPvsREal!$O:$O)</f>
        <v>0</v>
      </c>
      <c r="P88" s="3">
        <f>SUMIF(PPvsREal!$C:$C,'PPvsREal Summary'!C88,PPvsREal!$P:$P)</f>
        <v>4062.531</v>
      </c>
      <c r="Q88" s="3">
        <f>SUMIF(PPvsREal!$C:$C,'PPvsREal Summary'!C88,PPvsREal!$Q:$Q)</f>
        <v>0</v>
      </c>
      <c r="R88" s="3">
        <f>SUMIF(PPvsREal!$C:$C,'PPvsREal Summary'!C88,PPvsREal!$R:$R)</f>
        <v>72123.964</v>
      </c>
      <c r="S88" s="3">
        <f>SUMIF(PPvsREal!$C:$C,'PPvsREal Summary'!C88,PPvsREal!$S:$S)</f>
        <v>0</v>
      </c>
      <c r="T88" s="3">
        <f>SUMIF(PPvsREal!$C:$C,'PPvsREal Summary'!C88,PPvsREal!$T:$T)</f>
        <v>5170.869</v>
      </c>
      <c r="U88" s="3">
        <f>SUMIF(PPvsREal!$C:$C,'PPvsREal Summary'!C88,PPvsREal!$U:$U)</f>
        <v>0</v>
      </c>
      <c r="V88" s="3">
        <f>SUMIF(PPvsREal!$C:$C,'PPvsREal Summary'!C88,PPvsREal!$V:$V)</f>
        <v>0</v>
      </c>
      <c r="W88" s="3">
        <f>SUMIF(PPvsREal!$C:$C,'PPvsREal Summary'!C88,PPvsREal!$W:$W)</f>
        <v>0</v>
      </c>
      <c r="X88" s="3">
        <f>SUMIF(PPvsREal!$C:$C,'PPvsREal Summary'!C88,PPvsREal!$X:$X)</f>
        <v>0</v>
      </c>
      <c r="Y88" s="3">
        <f>SUMIF(PPvsREal!$C:$C,'PPvsREal Summary'!C88,PPvsREal!$Y:$Y)</f>
        <v>0</v>
      </c>
      <c r="Z88" s="3">
        <f>SUMIF(PPvsREal!$C:$C,'PPvsREal Summary'!C88,PPvsREal!$Z:$Z)</f>
        <v>44000</v>
      </c>
      <c r="AA88" s="190">
        <f>SUMIF(PPvsREal!$C:$C,'PPvsREal Summary'!C88,PPvsREal!$AA:$AA)</f>
        <v>0</v>
      </c>
      <c r="AB88" s="3"/>
      <c r="AC88" s="201">
        <f t="shared" ref="AC88:AD88" si="175">D88+F88+H88+J88+L88+N88+P88+R88+T88+V88+X88+Z88</f>
        <v>486275.009</v>
      </c>
      <c r="AD88" s="201">
        <f t="shared" si="175"/>
        <v>0</v>
      </c>
      <c r="AE88" s="3"/>
      <c r="AF88" s="201">
        <f t="shared" ref="AF88:AG88" si="176">D88+F88+H88+J88+L88+N88+P88+R88+T88+V88+X88+Z88</f>
        <v>486275.009</v>
      </c>
      <c r="AG88" s="201">
        <f t="shared" si="176"/>
        <v>0</v>
      </c>
    </row>
    <row r="89" ht="12.75" customHeight="1">
      <c r="A89" s="111"/>
      <c r="B89" s="202"/>
      <c r="C89" s="203">
        <v>5.02E20</v>
      </c>
      <c r="D89" s="204">
        <f t="shared" ref="D89:AA89" si="177">SUM(D75:D88)</f>
        <v>36000</v>
      </c>
      <c r="E89" s="204">
        <f t="shared" si="177"/>
        <v>0</v>
      </c>
      <c r="F89" s="204">
        <f t="shared" si="177"/>
        <v>40500</v>
      </c>
      <c r="G89" s="204">
        <f t="shared" si="177"/>
        <v>0</v>
      </c>
      <c r="H89" s="204">
        <f t="shared" si="177"/>
        <v>41222.15</v>
      </c>
      <c r="I89" s="204">
        <f t="shared" si="177"/>
        <v>0</v>
      </c>
      <c r="J89" s="204">
        <f t="shared" si="177"/>
        <v>50299.636</v>
      </c>
      <c r="K89" s="204">
        <f t="shared" si="177"/>
        <v>0</v>
      </c>
      <c r="L89" s="204">
        <f t="shared" si="177"/>
        <v>407864.536</v>
      </c>
      <c r="M89" s="204">
        <f t="shared" si="177"/>
        <v>0</v>
      </c>
      <c r="N89" s="204">
        <f t="shared" si="177"/>
        <v>53159.009</v>
      </c>
      <c r="O89" s="204">
        <f t="shared" si="177"/>
        <v>0</v>
      </c>
      <c r="P89" s="204">
        <f t="shared" si="177"/>
        <v>46982.531</v>
      </c>
      <c r="Q89" s="204">
        <f t="shared" si="177"/>
        <v>0</v>
      </c>
      <c r="R89" s="204">
        <f t="shared" si="177"/>
        <v>122423.6</v>
      </c>
      <c r="S89" s="204">
        <f t="shared" si="177"/>
        <v>0</v>
      </c>
      <c r="T89" s="204">
        <f t="shared" si="177"/>
        <v>55461.419</v>
      </c>
      <c r="U89" s="204">
        <f t="shared" si="177"/>
        <v>0</v>
      </c>
      <c r="V89" s="204">
        <f t="shared" si="177"/>
        <v>49124</v>
      </c>
      <c r="W89" s="204">
        <f t="shared" si="177"/>
        <v>0</v>
      </c>
      <c r="X89" s="204">
        <f t="shared" si="177"/>
        <v>49124</v>
      </c>
      <c r="Y89" s="204">
        <f t="shared" si="177"/>
        <v>0</v>
      </c>
      <c r="Z89" s="204">
        <f t="shared" si="177"/>
        <v>52624</v>
      </c>
      <c r="AA89" s="205">
        <f t="shared" si="177"/>
        <v>0</v>
      </c>
      <c r="AB89" s="3"/>
      <c r="AC89" s="206">
        <f t="shared" ref="AC89:AD89" si="178">D89+F89+H89+J89+L89+N89+P89+R89+T89+V89+X89+Z89</f>
        <v>1004784.881</v>
      </c>
      <c r="AD89" s="206">
        <f t="shared" si="178"/>
        <v>0</v>
      </c>
      <c r="AE89" s="3"/>
      <c r="AF89" s="206">
        <f t="shared" ref="AF89:AG89" si="179">D89+F89+H89+J89+L89+N89+P89+R89+T89+V89+X89+Z89</f>
        <v>1004784.881</v>
      </c>
      <c r="AG89" s="206">
        <f t="shared" si="179"/>
        <v>0</v>
      </c>
    </row>
    <row r="90" ht="12.75" customHeight="1">
      <c r="A90" s="111"/>
      <c r="B90" s="188"/>
      <c r="C90" s="2"/>
      <c r="D90" s="189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190"/>
      <c r="AB90" s="3"/>
      <c r="AC90" s="201">
        <f t="shared" ref="AC90:AD90" si="180">D90+F90+H90+J90+L90+N90+P90+R90+T90+V90+X90+Z90</f>
        <v>0</v>
      </c>
      <c r="AD90" s="201">
        <f t="shared" si="180"/>
        <v>0</v>
      </c>
      <c r="AE90" s="3"/>
      <c r="AF90" s="201">
        <f t="shared" ref="AF90:AG90" si="181">D90+F90+H90+J90+L90+N90+P90+R90+T90+V90+X90+Z90</f>
        <v>0</v>
      </c>
      <c r="AG90" s="201">
        <f t="shared" si="181"/>
        <v>0</v>
      </c>
    </row>
    <row r="91" ht="12.75" customHeight="1">
      <c r="A91" s="111"/>
      <c r="B91" s="188" t="s">
        <v>417</v>
      </c>
      <c r="C91" s="2" t="s">
        <v>114</v>
      </c>
      <c r="D91" s="189">
        <f>SUMIF(PPvsREal!$C:$C,'PPvsREal Summary'!C91,PPvsREal!$D:$D)</f>
        <v>38293.58</v>
      </c>
      <c r="E91" s="3">
        <f>SUMIF(PPvsREal!$C:$C,'PPvsREal Summary'!C91,PPvsREal!$E:$E)</f>
        <v>0</v>
      </c>
      <c r="F91" s="3">
        <f>SUMIF(PPvsREal!$C:$C,'PPvsREal Summary'!C91,PPvsREal!$F:$F)</f>
        <v>38293.58</v>
      </c>
      <c r="G91" s="3">
        <f>SUMIF(PPvsREal!$C:$C,'PPvsREal Summary'!C91,PPvsREal!$G:$G)</f>
        <v>0</v>
      </c>
      <c r="H91" s="3">
        <f>SUMIF(PPvsREal!$C:$C,'PPvsREal Summary'!C91,PPvsREal!$H:$H)</f>
        <v>38293.58</v>
      </c>
      <c r="I91" s="3">
        <f>SUMIF(PPvsREal!$C:$C,'PPvsREal Summary'!C91,PPvsREal!$I:$I)</f>
        <v>0</v>
      </c>
      <c r="J91" s="3">
        <f>SUMIF(PPvsREal!$C:$C,'PPvsREal Summary'!C91,PPvsREal!$J:$J)</f>
        <v>38293.58</v>
      </c>
      <c r="K91" s="3">
        <f>SUMIF(PPvsREal!$C:$C,'PPvsREal Summary'!C91,PPvsREal!$K:$K)</f>
        <v>0</v>
      </c>
      <c r="L91" s="3">
        <f>SUMIF(PPvsREal!$C:$C,'PPvsREal Summary'!C91,PPvsREal!$L:$L)</f>
        <v>38293.58</v>
      </c>
      <c r="M91" s="3">
        <f>SUMIF(PPvsREal!$C:$C,'PPvsREal Summary'!C91,PPvsREal!$M:$M)</f>
        <v>0</v>
      </c>
      <c r="N91" s="3">
        <f>SUMIF(PPvsREal!$C:$C,'PPvsREal Summary'!C91,PPvsREal!$N:$N)</f>
        <v>38293.58</v>
      </c>
      <c r="O91" s="3">
        <f>SUMIF(PPvsREal!$C:$C,'PPvsREal Summary'!C91,PPvsREal!$O:$O)</f>
        <v>0</v>
      </c>
      <c r="P91" s="3">
        <f>SUMIF(PPvsREal!$C:$C,'PPvsREal Summary'!C91,PPvsREal!$P:$P)</f>
        <v>38293.58</v>
      </c>
      <c r="Q91" s="3">
        <f>SUMIF(PPvsREal!$C:$C,'PPvsREal Summary'!C91,PPvsREal!$Q:$Q)</f>
        <v>0</v>
      </c>
      <c r="R91" s="3">
        <f>SUMIF(PPvsREal!$C:$C,'PPvsREal Summary'!C91,PPvsREal!$R:$R)</f>
        <v>38293.58</v>
      </c>
      <c r="S91" s="3">
        <f>SUMIF(PPvsREal!$C:$C,'PPvsREal Summary'!C91,PPvsREal!$S:$S)</f>
        <v>0</v>
      </c>
      <c r="T91" s="3">
        <f>SUMIF(PPvsREal!$C:$C,'PPvsREal Summary'!C91,PPvsREal!$T:$T)</f>
        <v>38293.58</v>
      </c>
      <c r="U91" s="3">
        <f>SUMIF(PPvsREal!$C:$C,'PPvsREal Summary'!C91,PPvsREal!$U:$U)</f>
        <v>0</v>
      </c>
      <c r="V91" s="3">
        <f>SUMIF(PPvsREal!$C:$C,'PPvsREal Summary'!C91,PPvsREal!$V:$V)</f>
        <v>38293.58</v>
      </c>
      <c r="W91" s="3">
        <f>SUMIF(PPvsREal!$C:$C,'PPvsREal Summary'!C91,PPvsREal!$W:$W)</f>
        <v>0</v>
      </c>
      <c r="X91" s="3">
        <f>SUMIF(PPvsREal!$C:$C,'PPvsREal Summary'!C91,PPvsREal!$X:$X)</f>
        <v>38293.58</v>
      </c>
      <c r="Y91" s="3">
        <f>SUMIF(PPvsREal!$C:$C,'PPvsREal Summary'!C91,PPvsREal!$Y:$Y)</f>
        <v>0</v>
      </c>
      <c r="Z91" s="3">
        <f>SUMIF(PPvsREal!$C:$C,'PPvsREal Summary'!C91,PPvsREal!$Z:$Z)</f>
        <v>38293.58</v>
      </c>
      <c r="AA91" s="190">
        <f>SUMIF(PPvsREal!$C:$C,'PPvsREal Summary'!C91,PPvsREal!$AA:$AA)</f>
        <v>0</v>
      </c>
      <c r="AB91" s="3"/>
      <c r="AC91" s="201">
        <f t="shared" ref="AC91:AD91" si="182">D91+F91+H91+J91+L91+N91+P91+R91+T91+V91+X91+Z91</f>
        <v>459522.96</v>
      </c>
      <c r="AD91" s="201">
        <f t="shared" si="182"/>
        <v>0</v>
      </c>
      <c r="AE91" s="3"/>
      <c r="AF91" s="201">
        <f t="shared" ref="AF91:AG91" si="183">D91+F91+H91+J91+L91+N91+P91+R91+T91+V91+X91+Z91</f>
        <v>459522.96</v>
      </c>
      <c r="AG91" s="201">
        <f t="shared" si="183"/>
        <v>0</v>
      </c>
    </row>
    <row r="92" ht="12.75" customHeight="1">
      <c r="A92" s="111"/>
      <c r="B92" s="202"/>
      <c r="C92" s="203">
        <v>5.03E20</v>
      </c>
      <c r="D92" s="204">
        <f t="shared" ref="D92:AA92" si="184">D91</f>
        <v>38293.58</v>
      </c>
      <c r="E92" s="204">
        <f t="shared" si="184"/>
        <v>0</v>
      </c>
      <c r="F92" s="204">
        <f t="shared" si="184"/>
        <v>38293.58</v>
      </c>
      <c r="G92" s="204">
        <f t="shared" si="184"/>
        <v>0</v>
      </c>
      <c r="H92" s="204">
        <f t="shared" si="184"/>
        <v>38293.58</v>
      </c>
      <c r="I92" s="204">
        <f t="shared" si="184"/>
        <v>0</v>
      </c>
      <c r="J92" s="204">
        <f t="shared" si="184"/>
        <v>38293.58</v>
      </c>
      <c r="K92" s="204">
        <f t="shared" si="184"/>
        <v>0</v>
      </c>
      <c r="L92" s="204">
        <f t="shared" si="184"/>
        <v>38293.58</v>
      </c>
      <c r="M92" s="204">
        <f t="shared" si="184"/>
        <v>0</v>
      </c>
      <c r="N92" s="204">
        <f t="shared" si="184"/>
        <v>38293.58</v>
      </c>
      <c r="O92" s="204">
        <f t="shared" si="184"/>
        <v>0</v>
      </c>
      <c r="P92" s="204">
        <f t="shared" si="184"/>
        <v>38293.58</v>
      </c>
      <c r="Q92" s="204">
        <f t="shared" si="184"/>
        <v>0</v>
      </c>
      <c r="R92" s="204">
        <f t="shared" si="184"/>
        <v>38293.58</v>
      </c>
      <c r="S92" s="204">
        <f t="shared" si="184"/>
        <v>0</v>
      </c>
      <c r="T92" s="204">
        <f t="shared" si="184"/>
        <v>38293.58</v>
      </c>
      <c r="U92" s="204">
        <f t="shared" si="184"/>
        <v>0</v>
      </c>
      <c r="V92" s="204">
        <f t="shared" si="184"/>
        <v>38293.58</v>
      </c>
      <c r="W92" s="204">
        <f t="shared" si="184"/>
        <v>0</v>
      </c>
      <c r="X92" s="204">
        <f t="shared" si="184"/>
        <v>38293.58</v>
      </c>
      <c r="Y92" s="204">
        <f t="shared" si="184"/>
        <v>0</v>
      </c>
      <c r="Z92" s="204">
        <f t="shared" si="184"/>
        <v>38293.58</v>
      </c>
      <c r="AA92" s="205">
        <f t="shared" si="184"/>
        <v>0</v>
      </c>
      <c r="AB92" s="3"/>
      <c r="AC92" s="206">
        <f t="shared" ref="AC92:AD92" si="185">D92+F92+H92+J92+L92+N92+P92+R92+T92+V92+X92+Z92</f>
        <v>459522.96</v>
      </c>
      <c r="AD92" s="206">
        <f t="shared" si="185"/>
        <v>0</v>
      </c>
      <c r="AE92" s="3"/>
      <c r="AF92" s="206">
        <f t="shared" ref="AF92:AG92" si="186">D92+F92+H92+J92+L92+N92+P92+R92+T92+V92+X92+Z92</f>
        <v>459522.96</v>
      </c>
      <c r="AG92" s="206">
        <f t="shared" si="186"/>
        <v>0</v>
      </c>
    </row>
    <row r="93" ht="12.75" customHeight="1">
      <c r="A93" s="111"/>
      <c r="B93" s="188"/>
      <c r="C93" s="2"/>
      <c r="D93" s="189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190"/>
      <c r="AB93" s="3"/>
      <c r="AC93" s="201">
        <f t="shared" ref="AC93:AD93" si="187">D93+F93+H93+J93+L93+N93+P93+R93+T93+V93+X93+Z93</f>
        <v>0</v>
      </c>
      <c r="AD93" s="201">
        <f t="shared" si="187"/>
        <v>0</v>
      </c>
      <c r="AE93" s="3"/>
      <c r="AF93" s="201">
        <f t="shared" ref="AF93:AG93" si="188">D93+F93+H93+J93+L93+N93+P93+R93+T93+V93+X93+Z93</f>
        <v>0</v>
      </c>
      <c r="AG93" s="201">
        <f t="shared" si="188"/>
        <v>0</v>
      </c>
    </row>
    <row r="94" ht="12.75" customHeight="1">
      <c r="A94" s="111"/>
      <c r="B94" s="188" t="s">
        <v>417</v>
      </c>
      <c r="C94" s="2" t="s">
        <v>170</v>
      </c>
      <c r="D94" s="189">
        <f>SUMIF(PPvsREal!$C:$C,'PPvsREal Summary'!C94,PPvsREal!$D:$D)</f>
        <v>0</v>
      </c>
      <c r="E94" s="3">
        <f>SUMIF(PPvsREal!$C:$C,'PPvsREal Summary'!C94,PPvsREal!$E:$E)</f>
        <v>0</v>
      </c>
      <c r="F94" s="3">
        <f>SUMIF(PPvsREal!$C:$C,'PPvsREal Summary'!C94,PPvsREal!$F:$F)</f>
        <v>0</v>
      </c>
      <c r="G94" s="3">
        <f>SUMIF(PPvsREal!$C:$C,'PPvsREal Summary'!C94,PPvsREal!$G:$G)</f>
        <v>0</v>
      </c>
      <c r="H94" s="3">
        <f>SUMIF(PPvsREal!$C:$C,'PPvsREal Summary'!C94,PPvsREal!$H:$H)</f>
        <v>0</v>
      </c>
      <c r="I94" s="3">
        <f>SUMIF(PPvsREal!$C:$C,'PPvsREal Summary'!C94,PPvsREal!$I:$I)</f>
        <v>0</v>
      </c>
      <c r="J94" s="3">
        <f>SUMIF(PPvsREal!$C:$C,'PPvsREal Summary'!C94,PPvsREal!$J:$J)</f>
        <v>0</v>
      </c>
      <c r="K94" s="3">
        <f>SUMIF(PPvsREal!$C:$C,'PPvsREal Summary'!C94,PPvsREal!$K:$K)</f>
        <v>0</v>
      </c>
      <c r="L94" s="3">
        <f>SUMIF(PPvsREal!$C:$C,'PPvsREal Summary'!C94,PPvsREal!$L:$L)</f>
        <v>0</v>
      </c>
      <c r="M94" s="3">
        <f>SUMIF(PPvsREal!$C:$C,'PPvsREal Summary'!C94,PPvsREal!$M:$M)</f>
        <v>0</v>
      </c>
      <c r="N94" s="3">
        <f>SUMIF(PPvsREal!$C:$C,'PPvsREal Summary'!C94,PPvsREal!$N:$N)</f>
        <v>0</v>
      </c>
      <c r="O94" s="3">
        <f>SUMIF(PPvsREal!$C:$C,'PPvsREal Summary'!C94,PPvsREal!$O:$O)</f>
        <v>0</v>
      </c>
      <c r="P94" s="3">
        <f>SUMIF(PPvsREal!$C:$C,'PPvsREal Summary'!C94,PPvsREal!$P:$P)</f>
        <v>0</v>
      </c>
      <c r="Q94" s="3">
        <f>SUMIF(PPvsREal!$C:$C,'PPvsREal Summary'!C94,PPvsREal!$Q:$Q)</f>
        <v>0</v>
      </c>
      <c r="R94" s="3">
        <f>SUMIF(PPvsREal!$C:$C,'PPvsREal Summary'!C94,PPvsREal!$R:$R)</f>
        <v>0</v>
      </c>
      <c r="S94" s="3">
        <f>SUMIF(PPvsREal!$C:$C,'PPvsREal Summary'!C94,PPvsREal!$S:$S)</f>
        <v>0</v>
      </c>
      <c r="T94" s="3">
        <f>SUMIF(PPvsREal!$C:$C,'PPvsREal Summary'!C94,PPvsREal!$T:$T)</f>
        <v>0</v>
      </c>
      <c r="U94" s="3">
        <f>SUMIF(PPvsREal!$C:$C,'PPvsREal Summary'!C94,PPvsREal!$U:$U)</f>
        <v>0</v>
      </c>
      <c r="V94" s="3">
        <f>SUMIF(PPvsREal!$C:$C,'PPvsREal Summary'!C94,PPvsREal!$V:$V)</f>
        <v>0</v>
      </c>
      <c r="W94" s="3">
        <f>SUMIF(PPvsREal!$C:$C,'PPvsREal Summary'!C94,PPvsREal!$W:$W)</f>
        <v>0</v>
      </c>
      <c r="X94" s="3">
        <f>SUMIF(PPvsREal!$C:$C,'PPvsREal Summary'!C94,PPvsREal!$X:$X)</f>
        <v>0</v>
      </c>
      <c r="Y94" s="3">
        <f>SUMIF(PPvsREal!$C:$C,'PPvsREal Summary'!C94,PPvsREal!$Y:$Y)</f>
        <v>0</v>
      </c>
      <c r="Z94" s="3">
        <f>SUMIF(PPvsREal!$C:$C,'PPvsREal Summary'!C94,PPvsREal!$Z:$Z)</f>
        <v>0</v>
      </c>
      <c r="AA94" s="190">
        <f>SUMIF(PPvsREal!$C:$C,'PPvsREal Summary'!C94,PPvsREal!$AA:$AA)</f>
        <v>0</v>
      </c>
      <c r="AB94" s="3"/>
      <c r="AC94" s="201">
        <f t="shared" ref="AC94:AD94" si="189">D94+F94+H94+J94+L94+N94+P94+R94+T94+V94+X94+Z94</f>
        <v>0</v>
      </c>
      <c r="AD94" s="201">
        <f t="shared" si="189"/>
        <v>0</v>
      </c>
      <c r="AE94" s="3"/>
      <c r="AF94" s="201">
        <f t="shared" ref="AF94:AG94" si="190">D94+F94+H94+J94+L94+N94+P94+R94+T94+V94+X94+Z94</f>
        <v>0</v>
      </c>
      <c r="AG94" s="201">
        <f t="shared" si="190"/>
        <v>0</v>
      </c>
    </row>
    <row r="95" ht="12.75" customHeight="1">
      <c r="A95" s="111"/>
      <c r="B95" s="202"/>
      <c r="C95" s="203">
        <v>5.04E20</v>
      </c>
      <c r="D95" s="204">
        <f t="shared" ref="D95:AA95" si="191">D94</f>
        <v>0</v>
      </c>
      <c r="E95" s="204">
        <f t="shared" si="191"/>
        <v>0</v>
      </c>
      <c r="F95" s="204">
        <f t="shared" si="191"/>
        <v>0</v>
      </c>
      <c r="G95" s="204">
        <f t="shared" si="191"/>
        <v>0</v>
      </c>
      <c r="H95" s="204">
        <f t="shared" si="191"/>
        <v>0</v>
      </c>
      <c r="I95" s="204">
        <f t="shared" si="191"/>
        <v>0</v>
      </c>
      <c r="J95" s="204">
        <f t="shared" si="191"/>
        <v>0</v>
      </c>
      <c r="K95" s="204">
        <f t="shared" si="191"/>
        <v>0</v>
      </c>
      <c r="L95" s="204">
        <f t="shared" si="191"/>
        <v>0</v>
      </c>
      <c r="M95" s="204">
        <f t="shared" si="191"/>
        <v>0</v>
      </c>
      <c r="N95" s="204">
        <f t="shared" si="191"/>
        <v>0</v>
      </c>
      <c r="O95" s="204">
        <f t="shared" si="191"/>
        <v>0</v>
      </c>
      <c r="P95" s="204">
        <f t="shared" si="191"/>
        <v>0</v>
      </c>
      <c r="Q95" s="204">
        <f t="shared" si="191"/>
        <v>0</v>
      </c>
      <c r="R95" s="204">
        <f t="shared" si="191"/>
        <v>0</v>
      </c>
      <c r="S95" s="204">
        <f t="shared" si="191"/>
        <v>0</v>
      </c>
      <c r="T95" s="204">
        <f t="shared" si="191"/>
        <v>0</v>
      </c>
      <c r="U95" s="204">
        <f t="shared" si="191"/>
        <v>0</v>
      </c>
      <c r="V95" s="204">
        <f t="shared" si="191"/>
        <v>0</v>
      </c>
      <c r="W95" s="204">
        <f t="shared" si="191"/>
        <v>0</v>
      </c>
      <c r="X95" s="204">
        <f t="shared" si="191"/>
        <v>0</v>
      </c>
      <c r="Y95" s="204">
        <f t="shared" si="191"/>
        <v>0</v>
      </c>
      <c r="Z95" s="204">
        <f t="shared" si="191"/>
        <v>0</v>
      </c>
      <c r="AA95" s="205">
        <f t="shared" si="191"/>
        <v>0</v>
      </c>
      <c r="AB95" s="3"/>
      <c r="AC95" s="206">
        <f t="shared" ref="AC95:AD95" si="192">D95+F95+H95+J95+L95+N95+P95+R95+T95+V95+X95+Z95</f>
        <v>0</v>
      </c>
      <c r="AD95" s="206">
        <f t="shared" si="192"/>
        <v>0</v>
      </c>
      <c r="AE95" s="3"/>
      <c r="AF95" s="206">
        <f t="shared" ref="AF95:AG95" si="193">D95+F95+H95+J95+L95+N95+P95+R95+T95+V95+X95+Z95</f>
        <v>0</v>
      </c>
      <c r="AG95" s="206">
        <f t="shared" si="193"/>
        <v>0</v>
      </c>
    </row>
    <row r="96" ht="12.75" customHeight="1">
      <c r="A96" s="111"/>
      <c r="B96" s="188"/>
      <c r="C96" s="2"/>
      <c r="D96" s="189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190"/>
      <c r="AB96" s="3"/>
      <c r="AC96" s="201">
        <f t="shared" ref="AC96:AD96" si="194">D96+F96+H96+J96+L96+N96+P96+R96+T96+V96+X96+Z96</f>
        <v>0</v>
      </c>
      <c r="AD96" s="201">
        <f t="shared" si="194"/>
        <v>0</v>
      </c>
      <c r="AE96" s="3"/>
      <c r="AF96" s="201">
        <f t="shared" ref="AF96:AG96" si="195">D96+F96+H96+J96+L96+N96+P96+R96+T96+V96+X96+Z96</f>
        <v>0</v>
      </c>
      <c r="AG96" s="201">
        <f t="shared" si="195"/>
        <v>0</v>
      </c>
    </row>
    <row r="97" ht="12.75" customHeight="1">
      <c r="A97" s="111"/>
      <c r="B97" s="188" t="s">
        <v>424</v>
      </c>
      <c r="C97" s="2" t="s">
        <v>258</v>
      </c>
      <c r="D97" s="189">
        <f>SUMIF(PPvsREal!$C:$C,'PPvsREal Summary'!C97,PPvsREal!$D:$D)</f>
        <v>41265</v>
      </c>
      <c r="E97" s="3">
        <f>SUMIF(PPvsREal!$C:$C,'PPvsREal Summary'!C97,PPvsREal!$E:$E)</f>
        <v>0</v>
      </c>
      <c r="F97" s="3">
        <f>SUMIF(PPvsREal!$C:$C,'PPvsREal Summary'!C97,PPvsREal!$F:$F)</f>
        <v>27510</v>
      </c>
      <c r="G97" s="3">
        <f>SUMIF(PPvsREal!$C:$C,'PPvsREal Summary'!C97,PPvsREal!$G:$G)</f>
        <v>0</v>
      </c>
      <c r="H97" s="3">
        <f>SUMIF(PPvsREal!$C:$C,'PPvsREal Summary'!C97,PPvsREal!$H:$H)</f>
        <v>41265</v>
      </c>
      <c r="I97" s="3">
        <f>SUMIF(PPvsREal!$C:$C,'PPvsREal Summary'!C97,PPvsREal!$I:$I)</f>
        <v>0</v>
      </c>
      <c r="J97" s="3">
        <f>SUMIF(PPvsREal!$C:$C,'PPvsREal Summary'!C97,PPvsREal!$J:$J)</f>
        <v>41265</v>
      </c>
      <c r="K97" s="3">
        <f>SUMIF(PPvsREal!$C:$C,'PPvsREal Summary'!C97,PPvsREal!$K:$K)</f>
        <v>0</v>
      </c>
      <c r="L97" s="3">
        <f>SUMIF(PPvsREal!$C:$C,'PPvsREal Summary'!C97,PPvsREal!$L:$L)</f>
        <v>27510</v>
      </c>
      <c r="M97" s="3">
        <f>SUMIF(PPvsREal!$C:$C,'PPvsREal Summary'!C97,PPvsREal!$M:$M)</f>
        <v>0</v>
      </c>
      <c r="N97" s="3">
        <f>SUMIF(PPvsREal!$C:$C,'PPvsREal Summary'!C97,PPvsREal!$N:$N)</f>
        <v>27510</v>
      </c>
      <c r="O97" s="3">
        <f>SUMIF(PPvsREal!$C:$C,'PPvsREal Summary'!C97,PPvsREal!$O:$O)</f>
        <v>0</v>
      </c>
      <c r="P97" s="3">
        <f>SUMIF(PPvsREal!$C:$C,'PPvsREal Summary'!C97,PPvsREal!$P:$P)</f>
        <v>27510</v>
      </c>
      <c r="Q97" s="3">
        <f>SUMIF(PPvsREal!$C:$C,'PPvsREal Summary'!C97,PPvsREal!$Q:$Q)</f>
        <v>0</v>
      </c>
      <c r="R97" s="3">
        <f>SUMIF(PPvsREal!$C:$C,'PPvsREal Summary'!C97,PPvsREal!$R:$R)</f>
        <v>8137.5</v>
      </c>
      <c r="S97" s="3">
        <f>SUMIF(PPvsREal!$C:$C,'PPvsREal Summary'!C97,PPvsREal!$S:$S)</f>
        <v>0</v>
      </c>
      <c r="T97" s="3">
        <f>SUMIF(PPvsREal!$C:$C,'PPvsREal Summary'!C97,PPvsREal!$T:$T)</f>
        <v>40687.5</v>
      </c>
      <c r="U97" s="3">
        <f>SUMIF(PPvsREal!$C:$C,'PPvsREal Summary'!C97,PPvsREal!$U:$U)</f>
        <v>0</v>
      </c>
      <c r="V97" s="3">
        <f>SUMIF(PPvsREal!$C:$C,'PPvsREal Summary'!C97,PPvsREal!$V:$V)</f>
        <v>24816.1725</v>
      </c>
      <c r="W97" s="3">
        <f>SUMIF(PPvsREal!$C:$C,'PPvsREal Summary'!C97,PPvsREal!$W:$W)</f>
        <v>0</v>
      </c>
      <c r="X97" s="3">
        <f>SUMIF(PPvsREal!$C:$C,'PPvsREal Summary'!C97,PPvsREal!$X:$X)</f>
        <v>24816.1725</v>
      </c>
      <c r="Y97" s="3">
        <f>SUMIF(PPvsREal!$C:$C,'PPvsREal Summary'!C97,PPvsREal!$Y:$Y)</f>
        <v>0</v>
      </c>
      <c r="Z97" s="3">
        <f>SUMIF(PPvsREal!$C:$C,'PPvsREal Summary'!C97,PPvsREal!$Z:$Z)</f>
        <v>24816.1725</v>
      </c>
      <c r="AA97" s="190">
        <f>SUMIF(PPvsREal!$C:$C,'PPvsREal Summary'!C97,PPvsREal!$AA:$AA)</f>
        <v>0</v>
      </c>
      <c r="AB97" s="3"/>
      <c r="AC97" s="201">
        <f t="shared" ref="AC97:AD97" si="196">D97+F97+H97+J97+L97+N97+P97+R97+T97+V97+X97+Z97</f>
        <v>357108.5175</v>
      </c>
      <c r="AD97" s="201">
        <f t="shared" si="196"/>
        <v>0</v>
      </c>
      <c r="AE97" s="3"/>
      <c r="AF97" s="201">
        <f t="shared" ref="AF97:AG97" si="197">D97+F97+H97+J97+L97+N97+P97+R97+T97+V97+X97+Z97</f>
        <v>357108.5175</v>
      </c>
      <c r="AG97" s="201">
        <f t="shared" si="197"/>
        <v>0</v>
      </c>
    </row>
    <row r="98" ht="12.75" customHeight="1">
      <c r="A98" s="111"/>
      <c r="B98" s="202"/>
      <c r="C98" s="203">
        <v>6.01E20</v>
      </c>
      <c r="D98" s="204">
        <f t="shared" ref="D98:AA98" si="198">D97</f>
        <v>41265</v>
      </c>
      <c r="E98" s="204">
        <f t="shared" si="198"/>
        <v>0</v>
      </c>
      <c r="F98" s="204">
        <f t="shared" si="198"/>
        <v>27510</v>
      </c>
      <c r="G98" s="204">
        <f t="shared" si="198"/>
        <v>0</v>
      </c>
      <c r="H98" s="204">
        <f t="shared" si="198"/>
        <v>41265</v>
      </c>
      <c r="I98" s="204">
        <f t="shared" si="198"/>
        <v>0</v>
      </c>
      <c r="J98" s="204">
        <f t="shared" si="198"/>
        <v>41265</v>
      </c>
      <c r="K98" s="204">
        <f t="shared" si="198"/>
        <v>0</v>
      </c>
      <c r="L98" s="204">
        <f t="shared" si="198"/>
        <v>27510</v>
      </c>
      <c r="M98" s="204">
        <f t="shared" si="198"/>
        <v>0</v>
      </c>
      <c r="N98" s="204">
        <f t="shared" si="198"/>
        <v>27510</v>
      </c>
      <c r="O98" s="204">
        <f t="shared" si="198"/>
        <v>0</v>
      </c>
      <c r="P98" s="204">
        <f t="shared" si="198"/>
        <v>27510</v>
      </c>
      <c r="Q98" s="204">
        <f t="shared" si="198"/>
        <v>0</v>
      </c>
      <c r="R98" s="204">
        <f t="shared" si="198"/>
        <v>8137.5</v>
      </c>
      <c r="S98" s="204">
        <f t="shared" si="198"/>
        <v>0</v>
      </c>
      <c r="T98" s="204">
        <f t="shared" si="198"/>
        <v>40687.5</v>
      </c>
      <c r="U98" s="204">
        <f t="shared" si="198"/>
        <v>0</v>
      </c>
      <c r="V98" s="204">
        <f t="shared" si="198"/>
        <v>24816.1725</v>
      </c>
      <c r="W98" s="204">
        <f t="shared" si="198"/>
        <v>0</v>
      </c>
      <c r="X98" s="204">
        <f t="shared" si="198"/>
        <v>24816.1725</v>
      </c>
      <c r="Y98" s="204">
        <f t="shared" si="198"/>
        <v>0</v>
      </c>
      <c r="Z98" s="204">
        <f t="shared" si="198"/>
        <v>24816.1725</v>
      </c>
      <c r="AA98" s="205">
        <f t="shared" si="198"/>
        <v>0</v>
      </c>
      <c r="AB98" s="3"/>
      <c r="AC98" s="206">
        <f t="shared" ref="AC98:AD98" si="199">D98+F98+H98+J98+L98+N98+P98+R98+T98+V98+X98+Z98</f>
        <v>357108.5175</v>
      </c>
      <c r="AD98" s="206">
        <f t="shared" si="199"/>
        <v>0</v>
      </c>
      <c r="AE98" s="3"/>
      <c r="AF98" s="206">
        <f t="shared" ref="AF98:AG98" si="200">D98+F98+H98+J98+L98+N98+P98+R98+T98+V98+X98+Z98</f>
        <v>357108.5175</v>
      </c>
      <c r="AG98" s="206">
        <f t="shared" si="200"/>
        <v>0</v>
      </c>
    </row>
    <row r="99" ht="12.75" customHeight="1">
      <c r="A99" s="111"/>
      <c r="B99" s="188"/>
      <c r="C99" s="2"/>
      <c r="D99" s="189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190"/>
      <c r="AB99" s="3"/>
      <c r="AC99" s="201">
        <f t="shared" ref="AC99:AD99" si="201">D99+F99+H99+J99+L99+N99+P99+R99+T99+V99+X99+Z99</f>
        <v>0</v>
      </c>
      <c r="AD99" s="201">
        <f t="shared" si="201"/>
        <v>0</v>
      </c>
      <c r="AE99" s="3"/>
      <c r="AF99" s="201">
        <f t="shared" ref="AF99:AG99" si="202">D99+F99+H99+J99+L99+N99+P99+R99+T99+V99+X99+Z99</f>
        <v>0</v>
      </c>
      <c r="AG99" s="201">
        <f t="shared" si="202"/>
        <v>0</v>
      </c>
    </row>
    <row r="100" ht="12.75" customHeight="1">
      <c r="A100" s="111"/>
      <c r="B100" s="188" t="s">
        <v>18</v>
      </c>
      <c r="C100" s="2" t="s">
        <v>235</v>
      </c>
      <c r="D100" s="189">
        <f>SUMIF(PPvsREal!$C:$C,'PPvsREal Summary'!C100,PPvsREal!$D:$D)</f>
        <v>700000</v>
      </c>
      <c r="E100" s="3">
        <f>SUMIF(PPvsREal!$C:$C,'PPvsREal Summary'!C100,PPvsREal!$E:$E)</f>
        <v>0</v>
      </c>
      <c r="F100" s="3">
        <f>SUMIF(PPvsREal!$C:$C,'PPvsREal Summary'!C100,PPvsREal!$F:$F)</f>
        <v>150000</v>
      </c>
      <c r="G100" s="3">
        <f>SUMIF(PPvsREal!$C:$C,'PPvsREal Summary'!C100,PPvsREal!$G:$G)</f>
        <v>0</v>
      </c>
      <c r="H100" s="3">
        <f>SUMIF(PPvsREal!$C:$C,'PPvsREal Summary'!C100,PPvsREal!$H:$H)</f>
        <v>0</v>
      </c>
      <c r="I100" s="3">
        <f>SUMIF(PPvsREal!$C:$C,'PPvsREal Summary'!C100,PPvsREal!$I:$I)</f>
        <v>0</v>
      </c>
      <c r="J100" s="3">
        <f>SUMIF(PPvsREal!$C:$C,'PPvsREal Summary'!C100,PPvsREal!$J:$J)</f>
        <v>0</v>
      </c>
      <c r="K100" s="3">
        <f>SUMIF(PPvsREal!$C:$C,'PPvsREal Summary'!C100,PPvsREal!$K:$K)</f>
        <v>0</v>
      </c>
      <c r="L100" s="3">
        <f>SUMIF(PPvsREal!$C:$C,'PPvsREal Summary'!C100,PPvsREal!$L:$L)</f>
        <v>0</v>
      </c>
      <c r="M100" s="3">
        <f>SUMIF(PPvsREal!$C:$C,'PPvsREal Summary'!C100,PPvsREal!$M:$M)</f>
        <v>0</v>
      </c>
      <c r="N100" s="3">
        <f>SUMIF(PPvsREal!$C:$C,'PPvsREal Summary'!C100,PPvsREal!$N:$N)</f>
        <v>0</v>
      </c>
      <c r="O100" s="3">
        <f>SUMIF(PPvsREal!$C:$C,'PPvsREal Summary'!C100,PPvsREal!$O:$O)</f>
        <v>0</v>
      </c>
      <c r="P100" s="3">
        <f>SUMIF(PPvsREal!$C:$C,'PPvsREal Summary'!C100,PPvsREal!$P:$P)</f>
        <v>0</v>
      </c>
      <c r="Q100" s="3">
        <f>SUMIF(PPvsREal!$C:$C,'PPvsREal Summary'!C100,PPvsREal!$Q:$Q)</f>
        <v>0</v>
      </c>
      <c r="R100" s="3">
        <f>SUMIF(PPvsREal!$C:$C,'PPvsREal Summary'!C100,PPvsREal!$R:$R)</f>
        <v>0</v>
      </c>
      <c r="S100" s="3">
        <f>SUMIF(PPvsREal!$C:$C,'PPvsREal Summary'!C100,PPvsREal!$S:$S)</f>
        <v>0</v>
      </c>
      <c r="T100" s="3">
        <f>SUMIF(PPvsREal!$C:$C,'PPvsREal Summary'!C100,PPvsREal!$T:$T)</f>
        <v>0</v>
      </c>
      <c r="U100" s="3">
        <f>SUMIF(PPvsREal!$C:$C,'PPvsREal Summary'!C100,PPvsREal!$U:$U)</f>
        <v>0</v>
      </c>
      <c r="V100" s="3">
        <f>SUMIF(PPvsREal!$C:$C,'PPvsREal Summary'!C100,PPvsREal!$V:$V)</f>
        <v>0</v>
      </c>
      <c r="W100" s="3">
        <f>SUMIF(PPvsREal!$C:$C,'PPvsREal Summary'!C100,PPvsREal!$W:$W)</f>
        <v>0</v>
      </c>
      <c r="X100" s="3">
        <f>SUMIF(PPvsREal!$C:$C,'PPvsREal Summary'!C100,PPvsREal!$X:$X)</f>
        <v>0</v>
      </c>
      <c r="Y100" s="3">
        <f>SUMIF(PPvsREal!$C:$C,'PPvsREal Summary'!C100,PPvsREal!$Y:$Y)</f>
        <v>0</v>
      </c>
      <c r="Z100" s="3">
        <f>SUMIF(PPvsREal!$C:$C,'PPvsREal Summary'!C100,PPvsREal!$Z:$Z)</f>
        <v>0</v>
      </c>
      <c r="AA100" s="190">
        <f>SUMIF(PPvsREal!$C:$C,'PPvsREal Summary'!C100,PPvsREal!$AA:$AA)</f>
        <v>0</v>
      </c>
      <c r="AB100" s="3"/>
      <c r="AC100" s="201">
        <f t="shared" ref="AC100:AD100" si="203">D100+F100+H100+J100+L100+N100+P100+R100+T100+V100+X100+Z100</f>
        <v>850000</v>
      </c>
      <c r="AD100" s="201">
        <f t="shared" si="203"/>
        <v>0</v>
      </c>
      <c r="AE100" s="3"/>
      <c r="AF100" s="201">
        <f t="shared" ref="AF100:AG100" si="204">D100+F100+H100+J100+L100+N100+P100+R100+T100+V100+X100+Z100</f>
        <v>850000</v>
      </c>
      <c r="AG100" s="201">
        <f t="shared" si="204"/>
        <v>0</v>
      </c>
    </row>
    <row r="101" ht="12.75" customHeight="1">
      <c r="A101" s="111"/>
      <c r="B101" s="188" t="s">
        <v>18</v>
      </c>
      <c r="C101" s="2" t="s">
        <v>234</v>
      </c>
      <c r="D101" s="189">
        <f>SUMIF(PPvsREal!$C:$C,'PPvsREal Summary'!C101,PPvsREal!$D:$D)</f>
        <v>0</v>
      </c>
      <c r="E101" s="3">
        <f>SUMIF(PPvsREal!$C:$C,'PPvsREal Summary'!C101,PPvsREal!$E:$E)</f>
        <v>0</v>
      </c>
      <c r="F101" s="3">
        <f>SUMIF(PPvsREal!$C:$C,'PPvsREal Summary'!C101,PPvsREal!$F:$F)</f>
        <v>0</v>
      </c>
      <c r="G101" s="3">
        <f>SUMIF(PPvsREal!$C:$C,'PPvsREal Summary'!C101,PPvsREal!$G:$G)</f>
        <v>0</v>
      </c>
      <c r="H101" s="3">
        <f>SUMIF(PPvsREal!$C:$C,'PPvsREal Summary'!C101,PPvsREal!$H:$H)</f>
        <v>400000</v>
      </c>
      <c r="I101" s="3">
        <f>SUMIF(PPvsREal!$C:$C,'PPvsREal Summary'!C101,PPvsREal!$I:$I)</f>
        <v>0</v>
      </c>
      <c r="J101" s="3">
        <f>SUMIF(PPvsREal!$C:$C,'PPvsREal Summary'!C101,PPvsREal!$J:$J)</f>
        <v>50000</v>
      </c>
      <c r="K101" s="3">
        <f>SUMIF(PPvsREal!$C:$C,'PPvsREal Summary'!C101,PPvsREal!$K:$K)</f>
        <v>0</v>
      </c>
      <c r="L101" s="3">
        <f>SUMIF(PPvsREal!$C:$C,'PPvsREal Summary'!C101,PPvsREal!$L:$L)</f>
        <v>0</v>
      </c>
      <c r="M101" s="3">
        <f>SUMIF(PPvsREal!$C:$C,'PPvsREal Summary'!C101,PPvsREal!$M:$M)</f>
        <v>0</v>
      </c>
      <c r="N101" s="3">
        <f>SUMIF(PPvsREal!$C:$C,'PPvsREal Summary'!C101,PPvsREal!$N:$N)</f>
        <v>0</v>
      </c>
      <c r="O101" s="3">
        <f>SUMIF(PPvsREal!$C:$C,'PPvsREal Summary'!C101,PPvsREal!$O:$O)</f>
        <v>0</v>
      </c>
      <c r="P101" s="3">
        <f>SUMIF(PPvsREal!$C:$C,'PPvsREal Summary'!C101,PPvsREal!$P:$P)</f>
        <v>0</v>
      </c>
      <c r="Q101" s="3">
        <f>SUMIF(PPvsREal!$C:$C,'PPvsREal Summary'!C101,PPvsREal!$Q:$Q)</f>
        <v>0</v>
      </c>
      <c r="R101" s="3">
        <f>SUMIF(PPvsREal!$C:$C,'PPvsREal Summary'!C101,PPvsREal!$R:$R)</f>
        <v>0</v>
      </c>
      <c r="S101" s="3">
        <f>SUMIF(PPvsREal!$C:$C,'PPvsREal Summary'!C101,PPvsREal!$S:$S)</f>
        <v>0</v>
      </c>
      <c r="T101" s="3">
        <f>SUMIF(PPvsREal!$C:$C,'PPvsREal Summary'!C101,PPvsREal!$T:$T)</f>
        <v>0</v>
      </c>
      <c r="U101" s="3">
        <f>SUMIF(PPvsREal!$C:$C,'PPvsREal Summary'!C101,PPvsREal!$U:$U)</f>
        <v>0</v>
      </c>
      <c r="V101" s="3">
        <f>SUMIF(PPvsREal!$C:$C,'PPvsREal Summary'!C101,PPvsREal!$V:$V)</f>
        <v>0</v>
      </c>
      <c r="W101" s="3">
        <f>SUMIF(PPvsREal!$C:$C,'PPvsREal Summary'!C101,PPvsREal!$W:$W)</f>
        <v>0</v>
      </c>
      <c r="X101" s="3">
        <f>SUMIF(PPvsREal!$C:$C,'PPvsREal Summary'!C101,PPvsREal!$X:$X)</f>
        <v>0</v>
      </c>
      <c r="Y101" s="3">
        <f>SUMIF(PPvsREal!$C:$C,'PPvsREal Summary'!C101,PPvsREal!$Y:$Y)</f>
        <v>0</v>
      </c>
      <c r="Z101" s="3">
        <f>SUMIF(PPvsREal!$C:$C,'PPvsREal Summary'!C101,PPvsREal!$Z:$Z)</f>
        <v>0</v>
      </c>
      <c r="AA101" s="190">
        <f>SUMIF(PPvsREal!$C:$C,'PPvsREal Summary'!C101,PPvsREal!$AA:$AA)</f>
        <v>0</v>
      </c>
      <c r="AB101" s="3"/>
      <c r="AC101" s="201">
        <f t="shared" ref="AC101:AD101" si="205">D101+F101+H101+J101+L101+N101+P101+R101+T101+V101+X101+Z101</f>
        <v>450000</v>
      </c>
      <c r="AD101" s="201">
        <f t="shared" si="205"/>
        <v>0</v>
      </c>
      <c r="AE101" s="3"/>
      <c r="AF101" s="201">
        <f t="shared" ref="AF101:AG101" si="206">D101+F101+H101+J101+L101+N101+P101+R101+T101+V101+X101+Z101</f>
        <v>450000</v>
      </c>
      <c r="AG101" s="201">
        <f t="shared" si="206"/>
        <v>0</v>
      </c>
    </row>
    <row r="102" ht="12.75" customHeight="1">
      <c r="A102" s="111"/>
      <c r="B102" s="188" t="s">
        <v>18</v>
      </c>
      <c r="C102" s="97" t="s">
        <v>244</v>
      </c>
      <c r="D102" s="189">
        <f>SUMIF(PPvsREal!$C:$C,'PPvsREal Summary'!C102,PPvsREal!$D:$D)</f>
        <v>0</v>
      </c>
      <c r="E102" s="3">
        <f>SUMIF(PPvsREal!$C:$C,'PPvsREal Summary'!C102,PPvsREal!$E:$E)</f>
        <v>0</v>
      </c>
      <c r="F102" s="3">
        <f>SUMIF(PPvsREal!$C:$C,'PPvsREal Summary'!C102,PPvsREal!$F:$F)</f>
        <v>0</v>
      </c>
      <c r="G102" s="3">
        <f>SUMIF(PPvsREal!$C:$C,'PPvsREal Summary'!C102,PPvsREal!$G:$G)</f>
        <v>0</v>
      </c>
      <c r="H102" s="3">
        <f>SUMIF(PPvsREal!$C:$C,'PPvsREal Summary'!C102,PPvsREal!$H:$H)</f>
        <v>0</v>
      </c>
      <c r="I102" s="3">
        <f>SUMIF(PPvsREal!$C:$C,'PPvsREal Summary'!C102,PPvsREal!$I:$I)</f>
        <v>0</v>
      </c>
      <c r="J102" s="3">
        <f>SUMIF(PPvsREal!$C:$C,'PPvsREal Summary'!C102,PPvsREal!$J:$J)</f>
        <v>0</v>
      </c>
      <c r="K102" s="3">
        <f>SUMIF(PPvsREal!$C:$C,'PPvsREal Summary'!C102,PPvsREal!$K:$K)</f>
        <v>0</v>
      </c>
      <c r="L102" s="3">
        <f>SUMIF(PPvsREal!$C:$C,'PPvsREal Summary'!C102,PPvsREal!$L:$L)</f>
        <v>0</v>
      </c>
      <c r="M102" s="3">
        <f>SUMIF(PPvsREal!$C:$C,'PPvsREal Summary'!C102,PPvsREal!$M:$M)</f>
        <v>0</v>
      </c>
      <c r="N102" s="3">
        <f>SUMIF(PPvsREal!$C:$C,'PPvsREal Summary'!C102,PPvsREal!$N:$N)</f>
        <v>0</v>
      </c>
      <c r="O102" s="3">
        <f>SUMIF(PPvsREal!$C:$C,'PPvsREal Summary'!C102,PPvsREal!$O:$O)</f>
        <v>0</v>
      </c>
      <c r="P102" s="3">
        <f>SUMIF(PPvsREal!$C:$C,'PPvsREal Summary'!C102,PPvsREal!$P:$P)</f>
        <v>0</v>
      </c>
      <c r="Q102" s="3">
        <f>SUMIF(PPvsREal!$C:$C,'PPvsREal Summary'!C102,PPvsREal!$Q:$Q)</f>
        <v>0</v>
      </c>
      <c r="R102" s="3">
        <f>SUMIF(PPvsREal!$C:$C,'PPvsREal Summary'!C102,PPvsREal!$R:$R)</f>
        <v>0</v>
      </c>
      <c r="S102" s="3">
        <f>SUMIF(PPvsREal!$C:$C,'PPvsREal Summary'!C102,PPvsREal!$S:$S)</f>
        <v>0</v>
      </c>
      <c r="T102" s="3">
        <f>SUMIF(PPvsREal!$C:$C,'PPvsREal Summary'!C102,PPvsREal!$T:$T)</f>
        <v>0</v>
      </c>
      <c r="U102" s="3">
        <f>SUMIF(PPvsREal!$C:$C,'PPvsREal Summary'!C102,PPvsREal!$U:$U)</f>
        <v>0</v>
      </c>
      <c r="V102" s="3">
        <f>SUMIF(PPvsREal!$C:$C,'PPvsREal Summary'!C102,PPvsREal!$V:$V)</f>
        <v>0</v>
      </c>
      <c r="W102" s="3">
        <f>SUMIF(PPvsREal!$C:$C,'PPvsREal Summary'!C102,PPvsREal!$W:$W)</f>
        <v>0</v>
      </c>
      <c r="X102" s="3">
        <f>SUMIF(PPvsREal!$C:$C,'PPvsREal Summary'!C102,PPvsREal!$X:$X)</f>
        <v>0</v>
      </c>
      <c r="Y102" s="3">
        <f>SUMIF(PPvsREal!$C:$C,'PPvsREal Summary'!C102,PPvsREal!$Y:$Y)</f>
        <v>0</v>
      </c>
      <c r="Z102" s="3">
        <f>SUMIF(PPvsREal!$C:$C,'PPvsREal Summary'!C102,PPvsREal!$Z:$Z)</f>
        <v>450000</v>
      </c>
      <c r="AA102" s="190">
        <f>SUMIF(PPvsREal!$C:$C,'PPvsREal Summary'!C102,PPvsREal!$AA:$AA)</f>
        <v>0</v>
      </c>
      <c r="AB102" s="3"/>
      <c r="AC102" s="201">
        <f t="shared" ref="AC102:AD102" si="207">D102+F102+H102+J102+L102+N102+P102+R102+T102+V102+X102+Z102</f>
        <v>450000</v>
      </c>
      <c r="AD102" s="201">
        <f t="shared" si="207"/>
        <v>0</v>
      </c>
      <c r="AE102" s="3"/>
      <c r="AF102" s="201">
        <f t="shared" ref="AF102:AG102" si="208">D102+F102+H102+J102+L102+N102+P102+R102+T102+V102+X102+Z102</f>
        <v>450000</v>
      </c>
      <c r="AG102" s="201">
        <f t="shared" si="208"/>
        <v>0</v>
      </c>
    </row>
    <row r="103" ht="12.75" customHeight="1">
      <c r="A103" s="111"/>
      <c r="B103" s="188" t="s">
        <v>18</v>
      </c>
      <c r="C103" s="2" t="s">
        <v>243</v>
      </c>
      <c r="D103" s="189">
        <f>SUMIF(PPvsREal!$C:$C,'PPvsREal Summary'!C103,PPvsREal!$D:$D)</f>
        <v>0</v>
      </c>
      <c r="E103" s="3">
        <f>SUMIF(PPvsREal!$C:$C,'PPvsREal Summary'!C103,PPvsREal!$E:$E)</f>
        <v>0</v>
      </c>
      <c r="F103" s="3">
        <f>SUMIF(PPvsREal!$C:$C,'PPvsREal Summary'!C103,PPvsREal!$F:$F)</f>
        <v>0</v>
      </c>
      <c r="G103" s="3">
        <f>SUMIF(PPvsREal!$C:$C,'PPvsREal Summary'!C103,PPvsREal!$G:$G)</f>
        <v>0</v>
      </c>
      <c r="H103" s="3">
        <f>SUMIF(PPvsREal!$C:$C,'PPvsREal Summary'!C103,PPvsREal!$H:$H)</f>
        <v>0</v>
      </c>
      <c r="I103" s="3">
        <f>SUMIF(PPvsREal!$C:$C,'PPvsREal Summary'!C103,PPvsREal!$I:$I)</f>
        <v>0</v>
      </c>
      <c r="J103" s="3">
        <f>SUMIF(PPvsREal!$C:$C,'PPvsREal Summary'!C103,PPvsREal!$J:$J)</f>
        <v>0</v>
      </c>
      <c r="K103" s="3">
        <f>SUMIF(PPvsREal!$C:$C,'PPvsREal Summary'!C103,PPvsREal!$K:$K)</f>
        <v>0</v>
      </c>
      <c r="L103" s="3">
        <f>SUMIF(PPvsREal!$C:$C,'PPvsREal Summary'!C103,PPvsREal!$L:$L)</f>
        <v>0</v>
      </c>
      <c r="M103" s="3">
        <f>SUMIF(PPvsREal!$C:$C,'PPvsREal Summary'!C103,PPvsREal!$M:$M)</f>
        <v>0</v>
      </c>
      <c r="N103" s="3">
        <f>SUMIF(PPvsREal!$C:$C,'PPvsREal Summary'!C103,PPvsREal!$N:$N)</f>
        <v>0</v>
      </c>
      <c r="O103" s="3">
        <f>SUMIF(PPvsREal!$C:$C,'PPvsREal Summary'!C103,PPvsREal!$O:$O)</f>
        <v>0</v>
      </c>
      <c r="P103" s="3">
        <f>SUMIF(PPvsREal!$C:$C,'PPvsREal Summary'!C103,PPvsREal!$P:$P)</f>
        <v>0</v>
      </c>
      <c r="Q103" s="3">
        <f>SUMIF(PPvsREal!$C:$C,'PPvsREal Summary'!C103,PPvsREal!$Q:$Q)</f>
        <v>0</v>
      </c>
      <c r="R103" s="3">
        <f>SUMIF(PPvsREal!$C:$C,'PPvsREal Summary'!C103,PPvsREal!$R:$R)</f>
        <v>0</v>
      </c>
      <c r="S103" s="3">
        <f>SUMIF(PPvsREal!$C:$C,'PPvsREal Summary'!C103,PPvsREal!$S:$S)</f>
        <v>0</v>
      </c>
      <c r="T103" s="3">
        <f>SUMIF(PPvsREal!$C:$C,'PPvsREal Summary'!C103,PPvsREal!$T:$T)</f>
        <v>0</v>
      </c>
      <c r="U103" s="3">
        <f>SUMIF(PPvsREal!$C:$C,'PPvsREal Summary'!C103,PPvsREal!$U:$U)</f>
        <v>0</v>
      </c>
      <c r="V103" s="3">
        <f>SUMIF(PPvsREal!$C:$C,'PPvsREal Summary'!C103,PPvsREal!$V:$V)</f>
        <v>0</v>
      </c>
      <c r="W103" s="3">
        <f>SUMIF(PPvsREal!$C:$C,'PPvsREal Summary'!C103,PPvsREal!$W:$W)</f>
        <v>0</v>
      </c>
      <c r="X103" s="3">
        <f>SUMIF(PPvsREal!$C:$C,'PPvsREal Summary'!C103,PPvsREal!$X:$X)</f>
        <v>0</v>
      </c>
      <c r="Y103" s="3">
        <f>SUMIF(PPvsREal!$C:$C,'PPvsREal Summary'!C103,PPvsREal!$Y:$Y)</f>
        <v>0</v>
      </c>
      <c r="Z103" s="3">
        <f>SUMIF(PPvsREal!$C:$C,'PPvsREal Summary'!C103,PPvsREal!$Z:$Z)</f>
        <v>0</v>
      </c>
      <c r="AA103" s="190">
        <f>SUMIF(PPvsREal!$C:$C,'PPvsREal Summary'!C103,PPvsREal!$AA:$AA)</f>
        <v>0</v>
      </c>
      <c r="AB103" s="3"/>
      <c r="AC103" s="201">
        <f t="shared" ref="AC103:AD103" si="209">D103+F103+H103+J103+L103+N103+P103+R103+T103+V103+X103+Z103</f>
        <v>0</v>
      </c>
      <c r="AD103" s="201">
        <f t="shared" si="209"/>
        <v>0</v>
      </c>
      <c r="AE103" s="3"/>
      <c r="AF103" s="201">
        <f t="shared" ref="AF103:AG103" si="210">D103+F103+H103+J103+L103+N103+P103+R103+T103+V103+X103+Z103</f>
        <v>0</v>
      </c>
      <c r="AG103" s="201">
        <f t="shared" si="210"/>
        <v>0</v>
      </c>
    </row>
    <row r="104" ht="12.75" customHeight="1">
      <c r="A104" s="111"/>
      <c r="B104" s="188" t="s">
        <v>18</v>
      </c>
      <c r="C104" s="2" t="s">
        <v>241</v>
      </c>
      <c r="D104" s="189">
        <f>SUMIF(PPvsREal!$C:$C,'PPvsREal Summary'!C104,PPvsREal!$D:$D)</f>
        <v>0</v>
      </c>
      <c r="E104" s="3">
        <f>SUMIF(PPvsREal!$C:$C,'PPvsREal Summary'!C104,PPvsREal!$E:$E)</f>
        <v>0</v>
      </c>
      <c r="F104" s="3">
        <f>SUMIF(PPvsREal!$C:$C,'PPvsREal Summary'!C104,PPvsREal!$F:$F)</f>
        <v>50000</v>
      </c>
      <c r="G104" s="3">
        <f>SUMIF(PPvsREal!$C:$C,'PPvsREal Summary'!C104,PPvsREal!$G:$G)</f>
        <v>0</v>
      </c>
      <c r="H104" s="3">
        <f>SUMIF(PPvsREal!$C:$C,'PPvsREal Summary'!C104,PPvsREal!$H:$H)</f>
        <v>0</v>
      </c>
      <c r="I104" s="3">
        <f>SUMIF(PPvsREal!$C:$C,'PPvsREal Summary'!C104,PPvsREal!$I:$I)</f>
        <v>0</v>
      </c>
      <c r="J104" s="3">
        <f>SUMIF(PPvsREal!$C:$C,'PPvsREal Summary'!C104,PPvsREal!$J:$J)</f>
        <v>0</v>
      </c>
      <c r="K104" s="3">
        <f>SUMIF(PPvsREal!$C:$C,'PPvsREal Summary'!C104,PPvsREal!$K:$K)</f>
        <v>0</v>
      </c>
      <c r="L104" s="3">
        <f>SUMIF(PPvsREal!$C:$C,'PPvsREal Summary'!C104,PPvsREal!$L:$L)</f>
        <v>0</v>
      </c>
      <c r="M104" s="3">
        <f>SUMIF(PPvsREal!$C:$C,'PPvsREal Summary'!C104,PPvsREal!$M:$M)</f>
        <v>0</v>
      </c>
      <c r="N104" s="3">
        <f>SUMIF(PPvsREal!$C:$C,'PPvsREal Summary'!C104,PPvsREal!$N:$N)</f>
        <v>0</v>
      </c>
      <c r="O104" s="3">
        <f>SUMIF(PPvsREal!$C:$C,'PPvsREal Summary'!C104,PPvsREal!$O:$O)</f>
        <v>0</v>
      </c>
      <c r="P104" s="3">
        <f>SUMIF(PPvsREal!$C:$C,'PPvsREal Summary'!C104,PPvsREal!$P:$P)</f>
        <v>50000</v>
      </c>
      <c r="Q104" s="3">
        <f>SUMIF(PPvsREal!$C:$C,'PPvsREal Summary'!C104,PPvsREal!$Q:$Q)</f>
        <v>0</v>
      </c>
      <c r="R104" s="3">
        <f>SUMIF(PPvsREal!$C:$C,'PPvsREal Summary'!C104,PPvsREal!$R:$R)</f>
        <v>0</v>
      </c>
      <c r="S104" s="3">
        <f>SUMIF(PPvsREal!$C:$C,'PPvsREal Summary'!C104,PPvsREal!$S:$S)</f>
        <v>0</v>
      </c>
      <c r="T104" s="3">
        <f>SUMIF(PPvsREal!$C:$C,'PPvsREal Summary'!C104,PPvsREal!$T:$T)</f>
        <v>0</v>
      </c>
      <c r="U104" s="3">
        <f>SUMIF(PPvsREal!$C:$C,'PPvsREal Summary'!C104,PPvsREal!$U:$U)</f>
        <v>0</v>
      </c>
      <c r="V104" s="3">
        <f>SUMIF(PPvsREal!$C:$C,'PPvsREal Summary'!C104,PPvsREal!$V:$V)</f>
        <v>0</v>
      </c>
      <c r="W104" s="3">
        <f>SUMIF(PPvsREal!$C:$C,'PPvsREal Summary'!C104,PPvsREal!$W:$W)</f>
        <v>0</v>
      </c>
      <c r="X104" s="3">
        <f>SUMIF(PPvsREal!$C:$C,'PPvsREal Summary'!C104,PPvsREal!$X:$X)</f>
        <v>50000</v>
      </c>
      <c r="Y104" s="3">
        <f>SUMIF(PPvsREal!$C:$C,'PPvsREal Summary'!C104,PPvsREal!$Y:$Y)</f>
        <v>0</v>
      </c>
      <c r="Z104" s="3">
        <f>SUMIF(PPvsREal!$C:$C,'PPvsREal Summary'!C104,PPvsREal!$Z:$Z)</f>
        <v>0</v>
      </c>
      <c r="AA104" s="190">
        <f>SUMIF(PPvsREal!$C:$C,'PPvsREal Summary'!C104,PPvsREal!$AA:$AA)</f>
        <v>0</v>
      </c>
      <c r="AB104" s="3"/>
      <c r="AC104" s="201">
        <f t="shared" ref="AC104:AD104" si="211">D104+F104+H104+J104+L104+N104+P104+R104+T104+V104+X104+Z104</f>
        <v>150000</v>
      </c>
      <c r="AD104" s="201">
        <f t="shared" si="211"/>
        <v>0</v>
      </c>
      <c r="AE104" s="3"/>
      <c r="AF104" s="201">
        <f t="shared" ref="AF104:AG104" si="212">D104+F104+H104+J104+L104+N104+P104+R104+T104+V104+X104+Z104</f>
        <v>150000</v>
      </c>
      <c r="AG104" s="201">
        <f t="shared" si="212"/>
        <v>0</v>
      </c>
    </row>
    <row r="105" ht="12.75" customHeight="1">
      <c r="A105" s="111"/>
      <c r="B105" s="188" t="s">
        <v>18</v>
      </c>
      <c r="C105" s="2" t="s">
        <v>422</v>
      </c>
      <c r="D105" s="189">
        <f>SUMIF(PPvsREal!$C:$C,'PPvsREal Summary'!C105,PPvsREal!$D:$D)</f>
        <v>0</v>
      </c>
      <c r="E105" s="3">
        <f>SUMIF(PPvsREal!$C:$C,'PPvsREal Summary'!C105,PPvsREal!$E:$E)</f>
        <v>0</v>
      </c>
      <c r="F105" s="3">
        <f>SUMIF(PPvsREal!$C:$C,'PPvsREal Summary'!C105,PPvsREal!$F:$F)</f>
        <v>0</v>
      </c>
      <c r="G105" s="3">
        <f>SUMIF(PPvsREal!$C:$C,'PPvsREal Summary'!C105,PPvsREal!$G:$G)</f>
        <v>0</v>
      </c>
      <c r="H105" s="3">
        <f>SUMIF(PPvsREal!$C:$C,'PPvsREal Summary'!C105,PPvsREal!$H:$H)</f>
        <v>0</v>
      </c>
      <c r="I105" s="3">
        <f>SUMIF(PPvsREal!$C:$C,'PPvsREal Summary'!C105,PPvsREal!$I:$I)</f>
        <v>0</v>
      </c>
      <c r="J105" s="3">
        <f>SUMIF(PPvsREal!$C:$C,'PPvsREal Summary'!C105,PPvsREal!$J:$J)</f>
        <v>0</v>
      </c>
      <c r="K105" s="3">
        <f>SUMIF(PPvsREal!$C:$C,'PPvsREal Summary'!C105,PPvsREal!$K:$K)</f>
        <v>0</v>
      </c>
      <c r="L105" s="3">
        <f>SUMIF(PPvsREal!$C:$C,'PPvsREal Summary'!C105,PPvsREal!$L:$L)</f>
        <v>0</v>
      </c>
      <c r="M105" s="3">
        <f>SUMIF(PPvsREal!$C:$C,'PPvsREal Summary'!C105,PPvsREal!$M:$M)</f>
        <v>0</v>
      </c>
      <c r="N105" s="3">
        <f>SUMIF(PPvsREal!$C:$C,'PPvsREal Summary'!C105,PPvsREal!$N:$N)</f>
        <v>0</v>
      </c>
      <c r="O105" s="3">
        <f>SUMIF(PPvsREal!$C:$C,'PPvsREal Summary'!C105,PPvsREal!$O:$O)</f>
        <v>0</v>
      </c>
      <c r="P105" s="3">
        <f>SUMIF(PPvsREal!$C:$C,'PPvsREal Summary'!C105,PPvsREal!$P:$P)</f>
        <v>0</v>
      </c>
      <c r="Q105" s="3">
        <f>SUMIF(PPvsREal!$C:$C,'PPvsREal Summary'!C105,PPvsREal!$Q:$Q)</f>
        <v>0</v>
      </c>
      <c r="R105" s="3">
        <f>SUMIF(PPvsREal!$C:$C,'PPvsREal Summary'!C105,PPvsREal!$R:$R)</f>
        <v>0</v>
      </c>
      <c r="S105" s="3">
        <f>SUMIF(PPvsREal!$C:$C,'PPvsREal Summary'!C105,PPvsREal!$S:$S)</f>
        <v>0</v>
      </c>
      <c r="T105" s="3">
        <f>SUMIF(PPvsREal!$C:$C,'PPvsREal Summary'!C105,PPvsREal!$T:$T)</f>
        <v>0</v>
      </c>
      <c r="U105" s="3">
        <f>SUMIF(PPvsREal!$C:$C,'PPvsREal Summary'!C105,PPvsREal!$U:$U)</f>
        <v>0</v>
      </c>
      <c r="V105" s="3">
        <f>SUMIF(PPvsREal!$C:$C,'PPvsREal Summary'!C105,PPvsREal!$V:$V)</f>
        <v>0</v>
      </c>
      <c r="W105" s="3">
        <f>SUMIF(PPvsREal!$C:$C,'PPvsREal Summary'!C105,PPvsREal!$W:$W)</f>
        <v>0</v>
      </c>
      <c r="X105" s="3">
        <f>SUMIF(PPvsREal!$C:$C,'PPvsREal Summary'!C105,PPvsREal!$X:$X)</f>
        <v>0</v>
      </c>
      <c r="Y105" s="3">
        <f>SUMIF(PPvsREal!$C:$C,'PPvsREal Summary'!C105,PPvsREal!$Y:$Y)</f>
        <v>0</v>
      </c>
      <c r="Z105" s="3">
        <f>SUMIF(PPvsREal!$C:$C,'PPvsREal Summary'!C105,PPvsREal!$Z:$Z)</f>
        <v>0</v>
      </c>
      <c r="AA105" s="190">
        <f>SUMIF(PPvsREal!$C:$C,'PPvsREal Summary'!C105,PPvsREal!$AA:$AA)</f>
        <v>0</v>
      </c>
      <c r="AB105" s="3"/>
      <c r="AC105" s="201">
        <f t="shared" ref="AC105:AD105" si="213">D105+F105+H105+J105+L105+N105+P105+R105+T105+V105+X105+Z105</f>
        <v>0</v>
      </c>
      <c r="AD105" s="201">
        <f t="shared" si="213"/>
        <v>0</v>
      </c>
      <c r="AE105" s="3"/>
      <c r="AF105" s="201">
        <f t="shared" ref="AF105:AG105" si="214">D105+F105+H105+J105+L105+N105+P105+R105+T105+V105+X105+Z105</f>
        <v>0</v>
      </c>
      <c r="AG105" s="201">
        <f t="shared" si="214"/>
        <v>0</v>
      </c>
    </row>
    <row r="106" ht="12.75" customHeight="1">
      <c r="A106" s="111"/>
      <c r="B106" s="188" t="s">
        <v>18</v>
      </c>
      <c r="C106" s="2" t="s">
        <v>423</v>
      </c>
      <c r="D106" s="189">
        <f>SUMIF(PPvsREal!$C:$C,'PPvsREal Summary'!C106,PPvsREal!$D:$D)</f>
        <v>0</v>
      </c>
      <c r="E106" s="3">
        <f>SUMIF(PPvsREal!$C:$C,'PPvsREal Summary'!C106,PPvsREal!$E:$E)</f>
        <v>0</v>
      </c>
      <c r="F106" s="3">
        <f>SUMIF(PPvsREal!$C:$C,'PPvsREal Summary'!C106,PPvsREal!$F:$F)</f>
        <v>0</v>
      </c>
      <c r="G106" s="3">
        <f>SUMIF(PPvsREal!$C:$C,'PPvsREal Summary'!C106,PPvsREal!$G:$G)</f>
        <v>0</v>
      </c>
      <c r="H106" s="3">
        <f>SUMIF(PPvsREal!$C:$C,'PPvsREal Summary'!C106,PPvsREal!$H:$H)</f>
        <v>0</v>
      </c>
      <c r="I106" s="3">
        <f>SUMIF(PPvsREal!$C:$C,'PPvsREal Summary'!C106,PPvsREal!$I:$I)</f>
        <v>0</v>
      </c>
      <c r="J106" s="3">
        <f>SUMIF(PPvsREal!$C:$C,'PPvsREal Summary'!C106,PPvsREal!$J:$J)</f>
        <v>0</v>
      </c>
      <c r="K106" s="3">
        <f>SUMIF(PPvsREal!$C:$C,'PPvsREal Summary'!C106,PPvsREal!$K:$K)</f>
        <v>0</v>
      </c>
      <c r="L106" s="3">
        <f>SUMIF(PPvsREal!$C:$C,'PPvsREal Summary'!C106,PPvsREal!$L:$L)</f>
        <v>0</v>
      </c>
      <c r="M106" s="3">
        <f>SUMIF(PPvsREal!$C:$C,'PPvsREal Summary'!C106,PPvsREal!$M:$M)</f>
        <v>0</v>
      </c>
      <c r="N106" s="3">
        <f>SUMIF(PPvsREal!$C:$C,'PPvsREal Summary'!C106,PPvsREal!$N:$N)</f>
        <v>0</v>
      </c>
      <c r="O106" s="3">
        <f>SUMIF(PPvsREal!$C:$C,'PPvsREal Summary'!C106,PPvsREal!$O:$O)</f>
        <v>0</v>
      </c>
      <c r="P106" s="3">
        <f>SUMIF(PPvsREal!$C:$C,'PPvsREal Summary'!C106,PPvsREal!$P:$P)</f>
        <v>0</v>
      </c>
      <c r="Q106" s="3">
        <f>SUMIF(PPvsREal!$C:$C,'PPvsREal Summary'!C106,PPvsREal!$Q:$Q)</f>
        <v>0</v>
      </c>
      <c r="R106" s="3">
        <f>SUMIF(PPvsREal!$C:$C,'PPvsREal Summary'!C106,PPvsREal!$R:$R)</f>
        <v>0</v>
      </c>
      <c r="S106" s="3">
        <f>SUMIF(PPvsREal!$C:$C,'PPvsREal Summary'!C106,PPvsREal!$S:$S)</f>
        <v>0</v>
      </c>
      <c r="T106" s="3">
        <f>SUMIF(PPvsREal!$C:$C,'PPvsREal Summary'!C106,PPvsREal!$T:$T)</f>
        <v>0</v>
      </c>
      <c r="U106" s="3">
        <f>SUMIF(PPvsREal!$C:$C,'PPvsREal Summary'!C106,PPvsREal!$U:$U)</f>
        <v>0</v>
      </c>
      <c r="V106" s="3">
        <f>SUMIF(PPvsREal!$C:$C,'PPvsREal Summary'!C106,PPvsREal!$V:$V)</f>
        <v>0</v>
      </c>
      <c r="W106" s="3">
        <f>SUMIF(PPvsREal!$C:$C,'PPvsREal Summary'!C106,PPvsREal!$W:$W)</f>
        <v>0</v>
      </c>
      <c r="X106" s="3">
        <f>SUMIF(PPvsREal!$C:$C,'PPvsREal Summary'!C106,PPvsREal!$X:$X)</f>
        <v>0</v>
      </c>
      <c r="Y106" s="3">
        <f>SUMIF(PPvsREal!$C:$C,'PPvsREal Summary'!C106,PPvsREal!$Y:$Y)</f>
        <v>0</v>
      </c>
      <c r="Z106" s="3">
        <f>SUMIF(PPvsREal!$C:$C,'PPvsREal Summary'!C106,PPvsREal!$Z:$Z)</f>
        <v>0</v>
      </c>
      <c r="AA106" s="190">
        <f>SUMIF(PPvsREal!$C:$C,'PPvsREal Summary'!C106,PPvsREal!$AA:$AA)</f>
        <v>0</v>
      </c>
      <c r="AB106" s="3"/>
      <c r="AC106" s="201">
        <f t="shared" ref="AC106:AD106" si="215">D106+F106+H106+J106+L106+N106+P106+R106+T106+V106+X106+Z106</f>
        <v>0</v>
      </c>
      <c r="AD106" s="201">
        <f t="shared" si="215"/>
        <v>0</v>
      </c>
      <c r="AE106" s="3"/>
      <c r="AF106" s="201">
        <f t="shared" ref="AF106:AG106" si="216">D106+F106+H106+J106+L106+N106+P106+R106+T106+V106+X106+Z106</f>
        <v>0</v>
      </c>
      <c r="AG106" s="201">
        <f t="shared" si="216"/>
        <v>0</v>
      </c>
    </row>
    <row r="107" ht="12.75" customHeight="1">
      <c r="A107" s="111"/>
      <c r="B107" s="188" t="s">
        <v>18</v>
      </c>
      <c r="C107" s="2" t="s">
        <v>242</v>
      </c>
      <c r="D107" s="189">
        <f>SUMIF(PPvsREal!$C:$C,'PPvsREal Summary'!C107,PPvsREal!$D:$D)</f>
        <v>0</v>
      </c>
      <c r="E107" s="3">
        <f>SUMIF(PPvsREal!$C:$C,'PPvsREal Summary'!C107,PPvsREal!$E:$E)</f>
        <v>0</v>
      </c>
      <c r="F107" s="3">
        <f>SUMIF(PPvsREal!$C:$C,'PPvsREal Summary'!C107,PPvsREal!$F:$F)</f>
        <v>0</v>
      </c>
      <c r="G107" s="3">
        <f>SUMIF(PPvsREal!$C:$C,'PPvsREal Summary'!C107,PPvsREal!$G:$G)</f>
        <v>0</v>
      </c>
      <c r="H107" s="3">
        <f>SUMIF(PPvsREal!$C:$C,'PPvsREal Summary'!C107,PPvsREal!$H:$H)</f>
        <v>0</v>
      </c>
      <c r="I107" s="3">
        <f>SUMIF(PPvsREal!$C:$C,'PPvsREal Summary'!C107,PPvsREal!$I:$I)</f>
        <v>0</v>
      </c>
      <c r="J107" s="3">
        <f>SUMIF(PPvsREal!$C:$C,'PPvsREal Summary'!C107,PPvsREal!$J:$J)</f>
        <v>0</v>
      </c>
      <c r="K107" s="3">
        <f>SUMIF(PPvsREal!$C:$C,'PPvsREal Summary'!C107,PPvsREal!$K:$K)</f>
        <v>0</v>
      </c>
      <c r="L107" s="3">
        <f>SUMIF(PPvsREal!$C:$C,'PPvsREal Summary'!C107,PPvsREal!$L:$L)</f>
        <v>0</v>
      </c>
      <c r="M107" s="3">
        <f>SUMIF(PPvsREal!$C:$C,'PPvsREal Summary'!C107,PPvsREal!$M:$M)</f>
        <v>0</v>
      </c>
      <c r="N107" s="3">
        <f>SUMIF(PPvsREal!$C:$C,'PPvsREal Summary'!C107,PPvsREal!$N:$N)</f>
        <v>0</v>
      </c>
      <c r="O107" s="3">
        <f>SUMIF(PPvsREal!$C:$C,'PPvsREal Summary'!C107,PPvsREal!$O:$O)</f>
        <v>0</v>
      </c>
      <c r="P107" s="3">
        <f>SUMIF(PPvsREal!$C:$C,'PPvsREal Summary'!C107,PPvsREal!$P:$P)</f>
        <v>0</v>
      </c>
      <c r="Q107" s="3">
        <f>SUMIF(PPvsREal!$C:$C,'PPvsREal Summary'!C107,PPvsREal!$Q:$Q)</f>
        <v>0</v>
      </c>
      <c r="R107" s="3">
        <f>SUMIF(PPvsREal!$C:$C,'PPvsREal Summary'!C107,PPvsREal!$R:$R)</f>
        <v>0</v>
      </c>
      <c r="S107" s="3">
        <f>SUMIF(PPvsREal!$C:$C,'PPvsREal Summary'!C107,PPvsREal!$S:$S)</f>
        <v>0</v>
      </c>
      <c r="T107" s="3">
        <f>SUMIF(PPvsREal!$C:$C,'PPvsREal Summary'!C107,PPvsREal!$T:$T)</f>
        <v>0</v>
      </c>
      <c r="U107" s="3">
        <f>SUMIF(PPvsREal!$C:$C,'PPvsREal Summary'!C107,PPvsREal!$U:$U)</f>
        <v>0</v>
      </c>
      <c r="V107" s="3">
        <f>SUMIF(PPvsREal!$C:$C,'PPvsREal Summary'!C107,PPvsREal!$V:$V)</f>
        <v>0</v>
      </c>
      <c r="W107" s="3">
        <f>SUMIF(PPvsREal!$C:$C,'PPvsREal Summary'!C107,PPvsREal!$W:$W)</f>
        <v>0</v>
      </c>
      <c r="X107" s="3">
        <f>SUMIF(PPvsREal!$C:$C,'PPvsREal Summary'!C107,PPvsREal!$X:$X)</f>
        <v>0</v>
      </c>
      <c r="Y107" s="3">
        <f>SUMIF(PPvsREal!$C:$C,'PPvsREal Summary'!C107,PPvsREal!$Y:$Y)</f>
        <v>0</v>
      </c>
      <c r="Z107" s="3">
        <f>SUMIF(PPvsREal!$C:$C,'PPvsREal Summary'!C107,PPvsREal!$Z:$Z)</f>
        <v>0</v>
      </c>
      <c r="AA107" s="190">
        <f>SUMIF(PPvsREal!$C:$C,'PPvsREal Summary'!C107,PPvsREal!$AA:$AA)</f>
        <v>0</v>
      </c>
      <c r="AB107" s="3"/>
      <c r="AC107" s="201">
        <f t="shared" ref="AC107:AD107" si="217">D107+F107+H107+J107+L107+N107+P107+R107+T107+V107+X107+Z107</f>
        <v>0</v>
      </c>
      <c r="AD107" s="201">
        <f t="shared" si="217"/>
        <v>0</v>
      </c>
      <c r="AE107" s="3"/>
      <c r="AF107" s="201">
        <f t="shared" ref="AF107:AG107" si="218">D107+F107+H107+J107+L107+N107+P107+R107+T107+V107+X107+Z107</f>
        <v>0</v>
      </c>
      <c r="AG107" s="201">
        <f t="shared" si="218"/>
        <v>0</v>
      </c>
    </row>
    <row r="108" ht="12.75" customHeight="1">
      <c r="A108" s="111"/>
      <c r="B108" s="188" t="s">
        <v>18</v>
      </c>
      <c r="C108" s="2" t="s">
        <v>246</v>
      </c>
      <c r="D108" s="189">
        <f>SUMIF(PPvsREal!$C:$C,'PPvsREal Summary'!C108,PPvsREal!$D:$D)</f>
        <v>0</v>
      </c>
      <c r="E108" s="3">
        <f>SUMIF(PPvsREal!$C:$C,'PPvsREal Summary'!C108,PPvsREal!$E:$E)</f>
        <v>0</v>
      </c>
      <c r="F108" s="3">
        <f>SUMIF(PPvsREal!$C:$C,'PPvsREal Summary'!C108,PPvsREal!$F:$F)</f>
        <v>0</v>
      </c>
      <c r="G108" s="3">
        <f>SUMIF(PPvsREal!$C:$C,'PPvsREal Summary'!C108,PPvsREal!$G:$G)</f>
        <v>0</v>
      </c>
      <c r="H108" s="3">
        <f>SUMIF(PPvsREal!$C:$C,'PPvsREal Summary'!C108,PPvsREal!$H:$H)</f>
        <v>0</v>
      </c>
      <c r="I108" s="3">
        <f>SUMIF(PPvsREal!$C:$C,'PPvsREal Summary'!C108,PPvsREal!$I:$I)</f>
        <v>0</v>
      </c>
      <c r="J108" s="3">
        <f>SUMIF(PPvsREal!$C:$C,'PPvsREal Summary'!C108,PPvsREal!$J:$J)</f>
        <v>0</v>
      </c>
      <c r="K108" s="3">
        <f>SUMIF(PPvsREal!$C:$C,'PPvsREal Summary'!C108,PPvsREal!$K:$K)</f>
        <v>0</v>
      </c>
      <c r="L108" s="3">
        <f>SUMIF(PPvsREal!$C:$C,'PPvsREal Summary'!C108,PPvsREal!$L:$L)</f>
        <v>0</v>
      </c>
      <c r="M108" s="3">
        <f>SUMIF(PPvsREal!$C:$C,'PPvsREal Summary'!C108,PPvsREal!$M:$M)</f>
        <v>0</v>
      </c>
      <c r="N108" s="3">
        <f>SUMIF(PPvsREal!$C:$C,'PPvsREal Summary'!C108,PPvsREal!$N:$N)</f>
        <v>0</v>
      </c>
      <c r="O108" s="3">
        <f>SUMIF(PPvsREal!$C:$C,'PPvsREal Summary'!C108,PPvsREal!$O:$O)</f>
        <v>0</v>
      </c>
      <c r="P108" s="3">
        <f>SUMIF(PPvsREal!$C:$C,'PPvsREal Summary'!C108,PPvsREal!$P:$P)</f>
        <v>0</v>
      </c>
      <c r="Q108" s="3">
        <f>SUMIF(PPvsREal!$C:$C,'PPvsREal Summary'!C108,PPvsREal!$Q:$Q)</f>
        <v>0</v>
      </c>
      <c r="R108" s="3">
        <f>SUMIF(PPvsREal!$C:$C,'PPvsREal Summary'!C108,PPvsREal!$R:$R)</f>
        <v>50000</v>
      </c>
      <c r="S108" s="3">
        <f>SUMIF(PPvsREal!$C:$C,'PPvsREal Summary'!C108,PPvsREal!$S:$S)</f>
        <v>0</v>
      </c>
      <c r="T108" s="3">
        <f>SUMIF(PPvsREal!$C:$C,'PPvsREal Summary'!C108,PPvsREal!$T:$T)</f>
        <v>0</v>
      </c>
      <c r="U108" s="3">
        <f>SUMIF(PPvsREal!$C:$C,'PPvsREal Summary'!C108,PPvsREal!$U:$U)</f>
        <v>0</v>
      </c>
      <c r="V108" s="3">
        <f>SUMIF(PPvsREal!$C:$C,'PPvsREal Summary'!C108,PPvsREal!$V:$V)</f>
        <v>0</v>
      </c>
      <c r="W108" s="3">
        <f>SUMIF(PPvsREal!$C:$C,'PPvsREal Summary'!C108,PPvsREal!$W:$W)</f>
        <v>0</v>
      </c>
      <c r="X108" s="3">
        <f>SUMIF(PPvsREal!$C:$C,'PPvsREal Summary'!C108,PPvsREal!$X:$X)</f>
        <v>0</v>
      </c>
      <c r="Y108" s="3">
        <f>SUMIF(PPvsREal!$C:$C,'PPvsREal Summary'!C108,PPvsREal!$Y:$Y)</f>
        <v>0</v>
      </c>
      <c r="Z108" s="3">
        <f>SUMIF(PPvsREal!$C:$C,'PPvsREal Summary'!C108,PPvsREal!$Z:$Z)</f>
        <v>0</v>
      </c>
      <c r="AA108" s="190">
        <f>SUMIF(PPvsREal!$C:$C,'PPvsREal Summary'!C108,PPvsREal!$AA:$AA)</f>
        <v>0</v>
      </c>
      <c r="AB108" s="3"/>
      <c r="AC108" s="201">
        <f t="shared" ref="AC108:AD108" si="219">D108+F108+H108+J108+L108+N108+P108+R108+T108+V108+X108+Z108</f>
        <v>50000</v>
      </c>
      <c r="AD108" s="201">
        <f t="shared" si="219"/>
        <v>0</v>
      </c>
      <c r="AE108" s="3"/>
      <c r="AF108" s="201">
        <f t="shared" ref="AF108:AG108" si="220">D108+F108+H108+J108+L108+N108+P108+R108+T108+V108+X108+Z108</f>
        <v>50000</v>
      </c>
      <c r="AG108" s="201">
        <f t="shared" si="220"/>
        <v>0</v>
      </c>
    </row>
    <row r="109" ht="12.75" customHeight="1">
      <c r="A109" s="111"/>
      <c r="B109" s="188" t="s">
        <v>18</v>
      </c>
      <c r="C109" s="2" t="s">
        <v>236</v>
      </c>
      <c r="D109" s="189">
        <f>SUMIF(PPvsREal!$C:$C,'PPvsREal Summary'!C109,PPvsREal!$D:$D)</f>
        <v>0</v>
      </c>
      <c r="E109" s="3">
        <f>SUMIF(PPvsREal!$C:$C,'PPvsREal Summary'!C109,PPvsREal!$E:$E)</f>
        <v>0</v>
      </c>
      <c r="F109" s="3">
        <f>SUMIF(PPvsREal!$C:$C,'PPvsREal Summary'!C109,PPvsREal!$F:$F)</f>
        <v>0</v>
      </c>
      <c r="G109" s="3">
        <f>SUMIF(PPvsREal!$C:$C,'PPvsREal Summary'!C109,PPvsREal!$G:$G)</f>
        <v>0</v>
      </c>
      <c r="H109" s="3">
        <f>SUMIF(PPvsREal!$C:$C,'PPvsREal Summary'!C109,PPvsREal!$H:$H)</f>
        <v>0</v>
      </c>
      <c r="I109" s="3">
        <f>SUMIF(PPvsREal!$C:$C,'PPvsREal Summary'!C109,PPvsREal!$I:$I)</f>
        <v>0</v>
      </c>
      <c r="J109" s="3">
        <f>SUMIF(PPvsREal!$C:$C,'PPvsREal Summary'!C109,PPvsREal!$J:$J)</f>
        <v>0</v>
      </c>
      <c r="K109" s="3">
        <f>SUMIF(PPvsREal!$C:$C,'PPvsREal Summary'!C109,PPvsREal!$K:$K)</f>
        <v>0</v>
      </c>
      <c r="L109" s="3">
        <f>SUMIF(PPvsREal!$C:$C,'PPvsREal Summary'!C109,PPvsREal!$L:$L)</f>
        <v>0</v>
      </c>
      <c r="M109" s="3">
        <f>SUMIF(PPvsREal!$C:$C,'PPvsREal Summary'!C109,PPvsREal!$M:$M)</f>
        <v>0</v>
      </c>
      <c r="N109" s="3">
        <f>SUMIF(PPvsREal!$C:$C,'PPvsREal Summary'!C109,PPvsREal!$N:$N)</f>
        <v>0</v>
      </c>
      <c r="O109" s="3">
        <f>SUMIF(PPvsREal!$C:$C,'PPvsREal Summary'!C109,PPvsREal!$O:$O)</f>
        <v>0</v>
      </c>
      <c r="P109" s="3">
        <f>SUMIF(PPvsREal!$C:$C,'PPvsREal Summary'!C109,PPvsREal!$P:$P)</f>
        <v>0</v>
      </c>
      <c r="Q109" s="3">
        <f>SUMIF(PPvsREal!$C:$C,'PPvsREal Summary'!C109,PPvsREal!$Q:$Q)</f>
        <v>0</v>
      </c>
      <c r="R109" s="3">
        <f>SUMIF(PPvsREal!$C:$C,'PPvsREal Summary'!C109,PPvsREal!$R:$R)</f>
        <v>0</v>
      </c>
      <c r="S109" s="3">
        <f>SUMIF(PPvsREal!$C:$C,'PPvsREal Summary'!C109,PPvsREal!$S:$S)</f>
        <v>0</v>
      </c>
      <c r="T109" s="3">
        <f>SUMIF(PPvsREal!$C:$C,'PPvsREal Summary'!C109,PPvsREal!$T:$T)</f>
        <v>0</v>
      </c>
      <c r="U109" s="3">
        <f>SUMIF(PPvsREal!$C:$C,'PPvsREal Summary'!C109,PPvsREal!$U:$U)</f>
        <v>0</v>
      </c>
      <c r="V109" s="3">
        <f>SUMIF(PPvsREal!$C:$C,'PPvsREal Summary'!C109,PPvsREal!$V:$V)</f>
        <v>285000</v>
      </c>
      <c r="W109" s="3">
        <f>SUMIF(PPvsREal!$C:$C,'PPvsREal Summary'!C109,PPvsREal!$W:$W)</f>
        <v>0</v>
      </c>
      <c r="X109" s="3">
        <f>SUMIF(PPvsREal!$C:$C,'PPvsREal Summary'!C109,PPvsREal!$X:$X)</f>
        <v>15000</v>
      </c>
      <c r="Y109" s="3">
        <f>SUMIF(PPvsREal!$C:$C,'PPvsREal Summary'!C109,PPvsREal!$Y:$Y)</f>
        <v>0</v>
      </c>
      <c r="Z109" s="3">
        <f>SUMIF(PPvsREal!$C:$C,'PPvsREal Summary'!C109,PPvsREal!$Z:$Z)</f>
        <v>0</v>
      </c>
      <c r="AA109" s="190">
        <f>SUMIF(PPvsREal!$C:$C,'PPvsREal Summary'!C109,PPvsREal!$AA:$AA)</f>
        <v>0</v>
      </c>
      <c r="AB109" s="3"/>
      <c r="AC109" s="201">
        <f t="shared" ref="AC109:AD109" si="221">D109+F109+H109+J109+L109+N109+P109+R109+T109+V109+X109+Z109</f>
        <v>300000</v>
      </c>
      <c r="AD109" s="201">
        <f t="shared" si="221"/>
        <v>0</v>
      </c>
      <c r="AE109" s="3"/>
      <c r="AF109" s="201">
        <f t="shared" ref="AF109:AG109" si="222">D109+F109+H109+J109+L109+N109+P109+R109+T109+V109+X109+Z109</f>
        <v>300000</v>
      </c>
      <c r="AG109" s="201">
        <f t="shared" si="222"/>
        <v>0</v>
      </c>
    </row>
    <row r="110" ht="12.75" customHeight="1">
      <c r="A110" s="111"/>
      <c r="B110" s="188" t="s">
        <v>18</v>
      </c>
      <c r="C110" s="2" t="s">
        <v>238</v>
      </c>
      <c r="D110" s="189">
        <f>SUMIF(PPvsREal!$C:$C,'PPvsREal Summary'!C110,PPvsREal!$D:$D)</f>
        <v>0</v>
      </c>
      <c r="E110" s="3">
        <f>SUMIF(PPvsREal!$C:$C,'PPvsREal Summary'!C110,PPvsREal!$E:$E)</f>
        <v>0</v>
      </c>
      <c r="F110" s="3">
        <f>SUMIF(PPvsREal!$C:$C,'PPvsREal Summary'!C110,PPvsREal!$F:$F)</f>
        <v>0</v>
      </c>
      <c r="G110" s="3">
        <f>SUMIF(PPvsREal!$C:$C,'PPvsREal Summary'!C110,PPvsREal!$G:$G)</f>
        <v>0</v>
      </c>
      <c r="H110" s="3">
        <f>SUMIF(PPvsREal!$C:$C,'PPvsREal Summary'!C110,PPvsREal!$H:$H)</f>
        <v>0</v>
      </c>
      <c r="I110" s="3">
        <f>SUMIF(PPvsREal!$C:$C,'PPvsREal Summary'!C110,PPvsREal!$I:$I)</f>
        <v>0</v>
      </c>
      <c r="J110" s="3">
        <f>SUMIF(PPvsREal!$C:$C,'PPvsREal Summary'!C110,PPvsREal!$J:$J)</f>
        <v>0</v>
      </c>
      <c r="K110" s="3">
        <f>SUMIF(PPvsREal!$C:$C,'PPvsREal Summary'!C110,PPvsREal!$K:$K)</f>
        <v>0</v>
      </c>
      <c r="L110" s="3">
        <f>SUMIF(PPvsREal!$C:$C,'PPvsREal Summary'!C110,PPvsREal!$L:$L)</f>
        <v>100000</v>
      </c>
      <c r="M110" s="3">
        <f>SUMIF(PPvsREal!$C:$C,'PPvsREal Summary'!C110,PPvsREal!$M:$M)</f>
        <v>0</v>
      </c>
      <c r="N110" s="3">
        <f>SUMIF(PPvsREal!$C:$C,'PPvsREal Summary'!C110,PPvsREal!$N:$N)</f>
        <v>20000</v>
      </c>
      <c r="O110" s="3">
        <f>SUMIF(PPvsREal!$C:$C,'PPvsREal Summary'!C110,PPvsREal!$O:$O)</f>
        <v>0</v>
      </c>
      <c r="P110" s="3">
        <f>SUMIF(PPvsREal!$C:$C,'PPvsREal Summary'!C110,PPvsREal!$P:$P)</f>
        <v>0</v>
      </c>
      <c r="Q110" s="3">
        <f>SUMIF(PPvsREal!$C:$C,'PPvsREal Summary'!C110,PPvsREal!$Q:$Q)</f>
        <v>0</v>
      </c>
      <c r="R110" s="3">
        <f>SUMIF(PPvsREal!$C:$C,'PPvsREal Summary'!C110,PPvsREal!$R:$R)</f>
        <v>0</v>
      </c>
      <c r="S110" s="3">
        <f>SUMIF(PPvsREal!$C:$C,'PPvsREal Summary'!C110,PPvsREal!$S:$S)</f>
        <v>0</v>
      </c>
      <c r="T110" s="3">
        <f>SUMIF(PPvsREal!$C:$C,'PPvsREal Summary'!C110,PPvsREal!$T:$T)</f>
        <v>0</v>
      </c>
      <c r="U110" s="3">
        <f>SUMIF(PPvsREal!$C:$C,'PPvsREal Summary'!C110,PPvsREal!$U:$U)</f>
        <v>0</v>
      </c>
      <c r="V110" s="3">
        <f>SUMIF(PPvsREal!$C:$C,'PPvsREal Summary'!C110,PPvsREal!$V:$V)</f>
        <v>0</v>
      </c>
      <c r="W110" s="3">
        <f>SUMIF(PPvsREal!$C:$C,'PPvsREal Summary'!C110,PPvsREal!$W:$W)</f>
        <v>0</v>
      </c>
      <c r="X110" s="3">
        <f>SUMIF(PPvsREal!$C:$C,'PPvsREal Summary'!C110,PPvsREal!$X:$X)</f>
        <v>0</v>
      </c>
      <c r="Y110" s="3">
        <f>SUMIF(PPvsREal!$C:$C,'PPvsREal Summary'!C110,PPvsREal!$Y:$Y)</f>
        <v>0</v>
      </c>
      <c r="Z110" s="3">
        <f>SUMIF(PPvsREal!$C:$C,'PPvsREal Summary'!C110,PPvsREal!$Z:$Z)</f>
        <v>0</v>
      </c>
      <c r="AA110" s="190">
        <f>SUMIF(PPvsREal!$C:$C,'PPvsREal Summary'!C110,PPvsREal!$AA:$AA)</f>
        <v>0</v>
      </c>
      <c r="AB110" s="3"/>
      <c r="AC110" s="201">
        <f t="shared" ref="AC110:AD110" si="223">D110+F110+H110+J110+L110+N110+P110+R110+T110+V110+X110+Z110</f>
        <v>120000</v>
      </c>
      <c r="AD110" s="201">
        <f t="shared" si="223"/>
        <v>0</v>
      </c>
      <c r="AE110" s="3"/>
      <c r="AF110" s="201">
        <f t="shared" ref="AF110:AG110" si="224">D110+F110+H110+J110+L110+N110+P110+R110+T110+V110+X110+Z110</f>
        <v>120000</v>
      </c>
      <c r="AG110" s="201">
        <f t="shared" si="224"/>
        <v>0</v>
      </c>
    </row>
    <row r="111" ht="12.75" customHeight="1">
      <c r="A111" s="111"/>
      <c r="B111" s="188" t="s">
        <v>18</v>
      </c>
      <c r="C111" s="2" t="s">
        <v>237</v>
      </c>
      <c r="D111" s="189">
        <f>SUMIF(PPvsREal!$C:$C,'PPvsREal Summary'!C111,PPvsREal!$D:$D)</f>
        <v>0</v>
      </c>
      <c r="E111" s="3">
        <f>SUMIF(PPvsREal!$C:$C,'PPvsREal Summary'!C111,PPvsREal!$E:$E)</f>
        <v>0</v>
      </c>
      <c r="F111" s="3">
        <f>SUMIF(PPvsREal!$C:$C,'PPvsREal Summary'!C111,PPvsREal!$F:$F)</f>
        <v>0</v>
      </c>
      <c r="G111" s="3">
        <f>SUMIF(PPvsREal!$C:$C,'PPvsREal Summary'!C111,PPvsREal!$G:$G)</f>
        <v>0</v>
      </c>
      <c r="H111" s="3">
        <f>SUMIF(PPvsREal!$C:$C,'PPvsREal Summary'!C111,PPvsREal!$H:$H)</f>
        <v>120000</v>
      </c>
      <c r="I111" s="3">
        <f>SUMIF(PPvsREal!$C:$C,'PPvsREal Summary'!C111,PPvsREal!$I:$I)</f>
        <v>0</v>
      </c>
      <c r="J111" s="3">
        <f>SUMIF(PPvsREal!$C:$C,'PPvsREal Summary'!C111,PPvsREal!$J:$J)</f>
        <v>0</v>
      </c>
      <c r="K111" s="3">
        <f>SUMIF(PPvsREal!$C:$C,'PPvsREal Summary'!C111,PPvsREal!$K:$K)</f>
        <v>0</v>
      </c>
      <c r="L111" s="3">
        <f>SUMIF(PPvsREal!$C:$C,'PPvsREal Summary'!C111,PPvsREal!$L:$L)</f>
        <v>0</v>
      </c>
      <c r="M111" s="3">
        <f>SUMIF(PPvsREal!$C:$C,'PPvsREal Summary'!C111,PPvsREal!$M:$M)</f>
        <v>0</v>
      </c>
      <c r="N111" s="3">
        <f>SUMIF(PPvsREal!$C:$C,'PPvsREal Summary'!C111,PPvsREal!$N:$N)</f>
        <v>0</v>
      </c>
      <c r="O111" s="3">
        <f>SUMIF(PPvsREal!$C:$C,'PPvsREal Summary'!C111,PPvsREal!$O:$O)</f>
        <v>0</v>
      </c>
      <c r="P111" s="3">
        <f>SUMIF(PPvsREal!$C:$C,'PPvsREal Summary'!C111,PPvsREal!$P:$P)</f>
        <v>0</v>
      </c>
      <c r="Q111" s="3">
        <f>SUMIF(PPvsREal!$C:$C,'PPvsREal Summary'!C111,PPvsREal!$Q:$Q)</f>
        <v>0</v>
      </c>
      <c r="R111" s="3">
        <f>SUMIF(PPvsREal!$C:$C,'PPvsREal Summary'!C111,PPvsREal!$R:$R)</f>
        <v>0</v>
      </c>
      <c r="S111" s="3">
        <f>SUMIF(PPvsREal!$C:$C,'PPvsREal Summary'!C111,PPvsREal!$S:$S)</f>
        <v>0</v>
      </c>
      <c r="T111" s="3">
        <f>SUMIF(PPvsREal!$C:$C,'PPvsREal Summary'!C111,PPvsREal!$T:$T)</f>
        <v>0</v>
      </c>
      <c r="U111" s="3">
        <f>SUMIF(PPvsREal!$C:$C,'PPvsREal Summary'!C111,PPvsREal!$U:$U)</f>
        <v>0</v>
      </c>
      <c r="V111" s="3">
        <f>SUMIF(PPvsREal!$C:$C,'PPvsREal Summary'!C111,PPvsREal!$V:$V)</f>
        <v>0</v>
      </c>
      <c r="W111" s="3">
        <f>SUMIF(PPvsREal!$C:$C,'PPvsREal Summary'!C111,PPvsREal!$W:$W)</f>
        <v>0</v>
      </c>
      <c r="X111" s="3">
        <f>SUMIF(PPvsREal!$C:$C,'PPvsREal Summary'!C111,PPvsREal!$X:$X)</f>
        <v>0</v>
      </c>
      <c r="Y111" s="3">
        <f>SUMIF(PPvsREal!$C:$C,'PPvsREal Summary'!C111,PPvsREal!$Y:$Y)</f>
        <v>0</v>
      </c>
      <c r="Z111" s="3">
        <f>SUMIF(PPvsREal!$C:$C,'PPvsREal Summary'!C111,PPvsREal!$Z:$Z)</f>
        <v>0</v>
      </c>
      <c r="AA111" s="190">
        <f>SUMIF(PPvsREal!$C:$C,'PPvsREal Summary'!C111,PPvsREal!$AA:$AA)</f>
        <v>0</v>
      </c>
      <c r="AB111" s="3"/>
      <c r="AC111" s="201">
        <f t="shared" ref="AC111:AD111" si="225">D111+F111+H111+J111+L111+N111+P111+R111+T111+V111+X111+Z111</f>
        <v>120000</v>
      </c>
      <c r="AD111" s="201">
        <f t="shared" si="225"/>
        <v>0</v>
      </c>
      <c r="AE111" s="3"/>
      <c r="AF111" s="201">
        <f t="shared" ref="AF111:AG111" si="226">D111+F111+H111+J111+L111+N111+P111+R111+T111+V111+X111+Z111</f>
        <v>120000</v>
      </c>
      <c r="AG111" s="201">
        <f t="shared" si="226"/>
        <v>0</v>
      </c>
    </row>
    <row r="112" ht="12.75" customHeight="1">
      <c r="A112" s="111"/>
      <c r="B112" s="188" t="s">
        <v>18</v>
      </c>
      <c r="C112" s="97" t="s">
        <v>239</v>
      </c>
      <c r="D112" s="189">
        <f>SUMIF(PPvsREal!$C:$C,'PPvsREal Summary'!C112,PPvsREal!$D:$D)</f>
        <v>0</v>
      </c>
      <c r="E112" s="3">
        <f>SUMIF(PPvsREal!$C:$C,'PPvsREal Summary'!C112,PPvsREal!$E:$E)</f>
        <v>0</v>
      </c>
      <c r="F112" s="3">
        <f>SUMIF(PPvsREal!$C:$C,'PPvsREal Summary'!C112,PPvsREal!$F:$F)</f>
        <v>0</v>
      </c>
      <c r="G112" s="3">
        <f>SUMIF(PPvsREal!$C:$C,'PPvsREal Summary'!C112,PPvsREal!$G:$G)</f>
        <v>0</v>
      </c>
      <c r="H112" s="3">
        <f>SUMIF(PPvsREal!$C:$C,'PPvsREal Summary'!C112,PPvsREal!$H:$H)</f>
        <v>0</v>
      </c>
      <c r="I112" s="3">
        <f>SUMIF(PPvsREal!$C:$C,'PPvsREal Summary'!C112,PPvsREal!$I:$I)</f>
        <v>0</v>
      </c>
      <c r="J112" s="3">
        <f>SUMIF(PPvsREal!$C:$C,'PPvsREal Summary'!C112,PPvsREal!$J:$J)</f>
        <v>0</v>
      </c>
      <c r="K112" s="3">
        <f>SUMIF(PPvsREal!$C:$C,'PPvsREal Summary'!C112,PPvsREal!$K:$K)</f>
        <v>0</v>
      </c>
      <c r="L112" s="3">
        <f>SUMIF(PPvsREal!$C:$C,'PPvsREal Summary'!C112,PPvsREal!$L:$L)</f>
        <v>100000</v>
      </c>
      <c r="M112" s="3">
        <f>SUMIF(PPvsREal!$C:$C,'PPvsREal Summary'!C112,PPvsREal!$M:$M)</f>
        <v>0</v>
      </c>
      <c r="N112" s="3">
        <f>SUMIF(PPvsREal!$C:$C,'PPvsREal Summary'!C112,PPvsREal!$N:$N)</f>
        <v>0</v>
      </c>
      <c r="O112" s="3">
        <f>SUMIF(PPvsREal!$C:$C,'PPvsREal Summary'!C112,PPvsREal!$O:$O)</f>
        <v>0</v>
      </c>
      <c r="P112" s="3">
        <f>SUMIF(PPvsREal!$C:$C,'PPvsREal Summary'!C112,PPvsREal!$P:$P)</f>
        <v>0</v>
      </c>
      <c r="Q112" s="3">
        <f>SUMIF(PPvsREal!$C:$C,'PPvsREal Summary'!C112,PPvsREal!$Q:$Q)</f>
        <v>0</v>
      </c>
      <c r="R112" s="3">
        <f>SUMIF(PPvsREal!$C:$C,'PPvsREal Summary'!C112,PPvsREal!$R:$R)</f>
        <v>0</v>
      </c>
      <c r="S112" s="3">
        <f>SUMIF(PPvsREal!$C:$C,'PPvsREal Summary'!C112,PPvsREal!$S:$S)</f>
        <v>0</v>
      </c>
      <c r="T112" s="3">
        <f>SUMIF(PPvsREal!$C:$C,'PPvsREal Summary'!C112,PPvsREal!$T:$T)</f>
        <v>0</v>
      </c>
      <c r="U112" s="3">
        <f>SUMIF(PPvsREal!$C:$C,'PPvsREal Summary'!C112,PPvsREal!$U:$U)</f>
        <v>0</v>
      </c>
      <c r="V112" s="3">
        <f>SUMIF(PPvsREal!$C:$C,'PPvsREal Summary'!C112,PPvsREal!$V:$V)</f>
        <v>0</v>
      </c>
      <c r="W112" s="3">
        <f>SUMIF(PPvsREal!$C:$C,'PPvsREal Summary'!C112,PPvsREal!$W:$W)</f>
        <v>0</v>
      </c>
      <c r="X112" s="3">
        <f>SUMIF(PPvsREal!$C:$C,'PPvsREal Summary'!C112,PPvsREal!$X:$X)</f>
        <v>0</v>
      </c>
      <c r="Y112" s="3">
        <f>SUMIF(PPvsREal!$C:$C,'PPvsREal Summary'!C112,PPvsREal!$Y:$Y)</f>
        <v>0</v>
      </c>
      <c r="Z112" s="3">
        <f>SUMIF(PPvsREal!$C:$C,'PPvsREal Summary'!C112,PPvsREal!$Z:$Z)</f>
        <v>0</v>
      </c>
      <c r="AA112" s="190">
        <f>SUMIF(PPvsREal!$C:$C,'PPvsREal Summary'!C112,PPvsREal!$AA:$AA)</f>
        <v>0</v>
      </c>
      <c r="AB112" s="3"/>
      <c r="AC112" s="201">
        <f t="shared" ref="AC112:AD112" si="227">D112+F112+H112+J112+L112+N112+P112+R112+T112+V112+X112+Z112</f>
        <v>100000</v>
      </c>
      <c r="AD112" s="201">
        <f t="shared" si="227"/>
        <v>0</v>
      </c>
      <c r="AE112" s="3"/>
      <c r="AF112" s="201">
        <f t="shared" ref="AF112:AG112" si="228">D112+F112+H112+J112+L112+N112+P112+R112+T112+V112+X112+Z112</f>
        <v>100000</v>
      </c>
      <c r="AG112" s="201">
        <f t="shared" si="228"/>
        <v>0</v>
      </c>
    </row>
    <row r="113" ht="12.75" customHeight="1">
      <c r="A113" s="111"/>
      <c r="B113" s="188" t="s">
        <v>18</v>
      </c>
      <c r="C113" s="97" t="s">
        <v>245</v>
      </c>
      <c r="D113" s="189">
        <f>SUMIF(PPvsREal!$C:$C,'PPvsREal Summary'!C113,PPvsREal!$D:$D)</f>
        <v>0</v>
      </c>
      <c r="E113" s="3">
        <f>SUMIF(PPvsREal!$C:$C,'PPvsREal Summary'!C113,PPvsREal!$E:$E)</f>
        <v>0</v>
      </c>
      <c r="F113" s="3">
        <f>SUMIF(PPvsREal!$C:$C,'PPvsREal Summary'!C113,PPvsREal!$F:$F)</f>
        <v>0</v>
      </c>
      <c r="G113" s="3">
        <f>SUMIF(PPvsREal!$C:$C,'PPvsREal Summary'!C113,PPvsREal!$G:$G)</f>
        <v>0</v>
      </c>
      <c r="H113" s="3">
        <f>SUMIF(PPvsREal!$C:$C,'PPvsREal Summary'!C113,PPvsREal!$H:$H)</f>
        <v>0</v>
      </c>
      <c r="I113" s="3">
        <f>SUMIF(PPvsREal!$C:$C,'PPvsREal Summary'!C113,PPvsREal!$I:$I)</f>
        <v>0</v>
      </c>
      <c r="J113" s="3">
        <f>SUMIF(PPvsREal!$C:$C,'PPvsREal Summary'!C113,PPvsREal!$J:$J)</f>
        <v>0</v>
      </c>
      <c r="K113" s="3">
        <f>SUMIF(PPvsREal!$C:$C,'PPvsREal Summary'!C113,PPvsREal!$K:$K)</f>
        <v>0</v>
      </c>
      <c r="L113" s="3">
        <f>SUMIF(PPvsREal!$C:$C,'PPvsREal Summary'!C113,PPvsREal!$L:$L)</f>
        <v>0</v>
      </c>
      <c r="M113" s="3">
        <f>SUMIF(PPvsREal!$C:$C,'PPvsREal Summary'!C113,PPvsREal!$M:$M)</f>
        <v>0</v>
      </c>
      <c r="N113" s="3">
        <f>SUMIF(PPvsREal!$C:$C,'PPvsREal Summary'!C113,PPvsREal!$N:$N)</f>
        <v>35000</v>
      </c>
      <c r="O113" s="3">
        <f>SUMIF(PPvsREal!$C:$C,'PPvsREal Summary'!C113,PPvsREal!$O:$O)</f>
        <v>0</v>
      </c>
      <c r="P113" s="3">
        <f>SUMIF(PPvsREal!$C:$C,'PPvsREal Summary'!C113,PPvsREal!$P:$P)</f>
        <v>0</v>
      </c>
      <c r="Q113" s="3">
        <f>SUMIF(PPvsREal!$C:$C,'PPvsREal Summary'!C113,PPvsREal!$Q:$Q)</f>
        <v>0</v>
      </c>
      <c r="R113" s="3">
        <f>SUMIF(PPvsREal!$C:$C,'PPvsREal Summary'!C113,PPvsREal!$R:$R)</f>
        <v>0</v>
      </c>
      <c r="S113" s="3">
        <f>SUMIF(PPvsREal!$C:$C,'PPvsREal Summary'!C113,PPvsREal!$S:$S)</f>
        <v>0</v>
      </c>
      <c r="T113" s="3">
        <f>SUMIF(PPvsREal!$C:$C,'PPvsREal Summary'!C113,PPvsREal!$T:$T)</f>
        <v>0</v>
      </c>
      <c r="U113" s="3">
        <f>SUMIF(PPvsREal!$C:$C,'PPvsREal Summary'!C113,PPvsREal!$U:$U)</f>
        <v>0</v>
      </c>
      <c r="V113" s="3">
        <f>SUMIF(PPvsREal!$C:$C,'PPvsREal Summary'!C113,PPvsREal!$V:$V)</f>
        <v>35000</v>
      </c>
      <c r="W113" s="3">
        <f>SUMIF(PPvsREal!$C:$C,'PPvsREal Summary'!C113,PPvsREal!$W:$W)</f>
        <v>0</v>
      </c>
      <c r="X113" s="3">
        <f>SUMIF(PPvsREal!$C:$C,'PPvsREal Summary'!C113,PPvsREal!$X:$X)</f>
        <v>0</v>
      </c>
      <c r="Y113" s="3">
        <f>SUMIF(PPvsREal!$C:$C,'PPvsREal Summary'!C113,PPvsREal!$Y:$Y)</f>
        <v>0</v>
      </c>
      <c r="Z113" s="3">
        <f>SUMIF(PPvsREal!$C:$C,'PPvsREal Summary'!C113,PPvsREal!$Z:$Z)</f>
        <v>0</v>
      </c>
      <c r="AA113" s="190">
        <f>SUMIF(PPvsREal!$C:$C,'PPvsREal Summary'!C113,PPvsREal!$AA:$AA)</f>
        <v>0</v>
      </c>
      <c r="AB113" s="3"/>
      <c r="AC113" s="201">
        <f t="shared" ref="AC113:AD113" si="229">D113+F113+H113+J113+L113+N113+P113+R113+T113+V113+X113+Z113</f>
        <v>70000</v>
      </c>
      <c r="AD113" s="201">
        <f t="shared" si="229"/>
        <v>0</v>
      </c>
      <c r="AE113" s="3"/>
      <c r="AF113" s="201">
        <f t="shared" ref="AF113:AG113" si="230">D113+F113+H113+J113+L113+N113+P113+R113+T113+V113+X113+Z113</f>
        <v>70000</v>
      </c>
      <c r="AG113" s="201">
        <f t="shared" si="230"/>
        <v>0</v>
      </c>
    </row>
    <row r="114" ht="12.75" customHeight="1">
      <c r="A114" s="111"/>
      <c r="B114" s="202"/>
      <c r="C114" s="203">
        <v>7.01E20</v>
      </c>
      <c r="D114" s="204">
        <f t="shared" ref="D114:AA114" si="231">SUM(D100:D113)</f>
        <v>700000</v>
      </c>
      <c r="E114" s="204">
        <f t="shared" si="231"/>
        <v>0</v>
      </c>
      <c r="F114" s="204">
        <f t="shared" si="231"/>
        <v>200000</v>
      </c>
      <c r="G114" s="204">
        <f t="shared" si="231"/>
        <v>0</v>
      </c>
      <c r="H114" s="204">
        <f t="shared" si="231"/>
        <v>520000</v>
      </c>
      <c r="I114" s="204">
        <f t="shared" si="231"/>
        <v>0</v>
      </c>
      <c r="J114" s="204">
        <f t="shared" si="231"/>
        <v>50000</v>
      </c>
      <c r="K114" s="204">
        <f t="shared" si="231"/>
        <v>0</v>
      </c>
      <c r="L114" s="204">
        <f t="shared" si="231"/>
        <v>200000</v>
      </c>
      <c r="M114" s="204">
        <f t="shared" si="231"/>
        <v>0</v>
      </c>
      <c r="N114" s="204">
        <f t="shared" si="231"/>
        <v>55000</v>
      </c>
      <c r="O114" s="204">
        <f t="shared" si="231"/>
        <v>0</v>
      </c>
      <c r="P114" s="204">
        <f t="shared" si="231"/>
        <v>50000</v>
      </c>
      <c r="Q114" s="204">
        <f t="shared" si="231"/>
        <v>0</v>
      </c>
      <c r="R114" s="204">
        <f t="shared" si="231"/>
        <v>50000</v>
      </c>
      <c r="S114" s="204">
        <f t="shared" si="231"/>
        <v>0</v>
      </c>
      <c r="T114" s="204">
        <f t="shared" si="231"/>
        <v>0</v>
      </c>
      <c r="U114" s="204">
        <f t="shared" si="231"/>
        <v>0</v>
      </c>
      <c r="V114" s="204">
        <f t="shared" si="231"/>
        <v>320000</v>
      </c>
      <c r="W114" s="204">
        <f t="shared" si="231"/>
        <v>0</v>
      </c>
      <c r="X114" s="204">
        <f t="shared" si="231"/>
        <v>65000</v>
      </c>
      <c r="Y114" s="204">
        <f t="shared" si="231"/>
        <v>0</v>
      </c>
      <c r="Z114" s="204">
        <f t="shared" si="231"/>
        <v>450000</v>
      </c>
      <c r="AA114" s="206">
        <f t="shared" si="231"/>
        <v>0</v>
      </c>
      <c r="AB114" s="3"/>
      <c r="AC114" s="206">
        <f t="shared" ref="AC114:AD114" si="232">SUM(AC100:AC113)</f>
        <v>2660000</v>
      </c>
      <c r="AD114" s="206">
        <f t="shared" si="232"/>
        <v>0</v>
      </c>
      <c r="AE114" s="3"/>
      <c r="AF114" s="206">
        <f t="shared" ref="AF114:AG114" si="233">SUM(AF100:AF113)</f>
        <v>2660000</v>
      </c>
      <c r="AG114" s="206">
        <f t="shared" si="233"/>
        <v>0</v>
      </c>
    </row>
    <row r="115" ht="12.75" customHeight="1">
      <c r="A115" s="111"/>
      <c r="B115" s="188"/>
      <c r="C115" s="2"/>
      <c r="D115" s="189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190"/>
      <c r="AB115" s="3"/>
      <c r="AC115" s="201">
        <f t="shared" ref="AC115:AD115" si="234">D115+F115+H115+J115+L115+N115+P115+R115+T115+V115+X115+Z115</f>
        <v>0</v>
      </c>
      <c r="AD115" s="201">
        <f t="shared" si="234"/>
        <v>0</v>
      </c>
      <c r="AE115" s="3"/>
      <c r="AF115" s="201">
        <f t="shared" ref="AF115:AG115" si="235">D115+F115+H115+J115+L115+N115+P115+R115+T115+V115+X115+Z115</f>
        <v>0</v>
      </c>
      <c r="AG115" s="201">
        <f t="shared" si="235"/>
        <v>0</v>
      </c>
    </row>
    <row r="116" ht="12.75" customHeight="1">
      <c r="A116" s="111"/>
      <c r="B116" s="188" t="s">
        <v>417</v>
      </c>
      <c r="C116" s="2" t="s">
        <v>116</v>
      </c>
      <c r="D116" s="189">
        <f>SUMIF(PPvsREal!$C:$C,'PPvsREal Summary'!C116,PPvsREal!$D:$D)</f>
        <v>1657.0026</v>
      </c>
      <c r="E116" s="3">
        <f>SUMIF(PPvsREal!$C:$C,'PPvsREal Summary'!C116,PPvsREal!$E:$E)</f>
        <v>0</v>
      </c>
      <c r="F116" s="3">
        <f>SUMIF(PPvsREal!$C:$C,'PPvsREal Summary'!C116,PPvsREal!$F:$F)</f>
        <v>1923.9636</v>
      </c>
      <c r="G116" s="3">
        <f>SUMIF(PPvsREal!$C:$C,'PPvsREal Summary'!C116,PPvsREal!$G:$G)</f>
        <v>0</v>
      </c>
      <c r="H116" s="3">
        <f>SUMIF(PPvsREal!$C:$C,'PPvsREal Summary'!C116,PPvsREal!$H:$H)</f>
        <v>0</v>
      </c>
      <c r="I116" s="3">
        <f>SUMIF(PPvsREal!$C:$C,'PPvsREal Summary'!C116,PPvsREal!$I:$I)</f>
        <v>0</v>
      </c>
      <c r="J116" s="3">
        <f>SUMIF(PPvsREal!$C:$C,'PPvsREal Summary'!C116,PPvsREal!$J:$J)</f>
        <v>860.031</v>
      </c>
      <c r="K116" s="3">
        <f>SUMIF(PPvsREal!$C:$C,'PPvsREal Summary'!C116,PPvsREal!$K:$K)</f>
        <v>0</v>
      </c>
      <c r="L116" s="3">
        <f>SUMIF(PPvsREal!$C:$C,'PPvsREal Summary'!C116,PPvsREal!$L:$L)</f>
        <v>0</v>
      </c>
      <c r="M116" s="3">
        <f>SUMIF(PPvsREal!$C:$C,'PPvsREal Summary'!C116,PPvsREal!$M:$M)</f>
        <v>0</v>
      </c>
      <c r="N116" s="3">
        <f>SUMIF(PPvsREal!$C:$C,'PPvsREal Summary'!C116,PPvsREal!$N:$N)</f>
        <v>4139.247</v>
      </c>
      <c r="O116" s="3">
        <f>SUMIF(PPvsREal!$C:$C,'PPvsREal Summary'!C116,PPvsREal!$O:$O)</f>
        <v>0</v>
      </c>
      <c r="P116" s="3">
        <f>SUMIF(PPvsREal!$C:$C,'PPvsREal Summary'!C116,PPvsREal!$P:$P)</f>
        <v>0</v>
      </c>
      <c r="Q116" s="3">
        <f>SUMIF(PPvsREal!$C:$C,'PPvsREal Summary'!C116,PPvsREal!$Q:$Q)</f>
        <v>0</v>
      </c>
      <c r="R116" s="3">
        <f>SUMIF(PPvsREal!$C:$C,'PPvsREal Summary'!C116,PPvsREal!$R:$R)</f>
        <v>0</v>
      </c>
      <c r="S116" s="3">
        <f>SUMIF(PPvsREal!$C:$C,'PPvsREal Summary'!C116,PPvsREal!$S:$S)</f>
        <v>0</v>
      </c>
      <c r="T116" s="3">
        <f>SUMIF(PPvsREal!$C:$C,'PPvsREal Summary'!C116,PPvsREal!$T:$T)</f>
        <v>2339.314</v>
      </c>
      <c r="U116" s="3">
        <f>SUMIF(PPvsREal!$C:$C,'PPvsREal Summary'!C116,PPvsREal!$U:$U)</f>
        <v>0</v>
      </c>
      <c r="V116" s="3">
        <f>SUMIF(PPvsREal!$C:$C,'PPvsREal Summary'!C116,PPvsREal!$V:$V)</f>
        <v>0</v>
      </c>
      <c r="W116" s="3">
        <f>SUMIF(PPvsREal!$C:$C,'PPvsREal Summary'!C116,PPvsREal!$W:$W)</f>
        <v>0</v>
      </c>
      <c r="X116" s="3">
        <f>SUMIF(PPvsREal!$C:$C,'PPvsREal Summary'!C116,PPvsREal!$X:$X)</f>
        <v>22600</v>
      </c>
      <c r="Y116" s="3">
        <f>SUMIF(PPvsREal!$C:$C,'PPvsREal Summary'!C116,PPvsREal!$Y:$Y)</f>
        <v>0</v>
      </c>
      <c r="Z116" s="3">
        <f>SUMIF(PPvsREal!$C:$C,'PPvsREal Summary'!C116,PPvsREal!$Z:$Z)</f>
        <v>0</v>
      </c>
      <c r="AA116" s="190">
        <f>SUMIF(PPvsREal!$C:$C,'PPvsREal Summary'!C116,PPvsREal!$AA:$AA)</f>
        <v>0</v>
      </c>
      <c r="AB116" s="3"/>
      <c r="AC116" s="201">
        <f t="shared" ref="AC116:AD116" si="236">D116+F116+H116+J116+L116+N116+P116+R116+T116+V116+X116+Z116</f>
        <v>33519.5582</v>
      </c>
      <c r="AD116" s="201">
        <f t="shared" si="236"/>
        <v>0</v>
      </c>
      <c r="AE116" s="3"/>
      <c r="AF116" s="201">
        <f t="shared" ref="AF116:AG116" si="237">D116+F116+H116+J116+L116+N116+P116+R116+T116+V116+X116+Z116</f>
        <v>33519.5582</v>
      </c>
      <c r="AG116" s="201">
        <f t="shared" si="237"/>
        <v>0</v>
      </c>
    </row>
    <row r="117" ht="12.75" customHeight="1">
      <c r="A117" s="111"/>
      <c r="B117" s="188" t="s">
        <v>417</v>
      </c>
      <c r="C117" s="2" t="s">
        <v>112</v>
      </c>
      <c r="D117" s="189">
        <f>SUMIF(PPvsREal!$C:$C,'PPvsREal Summary'!C117,PPvsREal!$D:$D)</f>
        <v>0</v>
      </c>
      <c r="E117" s="3">
        <f>SUMIF(PPvsREal!$C:$C,'PPvsREal Summary'!C117,PPvsREal!$E:$E)</f>
        <v>0</v>
      </c>
      <c r="F117" s="3">
        <f>SUMIF(PPvsREal!$C:$C,'PPvsREal Summary'!C117,PPvsREal!$F:$F)</f>
        <v>0</v>
      </c>
      <c r="G117" s="3">
        <f>SUMIF(PPvsREal!$C:$C,'PPvsREal Summary'!C117,PPvsREal!$G:$G)</f>
        <v>0</v>
      </c>
      <c r="H117" s="3">
        <f>SUMIF(PPvsREal!$C:$C,'PPvsREal Summary'!C117,PPvsREal!$H:$H)</f>
        <v>0</v>
      </c>
      <c r="I117" s="3">
        <f>SUMIF(PPvsREal!$C:$C,'PPvsREal Summary'!C117,PPvsREal!$I:$I)</f>
        <v>0</v>
      </c>
      <c r="J117" s="3">
        <f>SUMIF(PPvsREal!$C:$C,'PPvsREal Summary'!C117,PPvsREal!$J:$J)</f>
        <v>0</v>
      </c>
      <c r="K117" s="3">
        <f>SUMIF(PPvsREal!$C:$C,'PPvsREal Summary'!C117,PPvsREal!$K:$K)</f>
        <v>0</v>
      </c>
      <c r="L117" s="3">
        <f>SUMIF(PPvsREal!$C:$C,'PPvsREal Summary'!C117,PPvsREal!$L:$L)</f>
        <v>0</v>
      </c>
      <c r="M117" s="3">
        <f>SUMIF(PPvsREal!$C:$C,'PPvsREal Summary'!C117,PPvsREal!$M:$M)</f>
        <v>0</v>
      </c>
      <c r="N117" s="3">
        <f>SUMIF(PPvsREal!$C:$C,'PPvsREal Summary'!C117,PPvsREal!$N:$N)</f>
        <v>0</v>
      </c>
      <c r="O117" s="3">
        <f>SUMIF(PPvsREal!$C:$C,'PPvsREal Summary'!C117,PPvsREal!$O:$O)</f>
        <v>0</v>
      </c>
      <c r="P117" s="3">
        <f>SUMIF(PPvsREal!$C:$C,'PPvsREal Summary'!C117,PPvsREal!$P:$P)</f>
        <v>0</v>
      </c>
      <c r="Q117" s="3">
        <f>SUMIF(PPvsREal!$C:$C,'PPvsREal Summary'!C117,PPvsREal!$Q:$Q)</f>
        <v>0</v>
      </c>
      <c r="R117" s="3">
        <f>SUMIF(PPvsREal!$C:$C,'PPvsREal Summary'!C117,PPvsREal!$R:$R)</f>
        <v>0</v>
      </c>
      <c r="S117" s="3">
        <f>SUMIF(PPvsREal!$C:$C,'PPvsREal Summary'!C117,PPvsREal!$S:$S)</f>
        <v>0</v>
      </c>
      <c r="T117" s="3">
        <f>SUMIF(PPvsREal!$C:$C,'PPvsREal Summary'!C117,PPvsREal!$T:$T)</f>
        <v>0</v>
      </c>
      <c r="U117" s="3">
        <f>SUMIF(PPvsREal!$C:$C,'PPvsREal Summary'!C117,PPvsREal!$U:$U)</f>
        <v>0</v>
      </c>
      <c r="V117" s="3">
        <f>SUMIF(PPvsREal!$C:$C,'PPvsREal Summary'!C117,PPvsREal!$V:$V)</f>
        <v>0</v>
      </c>
      <c r="W117" s="3">
        <f>SUMIF(PPvsREal!$C:$C,'PPvsREal Summary'!C117,PPvsREal!$W:$W)</f>
        <v>0</v>
      </c>
      <c r="X117" s="3">
        <f>SUMIF(PPvsREal!$C:$C,'PPvsREal Summary'!C117,PPvsREal!$X:$X)</f>
        <v>0</v>
      </c>
      <c r="Y117" s="3">
        <f>SUMIF(PPvsREal!$C:$C,'PPvsREal Summary'!C117,PPvsREal!$Y:$Y)</f>
        <v>0</v>
      </c>
      <c r="Z117" s="3">
        <f>SUMIF(PPvsREal!$C:$C,'PPvsREal Summary'!C117,PPvsREal!$Z:$Z)</f>
        <v>0</v>
      </c>
      <c r="AA117" s="190">
        <f>SUMIF(PPvsREal!$C:$C,'PPvsREal Summary'!C117,PPvsREal!$AA:$AA)</f>
        <v>0</v>
      </c>
      <c r="AB117" s="3"/>
      <c r="AC117" s="201">
        <f t="shared" ref="AC117:AD117" si="238">D117+F117+H117+J117+L117+N117+P117+R117+T117+V117+X117+Z117</f>
        <v>0</v>
      </c>
      <c r="AD117" s="201">
        <f t="shared" si="238"/>
        <v>0</v>
      </c>
      <c r="AE117" s="3"/>
      <c r="AF117" s="201">
        <f t="shared" ref="AF117:AG117" si="239">D117+F117+H117+J117+L117+N117+P117+R117+T117+V117+X117+Z117</f>
        <v>0</v>
      </c>
      <c r="AG117" s="201">
        <f t="shared" si="239"/>
        <v>0</v>
      </c>
    </row>
    <row r="118" ht="12.75" customHeight="1">
      <c r="A118" s="111"/>
      <c r="B118" s="202"/>
      <c r="C118" s="203">
        <v>7.02E20</v>
      </c>
      <c r="D118" s="204">
        <f t="shared" ref="D118:AA118" si="240">SUM(D116:D117)</f>
        <v>1657.0026</v>
      </c>
      <c r="E118" s="204">
        <f t="shared" si="240"/>
        <v>0</v>
      </c>
      <c r="F118" s="204">
        <f t="shared" si="240"/>
        <v>1923.9636</v>
      </c>
      <c r="G118" s="204">
        <f t="shared" si="240"/>
        <v>0</v>
      </c>
      <c r="H118" s="204">
        <f t="shared" si="240"/>
        <v>0</v>
      </c>
      <c r="I118" s="204">
        <f t="shared" si="240"/>
        <v>0</v>
      </c>
      <c r="J118" s="204">
        <f t="shared" si="240"/>
        <v>860.031</v>
      </c>
      <c r="K118" s="204">
        <f t="shared" si="240"/>
        <v>0</v>
      </c>
      <c r="L118" s="204">
        <f t="shared" si="240"/>
        <v>0</v>
      </c>
      <c r="M118" s="204">
        <f t="shared" si="240"/>
        <v>0</v>
      </c>
      <c r="N118" s="204">
        <f t="shared" si="240"/>
        <v>4139.247</v>
      </c>
      <c r="O118" s="204">
        <f t="shared" si="240"/>
        <v>0</v>
      </c>
      <c r="P118" s="204">
        <f t="shared" si="240"/>
        <v>0</v>
      </c>
      <c r="Q118" s="204">
        <f t="shared" si="240"/>
        <v>0</v>
      </c>
      <c r="R118" s="204">
        <f t="shared" si="240"/>
        <v>0</v>
      </c>
      <c r="S118" s="204">
        <f t="shared" si="240"/>
        <v>0</v>
      </c>
      <c r="T118" s="204">
        <f t="shared" si="240"/>
        <v>2339.314</v>
      </c>
      <c r="U118" s="204">
        <f t="shared" si="240"/>
        <v>0</v>
      </c>
      <c r="V118" s="204">
        <f t="shared" si="240"/>
        <v>0</v>
      </c>
      <c r="W118" s="204">
        <f t="shared" si="240"/>
        <v>0</v>
      </c>
      <c r="X118" s="204">
        <f t="shared" si="240"/>
        <v>22600</v>
      </c>
      <c r="Y118" s="204">
        <f t="shared" si="240"/>
        <v>0</v>
      </c>
      <c r="Z118" s="204">
        <f t="shared" si="240"/>
        <v>0</v>
      </c>
      <c r="AA118" s="206">
        <f t="shared" si="240"/>
        <v>0</v>
      </c>
      <c r="AB118" s="3"/>
      <c r="AC118" s="206">
        <f t="shared" ref="AC118:AD118" si="241">D118+F118+H118+J118+L118+N118+P118+R118+T118+V118+X118+Z118</f>
        <v>33519.5582</v>
      </c>
      <c r="AD118" s="206">
        <f t="shared" si="241"/>
        <v>0</v>
      </c>
      <c r="AE118" s="3"/>
      <c r="AF118" s="206">
        <f t="shared" ref="AF118:AG118" si="242">D118+F118+H118+J118+L118+N118+P118+R118+T118+V118+X118+Z118</f>
        <v>33519.5582</v>
      </c>
      <c r="AG118" s="206">
        <f t="shared" si="242"/>
        <v>0</v>
      </c>
    </row>
    <row r="119" ht="15.75" customHeight="1">
      <c r="A119" s="111"/>
      <c r="B119" s="207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208"/>
      <c r="AB119" s="111"/>
      <c r="AC119" s="207">
        <f t="shared" ref="AC119:AD119" si="243">D119+F119+H119+J119+L119+N119+P119+R119+T119+V119+X119+Z119</f>
        <v>0</v>
      </c>
      <c r="AD119" s="207">
        <f t="shared" si="243"/>
        <v>0</v>
      </c>
      <c r="AE119" s="111"/>
      <c r="AF119" s="207">
        <f t="shared" ref="AF119:AG119" si="244">D119+F119+H119+J119+L119+N119+P119+R119+T119+V119+X119+Z119</f>
        <v>0</v>
      </c>
      <c r="AG119" s="207">
        <f t="shared" si="244"/>
        <v>0</v>
      </c>
    </row>
    <row r="120" ht="12.75" customHeight="1">
      <c r="A120" s="111"/>
      <c r="B120" s="188" t="s">
        <v>22</v>
      </c>
      <c r="C120" s="2" t="s">
        <v>184</v>
      </c>
      <c r="D120" s="189">
        <f>SUMIF(PPvsREal!$C:$C,'PPvsREal Summary'!C120,PPvsREal!$D:$D)</f>
        <v>0</v>
      </c>
      <c r="E120" s="3">
        <f>SUMIF(PPvsREal!$C:$C,'PPvsREal Summary'!C120,PPvsREal!$E:$E)</f>
        <v>0</v>
      </c>
      <c r="F120" s="3">
        <f>SUMIF(PPvsREal!$C:$C,'PPvsREal Summary'!C120,PPvsREal!$F:$F)</f>
        <v>0</v>
      </c>
      <c r="G120" s="3">
        <f>SUMIF(PPvsREal!$C:$C,'PPvsREal Summary'!C120,PPvsREal!$G:$G)</f>
        <v>0</v>
      </c>
      <c r="H120" s="3">
        <f>SUMIF(PPvsREal!$C:$C,'PPvsREal Summary'!C120,PPvsREal!$H:$H)</f>
        <v>0</v>
      </c>
      <c r="I120" s="3">
        <f>SUMIF(PPvsREal!$C:$C,'PPvsREal Summary'!C120,PPvsREal!$I:$I)</f>
        <v>0</v>
      </c>
      <c r="J120" s="3">
        <f>SUMIF(PPvsREal!$C:$C,'PPvsREal Summary'!C120,PPvsREal!$J:$J)</f>
        <v>0</v>
      </c>
      <c r="K120" s="3">
        <f>SUMIF(PPvsREal!$C:$C,'PPvsREal Summary'!C120,PPvsREal!$K:$K)</f>
        <v>0</v>
      </c>
      <c r="L120" s="3">
        <f>SUMIF(PPvsREal!$C:$C,'PPvsREal Summary'!C120,PPvsREal!$L:$L)</f>
        <v>0</v>
      </c>
      <c r="M120" s="3">
        <f>SUMIF(PPvsREal!$C:$C,'PPvsREal Summary'!C120,PPvsREal!$M:$M)</f>
        <v>0</v>
      </c>
      <c r="N120" s="3">
        <f>SUMIF(PPvsREal!$C:$C,'PPvsREal Summary'!C120,PPvsREal!$N:$N)</f>
        <v>0</v>
      </c>
      <c r="O120" s="3">
        <f>SUMIF(PPvsREal!$C:$C,'PPvsREal Summary'!C120,PPvsREal!$O:$O)</f>
        <v>0</v>
      </c>
      <c r="P120" s="3">
        <f>SUMIF(PPvsREal!$C:$C,'PPvsREal Summary'!C120,PPvsREal!$P:$P)</f>
        <v>0</v>
      </c>
      <c r="Q120" s="3">
        <f>SUMIF(PPvsREal!$C:$C,'PPvsREal Summary'!C120,PPvsREal!$Q:$Q)</f>
        <v>0</v>
      </c>
      <c r="R120" s="3">
        <f>SUMIF(PPvsREal!$C:$C,'PPvsREal Summary'!C120,PPvsREal!$R:$R)</f>
        <v>0</v>
      </c>
      <c r="S120" s="3">
        <f>SUMIF(PPvsREal!$C:$C,'PPvsREal Summary'!C120,PPvsREal!$S:$S)</f>
        <v>0</v>
      </c>
      <c r="T120" s="3">
        <f>SUMIF(PPvsREal!$C:$C,'PPvsREal Summary'!C120,PPvsREal!$T:$T)</f>
        <v>0</v>
      </c>
      <c r="U120" s="3">
        <f>SUMIF(PPvsREal!$C:$C,'PPvsREal Summary'!C120,PPvsREal!$U:$U)</f>
        <v>0</v>
      </c>
      <c r="V120" s="3">
        <f>SUMIF(PPvsREal!$C:$C,'PPvsREal Summary'!C120,PPvsREal!$V:$V)</f>
        <v>25000</v>
      </c>
      <c r="W120" s="3">
        <f>SUMIF(PPvsREal!$C:$C,'PPvsREal Summary'!C120,PPvsREal!$W:$W)</f>
        <v>0</v>
      </c>
      <c r="X120" s="3">
        <f>SUMIF(PPvsREal!$C:$C,'PPvsREal Summary'!C120,PPvsREal!$X:$X)</f>
        <v>0</v>
      </c>
      <c r="Y120" s="3">
        <f>SUMIF(PPvsREal!$C:$C,'PPvsREal Summary'!C120,PPvsREal!$Y:$Y)</f>
        <v>0</v>
      </c>
      <c r="Z120" s="3">
        <f>SUMIF(PPvsREal!$C:$C,'PPvsREal Summary'!C120,PPvsREal!$Z:$Z)</f>
        <v>0</v>
      </c>
      <c r="AA120" s="190">
        <f>SUMIF(PPvsREal!$C:$C,'PPvsREal Summary'!C120,PPvsREal!$AA:$AA)</f>
        <v>0</v>
      </c>
      <c r="AB120" s="3"/>
      <c r="AC120" s="201">
        <f t="shared" ref="AC120:AD120" si="245">D120+F120+H120+J120+L120+N120+P120+R120+T120+V120+X120+Z120</f>
        <v>25000</v>
      </c>
      <c r="AD120" s="201">
        <f t="shared" si="245"/>
        <v>0</v>
      </c>
      <c r="AE120" s="3"/>
      <c r="AF120" s="201">
        <f t="shared" ref="AF120:AG120" si="246">D120+F120+H120+J120+L120+N120+P120+R120+T120+V120+X120+Z120</f>
        <v>25000</v>
      </c>
      <c r="AG120" s="201">
        <f t="shared" si="246"/>
        <v>0</v>
      </c>
    </row>
    <row r="121" ht="12.75" customHeight="1">
      <c r="A121" s="111"/>
      <c r="B121" s="188" t="s">
        <v>22</v>
      </c>
      <c r="C121" s="2" t="s">
        <v>186</v>
      </c>
      <c r="D121" s="189">
        <f>SUMIF(PPvsREal!$C:$C,'PPvsREal Summary'!C121,PPvsREal!$D:$D)</f>
        <v>0</v>
      </c>
      <c r="E121" s="3">
        <f>SUMIF(PPvsREal!$C:$C,'PPvsREal Summary'!C121,PPvsREal!$E:$E)</f>
        <v>0</v>
      </c>
      <c r="F121" s="3">
        <f>SUMIF(PPvsREal!$C:$C,'PPvsREal Summary'!C121,PPvsREal!$F:$F)</f>
        <v>0</v>
      </c>
      <c r="G121" s="3">
        <f>SUMIF(PPvsREal!$C:$C,'PPvsREal Summary'!C121,PPvsREal!$G:$G)</f>
        <v>0</v>
      </c>
      <c r="H121" s="3">
        <f>SUMIF(PPvsREal!$C:$C,'PPvsREal Summary'!C121,PPvsREal!$H:$H)</f>
        <v>0</v>
      </c>
      <c r="I121" s="3">
        <f>SUMIF(PPvsREal!$C:$C,'PPvsREal Summary'!C121,PPvsREal!$I:$I)</f>
        <v>0</v>
      </c>
      <c r="J121" s="3">
        <f>SUMIF(PPvsREal!$C:$C,'PPvsREal Summary'!C121,PPvsREal!$J:$J)</f>
        <v>0</v>
      </c>
      <c r="K121" s="3">
        <f>SUMIF(PPvsREal!$C:$C,'PPvsREal Summary'!C121,PPvsREal!$K:$K)</f>
        <v>0</v>
      </c>
      <c r="L121" s="3">
        <f>SUMIF(PPvsREal!$C:$C,'PPvsREal Summary'!C121,PPvsREal!$L:$L)</f>
        <v>0</v>
      </c>
      <c r="M121" s="3">
        <f>SUMIF(PPvsREal!$C:$C,'PPvsREal Summary'!C121,PPvsREal!$M:$M)</f>
        <v>0</v>
      </c>
      <c r="N121" s="3">
        <f>SUMIF(PPvsREal!$C:$C,'PPvsREal Summary'!C121,PPvsREal!$N:$N)</f>
        <v>0</v>
      </c>
      <c r="O121" s="3">
        <f>SUMIF(PPvsREal!$C:$C,'PPvsREal Summary'!C121,PPvsREal!$O:$O)</f>
        <v>0</v>
      </c>
      <c r="P121" s="3">
        <f>SUMIF(PPvsREal!$C:$C,'PPvsREal Summary'!C121,PPvsREal!$P:$P)</f>
        <v>0</v>
      </c>
      <c r="Q121" s="3">
        <f>SUMIF(PPvsREal!$C:$C,'PPvsREal Summary'!C121,PPvsREal!$Q:$Q)</f>
        <v>0</v>
      </c>
      <c r="R121" s="3">
        <f>SUMIF(PPvsREal!$C:$C,'PPvsREal Summary'!C121,PPvsREal!$R:$R)</f>
        <v>0</v>
      </c>
      <c r="S121" s="3">
        <f>SUMIF(PPvsREal!$C:$C,'PPvsREal Summary'!C121,PPvsREal!$S:$S)</f>
        <v>0</v>
      </c>
      <c r="T121" s="3">
        <f>SUMIF(PPvsREal!$C:$C,'PPvsREal Summary'!C121,PPvsREal!$T:$T)</f>
        <v>0</v>
      </c>
      <c r="U121" s="3">
        <f>SUMIF(PPvsREal!$C:$C,'PPvsREal Summary'!C121,PPvsREal!$U:$U)</f>
        <v>0</v>
      </c>
      <c r="V121" s="3">
        <f>SUMIF(PPvsREal!$C:$C,'PPvsREal Summary'!C121,PPvsREal!$V:$V)</f>
        <v>0</v>
      </c>
      <c r="W121" s="3">
        <f>SUMIF(PPvsREal!$C:$C,'PPvsREal Summary'!C121,PPvsREal!$W:$W)</f>
        <v>0</v>
      </c>
      <c r="X121" s="3">
        <f>SUMIF(PPvsREal!$C:$C,'PPvsREal Summary'!C121,PPvsREal!$X:$X)</f>
        <v>0</v>
      </c>
      <c r="Y121" s="3">
        <f>SUMIF(PPvsREal!$C:$C,'PPvsREal Summary'!C121,PPvsREal!$Y:$Y)</f>
        <v>0</v>
      </c>
      <c r="Z121" s="3">
        <f>SUMIF(PPvsREal!$C:$C,'PPvsREal Summary'!C121,PPvsREal!$Z:$Z)</f>
        <v>0</v>
      </c>
      <c r="AA121" s="190">
        <f>SUMIF(PPvsREal!$C:$C,'PPvsREal Summary'!C121,PPvsREal!$AA:$AA)</f>
        <v>0</v>
      </c>
      <c r="AB121" s="3"/>
      <c r="AC121" s="201">
        <f t="shared" ref="AC121:AD121" si="247">D121+F121+H121+J121+L121+N121+P121+R121+T121+V121+X121+Z121</f>
        <v>0</v>
      </c>
      <c r="AD121" s="201">
        <f t="shared" si="247"/>
        <v>0</v>
      </c>
      <c r="AE121" s="3"/>
      <c r="AF121" s="201">
        <f t="shared" ref="AF121:AG121" si="248">D121+F121+H121+J121+L121+N121+P121+R121+T121+V121+X121+Z121</f>
        <v>0</v>
      </c>
      <c r="AG121" s="201">
        <f t="shared" si="248"/>
        <v>0</v>
      </c>
    </row>
    <row r="122" ht="12.75" customHeight="1">
      <c r="A122" s="111"/>
      <c r="B122" s="202"/>
      <c r="C122" s="203">
        <v>7.03E20</v>
      </c>
      <c r="D122" s="204">
        <f t="shared" ref="D122:AA122" si="249">SUM(D120:D121)</f>
        <v>0</v>
      </c>
      <c r="E122" s="204">
        <f t="shared" si="249"/>
        <v>0</v>
      </c>
      <c r="F122" s="204">
        <f t="shared" si="249"/>
        <v>0</v>
      </c>
      <c r="G122" s="204">
        <f t="shared" si="249"/>
        <v>0</v>
      </c>
      <c r="H122" s="204">
        <f t="shared" si="249"/>
        <v>0</v>
      </c>
      <c r="I122" s="204">
        <f t="shared" si="249"/>
        <v>0</v>
      </c>
      <c r="J122" s="204">
        <f t="shared" si="249"/>
        <v>0</v>
      </c>
      <c r="K122" s="204">
        <f t="shared" si="249"/>
        <v>0</v>
      </c>
      <c r="L122" s="204">
        <f t="shared" si="249"/>
        <v>0</v>
      </c>
      <c r="M122" s="204">
        <f t="shared" si="249"/>
        <v>0</v>
      </c>
      <c r="N122" s="204">
        <f t="shared" si="249"/>
        <v>0</v>
      </c>
      <c r="O122" s="204">
        <f t="shared" si="249"/>
        <v>0</v>
      </c>
      <c r="P122" s="204">
        <f t="shared" si="249"/>
        <v>0</v>
      </c>
      <c r="Q122" s="204">
        <f t="shared" si="249"/>
        <v>0</v>
      </c>
      <c r="R122" s="204">
        <f t="shared" si="249"/>
        <v>0</v>
      </c>
      <c r="S122" s="204">
        <f t="shared" si="249"/>
        <v>0</v>
      </c>
      <c r="T122" s="204">
        <f t="shared" si="249"/>
        <v>0</v>
      </c>
      <c r="U122" s="204">
        <f t="shared" si="249"/>
        <v>0</v>
      </c>
      <c r="V122" s="204">
        <f t="shared" si="249"/>
        <v>25000</v>
      </c>
      <c r="W122" s="204">
        <f t="shared" si="249"/>
        <v>0</v>
      </c>
      <c r="X122" s="204">
        <f t="shared" si="249"/>
        <v>0</v>
      </c>
      <c r="Y122" s="204">
        <f t="shared" si="249"/>
        <v>0</v>
      </c>
      <c r="Z122" s="204">
        <f t="shared" si="249"/>
        <v>0</v>
      </c>
      <c r="AA122" s="206">
        <f t="shared" si="249"/>
        <v>0</v>
      </c>
      <c r="AB122" s="3"/>
      <c r="AC122" s="206">
        <f t="shared" ref="AC122:AD122" si="250">D122+F122+H122+J122+L122+N122+P122+R122+T122+V122+X122+Z122</f>
        <v>25000</v>
      </c>
      <c r="AD122" s="206">
        <f t="shared" si="250"/>
        <v>0</v>
      </c>
      <c r="AE122" s="3"/>
      <c r="AF122" s="206">
        <f t="shared" ref="AF122:AG122" si="251">D122+F122+H122+J122+L122+N122+P122+R122+T122+V122+X122+Z122</f>
        <v>25000</v>
      </c>
      <c r="AG122" s="206">
        <f t="shared" si="251"/>
        <v>0</v>
      </c>
    </row>
    <row r="123" ht="15.75" customHeight="1">
      <c r="A123" s="111"/>
      <c r="B123" s="207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208"/>
      <c r="AB123" s="111"/>
      <c r="AC123" s="207">
        <f t="shared" ref="AC123:AD123" si="252">D123+F123+H123+J123+L123+N123+P123+R123+T123+V123+X123+Z123</f>
        <v>0</v>
      </c>
      <c r="AD123" s="207">
        <f t="shared" si="252"/>
        <v>0</v>
      </c>
      <c r="AE123" s="111"/>
      <c r="AF123" s="207">
        <f t="shared" ref="AF123:AG123" si="253">D123+F123+H123+J123+L123+N123+P123+R123+T123+V123+X123+Z123</f>
        <v>0</v>
      </c>
      <c r="AG123" s="207">
        <f t="shared" si="253"/>
        <v>0</v>
      </c>
    </row>
    <row r="124" ht="12.75" customHeight="1">
      <c r="A124" s="111"/>
      <c r="B124" s="188" t="s">
        <v>37</v>
      </c>
      <c r="C124" s="2" t="s">
        <v>377</v>
      </c>
      <c r="D124" s="189">
        <f>SUMIF(PPvsREal!$C:$C,'PPvsREal Summary'!C124,PPvsREal!$D:$D)</f>
        <v>8183.52</v>
      </c>
      <c r="E124" s="3">
        <f>SUMIF(PPvsREal!$C:$C,'PPvsREal Summary'!C124,PPvsREal!$E:$E)</f>
        <v>0</v>
      </c>
      <c r="F124" s="3">
        <f>SUMIF(PPvsREal!$C:$C,'PPvsREal Summary'!C124,PPvsREal!$F:$F)</f>
        <v>4800</v>
      </c>
      <c r="G124" s="3">
        <f>SUMIF(PPvsREal!$C:$C,'PPvsREal Summary'!C124,PPvsREal!$G:$G)</f>
        <v>0</v>
      </c>
      <c r="H124" s="3">
        <f>SUMIF(PPvsREal!$C:$C,'PPvsREal Summary'!C124,PPvsREal!$H:$H)</f>
        <v>4800</v>
      </c>
      <c r="I124" s="3">
        <f>SUMIF(PPvsREal!$C:$C,'PPvsREal Summary'!C124,PPvsREal!$I:$I)</f>
        <v>0</v>
      </c>
      <c r="J124" s="3">
        <f>SUMIF(PPvsREal!$C:$C,'PPvsREal Summary'!C124,PPvsREal!$J:$J)</f>
        <v>4800</v>
      </c>
      <c r="K124" s="3">
        <f>SUMIF(PPvsREal!$C:$C,'PPvsREal Summary'!C124,PPvsREal!$K:$K)</f>
        <v>0</v>
      </c>
      <c r="L124" s="3">
        <f>SUMIF(PPvsREal!$C:$C,'PPvsREal Summary'!C124,PPvsREal!$L:$L)</f>
        <v>4800</v>
      </c>
      <c r="M124" s="3">
        <f>SUMIF(PPvsREal!$C:$C,'PPvsREal Summary'!C124,PPvsREal!$M:$M)</f>
        <v>0</v>
      </c>
      <c r="N124" s="3">
        <f>SUMIF(PPvsREal!$C:$C,'PPvsREal Summary'!C124,PPvsREal!$N:$N)</f>
        <v>4800</v>
      </c>
      <c r="O124" s="3">
        <f>SUMIF(PPvsREal!$C:$C,'PPvsREal Summary'!C124,PPvsREal!$O:$O)</f>
        <v>0</v>
      </c>
      <c r="P124" s="3">
        <f>SUMIF(PPvsREal!$C:$C,'PPvsREal Summary'!C124,PPvsREal!$P:$P)</f>
        <v>4800</v>
      </c>
      <c r="Q124" s="3">
        <f>SUMIF(PPvsREal!$C:$C,'PPvsREal Summary'!C124,PPvsREal!$Q:$Q)</f>
        <v>0</v>
      </c>
      <c r="R124" s="3">
        <f>SUMIF(PPvsREal!$C:$C,'PPvsREal Summary'!C124,PPvsREal!$R:$R)</f>
        <v>4800</v>
      </c>
      <c r="S124" s="3">
        <f>SUMIF(PPvsREal!$C:$C,'PPvsREal Summary'!C124,PPvsREal!$S:$S)</f>
        <v>0</v>
      </c>
      <c r="T124" s="3">
        <f>SUMIF(PPvsREal!$C:$C,'PPvsREal Summary'!C124,PPvsREal!$T:$T)</f>
        <v>4800</v>
      </c>
      <c r="U124" s="3">
        <f>SUMIF(PPvsREal!$C:$C,'PPvsREal Summary'!C124,PPvsREal!$U:$U)</f>
        <v>0</v>
      </c>
      <c r="V124" s="3">
        <f>SUMIF(PPvsREal!$C:$C,'PPvsREal Summary'!C124,PPvsREal!$V:$V)</f>
        <v>4800</v>
      </c>
      <c r="W124" s="3">
        <f>SUMIF(PPvsREal!$C:$C,'PPvsREal Summary'!C124,PPvsREal!$W:$W)</f>
        <v>0</v>
      </c>
      <c r="X124" s="3">
        <f>SUMIF(PPvsREal!$C:$C,'PPvsREal Summary'!C124,PPvsREal!$X:$X)</f>
        <v>4800</v>
      </c>
      <c r="Y124" s="3">
        <f>SUMIF(PPvsREal!$C:$C,'PPvsREal Summary'!C124,PPvsREal!$Y:$Y)</f>
        <v>0</v>
      </c>
      <c r="Z124" s="3">
        <f>SUMIF(PPvsREal!$C:$C,'PPvsREal Summary'!C124,PPvsREal!$Z:$Z)</f>
        <v>4800</v>
      </c>
      <c r="AA124" s="190">
        <f>SUMIF(PPvsREal!$C:$C,'PPvsREal Summary'!C124,PPvsREal!$AA:$AA)</f>
        <v>0</v>
      </c>
      <c r="AB124" s="3"/>
      <c r="AC124" s="201">
        <f t="shared" ref="AC124:AD124" si="254">D124+F124+H124+J124+L124+N124+P124+R124+T124+V124+X124+Z124</f>
        <v>60983.52</v>
      </c>
      <c r="AD124" s="201">
        <f t="shared" si="254"/>
        <v>0</v>
      </c>
      <c r="AE124" s="3"/>
      <c r="AF124" s="201">
        <f t="shared" ref="AF124:AG124" si="255">D124+F124+H124+J124+L124+N124+P124+R124+T124+V124+X124+Z124</f>
        <v>60983.52</v>
      </c>
      <c r="AG124" s="201">
        <f t="shared" si="255"/>
        <v>0</v>
      </c>
    </row>
    <row r="125" ht="12.75" customHeight="1">
      <c r="A125" s="111"/>
      <c r="B125" s="188" t="s">
        <v>427</v>
      </c>
      <c r="C125" s="2" t="s">
        <v>307</v>
      </c>
      <c r="D125" s="189">
        <f>SUMIF(PPvsREal!$C:$C,'PPvsREal Summary'!C125,PPvsREal!$D:$D)</f>
        <v>8700</v>
      </c>
      <c r="E125" s="3">
        <f>SUMIF(PPvsREal!$C:$C,'PPvsREal Summary'!C125,PPvsREal!$E:$E)</f>
        <v>0</v>
      </c>
      <c r="F125" s="3">
        <f>SUMIF(PPvsREal!$C:$C,'PPvsREal Summary'!C125,PPvsREal!$F:$F)</f>
        <v>8700</v>
      </c>
      <c r="G125" s="3">
        <f>SUMIF(PPvsREal!$C:$C,'PPvsREal Summary'!C125,PPvsREal!$G:$G)</f>
        <v>0</v>
      </c>
      <c r="H125" s="3">
        <f>SUMIF(PPvsREal!$C:$C,'PPvsREal Summary'!C125,PPvsREal!$H:$H)</f>
        <v>8700</v>
      </c>
      <c r="I125" s="3">
        <f>SUMIF(PPvsREal!$C:$C,'PPvsREal Summary'!C125,PPvsREal!$I:$I)</f>
        <v>0</v>
      </c>
      <c r="J125" s="3">
        <f>SUMIF(PPvsREal!$C:$C,'PPvsREal Summary'!C125,PPvsREal!$J:$J)</f>
        <v>8700</v>
      </c>
      <c r="K125" s="3">
        <f>SUMIF(PPvsREal!$C:$C,'PPvsREal Summary'!C125,PPvsREal!$K:$K)</f>
        <v>0</v>
      </c>
      <c r="L125" s="3">
        <f>SUMIF(PPvsREal!$C:$C,'PPvsREal Summary'!C125,PPvsREal!$L:$L)</f>
        <v>8700</v>
      </c>
      <c r="M125" s="3">
        <f>SUMIF(PPvsREal!$C:$C,'PPvsREal Summary'!C125,PPvsREal!$M:$M)</f>
        <v>0</v>
      </c>
      <c r="N125" s="3">
        <f>SUMIF(PPvsREal!$C:$C,'PPvsREal Summary'!C125,PPvsREal!$N:$N)</f>
        <v>8700</v>
      </c>
      <c r="O125" s="3">
        <f>SUMIF(PPvsREal!$C:$C,'PPvsREal Summary'!C125,PPvsREal!$O:$O)</f>
        <v>0</v>
      </c>
      <c r="P125" s="3">
        <f>SUMIF(PPvsREal!$C:$C,'PPvsREal Summary'!C125,PPvsREal!$P:$P)</f>
        <v>8700</v>
      </c>
      <c r="Q125" s="3">
        <f>SUMIF(PPvsREal!$C:$C,'PPvsREal Summary'!C125,PPvsREal!$Q:$Q)</f>
        <v>0</v>
      </c>
      <c r="R125" s="3">
        <f>SUMIF(PPvsREal!$C:$C,'PPvsREal Summary'!C125,PPvsREal!$R:$R)</f>
        <v>8700</v>
      </c>
      <c r="S125" s="3">
        <f>SUMIF(PPvsREal!$C:$C,'PPvsREal Summary'!C125,PPvsREal!$S:$S)</f>
        <v>0</v>
      </c>
      <c r="T125" s="3">
        <f>SUMIF(PPvsREal!$C:$C,'PPvsREal Summary'!C125,PPvsREal!$T:$T)</f>
        <v>8700</v>
      </c>
      <c r="U125" s="3">
        <f>SUMIF(PPvsREal!$C:$C,'PPvsREal Summary'!C125,PPvsREal!$U:$U)</f>
        <v>0</v>
      </c>
      <c r="V125" s="3">
        <f>SUMIF(PPvsREal!$C:$C,'PPvsREal Summary'!C125,PPvsREal!$V:$V)</f>
        <v>8700</v>
      </c>
      <c r="W125" s="3">
        <f>SUMIF(PPvsREal!$C:$C,'PPvsREal Summary'!C125,PPvsREal!$W:$W)</f>
        <v>0</v>
      </c>
      <c r="X125" s="3">
        <f>SUMIF(PPvsREal!$C:$C,'PPvsREal Summary'!C125,PPvsREal!$X:$X)</f>
        <v>8700</v>
      </c>
      <c r="Y125" s="3">
        <f>SUMIF(PPvsREal!$C:$C,'PPvsREal Summary'!C125,PPvsREal!$Y:$Y)</f>
        <v>0</v>
      </c>
      <c r="Z125" s="3">
        <f>SUMIF(PPvsREal!$C:$C,'PPvsREal Summary'!C125,PPvsREal!$Z:$Z)</f>
        <v>8700</v>
      </c>
      <c r="AA125" s="190">
        <f>SUMIF(PPvsREal!$C:$C,'PPvsREal Summary'!C125,PPvsREal!$AA:$AA)</f>
        <v>0</v>
      </c>
      <c r="AB125" s="3"/>
      <c r="AC125" s="201">
        <f t="shared" ref="AC125:AD125" si="256">D125+F125+H125+J125+L125+N125+P125+R125+T125+V125+X125+Z125</f>
        <v>104400</v>
      </c>
      <c r="AD125" s="201">
        <f t="shared" si="256"/>
        <v>0</v>
      </c>
      <c r="AE125" s="3"/>
      <c r="AF125" s="201">
        <f t="shared" ref="AF125:AG125" si="257">D125+F125+H125+J125+L125+N125+P125+R125+T125+V125+X125+Z125</f>
        <v>104400</v>
      </c>
      <c r="AG125" s="201">
        <f t="shared" si="257"/>
        <v>0</v>
      </c>
    </row>
    <row r="126" ht="12.75" customHeight="1">
      <c r="A126" s="111"/>
      <c r="B126" s="188" t="s">
        <v>37</v>
      </c>
      <c r="C126" s="2" t="s">
        <v>379</v>
      </c>
      <c r="D126" s="189">
        <f>SUMIF(PPvsREal!$C:$C,'PPvsREal Summary'!C126,PPvsREal!$D:$D)</f>
        <v>8400</v>
      </c>
      <c r="E126" s="3">
        <f>SUMIF(PPvsREal!$C:$C,'PPvsREal Summary'!C126,PPvsREal!$E:$E)</f>
        <v>0</v>
      </c>
      <c r="F126" s="3">
        <f>SUMIF(PPvsREal!$C:$C,'PPvsREal Summary'!C126,PPvsREal!$F:$F)</f>
        <v>8400</v>
      </c>
      <c r="G126" s="3">
        <f>SUMIF(PPvsREal!$C:$C,'PPvsREal Summary'!C126,PPvsREal!$G:$G)</f>
        <v>0</v>
      </c>
      <c r="H126" s="3">
        <f>SUMIF(PPvsREal!$C:$C,'PPvsREal Summary'!C126,PPvsREal!$H:$H)</f>
        <v>8400</v>
      </c>
      <c r="I126" s="3">
        <f>SUMIF(PPvsREal!$C:$C,'PPvsREal Summary'!C126,PPvsREal!$I:$I)</f>
        <v>0</v>
      </c>
      <c r="J126" s="3">
        <f>SUMIF(PPvsREal!$C:$C,'PPvsREal Summary'!C126,PPvsREal!$J:$J)</f>
        <v>8400</v>
      </c>
      <c r="K126" s="3">
        <f>SUMIF(PPvsREal!$C:$C,'PPvsREal Summary'!C126,PPvsREal!$K:$K)</f>
        <v>0</v>
      </c>
      <c r="L126" s="3">
        <f>SUMIF(PPvsREal!$C:$C,'PPvsREal Summary'!C126,PPvsREal!$L:$L)</f>
        <v>8400</v>
      </c>
      <c r="M126" s="3">
        <f>SUMIF(PPvsREal!$C:$C,'PPvsREal Summary'!C126,PPvsREal!$M:$M)</f>
        <v>0</v>
      </c>
      <c r="N126" s="3">
        <f>SUMIF(PPvsREal!$C:$C,'PPvsREal Summary'!C126,PPvsREal!$N:$N)</f>
        <v>8400</v>
      </c>
      <c r="O126" s="3">
        <f>SUMIF(PPvsREal!$C:$C,'PPvsREal Summary'!C126,PPvsREal!$O:$O)</f>
        <v>0</v>
      </c>
      <c r="P126" s="3">
        <f>SUMIF(PPvsREal!$C:$C,'PPvsREal Summary'!C126,PPvsREal!$P:$P)</f>
        <v>8400</v>
      </c>
      <c r="Q126" s="3">
        <f>SUMIF(PPvsREal!$C:$C,'PPvsREal Summary'!C126,PPvsREal!$Q:$Q)</f>
        <v>0</v>
      </c>
      <c r="R126" s="3">
        <f>SUMIF(PPvsREal!$C:$C,'PPvsREal Summary'!C126,PPvsREal!$R:$R)</f>
        <v>8400</v>
      </c>
      <c r="S126" s="3">
        <f>SUMIF(PPvsREal!$C:$C,'PPvsREal Summary'!C126,PPvsREal!$S:$S)</f>
        <v>0</v>
      </c>
      <c r="T126" s="3">
        <f>SUMIF(PPvsREal!$C:$C,'PPvsREal Summary'!C126,PPvsREal!$T:$T)</f>
        <v>8400</v>
      </c>
      <c r="U126" s="3">
        <f>SUMIF(PPvsREal!$C:$C,'PPvsREal Summary'!C126,PPvsREal!$U:$U)</f>
        <v>0</v>
      </c>
      <c r="V126" s="3">
        <f>SUMIF(PPvsREal!$C:$C,'PPvsREal Summary'!C126,PPvsREal!$V:$V)</f>
        <v>8400</v>
      </c>
      <c r="W126" s="3">
        <f>SUMIF(PPvsREal!$C:$C,'PPvsREal Summary'!C126,PPvsREal!$W:$W)</f>
        <v>0</v>
      </c>
      <c r="X126" s="3">
        <f>SUMIF(PPvsREal!$C:$C,'PPvsREal Summary'!C126,PPvsREal!$X:$X)</f>
        <v>8400</v>
      </c>
      <c r="Y126" s="3">
        <f>SUMIF(PPvsREal!$C:$C,'PPvsREal Summary'!C126,PPvsREal!$Y:$Y)</f>
        <v>0</v>
      </c>
      <c r="Z126" s="3">
        <f>SUMIF(PPvsREal!$C:$C,'PPvsREal Summary'!C126,PPvsREal!$Z:$Z)</f>
        <v>8400</v>
      </c>
      <c r="AA126" s="190">
        <f>SUMIF(PPvsREal!$C:$C,'PPvsREal Summary'!C126,PPvsREal!$AA:$AA)</f>
        <v>0</v>
      </c>
      <c r="AB126" s="3"/>
      <c r="AC126" s="201">
        <f t="shared" ref="AC126:AD126" si="258">D126+F126+H126+J126+L126+N126+P126+R126+T126+V126+X126+Z126</f>
        <v>100800</v>
      </c>
      <c r="AD126" s="201">
        <f t="shared" si="258"/>
        <v>0</v>
      </c>
      <c r="AE126" s="3"/>
      <c r="AF126" s="201">
        <f t="shared" ref="AF126:AG126" si="259">D126+F126+H126+J126+L126+N126+P126+R126+T126+V126+X126+Z126</f>
        <v>100800</v>
      </c>
      <c r="AG126" s="201">
        <f t="shared" si="259"/>
        <v>0</v>
      </c>
    </row>
    <row r="127" ht="12.75" customHeight="1">
      <c r="A127" s="111"/>
      <c r="B127" s="188" t="s">
        <v>427</v>
      </c>
      <c r="C127" s="2" t="s">
        <v>303</v>
      </c>
      <c r="D127" s="189">
        <f>SUMIF(PPvsREal!$C:$C,'PPvsREal Summary'!C127,PPvsREal!$D:$D)</f>
        <v>0</v>
      </c>
      <c r="E127" s="3">
        <f>SUMIF(PPvsREal!$C:$C,'PPvsREal Summary'!C127,PPvsREal!$E:$E)</f>
        <v>0</v>
      </c>
      <c r="F127" s="3">
        <f>SUMIF(PPvsREal!$C:$C,'PPvsREal Summary'!C127,PPvsREal!$F:$F)</f>
        <v>0</v>
      </c>
      <c r="G127" s="3">
        <f>SUMIF(PPvsREal!$C:$C,'PPvsREal Summary'!C127,PPvsREal!$G:$G)</f>
        <v>0</v>
      </c>
      <c r="H127" s="3">
        <f>SUMIF(PPvsREal!$C:$C,'PPvsREal Summary'!C127,PPvsREal!$H:$H)</f>
        <v>4338.7814</v>
      </c>
      <c r="I127" s="3">
        <f>SUMIF(PPvsREal!$C:$C,'PPvsREal Summary'!C127,PPvsREal!$I:$I)</f>
        <v>0</v>
      </c>
      <c r="J127" s="3">
        <f>SUMIF(PPvsREal!$C:$C,'PPvsREal Summary'!C127,PPvsREal!$J:$J)</f>
        <v>0</v>
      </c>
      <c r="K127" s="3">
        <f>SUMIF(PPvsREal!$C:$C,'PPvsREal Summary'!C127,PPvsREal!$K:$K)</f>
        <v>0</v>
      </c>
      <c r="L127" s="3">
        <f>SUMIF(PPvsREal!$C:$C,'PPvsREal Summary'!C127,PPvsREal!$L:$L)</f>
        <v>35492.218</v>
      </c>
      <c r="M127" s="3">
        <f>SUMIF(PPvsREal!$C:$C,'PPvsREal Summary'!C127,PPvsREal!$M:$M)</f>
        <v>0</v>
      </c>
      <c r="N127" s="3">
        <f>SUMIF(PPvsREal!$C:$C,'PPvsREal Summary'!C127,PPvsREal!$N:$N)</f>
        <v>0</v>
      </c>
      <c r="O127" s="3">
        <f>SUMIF(PPvsREal!$C:$C,'PPvsREal Summary'!C127,PPvsREal!$O:$O)</f>
        <v>0</v>
      </c>
      <c r="P127" s="3">
        <f>SUMIF(PPvsREal!$C:$C,'PPvsREal Summary'!C127,PPvsREal!$P:$P)</f>
        <v>11733.5958</v>
      </c>
      <c r="Q127" s="3">
        <f>SUMIF(PPvsREal!$C:$C,'PPvsREal Summary'!C127,PPvsREal!$Q:$Q)</f>
        <v>0</v>
      </c>
      <c r="R127" s="3">
        <f>SUMIF(PPvsREal!$C:$C,'PPvsREal Summary'!C127,PPvsREal!$R:$R)</f>
        <v>3512.8188</v>
      </c>
      <c r="S127" s="3">
        <f>SUMIF(PPvsREal!$C:$C,'PPvsREal Summary'!C127,PPvsREal!$S:$S)</f>
        <v>0</v>
      </c>
      <c r="T127" s="3">
        <f>SUMIF(PPvsREal!$C:$C,'PPvsREal Summary'!C127,PPvsREal!$T:$T)</f>
        <v>1272</v>
      </c>
      <c r="U127" s="3">
        <f>SUMIF(PPvsREal!$C:$C,'PPvsREal Summary'!C127,PPvsREal!$U:$U)</f>
        <v>0</v>
      </c>
      <c r="V127" s="3">
        <f>SUMIF(PPvsREal!$C:$C,'PPvsREal Summary'!C127,PPvsREal!$V:$V)</f>
        <v>0</v>
      </c>
      <c r="W127" s="3">
        <f>SUMIF(PPvsREal!$C:$C,'PPvsREal Summary'!C127,PPvsREal!$W:$W)</f>
        <v>0</v>
      </c>
      <c r="X127" s="3">
        <f>SUMIF(PPvsREal!$C:$C,'PPvsREal Summary'!C127,PPvsREal!$X:$X)</f>
        <v>15370</v>
      </c>
      <c r="Y127" s="3">
        <f>SUMIF(PPvsREal!$C:$C,'PPvsREal Summary'!C127,PPvsREal!$Y:$Y)</f>
        <v>0</v>
      </c>
      <c r="Z127" s="3">
        <f>SUMIF(PPvsREal!$C:$C,'PPvsREal Summary'!C127,PPvsREal!$Z:$Z)</f>
        <v>0</v>
      </c>
      <c r="AA127" s="190">
        <f>SUMIF(PPvsREal!$C:$C,'PPvsREal Summary'!C127,PPvsREal!$AA:$AA)</f>
        <v>0</v>
      </c>
      <c r="AB127" s="3"/>
      <c r="AC127" s="201">
        <f t="shared" ref="AC127:AD127" si="260">D127+F127+H127+J127+L127+N127+P127+R127+T127+V127+X127+Z127</f>
        <v>71719.414</v>
      </c>
      <c r="AD127" s="201">
        <f t="shared" si="260"/>
        <v>0</v>
      </c>
      <c r="AE127" s="3"/>
      <c r="AF127" s="201">
        <f t="shared" ref="AF127:AG127" si="261">D127+F127+H127+J127+L127+N127+P127+R127+T127+V127+X127+Z127</f>
        <v>71719.414</v>
      </c>
      <c r="AG127" s="201">
        <f t="shared" si="261"/>
        <v>0</v>
      </c>
    </row>
    <row r="128" ht="12.75" customHeight="1">
      <c r="A128" s="111"/>
      <c r="B128" s="188" t="s">
        <v>427</v>
      </c>
      <c r="C128" s="2" t="s">
        <v>309</v>
      </c>
      <c r="D128" s="189">
        <f>SUMIF(PPvsREal!$C:$C,'PPvsREal Summary'!C128,PPvsREal!$D:$D)</f>
        <v>0</v>
      </c>
      <c r="E128" s="3">
        <f>SUMIF(PPvsREal!$C:$C,'PPvsREal Summary'!C128,PPvsREal!$E:$E)</f>
        <v>0</v>
      </c>
      <c r="F128" s="3">
        <f>SUMIF(PPvsREal!$C:$C,'PPvsREal Summary'!C128,PPvsREal!$F:$F)</f>
        <v>0</v>
      </c>
      <c r="G128" s="3">
        <f>SUMIF(PPvsREal!$C:$C,'PPvsREal Summary'!C128,PPvsREal!$G:$G)</f>
        <v>0</v>
      </c>
      <c r="H128" s="3">
        <f>SUMIF(PPvsREal!$C:$C,'PPvsREal Summary'!C128,PPvsREal!$H:$H)</f>
        <v>7200</v>
      </c>
      <c r="I128" s="3">
        <f>SUMIF(PPvsREal!$C:$C,'PPvsREal Summary'!C128,PPvsREal!$I:$I)</f>
        <v>0</v>
      </c>
      <c r="J128" s="3">
        <f>SUMIF(PPvsREal!$C:$C,'PPvsREal Summary'!C128,PPvsREal!$J:$J)</f>
        <v>0</v>
      </c>
      <c r="K128" s="3">
        <f>SUMIF(PPvsREal!$C:$C,'PPvsREal Summary'!C128,PPvsREal!$K:$K)</f>
        <v>0</v>
      </c>
      <c r="L128" s="3">
        <f>SUMIF(PPvsREal!$C:$C,'PPvsREal Summary'!C128,PPvsREal!$L:$L)</f>
        <v>0</v>
      </c>
      <c r="M128" s="3">
        <f>SUMIF(PPvsREal!$C:$C,'PPvsREal Summary'!C128,PPvsREal!$M:$M)</f>
        <v>0</v>
      </c>
      <c r="N128" s="3">
        <f>SUMIF(PPvsREal!$C:$C,'PPvsREal Summary'!C128,PPvsREal!$N:$N)</f>
        <v>0</v>
      </c>
      <c r="O128" s="3">
        <f>SUMIF(PPvsREal!$C:$C,'PPvsREal Summary'!C128,PPvsREal!$O:$O)</f>
        <v>0</v>
      </c>
      <c r="P128" s="3">
        <f>SUMIF(PPvsREal!$C:$C,'PPvsREal Summary'!C128,PPvsREal!$P:$P)</f>
        <v>0</v>
      </c>
      <c r="Q128" s="3">
        <f>SUMIF(PPvsREal!$C:$C,'PPvsREal Summary'!C128,PPvsREal!$Q:$Q)</f>
        <v>0</v>
      </c>
      <c r="R128" s="3">
        <f>SUMIF(PPvsREal!$C:$C,'PPvsREal Summary'!C128,PPvsREal!$R:$R)</f>
        <v>0</v>
      </c>
      <c r="S128" s="3">
        <f>SUMIF(PPvsREal!$C:$C,'PPvsREal Summary'!C128,PPvsREal!$S:$S)</f>
        <v>0</v>
      </c>
      <c r="T128" s="3">
        <f>SUMIF(PPvsREal!$C:$C,'PPvsREal Summary'!C128,PPvsREal!$T:$T)</f>
        <v>7200</v>
      </c>
      <c r="U128" s="3">
        <f>SUMIF(PPvsREal!$C:$C,'PPvsREal Summary'!C128,PPvsREal!$U:$U)</f>
        <v>0</v>
      </c>
      <c r="V128" s="3">
        <f>SUMIF(PPvsREal!$C:$C,'PPvsREal Summary'!C128,PPvsREal!$V:$V)</f>
        <v>0</v>
      </c>
      <c r="W128" s="3">
        <f>SUMIF(PPvsREal!$C:$C,'PPvsREal Summary'!C128,PPvsREal!$W:$W)</f>
        <v>0</v>
      </c>
      <c r="X128" s="3">
        <f>SUMIF(PPvsREal!$C:$C,'PPvsREal Summary'!C128,PPvsREal!$X:$X)</f>
        <v>0</v>
      </c>
      <c r="Y128" s="3">
        <f>SUMIF(PPvsREal!$C:$C,'PPvsREal Summary'!C128,PPvsREal!$Y:$Y)</f>
        <v>0</v>
      </c>
      <c r="Z128" s="3">
        <f>SUMIF(PPvsREal!$C:$C,'PPvsREal Summary'!C128,PPvsREal!$Z:$Z)</f>
        <v>0</v>
      </c>
      <c r="AA128" s="190">
        <f>SUMIF(PPvsREal!$C:$C,'PPvsREal Summary'!C128,PPvsREal!$AA:$AA)</f>
        <v>0</v>
      </c>
      <c r="AB128" s="3"/>
      <c r="AC128" s="201">
        <f t="shared" ref="AC128:AD128" si="262">D128+F128+H128+J128+L128+N128+P128+R128+T128+V128+X128+Z128</f>
        <v>14400</v>
      </c>
      <c r="AD128" s="201">
        <f t="shared" si="262"/>
        <v>0</v>
      </c>
      <c r="AE128" s="3"/>
      <c r="AF128" s="201">
        <f t="shared" ref="AF128:AG128" si="263">D128+F128+H128+J128+L128+N128+P128+R128+T128+V128+X128+Z128</f>
        <v>14400</v>
      </c>
      <c r="AG128" s="201">
        <f t="shared" si="263"/>
        <v>0</v>
      </c>
    </row>
    <row r="129" ht="12.75" customHeight="1">
      <c r="A129" s="111"/>
      <c r="B129" s="188" t="s">
        <v>427</v>
      </c>
      <c r="C129" s="2" t="s">
        <v>311</v>
      </c>
      <c r="D129" s="189">
        <f>SUMIF(PPvsREal!$C:$C,'PPvsREal Summary'!C129,PPvsREal!$D:$D)</f>
        <v>0</v>
      </c>
      <c r="E129" s="3">
        <f>SUMIF(PPvsREal!$C:$C,'PPvsREal Summary'!C129,PPvsREal!$E:$E)</f>
        <v>0</v>
      </c>
      <c r="F129" s="3">
        <f>SUMIF(PPvsREal!$C:$C,'PPvsREal Summary'!C129,PPvsREal!$F:$F)</f>
        <v>1053.6082</v>
      </c>
      <c r="G129" s="3">
        <f>SUMIF(PPvsREal!$C:$C,'PPvsREal Summary'!C129,PPvsREal!$G:$G)</f>
        <v>0</v>
      </c>
      <c r="H129" s="3">
        <f>SUMIF(PPvsREal!$C:$C,'PPvsREal Summary'!C129,PPvsREal!$H:$H)</f>
        <v>-271.4024</v>
      </c>
      <c r="I129" s="3">
        <f>SUMIF(PPvsREal!$C:$C,'PPvsREal Summary'!C129,PPvsREal!$I:$I)</f>
        <v>0</v>
      </c>
      <c r="J129" s="3">
        <f>SUMIF(PPvsREal!$C:$C,'PPvsREal Summary'!C129,PPvsREal!$J:$J)</f>
        <v>0</v>
      </c>
      <c r="K129" s="3">
        <f>SUMIF(PPvsREal!$C:$C,'PPvsREal Summary'!C129,PPvsREal!$K:$K)</f>
        <v>0</v>
      </c>
      <c r="L129" s="3">
        <f>SUMIF(PPvsREal!$C:$C,'PPvsREal Summary'!C129,PPvsREal!$L:$L)</f>
        <v>0</v>
      </c>
      <c r="M129" s="3">
        <f>SUMIF(PPvsREal!$C:$C,'PPvsREal Summary'!C129,PPvsREal!$M:$M)</f>
        <v>0</v>
      </c>
      <c r="N129" s="3">
        <f>SUMIF(PPvsREal!$C:$C,'PPvsREal Summary'!C129,PPvsREal!$N:$N)</f>
        <v>456.9024</v>
      </c>
      <c r="O129" s="3">
        <f>SUMIF(PPvsREal!$C:$C,'PPvsREal Summary'!C129,PPvsREal!$O:$O)</f>
        <v>0</v>
      </c>
      <c r="P129" s="3">
        <f>SUMIF(PPvsREal!$C:$C,'PPvsREal Summary'!C129,PPvsREal!$P:$P)</f>
        <v>0</v>
      </c>
      <c r="Q129" s="3">
        <f>SUMIF(PPvsREal!$C:$C,'PPvsREal Summary'!C129,PPvsREal!$Q:$Q)</f>
        <v>0</v>
      </c>
      <c r="R129" s="3">
        <f>SUMIF(PPvsREal!$C:$C,'PPvsREal Summary'!C129,PPvsREal!$R:$R)</f>
        <v>0</v>
      </c>
      <c r="S129" s="3">
        <f>SUMIF(PPvsREal!$C:$C,'PPvsREal Summary'!C129,PPvsREal!$S:$S)</f>
        <v>0</v>
      </c>
      <c r="T129" s="3">
        <f>SUMIF(PPvsREal!$C:$C,'PPvsREal Summary'!C129,PPvsREal!$T:$T)</f>
        <v>551.2</v>
      </c>
      <c r="U129" s="3">
        <f>SUMIF(PPvsREal!$C:$C,'PPvsREal Summary'!C129,PPvsREal!$U:$U)</f>
        <v>0</v>
      </c>
      <c r="V129" s="3">
        <f>SUMIF(PPvsREal!$C:$C,'PPvsREal Summary'!C129,PPvsREal!$V:$V)</f>
        <v>530</v>
      </c>
      <c r="W129" s="3">
        <f>SUMIF(PPvsREal!$C:$C,'PPvsREal Summary'!C129,PPvsREal!$W:$W)</f>
        <v>0</v>
      </c>
      <c r="X129" s="3">
        <f>SUMIF(PPvsREal!$C:$C,'PPvsREal Summary'!C129,PPvsREal!$X:$X)</f>
        <v>4240</v>
      </c>
      <c r="Y129" s="3">
        <f>SUMIF(PPvsREal!$C:$C,'PPvsREal Summary'!C129,PPvsREal!$Y:$Y)</f>
        <v>0</v>
      </c>
      <c r="Z129" s="3">
        <f>SUMIF(PPvsREal!$C:$C,'PPvsREal Summary'!C129,PPvsREal!$Z:$Z)</f>
        <v>530</v>
      </c>
      <c r="AA129" s="190">
        <f>SUMIF(PPvsREal!$C:$C,'PPvsREal Summary'!C129,PPvsREal!$AA:$AA)</f>
        <v>0</v>
      </c>
      <c r="AB129" s="3"/>
      <c r="AC129" s="201">
        <f t="shared" ref="AC129:AD129" si="264">D129+F129+H129+J129+L129+N129+P129+R129+T129+V129+X129+Z129</f>
        <v>7090.3082</v>
      </c>
      <c r="AD129" s="201">
        <f t="shared" si="264"/>
        <v>0</v>
      </c>
      <c r="AE129" s="3"/>
      <c r="AF129" s="201">
        <f t="shared" ref="AF129:AG129" si="265">D129+F129+H129+J129+L129+N129+P129+R129+T129+V129+X129+Z129</f>
        <v>7090.3082</v>
      </c>
      <c r="AG129" s="201">
        <f t="shared" si="265"/>
        <v>0</v>
      </c>
    </row>
    <row r="130" ht="12.75" customHeight="1">
      <c r="A130" s="111"/>
      <c r="B130" s="188" t="s">
        <v>37</v>
      </c>
      <c r="C130" s="2" t="s">
        <v>381</v>
      </c>
      <c r="D130" s="189">
        <f>SUMIF(PPvsREal!$C:$C,'PPvsREal Summary'!C130,PPvsREal!$D:$D)</f>
        <v>46.64</v>
      </c>
      <c r="E130" s="3">
        <f>SUMIF(PPvsREal!$C:$C,'PPvsREal Summary'!C130,PPvsREal!$E:$E)</f>
        <v>0</v>
      </c>
      <c r="F130" s="3">
        <f>SUMIF(PPvsREal!$C:$C,'PPvsREal Summary'!C130,PPvsREal!$F:$F)</f>
        <v>193.5454</v>
      </c>
      <c r="G130" s="3">
        <f>SUMIF(PPvsREal!$C:$C,'PPvsREal Summary'!C130,PPvsREal!$G:$G)</f>
        <v>0</v>
      </c>
      <c r="H130" s="3">
        <f>SUMIF(PPvsREal!$C:$C,'PPvsREal Summary'!C130,PPvsREal!$H:$H)</f>
        <v>165.36</v>
      </c>
      <c r="I130" s="3">
        <f>SUMIF(PPvsREal!$C:$C,'PPvsREal Summary'!C130,PPvsREal!$I:$I)</f>
        <v>0</v>
      </c>
      <c r="J130" s="3">
        <f>SUMIF(PPvsREal!$C:$C,'PPvsREal Summary'!C130,PPvsREal!$J:$J)</f>
        <v>150.7638</v>
      </c>
      <c r="K130" s="3">
        <f>SUMIF(PPvsREal!$C:$C,'PPvsREal Summary'!C130,PPvsREal!$K:$K)</f>
        <v>0</v>
      </c>
      <c r="L130" s="3">
        <f>SUMIF(PPvsREal!$C:$C,'PPvsREal Summary'!C130,PPvsREal!$L:$L)</f>
        <v>0</v>
      </c>
      <c r="M130" s="3">
        <f>SUMIF(PPvsREal!$C:$C,'PPvsREal Summary'!C130,PPvsREal!$M:$M)</f>
        <v>0</v>
      </c>
      <c r="N130" s="3">
        <f>SUMIF(PPvsREal!$C:$C,'PPvsREal Summary'!C130,PPvsREal!$N:$N)</f>
        <v>0</v>
      </c>
      <c r="O130" s="3">
        <f>SUMIF(PPvsREal!$C:$C,'PPvsREal Summary'!C130,PPvsREal!$O:$O)</f>
        <v>0</v>
      </c>
      <c r="P130" s="3">
        <f>SUMIF(PPvsREal!$C:$C,'PPvsREal Summary'!C130,PPvsREal!$P:$P)</f>
        <v>0</v>
      </c>
      <c r="Q130" s="3">
        <f>SUMIF(PPvsREal!$C:$C,'PPvsREal Summary'!C130,PPvsREal!$Q:$Q)</f>
        <v>0</v>
      </c>
      <c r="R130" s="3">
        <f>SUMIF(PPvsREal!$C:$C,'PPvsREal Summary'!C130,PPvsREal!$R:$R)</f>
        <v>1555.2638</v>
      </c>
      <c r="S130" s="3">
        <f>SUMIF(PPvsREal!$C:$C,'PPvsREal Summary'!C130,PPvsREal!$S:$S)</f>
        <v>0</v>
      </c>
      <c r="T130" s="3">
        <f>SUMIF(PPvsREal!$C:$C,'PPvsREal Summary'!C130,PPvsREal!$T:$T)</f>
        <v>91.3826</v>
      </c>
      <c r="U130" s="3">
        <f>SUMIF(PPvsREal!$C:$C,'PPvsREal Summary'!C130,PPvsREal!$U:$U)</f>
        <v>0</v>
      </c>
      <c r="V130" s="3">
        <f>SUMIF(PPvsREal!$C:$C,'PPvsREal Summary'!C130,PPvsREal!$V:$V)</f>
        <v>0</v>
      </c>
      <c r="W130" s="3">
        <f>SUMIF(PPvsREal!$C:$C,'PPvsREal Summary'!C130,PPvsREal!$W:$W)</f>
        <v>0</v>
      </c>
      <c r="X130" s="3">
        <f>SUMIF(PPvsREal!$C:$C,'PPvsREal Summary'!C130,PPvsREal!$X:$X)</f>
        <v>1060</v>
      </c>
      <c r="Y130" s="3">
        <f>SUMIF(PPvsREal!$C:$C,'PPvsREal Summary'!C130,PPvsREal!$Y:$Y)</f>
        <v>0</v>
      </c>
      <c r="Z130" s="3">
        <f>SUMIF(PPvsREal!$C:$C,'PPvsREal Summary'!C130,PPvsREal!$Z:$Z)</f>
        <v>0</v>
      </c>
      <c r="AA130" s="190">
        <f>SUMIF(PPvsREal!$C:$C,'PPvsREal Summary'!C130,PPvsREal!$AA:$AA)</f>
        <v>0</v>
      </c>
      <c r="AB130" s="3"/>
      <c r="AC130" s="201">
        <f t="shared" ref="AC130:AD130" si="266">D130+F130+H130+J130+L130+N130+P130+R130+T130+V130+X130+Z130</f>
        <v>3262.9556</v>
      </c>
      <c r="AD130" s="201">
        <f t="shared" si="266"/>
        <v>0</v>
      </c>
      <c r="AE130" s="3"/>
      <c r="AF130" s="201">
        <f t="shared" ref="AF130:AG130" si="267">D130+F130+H130+J130+L130+N130+P130+R130+T130+V130+X130+Z130</f>
        <v>3262.9556</v>
      </c>
      <c r="AG130" s="201">
        <f t="shared" si="267"/>
        <v>0</v>
      </c>
    </row>
    <row r="131" ht="12.75" customHeight="1">
      <c r="A131" s="111"/>
      <c r="B131" s="188" t="s">
        <v>37</v>
      </c>
      <c r="C131" s="2" t="s">
        <v>383</v>
      </c>
      <c r="D131" s="189">
        <f>SUMIF(PPvsREal!$C:$C,'PPvsREal Summary'!C131,PPvsREal!$D:$D)</f>
        <v>0</v>
      </c>
      <c r="E131" s="3">
        <f>SUMIF(PPvsREal!$C:$C,'PPvsREal Summary'!C131,PPvsREal!$E:$E)</f>
        <v>0</v>
      </c>
      <c r="F131" s="3">
        <f>SUMIF(PPvsREal!$C:$C,'PPvsREal Summary'!C131,PPvsREal!$F:$F)</f>
        <v>0</v>
      </c>
      <c r="G131" s="3">
        <f>SUMIF(PPvsREal!$C:$C,'PPvsREal Summary'!C131,PPvsREal!$G:$G)</f>
        <v>0</v>
      </c>
      <c r="H131" s="3">
        <f>SUMIF(PPvsREal!$C:$C,'PPvsREal Summary'!C131,PPvsREal!$H:$H)</f>
        <v>3021</v>
      </c>
      <c r="I131" s="3">
        <f>SUMIF(PPvsREal!$C:$C,'PPvsREal Summary'!C131,PPvsREal!$I:$I)</f>
        <v>0</v>
      </c>
      <c r="J131" s="3">
        <f>SUMIF(PPvsREal!$C:$C,'PPvsREal Summary'!C131,PPvsREal!$J:$J)</f>
        <v>901</v>
      </c>
      <c r="K131" s="3">
        <f>SUMIF(PPvsREal!$C:$C,'PPvsREal Summary'!C131,PPvsREal!$K:$K)</f>
        <v>0</v>
      </c>
      <c r="L131" s="3">
        <f>SUMIF(PPvsREal!$C:$C,'PPvsREal Summary'!C131,PPvsREal!$L:$L)</f>
        <v>5433.7508</v>
      </c>
      <c r="M131" s="3">
        <f>SUMIF(PPvsREal!$C:$C,'PPvsREal Summary'!C131,PPvsREal!$M:$M)</f>
        <v>0</v>
      </c>
      <c r="N131" s="3">
        <f>SUMIF(PPvsREal!$C:$C,'PPvsREal Summary'!C131,PPvsREal!$N:$N)</f>
        <v>5277.157</v>
      </c>
      <c r="O131" s="3">
        <f>SUMIF(PPvsREal!$C:$C,'PPvsREal Summary'!C131,PPvsREal!$O:$O)</f>
        <v>0</v>
      </c>
      <c r="P131" s="3">
        <f>SUMIF(PPvsREal!$C:$C,'PPvsREal Summary'!C131,PPvsREal!$P:$P)</f>
        <v>2326.5198</v>
      </c>
      <c r="Q131" s="3">
        <f>SUMIF(PPvsREal!$C:$C,'PPvsREal Summary'!C131,PPvsREal!$Q:$Q)</f>
        <v>0</v>
      </c>
      <c r="R131" s="3">
        <f>SUMIF(PPvsREal!$C:$C,'PPvsREal Summary'!C131,PPvsREal!$R:$R)</f>
        <v>0</v>
      </c>
      <c r="S131" s="3">
        <f>SUMIF(PPvsREal!$C:$C,'PPvsREal Summary'!C131,PPvsREal!$S:$S)</f>
        <v>0</v>
      </c>
      <c r="T131" s="3">
        <f>SUMIF(PPvsREal!$C:$C,'PPvsREal Summary'!C131,PPvsREal!$T:$T)</f>
        <v>0</v>
      </c>
      <c r="U131" s="3">
        <f>SUMIF(PPvsREal!$C:$C,'PPvsREal Summary'!C131,PPvsREal!$U:$U)</f>
        <v>0</v>
      </c>
      <c r="V131" s="3">
        <f>SUMIF(PPvsREal!$C:$C,'PPvsREal Summary'!C131,PPvsREal!$V:$V)</f>
        <v>1766.6702</v>
      </c>
      <c r="W131" s="3">
        <f>SUMIF(PPvsREal!$C:$C,'PPvsREal Summary'!C131,PPvsREal!$W:$W)</f>
        <v>0</v>
      </c>
      <c r="X131" s="3">
        <f>SUMIF(PPvsREal!$C:$C,'PPvsREal Summary'!C131,PPvsREal!$X:$X)</f>
        <v>0</v>
      </c>
      <c r="Y131" s="3">
        <f>SUMIF(PPvsREal!$C:$C,'PPvsREal Summary'!C131,PPvsREal!$Y:$Y)</f>
        <v>0</v>
      </c>
      <c r="Z131" s="3">
        <f>SUMIF(PPvsREal!$C:$C,'PPvsREal Summary'!C131,PPvsREal!$Z:$Z)</f>
        <v>1766.649</v>
      </c>
      <c r="AA131" s="190">
        <f>SUMIF(PPvsREal!$C:$C,'PPvsREal Summary'!C131,PPvsREal!$AA:$AA)</f>
        <v>0</v>
      </c>
      <c r="AB131" s="3"/>
      <c r="AC131" s="201">
        <f t="shared" ref="AC131:AD131" si="268">D131+F131+H131+J131+L131+N131+P131+R131+T131+V131+X131+Z131</f>
        <v>20492.7468</v>
      </c>
      <c r="AD131" s="201">
        <f t="shared" si="268"/>
        <v>0</v>
      </c>
      <c r="AE131" s="3"/>
      <c r="AF131" s="201">
        <f t="shared" ref="AF131:AG131" si="269">D131+F131+H131+J131+L131+N131+P131+R131+T131+V131+X131+Z131</f>
        <v>20492.7468</v>
      </c>
      <c r="AG131" s="201">
        <f t="shared" si="269"/>
        <v>0</v>
      </c>
    </row>
    <row r="132" ht="12.75" customHeight="1">
      <c r="A132" s="111"/>
      <c r="B132" s="188" t="s">
        <v>37</v>
      </c>
      <c r="C132" s="2" t="s">
        <v>385</v>
      </c>
      <c r="D132" s="189">
        <f>SUMIF(PPvsREal!$C:$C,'PPvsREal Summary'!C132,PPvsREal!$D:$D)</f>
        <v>0</v>
      </c>
      <c r="E132" s="3">
        <f>SUMIF(PPvsREal!$C:$C,'PPvsREal Summary'!C132,PPvsREal!$E:$E)</f>
        <v>0</v>
      </c>
      <c r="F132" s="3">
        <f>SUMIF(PPvsREal!$C:$C,'PPvsREal Summary'!C132,PPvsREal!$F:$F)</f>
        <v>0</v>
      </c>
      <c r="G132" s="3">
        <f>SUMIF(PPvsREal!$C:$C,'PPvsREal Summary'!C132,PPvsREal!$G:$G)</f>
        <v>0</v>
      </c>
      <c r="H132" s="3">
        <f>SUMIF(PPvsREal!$C:$C,'PPvsREal Summary'!C132,PPvsREal!$H:$H)</f>
        <v>0</v>
      </c>
      <c r="I132" s="3">
        <f>SUMIF(PPvsREal!$C:$C,'PPvsREal Summary'!C132,PPvsREal!$I:$I)</f>
        <v>0</v>
      </c>
      <c r="J132" s="3">
        <f>SUMIF(PPvsREal!$C:$C,'PPvsREal Summary'!C132,PPvsREal!$J:$J)</f>
        <v>0</v>
      </c>
      <c r="K132" s="3">
        <f>SUMIF(PPvsREal!$C:$C,'PPvsREal Summary'!C132,PPvsREal!$K:$K)</f>
        <v>0</v>
      </c>
      <c r="L132" s="3">
        <f>SUMIF(PPvsREal!$C:$C,'PPvsREal Summary'!C132,PPvsREal!$L:$L)</f>
        <v>0</v>
      </c>
      <c r="M132" s="3">
        <f>SUMIF(PPvsREal!$C:$C,'PPvsREal Summary'!C132,PPvsREal!$M:$M)</f>
        <v>0</v>
      </c>
      <c r="N132" s="3">
        <f>SUMIF(PPvsREal!$C:$C,'PPvsREal Summary'!C132,PPvsREal!$N:$N)</f>
        <v>0</v>
      </c>
      <c r="O132" s="3">
        <f>SUMIF(PPvsREal!$C:$C,'PPvsREal Summary'!C132,PPvsREal!$O:$O)</f>
        <v>0</v>
      </c>
      <c r="P132" s="3">
        <f>SUMIF(PPvsREal!$C:$C,'PPvsREal Summary'!C132,PPvsREal!$P:$P)</f>
        <v>0</v>
      </c>
      <c r="Q132" s="3">
        <f>SUMIF(PPvsREal!$C:$C,'PPvsREal Summary'!C132,PPvsREal!$Q:$Q)</f>
        <v>0</v>
      </c>
      <c r="R132" s="3">
        <f>SUMIF(PPvsREal!$C:$C,'PPvsREal Summary'!C132,PPvsREal!$R:$R)</f>
        <v>0</v>
      </c>
      <c r="S132" s="3">
        <f>SUMIF(PPvsREal!$C:$C,'PPvsREal Summary'!C132,PPvsREal!$S:$S)</f>
        <v>0</v>
      </c>
      <c r="T132" s="3">
        <f>SUMIF(PPvsREal!$C:$C,'PPvsREal Summary'!C132,PPvsREal!$T:$T)</f>
        <v>0</v>
      </c>
      <c r="U132" s="3">
        <f>SUMIF(PPvsREal!$C:$C,'PPvsREal Summary'!C132,PPvsREal!$U:$U)</f>
        <v>0</v>
      </c>
      <c r="V132" s="3">
        <f>SUMIF(PPvsREal!$C:$C,'PPvsREal Summary'!C132,PPvsREal!$V:$V)</f>
        <v>1060</v>
      </c>
      <c r="W132" s="3">
        <f>SUMIF(PPvsREal!$C:$C,'PPvsREal Summary'!C132,PPvsREal!$W:$W)</f>
        <v>0</v>
      </c>
      <c r="X132" s="3">
        <f>SUMIF(PPvsREal!$C:$C,'PPvsREal Summary'!C132,PPvsREal!$X:$X)</f>
        <v>0</v>
      </c>
      <c r="Y132" s="3">
        <f>SUMIF(PPvsREal!$C:$C,'PPvsREal Summary'!C132,PPvsREal!$Y:$Y)</f>
        <v>0</v>
      </c>
      <c r="Z132" s="3">
        <f>SUMIF(PPvsREal!$C:$C,'PPvsREal Summary'!C132,PPvsREal!$Z:$Z)</f>
        <v>0</v>
      </c>
      <c r="AA132" s="190">
        <f>SUMIF(PPvsREal!$C:$C,'PPvsREal Summary'!C132,PPvsREal!$AA:$AA)</f>
        <v>0</v>
      </c>
      <c r="AB132" s="3"/>
      <c r="AC132" s="201">
        <f t="shared" ref="AC132:AD132" si="270">D132+F132+H132+J132+L132+N132+P132+R132+T132+V132+X132+Z132</f>
        <v>1060</v>
      </c>
      <c r="AD132" s="201">
        <f t="shared" si="270"/>
        <v>0</v>
      </c>
      <c r="AE132" s="3"/>
      <c r="AF132" s="201">
        <f t="shared" ref="AF132:AG132" si="271">D132+F132+H132+J132+L132+N132+P132+R132+T132+V132+X132+Z132</f>
        <v>1060</v>
      </c>
      <c r="AG132" s="201">
        <f t="shared" si="271"/>
        <v>0</v>
      </c>
    </row>
    <row r="133" ht="12.75" customHeight="1">
      <c r="A133" s="111"/>
      <c r="B133" s="188" t="s">
        <v>37</v>
      </c>
      <c r="C133" s="2" t="s">
        <v>387</v>
      </c>
      <c r="D133" s="189">
        <f>SUMIF(PPvsREal!$C:$C,'PPvsREal Summary'!C133,PPvsREal!$D:$D)</f>
        <v>9350</v>
      </c>
      <c r="E133" s="3">
        <f>SUMIF(PPvsREal!$C:$C,'PPvsREal Summary'!C133,PPvsREal!$E:$E)</f>
        <v>0</v>
      </c>
      <c r="F133" s="3">
        <f>SUMIF(PPvsREal!$C:$C,'PPvsREal Summary'!C133,PPvsREal!$F:$F)</f>
        <v>9350</v>
      </c>
      <c r="G133" s="3">
        <f>SUMIF(PPvsREal!$C:$C,'PPvsREal Summary'!C133,PPvsREal!$G:$G)</f>
        <v>0</v>
      </c>
      <c r="H133" s="3">
        <f>SUMIF(PPvsREal!$C:$C,'PPvsREal Summary'!C133,PPvsREal!$H:$H)</f>
        <v>9350</v>
      </c>
      <c r="I133" s="3">
        <f>SUMIF(PPvsREal!$C:$C,'PPvsREal Summary'!C133,PPvsREal!$I:$I)</f>
        <v>0</v>
      </c>
      <c r="J133" s="3">
        <f>SUMIF(PPvsREal!$C:$C,'PPvsREal Summary'!C133,PPvsREal!$J:$J)</f>
        <v>9350</v>
      </c>
      <c r="K133" s="3">
        <f>SUMIF(PPvsREal!$C:$C,'PPvsREal Summary'!C133,PPvsREal!$K:$K)</f>
        <v>0</v>
      </c>
      <c r="L133" s="3">
        <f>SUMIF(PPvsREal!$C:$C,'PPvsREal Summary'!C133,PPvsREal!$L:$L)</f>
        <v>9350</v>
      </c>
      <c r="M133" s="3">
        <f>SUMIF(PPvsREal!$C:$C,'PPvsREal Summary'!C133,PPvsREal!$M:$M)</f>
        <v>0</v>
      </c>
      <c r="N133" s="3">
        <f>SUMIF(PPvsREal!$C:$C,'PPvsREal Summary'!C133,PPvsREal!$N:$N)</f>
        <v>9350</v>
      </c>
      <c r="O133" s="3">
        <f>SUMIF(PPvsREal!$C:$C,'PPvsREal Summary'!C133,PPvsREal!$O:$O)</f>
        <v>0</v>
      </c>
      <c r="P133" s="3">
        <f>SUMIF(PPvsREal!$C:$C,'PPvsREal Summary'!C133,PPvsREal!$P:$P)</f>
        <v>9350</v>
      </c>
      <c r="Q133" s="3">
        <f>SUMIF(PPvsREal!$C:$C,'PPvsREal Summary'!C133,PPvsREal!$Q:$Q)</f>
        <v>0</v>
      </c>
      <c r="R133" s="3">
        <f>SUMIF(PPvsREal!$C:$C,'PPvsREal Summary'!C133,PPvsREal!$R:$R)</f>
        <v>9350</v>
      </c>
      <c r="S133" s="3">
        <f>SUMIF(PPvsREal!$C:$C,'PPvsREal Summary'!C133,PPvsREal!$S:$S)</f>
        <v>0</v>
      </c>
      <c r="T133" s="3">
        <f>SUMIF(PPvsREal!$C:$C,'PPvsREal Summary'!C133,PPvsREal!$T:$T)</f>
        <v>9350</v>
      </c>
      <c r="U133" s="3">
        <f>SUMIF(PPvsREal!$C:$C,'PPvsREal Summary'!C133,PPvsREal!$U:$U)</f>
        <v>0</v>
      </c>
      <c r="V133" s="3">
        <f>SUMIF(PPvsREal!$C:$C,'PPvsREal Summary'!C133,PPvsREal!$V:$V)</f>
        <v>9350</v>
      </c>
      <c r="W133" s="3">
        <f>SUMIF(PPvsREal!$C:$C,'PPvsREal Summary'!C133,PPvsREal!$W:$W)</f>
        <v>0</v>
      </c>
      <c r="X133" s="3">
        <f>SUMIF(PPvsREal!$C:$C,'PPvsREal Summary'!C133,PPvsREal!$X:$X)</f>
        <v>9350</v>
      </c>
      <c r="Y133" s="3">
        <f>SUMIF(PPvsREal!$C:$C,'PPvsREal Summary'!C133,PPvsREal!$Y:$Y)</f>
        <v>0</v>
      </c>
      <c r="Z133" s="3">
        <f>SUMIF(PPvsREal!$C:$C,'PPvsREal Summary'!C133,PPvsREal!$Z:$Z)</f>
        <v>9350</v>
      </c>
      <c r="AA133" s="190">
        <f>SUMIF(PPvsREal!$C:$C,'PPvsREal Summary'!C133,PPvsREal!$AA:$AA)</f>
        <v>0</v>
      </c>
      <c r="AB133" s="3"/>
      <c r="AC133" s="201">
        <f t="shared" ref="AC133:AD133" si="272">D133+F133+H133+J133+L133+N133+P133+R133+T133+V133+X133+Z133</f>
        <v>112200</v>
      </c>
      <c r="AD133" s="201">
        <f t="shared" si="272"/>
        <v>0</v>
      </c>
      <c r="AE133" s="3"/>
      <c r="AF133" s="201">
        <f t="shared" ref="AF133:AG133" si="273">D133+F133+H133+J133+L133+N133+P133+R133+T133+V133+X133+Z133</f>
        <v>112200</v>
      </c>
      <c r="AG133" s="201">
        <f t="shared" si="273"/>
        <v>0</v>
      </c>
    </row>
    <row r="134" ht="12.75" customHeight="1">
      <c r="A134" s="111"/>
      <c r="B134" s="202"/>
      <c r="C134" s="203">
        <v>8.01E20</v>
      </c>
      <c r="D134" s="204">
        <f t="shared" ref="D134:AA134" si="274">SUM(D124:D133)</f>
        <v>34680.16</v>
      </c>
      <c r="E134" s="204">
        <f t="shared" si="274"/>
        <v>0</v>
      </c>
      <c r="F134" s="204">
        <f t="shared" si="274"/>
        <v>32497.1536</v>
      </c>
      <c r="G134" s="204">
        <f t="shared" si="274"/>
        <v>0</v>
      </c>
      <c r="H134" s="204">
        <f t="shared" si="274"/>
        <v>45703.739</v>
      </c>
      <c r="I134" s="204">
        <f t="shared" si="274"/>
        <v>0</v>
      </c>
      <c r="J134" s="204">
        <f t="shared" si="274"/>
        <v>32301.7638</v>
      </c>
      <c r="K134" s="204">
        <f t="shared" si="274"/>
        <v>0</v>
      </c>
      <c r="L134" s="204">
        <f t="shared" si="274"/>
        <v>72175.9688</v>
      </c>
      <c r="M134" s="204">
        <f t="shared" si="274"/>
        <v>0</v>
      </c>
      <c r="N134" s="204">
        <f t="shared" si="274"/>
        <v>36984.0594</v>
      </c>
      <c r="O134" s="204">
        <f t="shared" si="274"/>
        <v>0</v>
      </c>
      <c r="P134" s="204">
        <f t="shared" si="274"/>
        <v>45310.1156</v>
      </c>
      <c r="Q134" s="204">
        <f t="shared" si="274"/>
        <v>0</v>
      </c>
      <c r="R134" s="204">
        <f t="shared" si="274"/>
        <v>36318.0826</v>
      </c>
      <c r="S134" s="204">
        <f t="shared" si="274"/>
        <v>0</v>
      </c>
      <c r="T134" s="204">
        <f t="shared" si="274"/>
        <v>40364.5826</v>
      </c>
      <c r="U134" s="204">
        <f t="shared" si="274"/>
        <v>0</v>
      </c>
      <c r="V134" s="204">
        <f t="shared" si="274"/>
        <v>34606.6702</v>
      </c>
      <c r="W134" s="204">
        <f t="shared" si="274"/>
        <v>0</v>
      </c>
      <c r="X134" s="204">
        <f t="shared" si="274"/>
        <v>51920</v>
      </c>
      <c r="Y134" s="204">
        <f t="shared" si="274"/>
        <v>0</v>
      </c>
      <c r="Z134" s="204">
        <f t="shared" si="274"/>
        <v>33546.649</v>
      </c>
      <c r="AA134" s="205">
        <f t="shared" si="274"/>
        <v>0</v>
      </c>
      <c r="AB134" s="3"/>
      <c r="AC134" s="206">
        <f t="shared" ref="AC134:AD134" si="275">D134+F134+H134+J134+L134+N134+P134+R134+T134+V134+X134+Z134</f>
        <v>496408.9446</v>
      </c>
      <c r="AD134" s="206">
        <f t="shared" si="275"/>
        <v>0</v>
      </c>
      <c r="AE134" s="3"/>
      <c r="AF134" s="206">
        <f t="shared" ref="AF134:AG134" si="276">D134+F134+H134+J134+L134+N134+P134+R134+T134+V134+X134+Z134</f>
        <v>496408.9446</v>
      </c>
      <c r="AG134" s="206">
        <f t="shared" si="276"/>
        <v>0</v>
      </c>
    </row>
    <row r="135" ht="12.75" customHeight="1">
      <c r="A135" s="111"/>
      <c r="B135" s="188"/>
      <c r="C135" s="2"/>
      <c r="D135" s="189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190"/>
      <c r="AB135" s="3"/>
      <c r="AC135" s="201">
        <f t="shared" ref="AC135:AD135" si="277">D135+F135+H135+J135+L135+N135+P135+R135+T135+V135+X135+Z135</f>
        <v>0</v>
      </c>
      <c r="AD135" s="201">
        <f t="shared" si="277"/>
        <v>0</v>
      </c>
      <c r="AE135" s="3"/>
      <c r="AF135" s="201">
        <f t="shared" ref="AF135:AG135" si="278">D135+F135+H135+J135+L135+N135+P135+R135+T135+V135+X135+Z135</f>
        <v>0</v>
      </c>
      <c r="AG135" s="201">
        <f t="shared" si="278"/>
        <v>0</v>
      </c>
    </row>
    <row r="136" ht="12.75" customHeight="1">
      <c r="A136" s="111"/>
      <c r="B136" s="188" t="s">
        <v>37</v>
      </c>
      <c r="C136" s="2" t="s">
        <v>353</v>
      </c>
      <c r="D136" s="189">
        <f>SUMIF(PPvsREal!$C:$C,'PPvsREal Summary'!C136,PPvsREal!$D:$D)</f>
        <v>2862</v>
      </c>
      <c r="E136" s="3">
        <f>SUMIF(PPvsREal!$C:$C,'PPvsREal Summary'!C136,PPvsREal!$E:$E)</f>
        <v>0</v>
      </c>
      <c r="F136" s="3">
        <f>SUMIF(PPvsREal!$C:$C,'PPvsREal Summary'!C136,PPvsREal!$F:$F)</f>
        <v>0</v>
      </c>
      <c r="G136" s="3">
        <f>SUMIF(PPvsREal!$C:$C,'PPvsREal Summary'!C136,PPvsREal!$G:$G)</f>
        <v>0</v>
      </c>
      <c r="H136" s="3">
        <f>SUMIF(PPvsREal!$C:$C,'PPvsREal Summary'!C136,PPvsREal!$H:$H)</f>
        <v>0</v>
      </c>
      <c r="I136" s="3">
        <f>SUMIF(PPvsREal!$C:$C,'PPvsREal Summary'!C136,PPvsREal!$I:$I)</f>
        <v>0</v>
      </c>
      <c r="J136" s="3">
        <f>SUMIF(PPvsREal!$C:$C,'PPvsREal Summary'!C136,PPvsREal!$J:$J)</f>
        <v>0</v>
      </c>
      <c r="K136" s="3">
        <f>SUMIF(PPvsREal!$C:$C,'PPvsREal Summary'!C136,PPvsREal!$K:$K)</f>
        <v>0</v>
      </c>
      <c r="L136" s="3">
        <f>SUMIF(PPvsREal!$C:$C,'PPvsREal Summary'!C136,PPvsREal!$L:$L)</f>
        <v>0</v>
      </c>
      <c r="M136" s="3">
        <f>SUMIF(PPvsREal!$C:$C,'PPvsREal Summary'!C136,PPvsREal!$M:$M)</f>
        <v>0</v>
      </c>
      <c r="N136" s="3">
        <f>SUMIF(PPvsREal!$C:$C,'PPvsREal Summary'!C136,PPvsREal!$N:$N)</f>
        <v>0</v>
      </c>
      <c r="O136" s="3">
        <f>SUMIF(PPvsREal!$C:$C,'PPvsREal Summary'!C136,PPvsREal!$O:$O)</f>
        <v>0</v>
      </c>
      <c r="P136" s="3">
        <f>SUMIF(PPvsREal!$C:$C,'PPvsREal Summary'!C136,PPvsREal!$P:$P)</f>
        <v>0</v>
      </c>
      <c r="Q136" s="3">
        <f>SUMIF(PPvsREal!$C:$C,'PPvsREal Summary'!C136,PPvsREal!$Q:$Q)</f>
        <v>0</v>
      </c>
      <c r="R136" s="3">
        <f>SUMIF(PPvsREal!$C:$C,'PPvsREal Summary'!C136,PPvsREal!$R:$R)</f>
        <v>0</v>
      </c>
      <c r="S136" s="3">
        <f>SUMIF(PPvsREal!$C:$C,'PPvsREal Summary'!C136,PPvsREal!$S:$S)</f>
        <v>0</v>
      </c>
      <c r="T136" s="3">
        <f>SUMIF(PPvsREal!$C:$C,'PPvsREal Summary'!C136,PPvsREal!$T:$T)</f>
        <v>0</v>
      </c>
      <c r="U136" s="3">
        <f>SUMIF(PPvsREal!$C:$C,'PPvsREal Summary'!C136,PPvsREal!$U:$U)</f>
        <v>0</v>
      </c>
      <c r="V136" s="3">
        <f>SUMIF(PPvsREal!$C:$C,'PPvsREal Summary'!C136,PPvsREal!$V:$V)</f>
        <v>424</v>
      </c>
      <c r="W136" s="3">
        <f>SUMIF(PPvsREal!$C:$C,'PPvsREal Summary'!C136,PPvsREal!$W:$W)</f>
        <v>0</v>
      </c>
      <c r="X136" s="3">
        <f>SUMIF(PPvsREal!$C:$C,'PPvsREal Summary'!C136,PPvsREal!$X:$X)</f>
        <v>424</v>
      </c>
      <c r="Y136" s="3">
        <f>SUMIF(PPvsREal!$C:$C,'PPvsREal Summary'!C136,PPvsREal!$Y:$Y)</f>
        <v>0</v>
      </c>
      <c r="Z136" s="3">
        <f>SUMIF(PPvsREal!$C:$C,'PPvsREal Summary'!C136,PPvsREal!$Z:$Z)</f>
        <v>424</v>
      </c>
      <c r="AA136" s="190">
        <f>SUMIF(PPvsREal!$C:$C,'PPvsREal Summary'!C136,PPvsREal!$AA:$AA)</f>
        <v>0</v>
      </c>
      <c r="AB136" s="3"/>
      <c r="AC136" s="201">
        <f t="shared" ref="AC136:AD136" si="279">D136+F136+H136+J136+L136+N136+P136+R136+T136+V136+X136+Z136</f>
        <v>4134</v>
      </c>
      <c r="AD136" s="201">
        <f t="shared" si="279"/>
        <v>0</v>
      </c>
      <c r="AE136" s="3"/>
      <c r="AF136" s="201">
        <f t="shared" ref="AF136:AG136" si="280">D136+F136+H136+J136+L136+N136+P136+R136+T136+V136+X136+Z136</f>
        <v>4134</v>
      </c>
      <c r="AG136" s="201">
        <f t="shared" si="280"/>
        <v>0</v>
      </c>
    </row>
    <row r="137" ht="12.75" customHeight="1">
      <c r="A137" s="111"/>
      <c r="B137" s="188" t="s">
        <v>37</v>
      </c>
      <c r="C137" s="2" t="s">
        <v>347</v>
      </c>
      <c r="D137" s="189">
        <f>SUMIF(PPvsREal!$C:$C,'PPvsREal Summary'!C137,PPvsREal!$D:$D)</f>
        <v>1802</v>
      </c>
      <c r="E137" s="3">
        <f>SUMIF(PPvsREal!$C:$C,'PPvsREal Summary'!C137,PPvsREal!$E:$E)</f>
        <v>0</v>
      </c>
      <c r="F137" s="3">
        <f>SUMIF(PPvsREal!$C:$C,'PPvsREal Summary'!C137,PPvsREal!$F:$F)</f>
        <v>1802</v>
      </c>
      <c r="G137" s="3">
        <f>SUMIF(PPvsREal!$C:$C,'PPvsREal Summary'!C137,PPvsREal!$G:$G)</f>
        <v>0</v>
      </c>
      <c r="H137" s="3">
        <f>SUMIF(PPvsREal!$C:$C,'PPvsREal Summary'!C137,PPvsREal!$H:$H)</f>
        <v>1802</v>
      </c>
      <c r="I137" s="3">
        <f>SUMIF(PPvsREal!$C:$C,'PPvsREal Summary'!C137,PPvsREal!$I:$I)</f>
        <v>0</v>
      </c>
      <c r="J137" s="3">
        <f>SUMIF(PPvsREal!$C:$C,'PPvsREal Summary'!C137,PPvsREal!$J:$J)</f>
        <v>1802</v>
      </c>
      <c r="K137" s="3">
        <f>SUMIF(PPvsREal!$C:$C,'PPvsREal Summary'!C137,PPvsREal!$K:$K)</f>
        <v>0</v>
      </c>
      <c r="L137" s="3">
        <f>SUMIF(PPvsREal!$C:$C,'PPvsREal Summary'!C137,PPvsREal!$L:$L)</f>
        <v>1802</v>
      </c>
      <c r="M137" s="3">
        <f>SUMIF(PPvsREal!$C:$C,'PPvsREal Summary'!C137,PPvsREal!$M:$M)</f>
        <v>0</v>
      </c>
      <c r="N137" s="3">
        <f>SUMIF(PPvsREal!$C:$C,'PPvsREal Summary'!C137,PPvsREal!$N:$N)</f>
        <v>1802</v>
      </c>
      <c r="O137" s="3">
        <f>SUMIF(PPvsREal!$C:$C,'PPvsREal Summary'!C137,PPvsREal!$O:$O)</f>
        <v>0</v>
      </c>
      <c r="P137" s="3">
        <f>SUMIF(PPvsREal!$C:$C,'PPvsREal Summary'!C137,PPvsREal!$P:$P)</f>
        <v>1802</v>
      </c>
      <c r="Q137" s="3">
        <f>SUMIF(PPvsREal!$C:$C,'PPvsREal Summary'!C137,PPvsREal!$Q:$Q)</f>
        <v>0</v>
      </c>
      <c r="R137" s="3">
        <f>SUMIF(PPvsREal!$C:$C,'PPvsREal Summary'!C137,PPvsREal!$R:$R)</f>
        <v>1269.88</v>
      </c>
      <c r="S137" s="3">
        <f>SUMIF(PPvsREal!$C:$C,'PPvsREal Summary'!C137,PPvsREal!$S:$S)</f>
        <v>0</v>
      </c>
      <c r="T137" s="3">
        <f>SUMIF(PPvsREal!$C:$C,'PPvsREal Summary'!C137,PPvsREal!$T:$T)</f>
        <v>1269.88</v>
      </c>
      <c r="U137" s="3">
        <f>SUMIF(PPvsREal!$C:$C,'PPvsREal Summary'!C137,PPvsREal!$U:$U)</f>
        <v>0</v>
      </c>
      <c r="V137" s="3">
        <f>SUMIF(PPvsREal!$C:$C,'PPvsREal Summary'!C137,PPvsREal!$V:$V)</f>
        <v>1910.12</v>
      </c>
      <c r="W137" s="3">
        <f>SUMIF(PPvsREal!$C:$C,'PPvsREal Summary'!C137,PPvsREal!$W:$W)</f>
        <v>0</v>
      </c>
      <c r="X137" s="3">
        <f>SUMIF(PPvsREal!$C:$C,'PPvsREal Summary'!C137,PPvsREal!$X:$X)</f>
        <v>1910.12</v>
      </c>
      <c r="Y137" s="3">
        <f>SUMIF(PPvsREal!$C:$C,'PPvsREal Summary'!C137,PPvsREal!$Y:$Y)</f>
        <v>0</v>
      </c>
      <c r="Z137" s="3">
        <f>SUMIF(PPvsREal!$C:$C,'PPvsREal Summary'!C137,PPvsREal!$Z:$Z)</f>
        <v>1910.12</v>
      </c>
      <c r="AA137" s="190">
        <f>SUMIF(PPvsREal!$C:$C,'PPvsREal Summary'!C137,PPvsREal!$AA:$AA)</f>
        <v>0</v>
      </c>
      <c r="AB137" s="3"/>
      <c r="AC137" s="201">
        <f t="shared" ref="AC137:AD137" si="281">D137+F137+H137+J137+L137+N137+P137+R137+T137+V137+X137+Z137</f>
        <v>20884.12</v>
      </c>
      <c r="AD137" s="201">
        <f t="shared" si="281"/>
        <v>0</v>
      </c>
      <c r="AE137" s="3"/>
      <c r="AF137" s="201">
        <f t="shared" ref="AF137:AG137" si="282">D137+F137+H137+J137+L137+N137+P137+R137+T137+V137+X137+Z137</f>
        <v>20884.12</v>
      </c>
      <c r="AG137" s="201">
        <f t="shared" si="282"/>
        <v>0</v>
      </c>
    </row>
    <row r="138" ht="12.75" customHeight="1">
      <c r="A138" s="111"/>
      <c r="B138" s="188" t="s">
        <v>37</v>
      </c>
      <c r="C138" s="2" t="s">
        <v>349</v>
      </c>
      <c r="D138" s="189">
        <f>SUMIF(PPvsREal!$C:$C,'PPvsREal Summary'!C138,PPvsREal!$D:$D)</f>
        <v>846.94</v>
      </c>
      <c r="E138" s="3">
        <f>SUMIF(PPvsREal!$C:$C,'PPvsREal Summary'!C138,PPvsREal!$E:$E)</f>
        <v>0</v>
      </c>
      <c r="F138" s="3">
        <f>SUMIF(PPvsREal!$C:$C,'PPvsREal Summary'!C138,PPvsREal!$F:$F)</f>
        <v>846.94</v>
      </c>
      <c r="G138" s="3">
        <f>SUMIF(PPvsREal!$C:$C,'PPvsREal Summary'!C138,PPvsREal!$G:$G)</f>
        <v>0</v>
      </c>
      <c r="H138" s="3">
        <f>SUMIF(PPvsREal!$C:$C,'PPvsREal Summary'!C138,PPvsREal!$H:$H)</f>
        <v>846.94</v>
      </c>
      <c r="I138" s="3">
        <f>SUMIF(PPvsREal!$C:$C,'PPvsREal Summary'!C138,PPvsREal!$I:$I)</f>
        <v>0</v>
      </c>
      <c r="J138" s="3">
        <f>SUMIF(PPvsREal!$C:$C,'PPvsREal Summary'!C138,PPvsREal!$J:$J)</f>
        <v>846.94</v>
      </c>
      <c r="K138" s="3">
        <f>SUMIF(PPvsREal!$C:$C,'PPvsREal Summary'!C138,PPvsREal!$K:$K)</f>
        <v>0</v>
      </c>
      <c r="L138" s="3">
        <f>SUMIF(PPvsREal!$C:$C,'PPvsREal Summary'!C138,PPvsREal!$L:$L)</f>
        <v>846.94</v>
      </c>
      <c r="M138" s="3">
        <f>SUMIF(PPvsREal!$C:$C,'PPvsREal Summary'!C138,PPvsREal!$M:$M)</f>
        <v>0</v>
      </c>
      <c r="N138" s="3">
        <f>SUMIF(PPvsREal!$C:$C,'PPvsREal Summary'!C138,PPvsREal!$N:$N)</f>
        <v>846.94</v>
      </c>
      <c r="O138" s="3">
        <f>SUMIF(PPvsREal!$C:$C,'PPvsREal Summary'!C138,PPvsREal!$O:$O)</f>
        <v>0</v>
      </c>
      <c r="P138" s="3">
        <f>SUMIF(PPvsREal!$C:$C,'PPvsREal Summary'!C138,PPvsREal!$P:$P)</f>
        <v>846.94</v>
      </c>
      <c r="Q138" s="3">
        <f>SUMIF(PPvsREal!$C:$C,'PPvsREal Summary'!C138,PPvsREal!$Q:$Q)</f>
        <v>0</v>
      </c>
      <c r="R138" s="3">
        <f>SUMIF(PPvsREal!$C:$C,'PPvsREal Summary'!C138,PPvsREal!$R:$R)</f>
        <v>846.94</v>
      </c>
      <c r="S138" s="3">
        <f>SUMIF(PPvsREal!$C:$C,'PPvsREal Summary'!C138,PPvsREal!$S:$S)</f>
        <v>0</v>
      </c>
      <c r="T138" s="3">
        <f>SUMIF(PPvsREal!$C:$C,'PPvsREal Summary'!C138,PPvsREal!$T:$T)</f>
        <v>846.94</v>
      </c>
      <c r="U138" s="3">
        <f>SUMIF(PPvsREal!$C:$C,'PPvsREal Summary'!C138,PPvsREal!$U:$U)</f>
        <v>0</v>
      </c>
      <c r="V138" s="3">
        <f>SUMIF(PPvsREal!$C:$C,'PPvsREal Summary'!C138,PPvsREal!$V:$V)</f>
        <v>931.634</v>
      </c>
      <c r="W138" s="3">
        <f>SUMIF(PPvsREal!$C:$C,'PPvsREal Summary'!C138,PPvsREal!$W:$W)</f>
        <v>0</v>
      </c>
      <c r="X138" s="3">
        <f>SUMIF(PPvsREal!$C:$C,'PPvsREal Summary'!C138,PPvsREal!$X:$X)</f>
        <v>931.634</v>
      </c>
      <c r="Y138" s="3">
        <f>SUMIF(PPvsREal!$C:$C,'PPvsREal Summary'!C138,PPvsREal!$Y:$Y)</f>
        <v>0</v>
      </c>
      <c r="Z138" s="3">
        <f>SUMIF(PPvsREal!$C:$C,'PPvsREal Summary'!C138,PPvsREal!$Z:$Z)</f>
        <v>931.634</v>
      </c>
      <c r="AA138" s="190">
        <f>SUMIF(PPvsREal!$C:$C,'PPvsREal Summary'!C138,PPvsREal!$AA:$AA)</f>
        <v>0</v>
      </c>
      <c r="AB138" s="3"/>
      <c r="AC138" s="201">
        <f t="shared" ref="AC138:AD138" si="283">D138+F138+H138+J138+L138+N138+P138+R138+T138+V138+X138+Z138</f>
        <v>10417.362</v>
      </c>
      <c r="AD138" s="201">
        <f t="shared" si="283"/>
        <v>0</v>
      </c>
      <c r="AE138" s="3"/>
      <c r="AF138" s="201">
        <f t="shared" ref="AF138:AG138" si="284">D138+F138+H138+J138+L138+N138+P138+R138+T138+V138+X138+Z138</f>
        <v>10417.362</v>
      </c>
      <c r="AG138" s="201">
        <f t="shared" si="284"/>
        <v>0</v>
      </c>
    </row>
    <row r="139" ht="12.75" customHeight="1">
      <c r="A139" s="111"/>
      <c r="B139" s="188" t="s">
        <v>427</v>
      </c>
      <c r="C139" s="2" t="s">
        <v>305</v>
      </c>
      <c r="D139" s="189">
        <f>SUMIF(PPvsREal!$C:$C,'PPvsREal Summary'!C139,PPvsREal!$D:$D)</f>
        <v>0</v>
      </c>
      <c r="E139" s="3">
        <f>SUMIF(PPvsREal!$C:$C,'PPvsREal Summary'!C139,PPvsREal!$E:$E)</f>
        <v>0</v>
      </c>
      <c r="F139" s="3">
        <f>SUMIF(PPvsREal!$C:$C,'PPvsREal Summary'!C139,PPvsREal!$F:$F)</f>
        <v>0</v>
      </c>
      <c r="G139" s="3">
        <f>SUMIF(PPvsREal!$C:$C,'PPvsREal Summary'!C139,PPvsREal!$G:$G)</f>
        <v>0</v>
      </c>
      <c r="H139" s="3">
        <f>SUMIF(PPvsREal!$C:$C,'PPvsREal Summary'!C139,PPvsREal!$H:$H)</f>
        <v>10040.5956</v>
      </c>
      <c r="I139" s="3">
        <f>SUMIF(PPvsREal!$C:$C,'PPvsREal Summary'!C139,PPvsREal!$I:$I)</f>
        <v>0</v>
      </c>
      <c r="J139" s="3">
        <f>SUMIF(PPvsREal!$C:$C,'PPvsREal Summary'!C139,PPvsREal!$J:$J)</f>
        <v>0</v>
      </c>
      <c r="K139" s="3">
        <f>SUMIF(PPvsREal!$C:$C,'PPvsREal Summary'!C139,PPvsREal!$K:$K)</f>
        <v>0</v>
      </c>
      <c r="L139" s="3">
        <f>SUMIF(PPvsREal!$C:$C,'PPvsREal Summary'!C139,PPvsREal!$L:$L)</f>
        <v>0</v>
      </c>
      <c r="M139" s="3">
        <f>SUMIF(PPvsREal!$C:$C,'PPvsREal Summary'!C139,PPvsREal!$M:$M)</f>
        <v>0</v>
      </c>
      <c r="N139" s="3">
        <f>SUMIF(PPvsREal!$C:$C,'PPvsREal Summary'!C139,PPvsREal!$N:$N)</f>
        <v>0</v>
      </c>
      <c r="O139" s="3">
        <f>SUMIF(PPvsREal!$C:$C,'PPvsREal Summary'!C139,PPvsREal!$O:$O)</f>
        <v>0</v>
      </c>
      <c r="P139" s="3">
        <f>SUMIF(PPvsREal!$C:$C,'PPvsREal Summary'!C139,PPvsREal!$P:$P)</f>
        <v>10144.359</v>
      </c>
      <c r="Q139" s="3">
        <f>SUMIF(PPvsREal!$C:$C,'PPvsREal Summary'!C139,PPvsREal!$Q:$Q)</f>
        <v>0</v>
      </c>
      <c r="R139" s="3">
        <f>SUMIF(PPvsREal!$C:$C,'PPvsREal Summary'!C139,PPvsREal!$R:$R)</f>
        <v>0</v>
      </c>
      <c r="S139" s="3">
        <f>SUMIF(PPvsREal!$C:$C,'PPvsREal Summary'!C139,PPvsREal!$S:$S)</f>
        <v>0</v>
      </c>
      <c r="T139" s="3">
        <f>SUMIF(PPvsREal!$C:$C,'PPvsREal Summary'!C139,PPvsREal!$T:$T)</f>
        <v>0</v>
      </c>
      <c r="U139" s="3">
        <f>SUMIF(PPvsREal!$C:$C,'PPvsREal Summary'!C139,PPvsREal!$U:$U)</f>
        <v>0</v>
      </c>
      <c r="V139" s="3">
        <f>SUMIF(PPvsREal!$C:$C,'PPvsREal Summary'!C139,PPvsREal!$V:$V)</f>
        <v>0</v>
      </c>
      <c r="W139" s="3">
        <f>SUMIF(PPvsREal!$C:$C,'PPvsREal Summary'!C139,PPvsREal!$W:$W)</f>
        <v>0</v>
      </c>
      <c r="X139" s="3">
        <f>SUMIF(PPvsREal!$C:$C,'PPvsREal Summary'!C139,PPvsREal!$X:$X)</f>
        <v>0</v>
      </c>
      <c r="Y139" s="3">
        <f>SUMIF(PPvsREal!$C:$C,'PPvsREal Summary'!C139,PPvsREal!$Y:$Y)</f>
        <v>0</v>
      </c>
      <c r="Z139" s="3">
        <f>SUMIF(PPvsREal!$C:$C,'PPvsREal Summary'!C139,PPvsREal!$Z:$Z)</f>
        <v>0</v>
      </c>
      <c r="AA139" s="190">
        <f>SUMIF(PPvsREal!$C:$C,'PPvsREal Summary'!C139,PPvsREal!$AA:$AA)</f>
        <v>0</v>
      </c>
      <c r="AB139" s="3"/>
      <c r="AC139" s="201">
        <f t="shared" ref="AC139:AD139" si="285">D139+F139+H139+J139+L139+N139+P139+R139+T139+V139+X139+Z139</f>
        <v>20184.9546</v>
      </c>
      <c r="AD139" s="201">
        <f t="shared" si="285"/>
        <v>0</v>
      </c>
      <c r="AE139" s="3"/>
      <c r="AF139" s="201">
        <f t="shared" ref="AF139:AG139" si="286">D139+F139+H139+J139+L139+N139+P139+R139+T139+V139+X139+Z139</f>
        <v>20184.9546</v>
      </c>
      <c r="AG139" s="201">
        <f t="shared" si="286"/>
        <v>0</v>
      </c>
    </row>
    <row r="140" ht="12.75" customHeight="1">
      <c r="A140" s="111"/>
      <c r="B140" s="188" t="s">
        <v>37</v>
      </c>
      <c r="C140" s="2" t="s">
        <v>391</v>
      </c>
      <c r="D140" s="189">
        <f>SUMIF(PPvsREal!$C:$C,'PPvsREal Summary'!C140,PPvsREal!$D:$D)</f>
        <v>6719.716989</v>
      </c>
      <c r="E140" s="3">
        <f>SUMIF(PPvsREal!$C:$C,'PPvsREal Summary'!C140,PPvsREal!$E:$E)</f>
        <v>0</v>
      </c>
      <c r="F140" s="3">
        <f>SUMIF(PPvsREal!$C:$C,'PPvsREal Summary'!C140,PPvsREal!$F:$F)</f>
        <v>6719.716989</v>
      </c>
      <c r="G140" s="3">
        <f>SUMIF(PPvsREal!$C:$C,'PPvsREal Summary'!C140,PPvsREal!$G:$G)</f>
        <v>0</v>
      </c>
      <c r="H140" s="3">
        <f>SUMIF(PPvsREal!$C:$C,'PPvsREal Summary'!C140,PPvsREal!$H:$H)</f>
        <v>6719.716989</v>
      </c>
      <c r="I140" s="3">
        <f>SUMIF(PPvsREal!$C:$C,'PPvsREal Summary'!C140,PPvsREal!$I:$I)</f>
        <v>0</v>
      </c>
      <c r="J140" s="3">
        <f>SUMIF(PPvsREal!$C:$C,'PPvsREal Summary'!C140,PPvsREal!$J:$J)</f>
        <v>6719.716989</v>
      </c>
      <c r="K140" s="3">
        <f>SUMIF(PPvsREal!$C:$C,'PPvsREal Summary'!C140,PPvsREal!$K:$K)</f>
        <v>0</v>
      </c>
      <c r="L140" s="3">
        <f>SUMIF(PPvsREal!$C:$C,'PPvsREal Summary'!C140,PPvsREal!$L:$L)</f>
        <v>6719.716989</v>
      </c>
      <c r="M140" s="3">
        <f>SUMIF(PPvsREal!$C:$C,'PPvsREal Summary'!C140,PPvsREal!$M:$M)</f>
        <v>0</v>
      </c>
      <c r="N140" s="3">
        <f>SUMIF(PPvsREal!$C:$C,'PPvsREal Summary'!C140,PPvsREal!$N:$N)</f>
        <v>6719.716989</v>
      </c>
      <c r="O140" s="3">
        <f>SUMIF(PPvsREal!$C:$C,'PPvsREal Summary'!C140,PPvsREal!$O:$O)</f>
        <v>0</v>
      </c>
      <c r="P140" s="3">
        <f>SUMIF(PPvsREal!$C:$C,'PPvsREal Summary'!C140,PPvsREal!$P:$P)</f>
        <v>6719.716989</v>
      </c>
      <c r="Q140" s="3">
        <f>SUMIF(PPvsREal!$C:$C,'PPvsREal Summary'!C140,PPvsREal!$Q:$Q)</f>
        <v>0</v>
      </c>
      <c r="R140" s="3">
        <f>SUMIF(PPvsREal!$C:$C,'PPvsREal Summary'!C140,PPvsREal!$R:$R)</f>
        <v>6719.716989</v>
      </c>
      <c r="S140" s="3">
        <f>SUMIF(PPvsREal!$C:$C,'PPvsREal Summary'!C140,PPvsREal!$S:$S)</f>
        <v>0</v>
      </c>
      <c r="T140" s="3">
        <f>SUMIF(PPvsREal!$C:$C,'PPvsREal Summary'!C140,PPvsREal!$T:$T)</f>
        <v>6719.716989</v>
      </c>
      <c r="U140" s="3">
        <f>SUMIF(PPvsREal!$C:$C,'PPvsREal Summary'!C140,PPvsREal!$U:$U)</f>
        <v>0</v>
      </c>
      <c r="V140" s="3">
        <f>SUMIF(PPvsREal!$C:$C,'PPvsREal Summary'!C140,PPvsREal!$V:$V)</f>
        <v>6719.716989</v>
      </c>
      <c r="W140" s="3">
        <f>SUMIF(PPvsREal!$C:$C,'PPvsREal Summary'!C140,PPvsREal!$W:$W)</f>
        <v>0</v>
      </c>
      <c r="X140" s="3">
        <f>SUMIF(PPvsREal!$C:$C,'PPvsREal Summary'!C140,PPvsREal!$X:$X)</f>
        <v>6719.716989</v>
      </c>
      <c r="Y140" s="3">
        <f>SUMIF(PPvsREal!$C:$C,'PPvsREal Summary'!C140,PPvsREal!$Y:$Y)</f>
        <v>0</v>
      </c>
      <c r="Z140" s="3">
        <f>SUMIF(PPvsREal!$C:$C,'PPvsREal Summary'!C140,PPvsREal!$Z:$Z)</f>
        <v>6719.716989</v>
      </c>
      <c r="AA140" s="190">
        <f>SUMIF(PPvsREal!$C:$C,'PPvsREal Summary'!C140,PPvsREal!$AA:$AA)</f>
        <v>0</v>
      </c>
      <c r="AB140" s="3"/>
      <c r="AC140" s="201">
        <f t="shared" ref="AC140:AD140" si="287">D140+F140+H140+J140+L140+N140+P140+R140+T140+V140+X140+Z140</f>
        <v>80636.60387</v>
      </c>
      <c r="AD140" s="201">
        <f t="shared" si="287"/>
        <v>0</v>
      </c>
      <c r="AE140" s="3"/>
      <c r="AF140" s="201">
        <f t="shared" ref="AF140:AG140" si="288">D140+F140+H140+J140+L140+N140+P140+R140+T140+V140+X140+Z140</f>
        <v>80636.60387</v>
      </c>
      <c r="AG140" s="201">
        <f t="shared" si="288"/>
        <v>0</v>
      </c>
    </row>
    <row r="141" ht="12.75" customHeight="1">
      <c r="A141" s="111"/>
      <c r="B141" s="188" t="s">
        <v>37</v>
      </c>
      <c r="C141" s="2" t="s">
        <v>339</v>
      </c>
      <c r="D141" s="189">
        <f>SUMIF(PPvsREal!$C:$C,'PPvsREal Summary'!C141,PPvsREal!$D:$D)</f>
        <v>1428.9436</v>
      </c>
      <c r="E141" s="3">
        <f>SUMIF(PPvsREal!$C:$C,'PPvsREal Summary'!C141,PPvsREal!$E:$E)</f>
        <v>0</v>
      </c>
      <c r="F141" s="3">
        <f>SUMIF(PPvsREal!$C:$C,'PPvsREal Summary'!C141,PPvsREal!$F:$F)</f>
        <v>2676.5</v>
      </c>
      <c r="G141" s="3">
        <f>SUMIF(PPvsREal!$C:$C,'PPvsREal Summary'!C141,PPvsREal!$G:$G)</f>
        <v>0</v>
      </c>
      <c r="H141" s="3">
        <f>SUMIF(PPvsREal!$C:$C,'PPvsREal Summary'!C141,PPvsREal!$H:$H)</f>
        <v>1876.0092</v>
      </c>
      <c r="I141" s="3">
        <f>SUMIF(PPvsREal!$C:$C,'PPvsREal Summary'!C141,PPvsREal!$I:$I)</f>
        <v>0</v>
      </c>
      <c r="J141" s="3">
        <f>SUMIF(PPvsREal!$C:$C,'PPvsREal Summary'!C141,PPvsREal!$J:$J)</f>
        <v>848.7314</v>
      </c>
      <c r="K141" s="3">
        <f>SUMIF(PPvsREal!$C:$C,'PPvsREal Summary'!C141,PPvsREal!$K:$K)</f>
        <v>0</v>
      </c>
      <c r="L141" s="3">
        <f>SUMIF(PPvsREal!$C:$C,'PPvsREal Summary'!C141,PPvsREal!$L:$L)</f>
        <v>2328.1204</v>
      </c>
      <c r="M141" s="3">
        <f>SUMIF(PPvsREal!$C:$C,'PPvsREal Summary'!C141,PPvsREal!$M:$M)</f>
        <v>0</v>
      </c>
      <c r="N141" s="3">
        <f>SUMIF(PPvsREal!$C:$C,'PPvsREal Summary'!C141,PPvsREal!$N:$N)</f>
        <v>1313.0856</v>
      </c>
      <c r="O141" s="3">
        <f>SUMIF(PPvsREal!$C:$C,'PPvsREal Summary'!C141,PPvsREal!$O:$O)</f>
        <v>0</v>
      </c>
      <c r="P141" s="3">
        <f>SUMIF(PPvsREal!$C:$C,'PPvsREal Summary'!C141,PPvsREal!$P:$P)</f>
        <v>2633.5382</v>
      </c>
      <c r="Q141" s="3">
        <f>SUMIF(PPvsREal!$C:$C,'PPvsREal Summary'!C141,PPvsREal!$Q:$Q)</f>
        <v>0</v>
      </c>
      <c r="R141" s="3">
        <f>SUMIF(PPvsREal!$C:$C,'PPvsREal Summary'!C141,PPvsREal!$R:$R)</f>
        <v>1538.3568</v>
      </c>
      <c r="S141" s="3">
        <f>SUMIF(PPvsREal!$C:$C,'PPvsREal Summary'!C141,PPvsREal!$S:$S)</f>
        <v>0</v>
      </c>
      <c r="T141" s="3">
        <f>SUMIF(PPvsREal!$C:$C,'PPvsREal Summary'!C141,PPvsREal!$T:$T)</f>
        <v>3699.8028</v>
      </c>
      <c r="U141" s="3">
        <f>SUMIF(PPvsREal!$C:$C,'PPvsREal Summary'!C141,PPvsREal!$U:$U)</f>
        <v>0</v>
      </c>
      <c r="V141" s="3">
        <f>SUMIF(PPvsREal!$C:$C,'PPvsREal Summary'!C141,PPvsREal!$V:$V)</f>
        <v>2154.0366</v>
      </c>
      <c r="W141" s="3">
        <f>SUMIF(PPvsREal!$C:$C,'PPvsREal Summary'!C141,PPvsREal!$W:$W)</f>
        <v>0</v>
      </c>
      <c r="X141" s="3">
        <f>SUMIF(PPvsREal!$C:$C,'PPvsREal Summary'!C141,PPvsREal!$X:$X)</f>
        <v>2154.0366</v>
      </c>
      <c r="Y141" s="3">
        <f>SUMIF(PPvsREal!$C:$C,'PPvsREal Summary'!C141,PPvsREal!$Y:$Y)</f>
        <v>0</v>
      </c>
      <c r="Z141" s="3">
        <f>SUMIF(PPvsREal!$C:$C,'PPvsREal Summary'!C141,PPvsREal!$Z:$Z)</f>
        <v>2154.0366</v>
      </c>
      <c r="AA141" s="190">
        <f>SUMIF(PPvsREal!$C:$C,'PPvsREal Summary'!C141,PPvsREal!$AA:$AA)</f>
        <v>0</v>
      </c>
      <c r="AB141" s="3"/>
      <c r="AC141" s="201">
        <f t="shared" ref="AC141:AD141" si="289">D141+F141+H141+J141+L141+N141+P141+R141+T141+V141+X141+Z141</f>
        <v>24805.1978</v>
      </c>
      <c r="AD141" s="201">
        <f t="shared" si="289"/>
        <v>0</v>
      </c>
      <c r="AE141" s="3"/>
      <c r="AF141" s="201">
        <f t="shared" ref="AF141:AG141" si="290">D141+F141+H141+J141+L141+N141+P141+R141+T141+V141+X141+Z141</f>
        <v>24805.1978</v>
      </c>
      <c r="AG141" s="201">
        <f t="shared" si="290"/>
        <v>0</v>
      </c>
    </row>
    <row r="142" ht="12.75" customHeight="1">
      <c r="A142" s="111"/>
      <c r="B142" s="188" t="s">
        <v>37</v>
      </c>
      <c r="C142" s="2" t="s">
        <v>351</v>
      </c>
      <c r="D142" s="189">
        <f>SUMIF(PPvsREal!$C:$C,'PPvsREal Summary'!C142,PPvsREal!$D:$D)</f>
        <v>0</v>
      </c>
      <c r="E142" s="3">
        <f>SUMIF(PPvsREal!$C:$C,'PPvsREal Summary'!C142,PPvsREal!$E:$E)</f>
        <v>0</v>
      </c>
      <c r="F142" s="3">
        <f>SUMIF(PPvsREal!$C:$C,'PPvsREal Summary'!C142,PPvsREal!$F:$F)</f>
        <v>0</v>
      </c>
      <c r="G142" s="3">
        <f>SUMIF(PPvsREal!$C:$C,'PPvsREal Summary'!C142,PPvsREal!$G:$G)</f>
        <v>0</v>
      </c>
      <c r="H142" s="3">
        <f>SUMIF(PPvsREal!$C:$C,'PPvsREal Summary'!C142,PPvsREal!$H:$H)</f>
        <v>742.2544</v>
      </c>
      <c r="I142" s="3">
        <f>SUMIF(PPvsREal!$C:$C,'PPvsREal Summary'!C142,PPvsREal!$I:$I)</f>
        <v>0</v>
      </c>
      <c r="J142" s="3">
        <f>SUMIF(PPvsREal!$C:$C,'PPvsREal Summary'!C142,PPvsREal!$J:$J)</f>
        <v>0</v>
      </c>
      <c r="K142" s="3">
        <f>SUMIF(PPvsREal!$C:$C,'PPvsREal Summary'!C142,PPvsREal!$K:$K)</f>
        <v>0</v>
      </c>
      <c r="L142" s="3">
        <f>SUMIF(PPvsREal!$C:$C,'PPvsREal Summary'!C142,PPvsREal!$L:$L)</f>
        <v>1682.7712</v>
      </c>
      <c r="M142" s="3">
        <f>SUMIF(PPvsREal!$C:$C,'PPvsREal Summary'!C142,PPvsREal!$M:$M)</f>
        <v>0</v>
      </c>
      <c r="N142" s="3">
        <f>SUMIF(PPvsREal!$C:$C,'PPvsREal Summary'!C142,PPvsREal!$N:$N)</f>
        <v>566.0188</v>
      </c>
      <c r="O142" s="3">
        <f>SUMIF(PPvsREal!$C:$C,'PPvsREal Summary'!C142,PPvsREal!$O:$O)</f>
        <v>0</v>
      </c>
      <c r="P142" s="3">
        <f>SUMIF(PPvsREal!$C:$C,'PPvsREal Summary'!C142,PPvsREal!$P:$P)</f>
        <v>0</v>
      </c>
      <c r="Q142" s="3">
        <f>SUMIF(PPvsREal!$C:$C,'PPvsREal Summary'!C142,PPvsREal!$Q:$Q)</f>
        <v>0</v>
      </c>
      <c r="R142" s="3">
        <f>SUMIF(PPvsREal!$C:$C,'PPvsREal Summary'!C142,PPvsREal!$R:$R)</f>
        <v>1712.6844</v>
      </c>
      <c r="S142" s="3">
        <f>SUMIF(PPvsREal!$C:$C,'PPvsREal Summary'!C142,PPvsREal!$S:$S)</f>
        <v>0</v>
      </c>
      <c r="T142" s="3">
        <f>SUMIF(PPvsREal!$C:$C,'PPvsREal Summary'!C142,PPvsREal!$T:$T)</f>
        <v>590.8016</v>
      </c>
      <c r="U142" s="3">
        <f>SUMIF(PPvsREal!$C:$C,'PPvsREal Summary'!C142,PPvsREal!$U:$U)</f>
        <v>0</v>
      </c>
      <c r="V142" s="3">
        <f>SUMIF(PPvsREal!$C:$C,'PPvsREal Summary'!C142,PPvsREal!$V:$V)</f>
        <v>424</v>
      </c>
      <c r="W142" s="3">
        <f>SUMIF(PPvsREal!$C:$C,'PPvsREal Summary'!C142,PPvsREal!$W:$W)</f>
        <v>0</v>
      </c>
      <c r="X142" s="3">
        <f>SUMIF(PPvsREal!$C:$C,'PPvsREal Summary'!C142,PPvsREal!$X:$X)</f>
        <v>530</v>
      </c>
      <c r="Y142" s="3">
        <f>SUMIF(PPvsREal!$C:$C,'PPvsREal Summary'!C142,PPvsREal!$Y:$Y)</f>
        <v>0</v>
      </c>
      <c r="Z142" s="3">
        <f>SUMIF(PPvsREal!$C:$C,'PPvsREal Summary'!C142,PPvsREal!$Z:$Z)</f>
        <v>424</v>
      </c>
      <c r="AA142" s="190">
        <f>SUMIF(PPvsREal!$C:$C,'PPvsREal Summary'!C142,PPvsREal!$AA:$AA)</f>
        <v>0</v>
      </c>
      <c r="AB142" s="3"/>
      <c r="AC142" s="201">
        <f t="shared" ref="AC142:AD142" si="291">D142+F142+H142+J142+L142+N142+P142+R142+T142+V142+X142+Z142</f>
        <v>6672.5304</v>
      </c>
      <c r="AD142" s="201">
        <f t="shared" si="291"/>
        <v>0</v>
      </c>
      <c r="AE142" s="3"/>
      <c r="AF142" s="201">
        <f t="shared" ref="AF142:AG142" si="292">D142+F142+H142+J142+L142+N142+P142+R142+T142+V142+X142+Z142</f>
        <v>6672.5304</v>
      </c>
      <c r="AG142" s="201">
        <f t="shared" si="292"/>
        <v>0</v>
      </c>
    </row>
    <row r="143" ht="12.75" customHeight="1">
      <c r="A143" s="111"/>
      <c r="B143" s="188" t="s">
        <v>37</v>
      </c>
      <c r="C143" s="2" t="s">
        <v>371</v>
      </c>
      <c r="D143" s="189">
        <f>SUMIF(PPvsREal!$C:$C,'PPvsREal Summary'!C143,PPvsREal!$D:$D)</f>
        <v>0</v>
      </c>
      <c r="E143" s="3">
        <f>SUMIF(PPvsREal!$C:$C,'PPvsREal Summary'!C143,PPvsREal!$E:$E)</f>
        <v>0</v>
      </c>
      <c r="F143" s="3">
        <f>SUMIF(PPvsREal!$C:$C,'PPvsREal Summary'!C143,PPvsREal!$F:$F)</f>
        <v>0</v>
      </c>
      <c r="G143" s="3">
        <f>SUMIF(PPvsREal!$C:$C,'PPvsREal Summary'!C143,PPvsREal!$G:$G)</f>
        <v>0</v>
      </c>
      <c r="H143" s="3">
        <f>SUMIF(PPvsREal!$C:$C,'PPvsREal Summary'!C143,PPvsREal!$H:$H)</f>
        <v>0</v>
      </c>
      <c r="I143" s="3">
        <f>SUMIF(PPvsREal!$C:$C,'PPvsREal Summary'!C143,PPvsREal!$I:$I)</f>
        <v>0</v>
      </c>
      <c r="J143" s="3">
        <f>SUMIF(PPvsREal!$C:$C,'PPvsREal Summary'!C143,PPvsREal!$J:$J)</f>
        <v>0</v>
      </c>
      <c r="K143" s="3">
        <f>SUMIF(PPvsREal!$C:$C,'PPvsREal Summary'!C143,PPvsREal!$K:$K)</f>
        <v>0</v>
      </c>
      <c r="L143" s="3">
        <f>SUMIF(PPvsREal!$C:$C,'PPvsREal Summary'!C143,PPvsREal!$L:$L)</f>
        <v>0</v>
      </c>
      <c r="M143" s="3">
        <f>SUMIF(PPvsREal!$C:$C,'PPvsREal Summary'!C143,PPvsREal!$M:$M)</f>
        <v>0</v>
      </c>
      <c r="N143" s="3">
        <f>SUMIF(PPvsREal!$C:$C,'PPvsREal Summary'!C143,PPvsREal!$N:$N)</f>
        <v>0</v>
      </c>
      <c r="O143" s="3">
        <f>SUMIF(PPvsREal!$C:$C,'PPvsREal Summary'!C143,PPvsREal!$O:$O)</f>
        <v>0</v>
      </c>
      <c r="P143" s="3">
        <f>SUMIF(PPvsREal!$C:$C,'PPvsREal Summary'!C143,PPvsREal!$P:$P)</f>
        <v>0</v>
      </c>
      <c r="Q143" s="3">
        <f>SUMIF(PPvsREal!$C:$C,'PPvsREal Summary'!C143,PPvsREal!$Q:$Q)</f>
        <v>0</v>
      </c>
      <c r="R143" s="3">
        <f>SUMIF(PPvsREal!$C:$C,'PPvsREal Summary'!C143,PPvsREal!$R:$R)</f>
        <v>0</v>
      </c>
      <c r="S143" s="3">
        <f>SUMIF(PPvsREal!$C:$C,'PPvsREal Summary'!C143,PPvsREal!$S:$S)</f>
        <v>0</v>
      </c>
      <c r="T143" s="3">
        <f>SUMIF(PPvsREal!$C:$C,'PPvsREal Summary'!C143,PPvsREal!$T:$T)</f>
        <v>0</v>
      </c>
      <c r="U143" s="3">
        <f>SUMIF(PPvsREal!$C:$C,'PPvsREal Summary'!C143,PPvsREal!$U:$U)</f>
        <v>0</v>
      </c>
      <c r="V143" s="3">
        <f>SUMIF(PPvsREal!$C:$C,'PPvsREal Summary'!C143,PPvsREal!$V:$V)</f>
        <v>0</v>
      </c>
      <c r="W143" s="3">
        <f>SUMIF(PPvsREal!$C:$C,'PPvsREal Summary'!C143,PPvsREal!$W:$W)</f>
        <v>0</v>
      </c>
      <c r="X143" s="3">
        <f>SUMIF(PPvsREal!$C:$C,'PPvsREal Summary'!C143,PPvsREal!$X:$X)</f>
        <v>0</v>
      </c>
      <c r="Y143" s="3">
        <f>SUMIF(PPvsREal!$C:$C,'PPvsREal Summary'!C143,PPvsREal!$Y:$Y)</f>
        <v>0</v>
      </c>
      <c r="Z143" s="3">
        <f>SUMIF(PPvsREal!$C:$C,'PPvsREal Summary'!C143,PPvsREal!$Z:$Z)</f>
        <v>0</v>
      </c>
      <c r="AA143" s="190">
        <f>SUMIF(PPvsREal!$C:$C,'PPvsREal Summary'!C143,PPvsREal!$AA:$AA)</f>
        <v>0</v>
      </c>
      <c r="AB143" s="3"/>
      <c r="AC143" s="201">
        <f t="shared" ref="AC143:AD143" si="293">D143+F143+H143+J143+L143+N143+P143+R143+T143+V143+X143+Z143</f>
        <v>0</v>
      </c>
      <c r="AD143" s="201">
        <f t="shared" si="293"/>
        <v>0</v>
      </c>
      <c r="AE143" s="3"/>
      <c r="AF143" s="201">
        <f t="shared" ref="AF143:AG143" si="294">D143+F143+H143+J143+L143+N143+P143+R143+T143+V143+X143+Z143</f>
        <v>0</v>
      </c>
      <c r="AG143" s="201">
        <f t="shared" si="294"/>
        <v>0</v>
      </c>
    </row>
    <row r="144" ht="12.75" customHeight="1">
      <c r="A144" s="111"/>
      <c r="B144" s="188" t="s">
        <v>37</v>
      </c>
      <c r="C144" s="2" t="s">
        <v>373</v>
      </c>
      <c r="D144" s="189">
        <f>SUMIF(PPvsREal!$C:$C,'PPvsREal Summary'!C144,PPvsREal!$D:$D)</f>
        <v>0</v>
      </c>
      <c r="E144" s="3">
        <f>SUMIF(PPvsREal!$C:$C,'PPvsREal Summary'!C144,PPvsREal!$E:$E)</f>
        <v>0</v>
      </c>
      <c r="F144" s="3">
        <f>SUMIF(PPvsREal!$C:$C,'PPvsREal Summary'!C144,PPvsREal!$F:$F)</f>
        <v>0</v>
      </c>
      <c r="G144" s="3">
        <f>SUMIF(PPvsREal!$C:$C,'PPvsREal Summary'!C144,PPvsREal!$G:$G)</f>
        <v>0</v>
      </c>
      <c r="H144" s="3">
        <f>SUMIF(PPvsREal!$C:$C,'PPvsREal Summary'!C144,PPvsREal!$H:$H)</f>
        <v>0</v>
      </c>
      <c r="I144" s="3">
        <f>SUMIF(PPvsREal!$C:$C,'PPvsREal Summary'!C144,PPvsREal!$I:$I)</f>
        <v>0</v>
      </c>
      <c r="J144" s="3">
        <f>SUMIF(PPvsREal!$C:$C,'PPvsREal Summary'!C144,PPvsREal!$J:$J)</f>
        <v>0</v>
      </c>
      <c r="K144" s="3">
        <f>SUMIF(PPvsREal!$C:$C,'PPvsREal Summary'!C144,PPvsREal!$K:$K)</f>
        <v>0</v>
      </c>
      <c r="L144" s="3">
        <f>SUMIF(PPvsREal!$C:$C,'PPvsREal Summary'!C144,PPvsREal!$L:$L)</f>
        <v>0</v>
      </c>
      <c r="M144" s="3">
        <f>SUMIF(PPvsREal!$C:$C,'PPvsREal Summary'!C144,PPvsREal!$M:$M)</f>
        <v>0</v>
      </c>
      <c r="N144" s="3">
        <f>SUMIF(PPvsREal!$C:$C,'PPvsREal Summary'!C144,PPvsREal!$N:$N)</f>
        <v>0</v>
      </c>
      <c r="O144" s="3">
        <f>SUMIF(PPvsREal!$C:$C,'PPvsREal Summary'!C144,PPvsREal!$O:$O)</f>
        <v>0</v>
      </c>
      <c r="P144" s="3">
        <f>SUMIF(PPvsREal!$C:$C,'PPvsREal Summary'!C144,PPvsREal!$P:$P)</f>
        <v>0</v>
      </c>
      <c r="Q144" s="3">
        <f>SUMIF(PPvsREal!$C:$C,'PPvsREal Summary'!C144,PPvsREal!$Q:$Q)</f>
        <v>0</v>
      </c>
      <c r="R144" s="3">
        <f>SUMIF(PPvsREal!$C:$C,'PPvsREal Summary'!C144,PPvsREal!$R:$R)</f>
        <v>0</v>
      </c>
      <c r="S144" s="3">
        <f>SUMIF(PPvsREal!$C:$C,'PPvsREal Summary'!C144,PPvsREal!$S:$S)</f>
        <v>0</v>
      </c>
      <c r="T144" s="3">
        <f>SUMIF(PPvsREal!$C:$C,'PPvsREal Summary'!C144,PPvsREal!$T:$T)</f>
        <v>0</v>
      </c>
      <c r="U144" s="3">
        <f>SUMIF(PPvsREal!$C:$C,'PPvsREal Summary'!C144,PPvsREal!$U:$U)</f>
        <v>0</v>
      </c>
      <c r="V144" s="3">
        <f>SUMIF(PPvsREal!$C:$C,'PPvsREal Summary'!C144,PPvsREal!$V:$V)</f>
        <v>0</v>
      </c>
      <c r="W144" s="3">
        <f>SUMIF(PPvsREal!$C:$C,'PPvsREal Summary'!C144,PPvsREal!$W:$W)</f>
        <v>0</v>
      </c>
      <c r="X144" s="3">
        <f>SUMIF(PPvsREal!$C:$C,'PPvsREal Summary'!C144,PPvsREal!$X:$X)</f>
        <v>0</v>
      </c>
      <c r="Y144" s="3">
        <f>SUMIF(PPvsREal!$C:$C,'PPvsREal Summary'!C144,PPvsREal!$Y:$Y)</f>
        <v>0</v>
      </c>
      <c r="Z144" s="3">
        <f>SUMIF(PPvsREal!$C:$C,'PPvsREal Summary'!C144,PPvsREal!$Z:$Z)</f>
        <v>0</v>
      </c>
      <c r="AA144" s="190">
        <f>SUMIF(PPvsREal!$C:$C,'PPvsREal Summary'!C144,PPvsREal!$AA:$AA)</f>
        <v>0</v>
      </c>
      <c r="AB144" s="3"/>
      <c r="AC144" s="201">
        <f t="shared" ref="AC144:AD144" si="295">D144+F144+H144+J144+L144+N144+P144+R144+T144+V144+X144+Z144</f>
        <v>0</v>
      </c>
      <c r="AD144" s="201">
        <f t="shared" si="295"/>
        <v>0</v>
      </c>
      <c r="AE144" s="3"/>
      <c r="AF144" s="201">
        <f t="shared" ref="AF144:AG144" si="296">D144+F144+H144+J144+L144+N144+P144+R144+T144+V144+X144+Z144</f>
        <v>0</v>
      </c>
      <c r="AG144" s="201">
        <f t="shared" si="296"/>
        <v>0</v>
      </c>
    </row>
    <row r="145" ht="12.75" customHeight="1">
      <c r="A145" s="111"/>
      <c r="B145" s="188" t="s">
        <v>37</v>
      </c>
      <c r="C145" s="2" t="s">
        <v>341</v>
      </c>
      <c r="D145" s="189">
        <f>SUMIF(PPvsREal!$C:$C,'PPvsREal Summary'!C145,PPvsREal!$D:$D)</f>
        <v>0</v>
      </c>
      <c r="E145" s="3">
        <f>SUMIF(PPvsREal!$C:$C,'PPvsREal Summary'!C145,PPvsREal!$E:$E)</f>
        <v>0</v>
      </c>
      <c r="F145" s="3">
        <f>SUMIF(PPvsREal!$C:$C,'PPvsREal Summary'!C145,PPvsREal!$F:$F)</f>
        <v>690.8656</v>
      </c>
      <c r="G145" s="3">
        <f>SUMIF(PPvsREal!$C:$C,'PPvsREal Summary'!C145,PPvsREal!$G:$G)</f>
        <v>0</v>
      </c>
      <c r="H145" s="3">
        <f>SUMIF(PPvsREal!$C:$C,'PPvsREal Summary'!C145,PPvsREal!$H:$H)</f>
        <v>16430</v>
      </c>
      <c r="I145" s="3">
        <f>SUMIF(PPvsREal!$C:$C,'PPvsREal Summary'!C145,PPvsREal!$I:$I)</f>
        <v>0</v>
      </c>
      <c r="J145" s="3">
        <f>SUMIF(PPvsREal!$C:$C,'PPvsREal Summary'!C145,PPvsREal!$J:$J)</f>
        <v>0</v>
      </c>
      <c r="K145" s="3">
        <f>SUMIF(PPvsREal!$C:$C,'PPvsREal Summary'!C145,PPvsREal!$K:$K)</f>
        <v>0</v>
      </c>
      <c r="L145" s="3">
        <f>SUMIF(PPvsREal!$C:$C,'PPvsREal Summary'!C145,PPvsREal!$L:$L)</f>
        <v>0</v>
      </c>
      <c r="M145" s="3">
        <f>SUMIF(PPvsREal!$C:$C,'PPvsREal Summary'!C145,PPvsREal!$M:$M)</f>
        <v>0</v>
      </c>
      <c r="N145" s="3">
        <f>SUMIF(PPvsREal!$C:$C,'PPvsREal Summary'!C145,PPvsREal!$N:$N)</f>
        <v>0</v>
      </c>
      <c r="O145" s="3">
        <f>SUMIF(PPvsREal!$C:$C,'PPvsREal Summary'!C145,PPvsREal!$O:$O)</f>
        <v>0</v>
      </c>
      <c r="P145" s="3">
        <f>SUMIF(PPvsREal!$C:$C,'PPvsREal Summary'!C145,PPvsREal!$P:$P)</f>
        <v>0</v>
      </c>
      <c r="Q145" s="3">
        <f>SUMIF(PPvsREal!$C:$C,'PPvsREal Summary'!C145,PPvsREal!$Q:$Q)</f>
        <v>0</v>
      </c>
      <c r="R145" s="3">
        <f>SUMIF(PPvsREal!$C:$C,'PPvsREal Summary'!C145,PPvsREal!$R:$R)</f>
        <v>0</v>
      </c>
      <c r="S145" s="3">
        <f>SUMIF(PPvsREal!$C:$C,'PPvsREal Summary'!C145,PPvsREal!$S:$S)</f>
        <v>0</v>
      </c>
      <c r="T145" s="3">
        <f>SUMIF(PPvsREal!$C:$C,'PPvsREal Summary'!C145,PPvsREal!$T:$T)</f>
        <v>0</v>
      </c>
      <c r="U145" s="3">
        <f>SUMIF(PPvsREal!$C:$C,'PPvsREal Summary'!C145,PPvsREal!$U:$U)</f>
        <v>0</v>
      </c>
      <c r="V145" s="3">
        <f>SUMIF(PPvsREal!$C:$C,'PPvsREal Summary'!C145,PPvsREal!$V:$V)</f>
        <v>1166</v>
      </c>
      <c r="W145" s="3">
        <f>SUMIF(PPvsREal!$C:$C,'PPvsREal Summary'!C145,PPvsREal!$W:$W)</f>
        <v>0</v>
      </c>
      <c r="X145" s="3">
        <f>SUMIF(PPvsREal!$C:$C,'PPvsREal Summary'!C145,PPvsREal!$X:$X)</f>
        <v>0</v>
      </c>
      <c r="Y145" s="3">
        <f>SUMIF(PPvsREal!$C:$C,'PPvsREal Summary'!C145,PPvsREal!$Y:$Y)</f>
        <v>0</v>
      </c>
      <c r="Z145" s="3">
        <f>SUMIF(PPvsREal!$C:$C,'PPvsREal Summary'!C145,PPvsREal!$Z:$Z)</f>
        <v>0</v>
      </c>
      <c r="AA145" s="190">
        <f>SUMIF(PPvsREal!$C:$C,'PPvsREal Summary'!C145,PPvsREal!$AA:$AA)</f>
        <v>0</v>
      </c>
      <c r="AB145" s="3"/>
      <c r="AC145" s="201">
        <f t="shared" ref="AC145:AD145" si="297">D145+F145+H145+J145+L145+N145+P145+R145+T145+V145+X145+Z145</f>
        <v>18286.8656</v>
      </c>
      <c r="AD145" s="201">
        <f t="shared" si="297"/>
        <v>0</v>
      </c>
      <c r="AE145" s="3"/>
      <c r="AF145" s="201">
        <f t="shared" ref="AF145:AG145" si="298">D145+F145+H145+J145+L145+N145+P145+R145+T145+V145+X145+Z145</f>
        <v>18286.8656</v>
      </c>
      <c r="AG145" s="201">
        <f t="shared" si="298"/>
        <v>0</v>
      </c>
    </row>
    <row r="146" ht="12.75" customHeight="1">
      <c r="A146" s="111"/>
      <c r="B146" s="188" t="s">
        <v>37</v>
      </c>
      <c r="C146" s="2" t="s">
        <v>329</v>
      </c>
      <c r="D146" s="189">
        <f>SUMIF(PPvsREal!$C:$C,'PPvsREal Summary'!C146,PPvsREal!$D:$D)</f>
        <v>1396.02</v>
      </c>
      <c r="E146" s="3">
        <f>SUMIF(PPvsREal!$C:$C,'PPvsREal Summary'!C146,PPvsREal!$E:$E)</f>
        <v>0</v>
      </c>
      <c r="F146" s="3">
        <f>SUMIF(PPvsREal!$C:$C,'PPvsREal Summary'!C146,PPvsREal!$F:$F)</f>
        <v>477</v>
      </c>
      <c r="G146" s="3">
        <f>SUMIF(PPvsREal!$C:$C,'PPvsREal Summary'!C146,PPvsREal!$G:$G)</f>
        <v>0</v>
      </c>
      <c r="H146" s="3">
        <f>SUMIF(PPvsREal!$C:$C,'PPvsREal Summary'!C146,PPvsREal!$H:$H)</f>
        <v>3177.88</v>
      </c>
      <c r="I146" s="3">
        <f>SUMIF(PPvsREal!$C:$C,'PPvsREal Summary'!C146,PPvsREal!$I:$I)</f>
        <v>0</v>
      </c>
      <c r="J146" s="3">
        <f>SUMIF(PPvsREal!$C:$C,'PPvsREal Summary'!C146,PPvsREal!$J:$J)</f>
        <v>954</v>
      </c>
      <c r="K146" s="3">
        <f>SUMIF(PPvsREal!$C:$C,'PPvsREal Summary'!C146,PPvsREal!$K:$K)</f>
        <v>0</v>
      </c>
      <c r="L146" s="3">
        <f>SUMIF(PPvsREal!$C:$C,'PPvsREal Summary'!C146,PPvsREal!$L:$L)</f>
        <v>477</v>
      </c>
      <c r="M146" s="3">
        <f>SUMIF(PPvsREal!$C:$C,'PPvsREal Summary'!C146,PPvsREal!$M:$M)</f>
        <v>0</v>
      </c>
      <c r="N146" s="3">
        <f>SUMIF(PPvsREal!$C:$C,'PPvsREal Summary'!C146,PPvsREal!$N:$N)</f>
        <v>3113.22</v>
      </c>
      <c r="O146" s="3">
        <f>SUMIF(PPvsREal!$C:$C,'PPvsREal Summary'!C146,PPvsREal!$O:$O)</f>
        <v>0</v>
      </c>
      <c r="P146" s="3">
        <f>SUMIF(PPvsREal!$C:$C,'PPvsREal Summary'!C146,PPvsREal!$P:$P)</f>
        <v>477</v>
      </c>
      <c r="Q146" s="3">
        <f>SUMIF(PPvsREal!$C:$C,'PPvsREal Summary'!C146,PPvsREal!$Q:$Q)</f>
        <v>0</v>
      </c>
      <c r="R146" s="3">
        <f>SUMIF(PPvsREal!$C:$C,'PPvsREal Summary'!C146,PPvsREal!$R:$R)</f>
        <v>477</v>
      </c>
      <c r="S146" s="3">
        <f>SUMIF(PPvsREal!$C:$C,'PPvsREal Summary'!C146,PPvsREal!$S:$S)</f>
        <v>0</v>
      </c>
      <c r="T146" s="3">
        <f>SUMIF(PPvsREal!$C:$C,'PPvsREal Summary'!C146,PPvsREal!$T:$T)</f>
        <v>477</v>
      </c>
      <c r="U146" s="3">
        <f>SUMIF(PPvsREal!$C:$C,'PPvsREal Summary'!C146,PPvsREal!$U:$U)</f>
        <v>0</v>
      </c>
      <c r="V146" s="3">
        <f>SUMIF(PPvsREal!$C:$C,'PPvsREal Summary'!C146,PPvsREal!$V:$V)</f>
        <v>1119.1056</v>
      </c>
      <c r="W146" s="3">
        <f>SUMIF(PPvsREal!$C:$C,'PPvsREal Summary'!C146,PPvsREal!$W:$W)</f>
        <v>0</v>
      </c>
      <c r="X146" s="3">
        <f>SUMIF(PPvsREal!$C:$C,'PPvsREal Summary'!C146,PPvsREal!$X:$X)</f>
        <v>1119.1056</v>
      </c>
      <c r="Y146" s="3">
        <f>SUMIF(PPvsREal!$C:$C,'PPvsREal Summary'!C146,PPvsREal!$Y:$Y)</f>
        <v>0</v>
      </c>
      <c r="Z146" s="3">
        <f>SUMIF(PPvsREal!$C:$C,'PPvsREal Summary'!C146,PPvsREal!$Z:$Z)</f>
        <v>1119.1056</v>
      </c>
      <c r="AA146" s="190">
        <f>SUMIF(PPvsREal!$C:$C,'PPvsREal Summary'!C146,PPvsREal!$AA:$AA)</f>
        <v>0</v>
      </c>
      <c r="AB146" s="3"/>
      <c r="AC146" s="201">
        <f t="shared" ref="AC146:AD146" si="299">D146+F146+H146+J146+L146+N146+P146+R146+T146+V146+X146+Z146</f>
        <v>14383.4368</v>
      </c>
      <c r="AD146" s="201">
        <f t="shared" si="299"/>
        <v>0</v>
      </c>
      <c r="AE146" s="3"/>
      <c r="AF146" s="201">
        <f t="shared" ref="AF146:AG146" si="300">D146+F146+H146+J146+L146+N146+P146+R146+T146+V146+X146+Z146</f>
        <v>14383.4368</v>
      </c>
      <c r="AG146" s="201">
        <f t="shared" si="300"/>
        <v>0</v>
      </c>
    </row>
    <row r="147" ht="12.75" customHeight="1">
      <c r="A147" s="111"/>
      <c r="B147" s="188" t="s">
        <v>37</v>
      </c>
      <c r="C147" s="2" t="s">
        <v>355</v>
      </c>
      <c r="D147" s="189">
        <f>SUMIF(PPvsREal!$C:$C,'PPvsREal Summary'!C147,PPvsREal!$D:$D)</f>
        <v>0</v>
      </c>
      <c r="E147" s="3">
        <f>SUMIF(PPvsREal!$C:$C,'PPvsREal Summary'!C147,PPvsREal!$E:$E)</f>
        <v>0</v>
      </c>
      <c r="F147" s="3">
        <f>SUMIF(PPvsREal!$C:$C,'PPvsREal Summary'!C147,PPvsREal!$F:$F)</f>
        <v>0</v>
      </c>
      <c r="G147" s="3">
        <f>SUMIF(PPvsREal!$C:$C,'PPvsREal Summary'!C147,PPvsREal!$G:$G)</f>
        <v>0</v>
      </c>
      <c r="H147" s="3">
        <f>SUMIF(PPvsREal!$C:$C,'PPvsREal Summary'!C147,PPvsREal!$H:$H)</f>
        <v>0</v>
      </c>
      <c r="I147" s="3">
        <f>SUMIF(PPvsREal!$C:$C,'PPvsREal Summary'!C147,PPvsREal!$I:$I)</f>
        <v>0</v>
      </c>
      <c r="J147" s="3">
        <f>SUMIF(PPvsREal!$C:$C,'PPvsREal Summary'!C147,PPvsREal!$J:$J)</f>
        <v>0</v>
      </c>
      <c r="K147" s="3">
        <f>SUMIF(PPvsREal!$C:$C,'PPvsREal Summary'!C147,PPvsREal!$K:$K)</f>
        <v>0</v>
      </c>
      <c r="L147" s="3">
        <f>SUMIF(PPvsREal!$C:$C,'PPvsREal Summary'!C147,PPvsREal!$L:$L)</f>
        <v>7420</v>
      </c>
      <c r="M147" s="3">
        <f>SUMIF(PPvsREal!$C:$C,'PPvsREal Summary'!C147,PPvsREal!$M:$M)</f>
        <v>0</v>
      </c>
      <c r="N147" s="3">
        <f>SUMIF(PPvsREal!$C:$C,'PPvsREal Summary'!C147,PPvsREal!$N:$N)</f>
        <v>7420</v>
      </c>
      <c r="O147" s="3">
        <f>SUMIF(PPvsREal!$C:$C,'PPvsREal Summary'!C147,PPvsREal!$O:$O)</f>
        <v>0</v>
      </c>
      <c r="P147" s="3">
        <f>SUMIF(PPvsREal!$C:$C,'PPvsREal Summary'!C147,PPvsREal!$P:$P)</f>
        <v>0</v>
      </c>
      <c r="Q147" s="3">
        <f>SUMIF(PPvsREal!$C:$C,'PPvsREal Summary'!C147,PPvsREal!$Q:$Q)</f>
        <v>0</v>
      </c>
      <c r="R147" s="3">
        <f>SUMIF(PPvsREal!$C:$C,'PPvsREal Summary'!C147,PPvsREal!$R:$R)</f>
        <v>0</v>
      </c>
      <c r="S147" s="3">
        <f>SUMIF(PPvsREal!$C:$C,'PPvsREal Summary'!C147,PPvsREal!$S:$S)</f>
        <v>0</v>
      </c>
      <c r="T147" s="3">
        <f>SUMIF(PPvsREal!$C:$C,'PPvsREal Summary'!C147,PPvsREal!$T:$T)</f>
        <v>0</v>
      </c>
      <c r="U147" s="3">
        <f>SUMIF(PPvsREal!$C:$C,'PPvsREal Summary'!C147,PPvsREal!$U:$U)</f>
        <v>0</v>
      </c>
      <c r="V147" s="3">
        <f>SUMIF(PPvsREal!$C:$C,'PPvsREal Summary'!C147,PPvsREal!$V:$V)</f>
        <v>0</v>
      </c>
      <c r="W147" s="3">
        <f>SUMIF(PPvsREal!$C:$C,'PPvsREal Summary'!C147,PPvsREal!$W:$W)</f>
        <v>0</v>
      </c>
      <c r="X147" s="3">
        <f>SUMIF(PPvsREal!$C:$C,'PPvsREal Summary'!C147,PPvsREal!$X:$X)</f>
        <v>26500</v>
      </c>
      <c r="Y147" s="3">
        <f>SUMIF(PPvsREal!$C:$C,'PPvsREal Summary'!C147,PPvsREal!$Y:$Y)</f>
        <v>0</v>
      </c>
      <c r="Z147" s="3">
        <f>SUMIF(PPvsREal!$C:$C,'PPvsREal Summary'!C147,PPvsREal!$Z:$Z)</f>
        <v>0</v>
      </c>
      <c r="AA147" s="190">
        <f>SUMIF(PPvsREal!$C:$C,'PPvsREal Summary'!C147,PPvsREal!$AA:$AA)</f>
        <v>0</v>
      </c>
      <c r="AB147" s="3"/>
      <c r="AC147" s="201">
        <f t="shared" ref="AC147:AD147" si="301">D147+F147+H147+J147+L147+N147+P147+R147+T147+V147+X147+Z147</f>
        <v>41340</v>
      </c>
      <c r="AD147" s="201">
        <f t="shared" si="301"/>
        <v>0</v>
      </c>
      <c r="AE147" s="3"/>
      <c r="AF147" s="201">
        <f t="shared" ref="AF147:AG147" si="302">D147+F147+H147+J147+L147+N147+P147+R147+T147+V147+X147+Z147</f>
        <v>41340</v>
      </c>
      <c r="AG147" s="201">
        <f t="shared" si="302"/>
        <v>0</v>
      </c>
    </row>
    <row r="148" ht="12.75" customHeight="1">
      <c r="A148" s="111"/>
      <c r="B148" s="188" t="s">
        <v>37</v>
      </c>
      <c r="C148" s="2" t="s">
        <v>363</v>
      </c>
      <c r="D148" s="189">
        <f>SUMIF(PPvsREal!$C:$C,'PPvsREal Summary'!C148,PPvsREal!$D:$D)</f>
        <v>8220.9148</v>
      </c>
      <c r="E148" s="3">
        <f>SUMIF(PPvsREal!$C:$C,'PPvsREal Summary'!C148,PPvsREal!$E:$E)</f>
        <v>0</v>
      </c>
      <c r="F148" s="3">
        <f>SUMIF(PPvsREal!$C:$C,'PPvsREal Summary'!C148,PPvsREal!$F:$F)</f>
        <v>0</v>
      </c>
      <c r="G148" s="3">
        <f>SUMIF(PPvsREal!$C:$C,'PPvsREal Summary'!C148,PPvsREal!$G:$G)</f>
        <v>0</v>
      </c>
      <c r="H148" s="3">
        <f>SUMIF(PPvsREal!$C:$C,'PPvsREal Summary'!C148,PPvsREal!$H:$H)</f>
        <v>-792.9754</v>
      </c>
      <c r="I148" s="3">
        <f>SUMIF(PPvsREal!$C:$C,'PPvsREal Summary'!C148,PPvsREal!$I:$I)</f>
        <v>0</v>
      </c>
      <c r="J148" s="3">
        <f>SUMIF(PPvsREal!$C:$C,'PPvsREal Summary'!C148,PPvsREal!$J:$J)</f>
        <v>743.166</v>
      </c>
      <c r="K148" s="3">
        <f>SUMIF(PPvsREal!$C:$C,'PPvsREal Summary'!C148,PPvsREal!$K:$K)</f>
        <v>0</v>
      </c>
      <c r="L148" s="3">
        <f>SUMIF(PPvsREal!$C:$C,'PPvsREal Summary'!C148,PPvsREal!$L:$L)</f>
        <v>40402.5356</v>
      </c>
      <c r="M148" s="3">
        <f>SUMIF(PPvsREal!$C:$C,'PPvsREal Summary'!C148,PPvsREal!$M:$M)</f>
        <v>0</v>
      </c>
      <c r="N148" s="3">
        <f>SUMIF(PPvsREal!$C:$C,'PPvsREal Summary'!C148,PPvsREal!$N:$N)</f>
        <v>45580</v>
      </c>
      <c r="O148" s="3">
        <f>SUMIF(PPvsREal!$C:$C,'PPvsREal Summary'!C148,PPvsREal!$O:$O)</f>
        <v>0</v>
      </c>
      <c r="P148" s="3">
        <f>SUMIF(PPvsREal!$C:$C,'PPvsREal Summary'!C148,PPvsREal!$P:$P)</f>
        <v>0</v>
      </c>
      <c r="Q148" s="3">
        <f>SUMIF(PPvsREal!$C:$C,'PPvsREal Summary'!C148,PPvsREal!$Q:$Q)</f>
        <v>0</v>
      </c>
      <c r="R148" s="3">
        <f>SUMIF(PPvsREal!$C:$C,'PPvsREal Summary'!C148,PPvsREal!$R:$R)</f>
        <v>1526.4</v>
      </c>
      <c r="S148" s="3">
        <f>SUMIF(PPvsREal!$C:$C,'PPvsREal Summary'!C148,PPvsREal!$S:$S)</f>
        <v>0</v>
      </c>
      <c r="T148" s="3">
        <f>SUMIF(PPvsREal!$C:$C,'PPvsREal Summary'!C148,PPvsREal!$T:$T)</f>
        <v>12284.8064</v>
      </c>
      <c r="U148" s="3">
        <f>SUMIF(PPvsREal!$C:$C,'PPvsREal Summary'!C148,PPvsREal!$U:$U)</f>
        <v>0</v>
      </c>
      <c r="V148" s="3">
        <f>SUMIF(PPvsREal!$C:$C,'PPvsREal Summary'!C148,PPvsREal!$V:$V)</f>
        <v>21200</v>
      </c>
      <c r="W148" s="3">
        <f>SUMIF(PPvsREal!$C:$C,'PPvsREal Summary'!C148,PPvsREal!$W:$W)</f>
        <v>0</v>
      </c>
      <c r="X148" s="3">
        <f>SUMIF(PPvsREal!$C:$C,'PPvsREal Summary'!C148,PPvsREal!$X:$X)</f>
        <v>0</v>
      </c>
      <c r="Y148" s="3">
        <f>SUMIF(PPvsREal!$C:$C,'PPvsREal Summary'!C148,PPvsREal!$Y:$Y)</f>
        <v>0</v>
      </c>
      <c r="Z148" s="3">
        <f>SUMIF(PPvsREal!$C:$C,'PPvsREal Summary'!C148,PPvsREal!$Z:$Z)</f>
        <v>21200</v>
      </c>
      <c r="AA148" s="190">
        <f>SUMIF(PPvsREal!$C:$C,'PPvsREal Summary'!C148,PPvsREal!$AA:$AA)</f>
        <v>0</v>
      </c>
      <c r="AB148" s="3"/>
      <c r="AC148" s="201">
        <f t="shared" ref="AC148:AD148" si="303">D148+F148+H148+J148+L148+N148+P148+R148+T148+V148+X148+Z148</f>
        <v>150364.8474</v>
      </c>
      <c r="AD148" s="201">
        <f t="shared" si="303"/>
        <v>0</v>
      </c>
      <c r="AE148" s="3"/>
      <c r="AF148" s="201">
        <f t="shared" ref="AF148:AG148" si="304">D148+F148+H148+J148+L148+N148+P148+R148+T148+V148+X148+Z148</f>
        <v>150364.8474</v>
      </c>
      <c r="AG148" s="201">
        <f t="shared" si="304"/>
        <v>0</v>
      </c>
    </row>
    <row r="149" ht="12.75" customHeight="1">
      <c r="A149" s="111"/>
      <c r="B149" s="188" t="s">
        <v>37</v>
      </c>
      <c r="C149" s="2" t="s">
        <v>337</v>
      </c>
      <c r="D149" s="189">
        <f>SUMIF(PPvsREal!$C:$C,'PPvsREal Summary'!C149,PPvsREal!$D:$D)</f>
        <v>15889.4</v>
      </c>
      <c r="E149" s="3">
        <f>SUMIF(PPvsREal!$C:$C,'PPvsREal Summary'!C149,PPvsREal!$E:$E)</f>
        <v>0</v>
      </c>
      <c r="F149" s="3">
        <f>SUMIF(PPvsREal!$C:$C,'PPvsREal Summary'!C149,PPvsREal!$F:$F)</f>
        <v>15889.4</v>
      </c>
      <c r="G149" s="3">
        <f>SUMIF(PPvsREal!$C:$C,'PPvsREal Summary'!C149,PPvsREal!$G:$G)</f>
        <v>0</v>
      </c>
      <c r="H149" s="3">
        <f>SUMIF(PPvsREal!$C:$C,'PPvsREal Summary'!C149,PPvsREal!$H:$H)</f>
        <v>15889.4</v>
      </c>
      <c r="I149" s="3">
        <f>SUMIF(PPvsREal!$C:$C,'PPvsREal Summary'!C149,PPvsREal!$I:$I)</f>
        <v>0</v>
      </c>
      <c r="J149" s="3">
        <f>SUMIF(PPvsREal!$C:$C,'PPvsREal Summary'!C149,PPvsREal!$J:$J)</f>
        <v>15889.4</v>
      </c>
      <c r="K149" s="3">
        <f>SUMIF(PPvsREal!$C:$C,'PPvsREal Summary'!C149,PPvsREal!$K:$K)</f>
        <v>0</v>
      </c>
      <c r="L149" s="3">
        <f>SUMIF(PPvsREal!$C:$C,'PPvsREal Summary'!C149,PPvsREal!$L:$L)</f>
        <v>15889.4</v>
      </c>
      <c r="M149" s="3">
        <f>SUMIF(PPvsREal!$C:$C,'PPvsREal Summary'!C149,PPvsREal!$M:$M)</f>
        <v>0</v>
      </c>
      <c r="N149" s="3">
        <f>SUMIF(PPvsREal!$C:$C,'PPvsREal Summary'!C149,PPvsREal!$N:$N)</f>
        <v>15889.4</v>
      </c>
      <c r="O149" s="3">
        <f>SUMIF(PPvsREal!$C:$C,'PPvsREal Summary'!C149,PPvsREal!$O:$O)</f>
        <v>0</v>
      </c>
      <c r="P149" s="3">
        <f>SUMIF(PPvsREal!$C:$C,'PPvsREal Summary'!C149,PPvsREal!$P:$P)</f>
        <v>15889.4</v>
      </c>
      <c r="Q149" s="3">
        <f>SUMIF(PPvsREal!$C:$C,'PPvsREal Summary'!C149,PPvsREal!$Q:$Q)</f>
        <v>0</v>
      </c>
      <c r="R149" s="3">
        <f>SUMIF(PPvsREal!$C:$C,'PPvsREal Summary'!C149,PPvsREal!$R:$R)</f>
        <v>15889.4</v>
      </c>
      <c r="S149" s="3">
        <f>SUMIF(PPvsREal!$C:$C,'PPvsREal Summary'!C149,PPvsREal!$S:$S)</f>
        <v>0</v>
      </c>
      <c r="T149" s="3">
        <f>SUMIF(PPvsREal!$C:$C,'PPvsREal Summary'!C149,PPvsREal!$T:$T)</f>
        <v>15889.4</v>
      </c>
      <c r="U149" s="3">
        <f>SUMIF(PPvsREal!$C:$C,'PPvsREal Summary'!C149,PPvsREal!$U:$U)</f>
        <v>0</v>
      </c>
      <c r="V149" s="3">
        <f>SUMIF(PPvsREal!$C:$C,'PPvsREal Summary'!C149,PPvsREal!$V:$V)</f>
        <v>15889.4</v>
      </c>
      <c r="W149" s="3">
        <f>SUMIF(PPvsREal!$C:$C,'PPvsREal Summary'!C149,PPvsREal!$W:$W)</f>
        <v>0</v>
      </c>
      <c r="X149" s="3">
        <f>SUMIF(PPvsREal!$C:$C,'PPvsREal Summary'!C149,PPvsREal!$X:$X)</f>
        <v>15889.4</v>
      </c>
      <c r="Y149" s="3">
        <f>SUMIF(PPvsREal!$C:$C,'PPvsREal Summary'!C149,PPvsREal!$Y:$Y)</f>
        <v>0</v>
      </c>
      <c r="Z149" s="3">
        <f>SUMIF(PPvsREal!$C:$C,'PPvsREal Summary'!C149,PPvsREal!$Z:$Z)</f>
        <v>15889.4</v>
      </c>
      <c r="AA149" s="190">
        <f>SUMIF(PPvsREal!$C:$C,'PPvsREal Summary'!C149,PPvsREal!$AA:$AA)</f>
        <v>0</v>
      </c>
      <c r="AB149" s="3"/>
      <c r="AC149" s="201">
        <f t="shared" ref="AC149:AD149" si="305">D149+F149+H149+J149+L149+N149+P149+R149+T149+V149+X149+Z149</f>
        <v>190672.8</v>
      </c>
      <c r="AD149" s="201">
        <f t="shared" si="305"/>
        <v>0</v>
      </c>
      <c r="AE149" s="3"/>
      <c r="AF149" s="201">
        <f t="shared" ref="AF149:AG149" si="306">D149+F149+H149+J149+L149+N149+P149+R149+T149+V149+X149+Z149</f>
        <v>190672.8</v>
      </c>
      <c r="AG149" s="201">
        <f t="shared" si="306"/>
        <v>0</v>
      </c>
    </row>
    <row r="150" ht="12.75" customHeight="1">
      <c r="A150" s="111"/>
      <c r="B150" s="188" t="s">
        <v>37</v>
      </c>
      <c r="C150" s="2" t="s">
        <v>357</v>
      </c>
      <c r="D150" s="189">
        <f>SUMIF(PPvsREal!$C:$C,'PPvsREal Summary'!C150,PPvsREal!$D:$D)</f>
        <v>0</v>
      </c>
      <c r="E150" s="3">
        <f>SUMIF(PPvsREal!$C:$C,'PPvsREal Summary'!C150,PPvsREal!$E:$E)</f>
        <v>0</v>
      </c>
      <c r="F150" s="3">
        <f>SUMIF(PPvsREal!$C:$C,'PPvsREal Summary'!C150,PPvsREal!$F:$F)</f>
        <v>0</v>
      </c>
      <c r="G150" s="3">
        <f>SUMIF(PPvsREal!$C:$C,'PPvsREal Summary'!C150,PPvsREal!$G:$G)</f>
        <v>0</v>
      </c>
      <c r="H150" s="3">
        <f>SUMIF(PPvsREal!$C:$C,'PPvsREal Summary'!C150,PPvsREal!$H:$H)</f>
        <v>0</v>
      </c>
      <c r="I150" s="3">
        <f>SUMIF(PPvsREal!$C:$C,'PPvsREal Summary'!C150,PPvsREal!$I:$I)</f>
        <v>0</v>
      </c>
      <c r="J150" s="3">
        <f>SUMIF(PPvsREal!$C:$C,'PPvsREal Summary'!C150,PPvsREal!$J:$J)</f>
        <v>0</v>
      </c>
      <c r="K150" s="3">
        <f>SUMIF(PPvsREal!$C:$C,'PPvsREal Summary'!C150,PPvsREal!$K:$K)</f>
        <v>0</v>
      </c>
      <c r="L150" s="3">
        <f>SUMIF(PPvsREal!$C:$C,'PPvsREal Summary'!C150,PPvsREal!$L:$L)</f>
        <v>0</v>
      </c>
      <c r="M150" s="3">
        <f>SUMIF(PPvsREal!$C:$C,'PPvsREal Summary'!C150,PPvsREal!$M:$M)</f>
        <v>0</v>
      </c>
      <c r="N150" s="3">
        <f>SUMIF(PPvsREal!$C:$C,'PPvsREal Summary'!C150,PPvsREal!$N:$N)</f>
        <v>0</v>
      </c>
      <c r="O150" s="3">
        <f>SUMIF(PPvsREal!$C:$C,'PPvsREal Summary'!C150,PPvsREal!$O:$O)</f>
        <v>0</v>
      </c>
      <c r="P150" s="3">
        <f>SUMIF(PPvsREal!$C:$C,'PPvsREal Summary'!C150,PPvsREal!$P:$P)</f>
        <v>15903.4026</v>
      </c>
      <c r="Q150" s="3">
        <f>SUMIF(PPvsREal!$C:$C,'PPvsREal Summary'!C150,PPvsREal!$Q:$Q)</f>
        <v>0</v>
      </c>
      <c r="R150" s="3">
        <f>SUMIF(PPvsREal!$C:$C,'PPvsREal Summary'!C150,PPvsREal!$R:$R)</f>
        <v>0</v>
      </c>
      <c r="S150" s="3">
        <f>SUMIF(PPvsREal!$C:$C,'PPvsREal Summary'!C150,PPvsREal!$S:$S)</f>
        <v>0</v>
      </c>
      <c r="T150" s="3">
        <f>SUMIF(PPvsREal!$C:$C,'PPvsREal Summary'!C150,PPvsREal!$T:$T)</f>
        <v>0</v>
      </c>
      <c r="U150" s="3">
        <f>SUMIF(PPvsREal!$C:$C,'PPvsREal Summary'!C150,PPvsREal!$U:$U)</f>
        <v>0</v>
      </c>
      <c r="V150" s="3">
        <f>SUMIF(PPvsREal!$C:$C,'PPvsREal Summary'!C150,PPvsREal!$V:$V)</f>
        <v>0</v>
      </c>
      <c r="W150" s="3">
        <f>SUMIF(PPvsREal!$C:$C,'PPvsREal Summary'!C150,PPvsREal!$W:$W)</f>
        <v>0</v>
      </c>
      <c r="X150" s="3">
        <f>SUMIF(PPvsREal!$C:$C,'PPvsREal Summary'!C150,PPvsREal!$X:$X)</f>
        <v>0</v>
      </c>
      <c r="Y150" s="3">
        <f>SUMIF(PPvsREal!$C:$C,'PPvsREal Summary'!C150,PPvsREal!$Y:$Y)</f>
        <v>0</v>
      </c>
      <c r="Z150" s="3">
        <f>SUMIF(PPvsREal!$C:$C,'PPvsREal Summary'!C150,PPvsREal!$Z:$Z)</f>
        <v>0</v>
      </c>
      <c r="AA150" s="190">
        <f>SUMIF(PPvsREal!$C:$C,'PPvsREal Summary'!C150,PPvsREal!$AA:$AA)</f>
        <v>0</v>
      </c>
      <c r="AB150" s="3"/>
      <c r="AC150" s="201">
        <f t="shared" ref="AC150:AD150" si="307">D150+F150+H150+J150+L150+N150+P150+R150+T150+V150+X150+Z150</f>
        <v>15903.4026</v>
      </c>
      <c r="AD150" s="201">
        <f t="shared" si="307"/>
        <v>0</v>
      </c>
      <c r="AE150" s="3"/>
      <c r="AF150" s="201">
        <f t="shared" ref="AF150:AG150" si="308">D150+F150+H150+J150+L150+N150+P150+R150+T150+V150+X150+Z150</f>
        <v>15903.4026</v>
      </c>
      <c r="AG150" s="201">
        <f t="shared" si="308"/>
        <v>0</v>
      </c>
    </row>
    <row r="151" ht="12.75" customHeight="1">
      <c r="A151" s="111"/>
      <c r="B151" s="188" t="s">
        <v>37</v>
      </c>
      <c r="C151" s="2" t="s">
        <v>361</v>
      </c>
      <c r="D151" s="189">
        <f>SUMIF(PPvsREal!$C:$C,'PPvsREal Summary'!C151,PPvsREal!$D:$D)</f>
        <v>16678.3792</v>
      </c>
      <c r="E151" s="3">
        <f>SUMIF(PPvsREal!$C:$C,'PPvsREal Summary'!C151,PPvsREal!$E:$E)</f>
        <v>0</v>
      </c>
      <c r="F151" s="3">
        <f>SUMIF(PPvsREal!$C:$C,'PPvsREal Summary'!C151,PPvsREal!$F:$F)</f>
        <v>16678.3792</v>
      </c>
      <c r="G151" s="3">
        <f>SUMIF(PPvsREal!$C:$C,'PPvsREal Summary'!C151,PPvsREal!$G:$G)</f>
        <v>0</v>
      </c>
      <c r="H151" s="3">
        <f>SUMIF(PPvsREal!$C:$C,'PPvsREal Summary'!C151,PPvsREal!$H:$H)</f>
        <v>16678.3792</v>
      </c>
      <c r="I151" s="3">
        <f>SUMIF(PPvsREal!$C:$C,'PPvsREal Summary'!C151,PPvsREal!$I:$I)</f>
        <v>0</v>
      </c>
      <c r="J151" s="3">
        <f>SUMIF(PPvsREal!$C:$C,'PPvsREal Summary'!C151,PPvsREal!$J:$J)</f>
        <v>16678.3792</v>
      </c>
      <c r="K151" s="3">
        <f>SUMIF(PPvsREal!$C:$C,'PPvsREal Summary'!C151,PPvsREal!$K:$K)</f>
        <v>0</v>
      </c>
      <c r="L151" s="3">
        <f>SUMIF(PPvsREal!$C:$C,'PPvsREal Summary'!C151,PPvsREal!$L:$L)</f>
        <v>16678.3792</v>
      </c>
      <c r="M151" s="3">
        <f>SUMIF(PPvsREal!$C:$C,'PPvsREal Summary'!C151,PPvsREal!$M:$M)</f>
        <v>0</v>
      </c>
      <c r="N151" s="3">
        <f>SUMIF(PPvsREal!$C:$C,'PPvsREal Summary'!C151,PPvsREal!$N:$N)</f>
        <v>16678.3792</v>
      </c>
      <c r="O151" s="3">
        <f>SUMIF(PPvsREal!$C:$C,'PPvsREal Summary'!C151,PPvsREal!$O:$O)</f>
        <v>0</v>
      </c>
      <c r="P151" s="3">
        <f>SUMIF(PPvsREal!$C:$C,'PPvsREal Summary'!C151,PPvsREal!$P:$P)</f>
        <v>16678.3792</v>
      </c>
      <c r="Q151" s="3">
        <f>SUMIF(PPvsREal!$C:$C,'PPvsREal Summary'!C151,PPvsREal!$Q:$Q)</f>
        <v>0</v>
      </c>
      <c r="R151" s="3">
        <f>SUMIF(PPvsREal!$C:$C,'PPvsREal Summary'!C151,PPvsREal!$R:$R)</f>
        <v>16678.3792</v>
      </c>
      <c r="S151" s="3">
        <f>SUMIF(PPvsREal!$C:$C,'PPvsREal Summary'!C151,PPvsREal!$S:$S)</f>
        <v>0</v>
      </c>
      <c r="T151" s="3">
        <f>SUMIF(PPvsREal!$C:$C,'PPvsREal Summary'!C151,PPvsREal!$T:$T)</f>
        <v>16678.3792</v>
      </c>
      <c r="U151" s="3">
        <f>SUMIF(PPvsREal!$C:$C,'PPvsREal Summary'!C151,PPvsREal!$U:$U)</f>
        <v>0</v>
      </c>
      <c r="V151" s="3">
        <f>SUMIF(PPvsREal!$C:$C,'PPvsREal Summary'!C151,PPvsREal!$V:$V)</f>
        <v>17512.29816</v>
      </c>
      <c r="W151" s="3">
        <f>SUMIF(PPvsREal!$C:$C,'PPvsREal Summary'!C151,PPvsREal!$W:$W)</f>
        <v>0</v>
      </c>
      <c r="X151" s="3">
        <f>SUMIF(PPvsREal!$C:$C,'PPvsREal Summary'!C151,PPvsREal!$X:$X)</f>
        <v>17512.29816</v>
      </c>
      <c r="Y151" s="3">
        <f>SUMIF(PPvsREal!$C:$C,'PPvsREal Summary'!C151,PPvsREal!$Y:$Y)</f>
        <v>0</v>
      </c>
      <c r="Z151" s="3">
        <f>SUMIF(PPvsREal!$C:$C,'PPvsREal Summary'!C151,PPvsREal!$Z:$Z)</f>
        <v>17512.29816</v>
      </c>
      <c r="AA151" s="190">
        <f>SUMIF(PPvsREal!$C:$C,'PPvsREal Summary'!C151,PPvsREal!$AA:$AA)</f>
        <v>0</v>
      </c>
      <c r="AB151" s="3"/>
      <c r="AC151" s="201">
        <f t="shared" ref="AC151:AD151" si="309">D151+F151+H151+J151+L151+N151+P151+R151+T151+V151+X151+Z151</f>
        <v>202642.3073</v>
      </c>
      <c r="AD151" s="201">
        <f t="shared" si="309"/>
        <v>0</v>
      </c>
      <c r="AE151" s="3"/>
      <c r="AF151" s="201">
        <f t="shared" ref="AF151:AG151" si="310">D151+F151+H151+J151+L151+N151+P151+R151+T151+V151+X151+Z151</f>
        <v>202642.3073</v>
      </c>
      <c r="AG151" s="201">
        <f t="shared" si="310"/>
        <v>0</v>
      </c>
    </row>
    <row r="152" ht="12.75" customHeight="1">
      <c r="A152" s="111"/>
      <c r="B152" s="188" t="s">
        <v>37</v>
      </c>
      <c r="C152" s="2" t="s">
        <v>343</v>
      </c>
      <c r="D152" s="189">
        <f>SUMIF(PPvsREal!$C:$C,'PPvsREal Summary'!C152,PPvsREal!$D:$D)</f>
        <v>636</v>
      </c>
      <c r="E152" s="3">
        <f>SUMIF(PPvsREal!$C:$C,'PPvsREal Summary'!C152,PPvsREal!$E:$E)</f>
        <v>0</v>
      </c>
      <c r="F152" s="3">
        <f>SUMIF(PPvsREal!$C:$C,'PPvsREal Summary'!C152,PPvsREal!$F:$F)</f>
        <v>4377.111</v>
      </c>
      <c r="G152" s="3">
        <f>SUMIF(PPvsREal!$C:$C,'PPvsREal Summary'!C152,PPvsREal!$G:$G)</f>
        <v>0</v>
      </c>
      <c r="H152" s="3">
        <f>SUMIF(PPvsREal!$C:$C,'PPvsREal Summary'!C152,PPvsREal!$H:$H)</f>
        <v>46996.9444</v>
      </c>
      <c r="I152" s="3">
        <f>SUMIF(PPvsREal!$C:$C,'PPvsREal Summary'!C152,PPvsREal!$I:$I)</f>
        <v>0</v>
      </c>
      <c r="J152" s="3">
        <f>SUMIF(PPvsREal!$C:$C,'PPvsREal Summary'!C152,PPvsREal!$J:$J)</f>
        <v>61427</v>
      </c>
      <c r="K152" s="3">
        <f>SUMIF(PPvsREal!$C:$C,'PPvsREal Summary'!C152,PPvsREal!$K:$K)</f>
        <v>0</v>
      </c>
      <c r="L152" s="3">
        <f>SUMIF(PPvsREal!$C:$C,'PPvsREal Summary'!C152,PPvsREal!$L:$L)</f>
        <v>37123.055</v>
      </c>
      <c r="M152" s="3">
        <f>SUMIF(PPvsREal!$C:$C,'PPvsREal Summary'!C152,PPvsREal!$M:$M)</f>
        <v>0</v>
      </c>
      <c r="N152" s="3">
        <f>SUMIF(PPvsREal!$C:$C,'PPvsREal Summary'!C152,PPvsREal!$N:$N)</f>
        <v>32889.68</v>
      </c>
      <c r="O152" s="3">
        <f>SUMIF(PPvsREal!$C:$C,'PPvsREal Summary'!C152,PPvsREal!$O:$O)</f>
        <v>0</v>
      </c>
      <c r="P152" s="3">
        <f>SUMIF(PPvsREal!$C:$C,'PPvsREal Summary'!C152,PPvsREal!$P:$P)</f>
        <v>16324</v>
      </c>
      <c r="Q152" s="3">
        <f>SUMIF(PPvsREal!$C:$C,'PPvsREal Summary'!C152,PPvsREal!$Q:$Q)</f>
        <v>0</v>
      </c>
      <c r="R152" s="3">
        <f>SUMIF(PPvsREal!$C:$C,'PPvsREal Summary'!C152,PPvsREal!$R:$R)</f>
        <v>2968</v>
      </c>
      <c r="S152" s="3">
        <f>SUMIF(PPvsREal!$C:$C,'PPvsREal Summary'!C152,PPvsREal!$S:$S)</f>
        <v>0</v>
      </c>
      <c r="T152" s="3">
        <f>SUMIF(PPvsREal!$C:$C,'PPvsREal Summary'!C152,PPvsREal!$T:$T)</f>
        <v>36252</v>
      </c>
      <c r="U152" s="3">
        <f>SUMIF(PPvsREal!$C:$C,'PPvsREal Summary'!C152,PPvsREal!$U:$U)</f>
        <v>0</v>
      </c>
      <c r="V152" s="3">
        <f>SUMIF(PPvsREal!$C:$C,'PPvsREal Summary'!C152,PPvsREal!$V:$V)</f>
        <v>15983.74</v>
      </c>
      <c r="W152" s="3">
        <f>SUMIF(PPvsREal!$C:$C,'PPvsREal Summary'!C152,PPvsREal!$W:$W)</f>
        <v>0</v>
      </c>
      <c r="X152" s="3">
        <f>SUMIF(PPvsREal!$C:$C,'PPvsREal Summary'!C152,PPvsREal!$X:$X)</f>
        <v>12444.4</v>
      </c>
      <c r="Y152" s="3">
        <f>SUMIF(PPvsREal!$C:$C,'PPvsREal Summary'!C152,PPvsREal!$Y:$Y)</f>
        <v>0</v>
      </c>
      <c r="Z152" s="3">
        <f>SUMIF(PPvsREal!$C:$C,'PPvsREal Summary'!C152,PPvsREal!$Z:$Z)</f>
        <v>12444.4</v>
      </c>
      <c r="AA152" s="190">
        <f>SUMIF(PPvsREal!$C:$C,'PPvsREal Summary'!C152,PPvsREal!$AA:$AA)</f>
        <v>0</v>
      </c>
      <c r="AB152" s="3"/>
      <c r="AC152" s="201">
        <f t="shared" ref="AC152:AD152" si="311">D152+F152+H152+J152+L152+N152+P152+R152+T152+V152+X152+Z152</f>
        <v>279866.3304</v>
      </c>
      <c r="AD152" s="201">
        <f t="shared" si="311"/>
        <v>0</v>
      </c>
      <c r="AE152" s="3"/>
      <c r="AF152" s="201">
        <f t="shared" ref="AF152:AG152" si="312">D152+F152+H152+J152+L152+N152+P152+R152+T152+V152+X152+Z152</f>
        <v>279866.3304</v>
      </c>
      <c r="AG152" s="201">
        <f t="shared" si="312"/>
        <v>0</v>
      </c>
    </row>
    <row r="153" ht="12.75" customHeight="1">
      <c r="A153" s="111"/>
      <c r="B153" s="188" t="s">
        <v>37</v>
      </c>
      <c r="C153" s="2" t="s">
        <v>345</v>
      </c>
      <c r="D153" s="189">
        <f>SUMIF(PPvsREal!$C:$C,'PPvsREal Summary'!C153,PPvsREal!$D:$D)</f>
        <v>0</v>
      </c>
      <c r="E153" s="3">
        <f>SUMIF(PPvsREal!$C:$C,'PPvsREal Summary'!C153,PPvsREal!$E:$E)</f>
        <v>0</v>
      </c>
      <c r="F153" s="3">
        <f>SUMIF(PPvsREal!$C:$C,'PPvsREal Summary'!C153,PPvsREal!$F:$F)</f>
        <v>22731.1912</v>
      </c>
      <c r="G153" s="3">
        <f>SUMIF(PPvsREal!$C:$C,'PPvsREal Summary'!C153,PPvsREal!$G:$G)</f>
        <v>0</v>
      </c>
      <c r="H153" s="3">
        <f>SUMIF(PPvsREal!$C:$C,'PPvsREal Summary'!C153,PPvsREal!$H:$H)</f>
        <v>4511.5932</v>
      </c>
      <c r="I153" s="3">
        <f>SUMIF(PPvsREal!$C:$C,'PPvsREal Summary'!C153,PPvsREal!$I:$I)</f>
        <v>0</v>
      </c>
      <c r="J153" s="3">
        <f>SUMIF(PPvsREal!$C:$C,'PPvsREal Summary'!C153,PPvsREal!$J:$J)</f>
        <v>2228.1942</v>
      </c>
      <c r="K153" s="3">
        <f>SUMIF(PPvsREal!$C:$C,'PPvsREal Summary'!C153,PPvsREal!$K:$K)</f>
        <v>0</v>
      </c>
      <c r="L153" s="3">
        <f>SUMIF(PPvsREal!$C:$C,'PPvsREal Summary'!C153,PPvsREal!$L:$L)</f>
        <v>0</v>
      </c>
      <c r="M153" s="3">
        <f>SUMIF(PPvsREal!$C:$C,'PPvsREal Summary'!C153,PPvsREal!$M:$M)</f>
        <v>0</v>
      </c>
      <c r="N153" s="3">
        <f>SUMIF(PPvsREal!$C:$C,'PPvsREal Summary'!C153,PPvsREal!$N:$N)</f>
        <v>1510.5</v>
      </c>
      <c r="O153" s="3">
        <f>SUMIF(PPvsREal!$C:$C,'PPvsREal Summary'!C153,PPvsREal!$O:$O)</f>
        <v>0</v>
      </c>
      <c r="P153" s="3">
        <f>SUMIF(PPvsREal!$C:$C,'PPvsREal Summary'!C153,PPvsREal!$P:$P)</f>
        <v>8474.7</v>
      </c>
      <c r="Q153" s="3">
        <f>SUMIF(PPvsREal!$C:$C,'PPvsREal Summary'!C153,PPvsREal!$Q:$Q)</f>
        <v>0</v>
      </c>
      <c r="R153" s="3">
        <f>SUMIF(PPvsREal!$C:$C,'PPvsREal Summary'!C153,PPvsREal!$R:$R)</f>
        <v>2546.7454</v>
      </c>
      <c r="S153" s="3">
        <f>SUMIF(PPvsREal!$C:$C,'PPvsREal Summary'!C153,PPvsREal!$S:$S)</f>
        <v>0</v>
      </c>
      <c r="T153" s="3">
        <f>SUMIF(PPvsREal!$C:$C,'PPvsREal Summary'!C153,PPvsREal!$T:$T)</f>
        <v>655.186</v>
      </c>
      <c r="U153" s="3">
        <f>SUMIF(PPvsREal!$C:$C,'PPvsREal Summary'!C153,PPvsREal!$U:$U)</f>
        <v>0</v>
      </c>
      <c r="V153" s="3">
        <f>SUMIF(PPvsREal!$C:$C,'PPvsREal Summary'!C153,PPvsREal!$V:$V)</f>
        <v>16960</v>
      </c>
      <c r="W153" s="3">
        <f>SUMIF(PPvsREal!$C:$C,'PPvsREal Summary'!C153,PPvsREal!$W:$W)</f>
        <v>0</v>
      </c>
      <c r="X153" s="3">
        <f>SUMIF(PPvsREal!$C:$C,'PPvsREal Summary'!C153,PPvsREal!$X:$X)</f>
        <v>0</v>
      </c>
      <c r="Y153" s="3">
        <f>SUMIF(PPvsREal!$C:$C,'PPvsREal Summary'!C153,PPvsREal!$Y:$Y)</f>
        <v>0</v>
      </c>
      <c r="Z153" s="3">
        <f>SUMIF(PPvsREal!$C:$C,'PPvsREal Summary'!C153,PPvsREal!$Z:$Z)</f>
        <v>0</v>
      </c>
      <c r="AA153" s="190">
        <f>SUMIF(PPvsREal!$C:$C,'PPvsREal Summary'!C153,PPvsREal!$AA:$AA)</f>
        <v>0</v>
      </c>
      <c r="AB153" s="3"/>
      <c r="AC153" s="201">
        <f t="shared" ref="AC153:AD153" si="313">D153+F153+H153+J153+L153+N153+P153+R153+T153+V153+X153+Z153</f>
        <v>59618.11</v>
      </c>
      <c r="AD153" s="201">
        <f t="shared" si="313"/>
        <v>0</v>
      </c>
      <c r="AE153" s="3"/>
      <c r="AF153" s="201">
        <f t="shared" ref="AF153:AG153" si="314">D153+F153+H153+J153+L153+N153+P153+R153+T153+V153+X153+Z153</f>
        <v>59618.11</v>
      </c>
      <c r="AG153" s="201">
        <f t="shared" si="314"/>
        <v>0</v>
      </c>
    </row>
    <row r="154" ht="12.75" customHeight="1">
      <c r="A154" s="111"/>
      <c r="B154" s="188" t="s">
        <v>37</v>
      </c>
      <c r="C154" s="2" t="s">
        <v>393</v>
      </c>
      <c r="D154" s="189">
        <f>SUMIF(PPvsREal!$C:$C,'PPvsREal Summary'!C154,PPvsREal!$D:$D)</f>
        <v>3516.6666</v>
      </c>
      <c r="E154" s="3">
        <f>SUMIF(PPvsREal!$C:$C,'PPvsREal Summary'!C154,PPvsREal!$E:$E)</f>
        <v>0</v>
      </c>
      <c r="F154" s="3">
        <f>SUMIF(PPvsREal!$C:$C,'PPvsREal Summary'!C154,PPvsREal!$F:$F)</f>
        <v>3516.6666</v>
      </c>
      <c r="G154" s="3">
        <f>SUMIF(PPvsREal!$C:$C,'PPvsREal Summary'!C154,PPvsREal!$G:$G)</f>
        <v>0</v>
      </c>
      <c r="H154" s="3">
        <f>SUMIF(PPvsREal!$C:$C,'PPvsREal Summary'!C154,PPvsREal!$H:$H)</f>
        <v>3516.6666</v>
      </c>
      <c r="I154" s="3">
        <f>SUMIF(PPvsREal!$C:$C,'PPvsREal Summary'!C154,PPvsREal!$I:$I)</f>
        <v>0</v>
      </c>
      <c r="J154" s="3">
        <f>SUMIF(PPvsREal!$C:$C,'PPvsREal Summary'!C154,PPvsREal!$J:$J)</f>
        <v>3516.6666</v>
      </c>
      <c r="K154" s="3">
        <f>SUMIF(PPvsREal!$C:$C,'PPvsREal Summary'!C154,PPvsREal!$K:$K)</f>
        <v>0</v>
      </c>
      <c r="L154" s="3">
        <f>SUMIF(PPvsREal!$C:$C,'PPvsREal Summary'!C154,PPvsREal!$L:$L)</f>
        <v>3516.6666</v>
      </c>
      <c r="M154" s="3">
        <f>SUMIF(PPvsREal!$C:$C,'PPvsREal Summary'!C154,PPvsREal!$M:$M)</f>
        <v>0</v>
      </c>
      <c r="N154" s="3">
        <f>SUMIF(PPvsREal!$C:$C,'PPvsREal Summary'!C154,PPvsREal!$N:$N)</f>
        <v>3516.6666</v>
      </c>
      <c r="O154" s="3">
        <f>SUMIF(PPvsREal!$C:$C,'PPvsREal Summary'!C154,PPvsREal!$O:$O)</f>
        <v>0</v>
      </c>
      <c r="P154" s="3">
        <f>SUMIF(PPvsREal!$C:$C,'PPvsREal Summary'!C154,PPvsREal!$P:$P)</f>
        <v>3516.6666</v>
      </c>
      <c r="Q154" s="3">
        <f>SUMIF(PPvsREal!$C:$C,'PPvsREal Summary'!C154,PPvsREal!$Q:$Q)</f>
        <v>0</v>
      </c>
      <c r="R154" s="3">
        <f>SUMIF(PPvsREal!$C:$C,'PPvsREal Summary'!C154,PPvsREal!$R:$R)</f>
        <v>3516.6666</v>
      </c>
      <c r="S154" s="3">
        <f>SUMIF(PPvsREal!$C:$C,'PPvsREal Summary'!C154,PPvsREal!$S:$S)</f>
        <v>0</v>
      </c>
      <c r="T154" s="3">
        <f>SUMIF(PPvsREal!$C:$C,'PPvsREal Summary'!C154,PPvsREal!$T:$T)</f>
        <v>3516.6666</v>
      </c>
      <c r="U154" s="3">
        <f>SUMIF(PPvsREal!$C:$C,'PPvsREal Summary'!C154,PPvsREal!$U:$U)</f>
        <v>0</v>
      </c>
      <c r="V154" s="3">
        <f>SUMIF(PPvsREal!$C:$C,'PPvsREal Summary'!C154,PPvsREal!$V:$V)</f>
        <v>3516.663067</v>
      </c>
      <c r="W154" s="3">
        <f>SUMIF(PPvsREal!$C:$C,'PPvsREal Summary'!C154,PPvsREal!$W:$W)</f>
        <v>0</v>
      </c>
      <c r="X154" s="3">
        <f>SUMIF(PPvsREal!$C:$C,'PPvsREal Summary'!C154,PPvsREal!$X:$X)</f>
        <v>3516.663067</v>
      </c>
      <c r="Y154" s="3">
        <f>SUMIF(PPvsREal!$C:$C,'PPvsREal Summary'!C154,PPvsREal!$Y:$Y)</f>
        <v>0</v>
      </c>
      <c r="Z154" s="3">
        <f>SUMIF(PPvsREal!$C:$C,'PPvsREal Summary'!C154,PPvsREal!$Z:$Z)</f>
        <v>3516.663067</v>
      </c>
      <c r="AA154" s="190">
        <f>SUMIF(PPvsREal!$C:$C,'PPvsREal Summary'!C154,PPvsREal!$AA:$AA)</f>
        <v>0</v>
      </c>
      <c r="AB154" s="3"/>
      <c r="AC154" s="201">
        <f t="shared" ref="AC154:AD154" si="315">D154+F154+H154+J154+L154+N154+P154+R154+T154+V154+X154+Z154</f>
        <v>42199.9886</v>
      </c>
      <c r="AD154" s="201">
        <f t="shared" si="315"/>
        <v>0</v>
      </c>
      <c r="AE154" s="3"/>
      <c r="AF154" s="201">
        <f t="shared" ref="AF154:AG154" si="316">D154+F154+H154+J154+L154+N154+P154+R154+T154+V154+X154+Z154</f>
        <v>42199.9886</v>
      </c>
      <c r="AG154" s="201">
        <f t="shared" si="316"/>
        <v>0</v>
      </c>
    </row>
    <row r="155" ht="12.75" customHeight="1">
      <c r="A155" s="111"/>
      <c r="B155" s="188" t="s">
        <v>37</v>
      </c>
      <c r="C155" s="2" t="s">
        <v>331</v>
      </c>
      <c r="D155" s="189">
        <f>SUMIF(PPvsREal!$C:$C,'PPvsREal Summary'!C155,PPvsREal!$D:$D)</f>
        <v>0</v>
      </c>
      <c r="E155" s="3">
        <f>SUMIF(PPvsREal!$C:$C,'PPvsREal Summary'!C155,PPvsREal!$E:$E)</f>
        <v>0</v>
      </c>
      <c r="F155" s="3">
        <f>SUMIF(PPvsREal!$C:$C,'PPvsREal Summary'!C155,PPvsREal!$F:$F)</f>
        <v>4133.9576</v>
      </c>
      <c r="G155" s="3">
        <f>SUMIF(PPvsREal!$C:$C,'PPvsREal Summary'!C155,PPvsREal!$G:$G)</f>
        <v>0</v>
      </c>
      <c r="H155" s="3">
        <f>SUMIF(PPvsREal!$C:$C,'PPvsREal Summary'!C155,PPvsREal!$H:$H)</f>
        <v>0</v>
      </c>
      <c r="I155" s="3">
        <f>SUMIF(PPvsREal!$C:$C,'PPvsREal Summary'!C155,PPvsREal!$I:$I)</f>
        <v>0</v>
      </c>
      <c r="J155" s="3">
        <f>SUMIF(PPvsREal!$C:$C,'PPvsREal Summary'!C155,PPvsREal!$J:$J)</f>
        <v>5319.1648</v>
      </c>
      <c r="K155" s="3">
        <f>SUMIF(PPvsREal!$C:$C,'PPvsREal Summary'!C155,PPvsREal!$K:$K)</f>
        <v>0</v>
      </c>
      <c r="L155" s="3">
        <f>SUMIF(PPvsREal!$C:$C,'PPvsREal Summary'!C155,PPvsREal!$L:$L)</f>
        <v>0</v>
      </c>
      <c r="M155" s="3">
        <f>SUMIF(PPvsREal!$C:$C,'PPvsREal Summary'!C155,PPvsREal!$M:$M)</f>
        <v>0</v>
      </c>
      <c r="N155" s="3">
        <f>SUMIF(PPvsREal!$C:$C,'PPvsREal Summary'!C155,PPvsREal!$N:$N)</f>
        <v>9836.959</v>
      </c>
      <c r="O155" s="3">
        <f>SUMIF(PPvsREal!$C:$C,'PPvsREal Summary'!C155,PPvsREal!$O:$O)</f>
        <v>0</v>
      </c>
      <c r="P155" s="3">
        <f>SUMIF(PPvsREal!$C:$C,'PPvsREal Summary'!C155,PPvsREal!$P:$P)</f>
        <v>0</v>
      </c>
      <c r="Q155" s="3">
        <f>SUMIF(PPvsREal!$C:$C,'PPvsREal Summary'!C155,PPvsREal!$Q:$Q)</f>
        <v>0</v>
      </c>
      <c r="R155" s="3">
        <f>SUMIF(PPvsREal!$C:$C,'PPvsREal Summary'!C155,PPvsREal!$R:$R)</f>
        <v>7966.4406</v>
      </c>
      <c r="S155" s="3">
        <f>SUMIF(PPvsREal!$C:$C,'PPvsREal Summary'!C155,PPvsREal!$S:$S)</f>
        <v>0</v>
      </c>
      <c r="T155" s="3">
        <f>SUMIF(PPvsREal!$C:$C,'PPvsREal Summary'!C155,PPvsREal!$T:$T)</f>
        <v>0</v>
      </c>
      <c r="U155" s="3">
        <f>SUMIF(PPvsREal!$C:$C,'PPvsREal Summary'!C155,PPvsREal!$U:$U)</f>
        <v>0</v>
      </c>
      <c r="V155" s="3">
        <f>SUMIF(PPvsREal!$C:$C,'PPvsREal Summary'!C155,PPvsREal!$V:$V)</f>
        <v>0</v>
      </c>
      <c r="W155" s="3">
        <f>SUMIF(PPvsREal!$C:$C,'PPvsREal Summary'!C155,PPvsREal!$W:$W)</f>
        <v>0</v>
      </c>
      <c r="X155" s="3">
        <f>SUMIF(PPvsREal!$C:$C,'PPvsREal Summary'!C155,PPvsREal!$X:$X)</f>
        <v>10070</v>
      </c>
      <c r="Y155" s="3">
        <f>SUMIF(PPvsREal!$C:$C,'PPvsREal Summary'!C155,PPvsREal!$Y:$Y)</f>
        <v>0</v>
      </c>
      <c r="Z155" s="3">
        <f>SUMIF(PPvsREal!$C:$C,'PPvsREal Summary'!C155,PPvsREal!$Z:$Z)</f>
        <v>0</v>
      </c>
      <c r="AA155" s="190">
        <f>SUMIF(PPvsREal!$C:$C,'PPvsREal Summary'!C155,PPvsREal!$AA:$AA)</f>
        <v>0</v>
      </c>
      <c r="AB155" s="3"/>
      <c r="AC155" s="201">
        <f t="shared" ref="AC155:AD155" si="317">D155+F155+H155+J155+L155+N155+P155+R155+T155+V155+X155+Z155</f>
        <v>37326.522</v>
      </c>
      <c r="AD155" s="201">
        <f t="shared" si="317"/>
        <v>0</v>
      </c>
      <c r="AE155" s="3"/>
      <c r="AF155" s="201">
        <f t="shared" ref="AF155:AG155" si="318">D155+F155+H155+J155+L155+N155+P155+R155+T155+V155+X155+Z155</f>
        <v>37326.522</v>
      </c>
      <c r="AG155" s="201">
        <f t="shared" si="318"/>
        <v>0</v>
      </c>
    </row>
    <row r="156" ht="12.75" customHeight="1">
      <c r="A156" s="111"/>
      <c r="B156" s="188" t="s">
        <v>37</v>
      </c>
      <c r="C156" s="2" t="s">
        <v>333</v>
      </c>
      <c r="D156" s="189">
        <f>SUMIF(PPvsREal!$C:$C,'PPvsREal Summary'!C156,PPvsREal!$D:$D)</f>
        <v>151.58</v>
      </c>
      <c r="E156" s="3">
        <f>SUMIF(PPvsREal!$C:$C,'PPvsREal Summary'!C156,PPvsREal!$E:$E)</f>
        <v>0</v>
      </c>
      <c r="F156" s="3">
        <f>SUMIF(PPvsREal!$C:$C,'PPvsREal Summary'!C156,PPvsREal!$F:$F)</f>
        <v>394.32</v>
      </c>
      <c r="G156" s="3">
        <f>SUMIF(PPvsREal!$C:$C,'PPvsREal Summary'!C156,PPvsREal!$G:$G)</f>
        <v>0</v>
      </c>
      <c r="H156" s="3">
        <f>SUMIF(PPvsREal!$C:$C,'PPvsREal Summary'!C156,PPvsREal!$H:$H)</f>
        <v>208.82</v>
      </c>
      <c r="I156" s="3">
        <f>SUMIF(PPvsREal!$C:$C,'PPvsREal Summary'!C156,PPvsREal!$I:$I)</f>
        <v>0</v>
      </c>
      <c r="J156" s="3">
        <f>SUMIF(PPvsREal!$C:$C,'PPvsREal Summary'!C156,PPvsREal!$J:$J)</f>
        <v>159</v>
      </c>
      <c r="K156" s="3">
        <f>SUMIF(PPvsREal!$C:$C,'PPvsREal Summary'!C156,PPvsREal!$K:$K)</f>
        <v>0</v>
      </c>
      <c r="L156" s="3">
        <f>SUMIF(PPvsREal!$C:$C,'PPvsREal Summary'!C156,PPvsREal!$L:$L)</f>
        <v>178.08</v>
      </c>
      <c r="M156" s="3">
        <f>SUMIF(PPvsREal!$C:$C,'PPvsREal Summary'!C156,PPvsREal!$M:$M)</f>
        <v>0</v>
      </c>
      <c r="N156" s="3">
        <f>SUMIF(PPvsREal!$C:$C,'PPvsREal Summary'!C156,PPvsREal!$N:$N)</f>
        <v>146.28</v>
      </c>
      <c r="O156" s="3">
        <f>SUMIF(PPvsREal!$C:$C,'PPvsREal Summary'!C156,PPvsREal!$O:$O)</f>
        <v>0</v>
      </c>
      <c r="P156" s="3">
        <f>SUMIF(PPvsREal!$C:$C,'PPvsREal Summary'!C156,PPvsREal!$P:$P)</f>
        <v>120.84</v>
      </c>
      <c r="Q156" s="3">
        <f>SUMIF(PPvsREal!$C:$C,'PPvsREal Summary'!C156,PPvsREal!$Q:$Q)</f>
        <v>0</v>
      </c>
      <c r="R156" s="3">
        <f>SUMIF(PPvsREal!$C:$C,'PPvsREal Summary'!C156,PPvsREal!$R:$R)</f>
        <v>125.08</v>
      </c>
      <c r="S156" s="3">
        <f>SUMIF(PPvsREal!$C:$C,'PPvsREal Summary'!C156,PPvsREal!$S:$S)</f>
        <v>0</v>
      </c>
      <c r="T156" s="3">
        <f>SUMIF(PPvsREal!$C:$C,'PPvsREal Summary'!C156,PPvsREal!$T:$T)</f>
        <v>155.82</v>
      </c>
      <c r="U156" s="3">
        <f>SUMIF(PPvsREal!$C:$C,'PPvsREal Summary'!C156,PPvsREal!$U:$U)</f>
        <v>0</v>
      </c>
      <c r="V156" s="3">
        <f>SUMIF(PPvsREal!$C:$C,'PPvsREal Summary'!C156,PPvsREal!$V:$V)</f>
        <v>848</v>
      </c>
      <c r="W156" s="3">
        <f>SUMIF(PPvsREal!$C:$C,'PPvsREal Summary'!C156,PPvsREal!$W:$W)</f>
        <v>0</v>
      </c>
      <c r="X156" s="3">
        <f>SUMIF(PPvsREal!$C:$C,'PPvsREal Summary'!C156,PPvsREal!$X:$X)</f>
        <v>848</v>
      </c>
      <c r="Y156" s="3">
        <f>SUMIF(PPvsREal!$C:$C,'PPvsREal Summary'!C156,PPvsREal!$Y:$Y)</f>
        <v>0</v>
      </c>
      <c r="Z156" s="3">
        <f>SUMIF(PPvsREal!$C:$C,'PPvsREal Summary'!C156,PPvsREal!$Z:$Z)</f>
        <v>848</v>
      </c>
      <c r="AA156" s="190">
        <f>SUMIF(PPvsREal!$C:$C,'PPvsREal Summary'!C156,PPvsREal!$AA:$AA)</f>
        <v>0</v>
      </c>
      <c r="AB156" s="3"/>
      <c r="AC156" s="201">
        <f t="shared" ref="AC156:AD156" si="319">D156+F156+H156+J156+L156+N156+P156+R156+T156+V156+X156+Z156</f>
        <v>4183.82</v>
      </c>
      <c r="AD156" s="201">
        <f t="shared" si="319"/>
        <v>0</v>
      </c>
      <c r="AE156" s="3"/>
      <c r="AF156" s="201">
        <f t="shared" ref="AF156:AG156" si="320">D156+F156+H156+J156+L156+N156+P156+R156+T156+V156+X156+Z156</f>
        <v>4183.82</v>
      </c>
      <c r="AG156" s="201">
        <f t="shared" si="320"/>
        <v>0</v>
      </c>
    </row>
    <row r="157" ht="12.75" customHeight="1">
      <c r="A157" s="111"/>
      <c r="B157" s="188" t="s">
        <v>37</v>
      </c>
      <c r="C157" s="2" t="s">
        <v>335</v>
      </c>
      <c r="D157" s="189">
        <f>SUMIF(PPvsREal!$C:$C,'PPvsREal Summary'!C157,PPvsREal!$D:$D)</f>
        <v>13976.1</v>
      </c>
      <c r="E157" s="3">
        <f>SUMIF(PPvsREal!$C:$C,'PPvsREal Summary'!C157,PPvsREal!$E:$E)</f>
        <v>0</v>
      </c>
      <c r="F157" s="3">
        <f>SUMIF(PPvsREal!$C:$C,'PPvsREal Summary'!C157,PPvsREal!$F:$F)</f>
        <v>0</v>
      </c>
      <c r="G157" s="3">
        <f>SUMIF(PPvsREal!$C:$C,'PPvsREal Summary'!C157,PPvsREal!$G:$G)</f>
        <v>0</v>
      </c>
      <c r="H157" s="3">
        <f>SUMIF(PPvsREal!$C:$C,'PPvsREal Summary'!C157,PPvsREal!$H:$H)</f>
        <v>0</v>
      </c>
      <c r="I157" s="3">
        <f>SUMIF(PPvsREal!$C:$C,'PPvsREal Summary'!C157,PPvsREal!$I:$I)</f>
        <v>0</v>
      </c>
      <c r="J157" s="3">
        <f>SUMIF(PPvsREal!$C:$C,'PPvsREal Summary'!C157,PPvsREal!$J:$J)</f>
        <v>0</v>
      </c>
      <c r="K157" s="3">
        <f>SUMIF(PPvsREal!$C:$C,'PPvsREal Summary'!C157,PPvsREal!$K:$K)</f>
        <v>0</v>
      </c>
      <c r="L157" s="3">
        <f>SUMIF(PPvsREal!$C:$C,'PPvsREal Summary'!C157,PPvsREal!$L:$L)</f>
        <v>0</v>
      </c>
      <c r="M157" s="3">
        <f>SUMIF(PPvsREal!$C:$C,'PPvsREal Summary'!C157,PPvsREal!$M:$M)</f>
        <v>0</v>
      </c>
      <c r="N157" s="3">
        <f>SUMIF(PPvsREal!$C:$C,'PPvsREal Summary'!C157,PPvsREal!$N:$N)</f>
        <v>0</v>
      </c>
      <c r="O157" s="3">
        <f>SUMIF(PPvsREal!$C:$C,'PPvsREal Summary'!C157,PPvsREal!$O:$O)</f>
        <v>0</v>
      </c>
      <c r="P157" s="3">
        <f>SUMIF(PPvsREal!$C:$C,'PPvsREal Summary'!C157,PPvsREal!$P:$P)</f>
        <v>0</v>
      </c>
      <c r="Q157" s="3">
        <f>SUMIF(PPvsREal!$C:$C,'PPvsREal Summary'!C157,PPvsREal!$Q:$Q)</f>
        <v>0</v>
      </c>
      <c r="R157" s="3">
        <f>SUMIF(PPvsREal!$C:$C,'PPvsREal Summary'!C157,PPvsREal!$R:$R)</f>
        <v>0</v>
      </c>
      <c r="S157" s="3">
        <f>SUMIF(PPvsREal!$C:$C,'PPvsREal Summary'!C157,PPvsREal!$S:$S)</f>
        <v>0</v>
      </c>
      <c r="T157" s="3">
        <f>SUMIF(PPvsREal!$C:$C,'PPvsREal Summary'!C157,PPvsREal!$T:$T)</f>
        <v>0</v>
      </c>
      <c r="U157" s="3">
        <f>SUMIF(PPvsREal!$C:$C,'PPvsREal Summary'!C157,PPvsREal!$U:$U)</f>
        <v>0</v>
      </c>
      <c r="V157" s="3">
        <f>SUMIF(PPvsREal!$C:$C,'PPvsREal Summary'!C157,PPvsREal!$V:$V)</f>
        <v>0</v>
      </c>
      <c r="W157" s="3">
        <f>SUMIF(PPvsREal!$C:$C,'PPvsREal Summary'!C157,PPvsREal!$W:$W)</f>
        <v>0</v>
      </c>
      <c r="X157" s="3">
        <f>SUMIF(PPvsREal!$C:$C,'PPvsREal Summary'!C157,PPvsREal!$X:$X)</f>
        <v>0</v>
      </c>
      <c r="Y157" s="3">
        <f>SUMIF(PPvsREal!$C:$C,'PPvsREal Summary'!C157,PPvsREal!$Y:$Y)</f>
        <v>0</v>
      </c>
      <c r="Z157" s="3">
        <f>SUMIF(PPvsREal!$C:$C,'PPvsREal Summary'!C157,PPvsREal!$Z:$Z)</f>
        <v>0</v>
      </c>
      <c r="AA157" s="190">
        <f>SUMIF(PPvsREal!$C:$C,'PPvsREal Summary'!C157,PPvsREal!$AA:$AA)</f>
        <v>0</v>
      </c>
      <c r="AB157" s="3"/>
      <c r="AC157" s="201">
        <f t="shared" ref="AC157:AD157" si="321">D157+F157+H157+J157+L157+N157+P157+R157+T157+V157+X157+Z157</f>
        <v>13976.1</v>
      </c>
      <c r="AD157" s="201">
        <f t="shared" si="321"/>
        <v>0</v>
      </c>
      <c r="AE157" s="3"/>
      <c r="AF157" s="201">
        <f t="shared" ref="AF157:AG157" si="322">D157+F157+H157+J157+L157+N157+P157+R157+T157+V157+X157+Z157</f>
        <v>13976.1</v>
      </c>
      <c r="AG157" s="201">
        <f t="shared" si="322"/>
        <v>0</v>
      </c>
    </row>
    <row r="158" ht="12.75" customHeight="1">
      <c r="A158" s="111"/>
      <c r="B158" s="188" t="s">
        <v>426</v>
      </c>
      <c r="C158" s="2" t="s">
        <v>281</v>
      </c>
      <c r="D158" s="189">
        <f>SUMIF(PPvsREal!$C:$C,'PPvsREal Summary'!C158,PPvsREal!$D:$D)</f>
        <v>11102.5</v>
      </c>
      <c r="E158" s="3">
        <f>SUMIF(PPvsREal!$C:$C,'PPvsREal Summary'!C158,PPvsREal!$E:$E)</f>
        <v>0</v>
      </c>
      <c r="F158" s="3">
        <f>SUMIF(PPvsREal!$C:$C,'PPvsREal Summary'!C158,PPvsREal!$F:$F)</f>
        <v>11102.5</v>
      </c>
      <c r="G158" s="3">
        <f>SUMIF(PPvsREal!$C:$C,'PPvsREal Summary'!C158,PPvsREal!$G:$G)</f>
        <v>8000</v>
      </c>
      <c r="H158" s="3">
        <f>SUMIF(PPvsREal!$C:$C,'PPvsREal Summary'!C158,PPvsREal!$H:$H)</f>
        <v>11102.5</v>
      </c>
      <c r="I158" s="3">
        <f>SUMIF(PPvsREal!$C:$C,'PPvsREal Summary'!C158,PPvsREal!$I:$I)</f>
        <v>8000</v>
      </c>
      <c r="J158" s="3">
        <f>SUMIF(PPvsREal!$C:$C,'PPvsREal Summary'!C158,PPvsREal!$J:$J)</f>
        <v>11102.5</v>
      </c>
      <c r="K158" s="3">
        <f>SUMIF(PPvsREal!$C:$C,'PPvsREal Summary'!C158,PPvsREal!$K:$K)</f>
        <v>8000</v>
      </c>
      <c r="L158" s="3">
        <f>SUMIF(PPvsREal!$C:$C,'PPvsREal Summary'!C158,PPvsREal!$L:$L)</f>
        <v>11102.5</v>
      </c>
      <c r="M158" s="3">
        <f>SUMIF(PPvsREal!$C:$C,'PPvsREal Summary'!C158,PPvsREal!$M:$M)</f>
        <v>8000</v>
      </c>
      <c r="N158" s="3">
        <f>SUMIF(PPvsREal!$C:$C,'PPvsREal Summary'!C158,PPvsREal!$N:$N)</f>
        <v>11102.5</v>
      </c>
      <c r="O158" s="3">
        <f>SUMIF(PPvsREal!$C:$C,'PPvsREal Summary'!C158,PPvsREal!$O:$O)</f>
        <v>8000</v>
      </c>
      <c r="P158" s="3">
        <f>SUMIF(PPvsREal!$C:$C,'PPvsREal Summary'!C158,PPvsREal!$P:$P)</f>
        <v>11102.5</v>
      </c>
      <c r="Q158" s="3">
        <f>SUMIF(PPvsREal!$C:$C,'PPvsREal Summary'!C158,PPvsREal!$Q:$Q)</f>
        <v>8000</v>
      </c>
      <c r="R158" s="3">
        <f>SUMIF(PPvsREal!$C:$C,'PPvsREal Summary'!C158,PPvsREal!$R:$R)</f>
        <v>11102.5</v>
      </c>
      <c r="S158" s="3">
        <f>SUMIF(PPvsREal!$C:$C,'PPvsREal Summary'!C158,PPvsREal!$S:$S)</f>
        <v>8000</v>
      </c>
      <c r="T158" s="3">
        <f>SUMIF(PPvsREal!$C:$C,'PPvsREal Summary'!C158,PPvsREal!$T:$T)</f>
        <v>11102.5</v>
      </c>
      <c r="U158" s="3">
        <f>SUMIF(PPvsREal!$C:$C,'PPvsREal Summary'!C158,PPvsREal!$U:$U)</f>
        <v>8000</v>
      </c>
      <c r="V158" s="3">
        <f>SUMIF(PPvsREal!$C:$C,'PPvsREal Summary'!C158,PPvsREal!$V:$V)</f>
        <v>11102.5</v>
      </c>
      <c r="W158" s="3">
        <f>SUMIF(PPvsREal!$C:$C,'PPvsREal Summary'!C158,PPvsREal!$W:$W)</f>
        <v>8000</v>
      </c>
      <c r="X158" s="3">
        <f>SUMIF(PPvsREal!$C:$C,'PPvsREal Summary'!C158,PPvsREal!$X:$X)</f>
        <v>11102.5</v>
      </c>
      <c r="Y158" s="3">
        <f>SUMIF(PPvsREal!$C:$C,'PPvsREal Summary'!C158,PPvsREal!$Y:$Y)</f>
        <v>8000</v>
      </c>
      <c r="Z158" s="3">
        <f>SUMIF(PPvsREal!$C:$C,'PPvsREal Summary'!C158,PPvsREal!$Z:$Z)</f>
        <v>11102.5</v>
      </c>
      <c r="AA158" s="190">
        <f>SUMIF(PPvsREal!$C:$C,'PPvsREal Summary'!C158,PPvsREal!$AA:$AA)</f>
        <v>0</v>
      </c>
      <c r="AB158" s="3"/>
      <c r="AC158" s="201">
        <f t="shared" ref="AC158:AD158" si="323">D158+F158+H158+J158+L158+N158+P158+R158+T158+V158+X158+Z158</f>
        <v>133230</v>
      </c>
      <c r="AD158" s="201">
        <f t="shared" si="323"/>
        <v>80000</v>
      </c>
      <c r="AE158" s="3"/>
      <c r="AF158" s="201">
        <f t="shared" ref="AF158:AG158" si="324">D158+F158+H158+J158+L158+N158+P158+R158+T158+V158+X158+Z158</f>
        <v>133230</v>
      </c>
      <c r="AG158" s="201">
        <f t="shared" si="324"/>
        <v>80000</v>
      </c>
    </row>
    <row r="159" ht="12.75" customHeight="1">
      <c r="A159" s="111"/>
      <c r="B159" s="188" t="s">
        <v>426</v>
      </c>
      <c r="C159" s="2" t="s">
        <v>283</v>
      </c>
      <c r="D159" s="189">
        <f>SUMIF(PPvsREal!$C:$C,'PPvsREal Summary'!C159,PPvsREal!$D:$D)</f>
        <v>910</v>
      </c>
      <c r="E159" s="3">
        <f>SUMIF(PPvsREal!$C:$C,'PPvsREal Summary'!C159,PPvsREal!$E:$E)</f>
        <v>0</v>
      </c>
      <c r="F159" s="3">
        <f>SUMIF(PPvsREal!$C:$C,'PPvsREal Summary'!C159,PPvsREal!$F:$F)</f>
        <v>910</v>
      </c>
      <c r="G159" s="3">
        <f>SUMIF(PPvsREal!$C:$C,'PPvsREal Summary'!C159,PPvsREal!$G:$G)</f>
        <v>0</v>
      </c>
      <c r="H159" s="3">
        <f>SUMIF(PPvsREal!$C:$C,'PPvsREal Summary'!C159,PPvsREal!$H:$H)</f>
        <v>910</v>
      </c>
      <c r="I159" s="3">
        <f>SUMIF(PPvsREal!$C:$C,'PPvsREal Summary'!C159,PPvsREal!$I:$I)</f>
        <v>0</v>
      </c>
      <c r="J159" s="3">
        <f>SUMIF(PPvsREal!$C:$C,'PPvsREal Summary'!C159,PPvsREal!$J:$J)</f>
        <v>910</v>
      </c>
      <c r="K159" s="3">
        <f>SUMIF(PPvsREal!$C:$C,'PPvsREal Summary'!C159,PPvsREal!$K:$K)</f>
        <v>0</v>
      </c>
      <c r="L159" s="3">
        <f>SUMIF(PPvsREal!$C:$C,'PPvsREal Summary'!C159,PPvsREal!$L:$L)</f>
        <v>910</v>
      </c>
      <c r="M159" s="3">
        <f>SUMIF(PPvsREal!$C:$C,'PPvsREal Summary'!C159,PPvsREal!$M:$M)</f>
        <v>0</v>
      </c>
      <c r="N159" s="3">
        <f>SUMIF(PPvsREal!$C:$C,'PPvsREal Summary'!C159,PPvsREal!$N:$N)</f>
        <v>910</v>
      </c>
      <c r="O159" s="3">
        <f>SUMIF(PPvsREal!$C:$C,'PPvsREal Summary'!C159,PPvsREal!$O:$O)</f>
        <v>0</v>
      </c>
      <c r="P159" s="3">
        <f>SUMIF(PPvsREal!$C:$C,'PPvsREal Summary'!C159,PPvsREal!$P:$P)</f>
        <v>910</v>
      </c>
      <c r="Q159" s="3">
        <f>SUMIF(PPvsREal!$C:$C,'PPvsREal Summary'!C159,PPvsREal!$Q:$Q)</f>
        <v>0</v>
      </c>
      <c r="R159" s="3">
        <f>SUMIF(PPvsREal!$C:$C,'PPvsREal Summary'!C159,PPvsREal!$R:$R)</f>
        <v>910</v>
      </c>
      <c r="S159" s="3">
        <f>SUMIF(PPvsREal!$C:$C,'PPvsREal Summary'!C159,PPvsREal!$S:$S)</f>
        <v>0</v>
      </c>
      <c r="T159" s="3">
        <f>SUMIF(PPvsREal!$C:$C,'PPvsREal Summary'!C159,PPvsREal!$T:$T)</f>
        <v>910</v>
      </c>
      <c r="U159" s="3">
        <f>SUMIF(PPvsREal!$C:$C,'PPvsREal Summary'!C159,PPvsREal!$U:$U)</f>
        <v>0</v>
      </c>
      <c r="V159" s="3">
        <f>SUMIF(PPvsREal!$C:$C,'PPvsREal Summary'!C159,PPvsREal!$V:$V)</f>
        <v>910</v>
      </c>
      <c r="W159" s="3">
        <f>SUMIF(PPvsREal!$C:$C,'PPvsREal Summary'!C159,PPvsREal!$W:$W)</f>
        <v>0</v>
      </c>
      <c r="X159" s="3">
        <f>SUMIF(PPvsREal!$C:$C,'PPvsREal Summary'!C159,PPvsREal!$X:$X)</f>
        <v>910</v>
      </c>
      <c r="Y159" s="3">
        <f>SUMIF(PPvsREal!$C:$C,'PPvsREal Summary'!C159,PPvsREal!$Y:$Y)</f>
        <v>0</v>
      </c>
      <c r="Z159" s="3">
        <f>SUMIF(PPvsREal!$C:$C,'PPvsREal Summary'!C159,PPvsREal!$Z:$Z)</f>
        <v>910</v>
      </c>
      <c r="AA159" s="190">
        <f>SUMIF(PPvsREal!$C:$C,'PPvsREal Summary'!C159,PPvsREal!$AA:$AA)</f>
        <v>0</v>
      </c>
      <c r="AB159" s="3"/>
      <c r="AC159" s="201">
        <f t="shared" ref="AC159:AD159" si="325">D159+F159+H159+J159+L159+N159+P159+R159+T159+V159+X159+Z159</f>
        <v>10920</v>
      </c>
      <c r="AD159" s="201">
        <f t="shared" si="325"/>
        <v>0</v>
      </c>
      <c r="AE159" s="3"/>
      <c r="AF159" s="201">
        <f t="shared" ref="AF159:AG159" si="326">D159+F159+H159+J159+L159+N159+P159+R159+T159+V159+X159+Z159</f>
        <v>10920</v>
      </c>
      <c r="AG159" s="201">
        <f t="shared" si="326"/>
        <v>0</v>
      </c>
    </row>
    <row r="160" ht="12.75" customHeight="1">
      <c r="A160" s="111"/>
      <c r="B160" s="188" t="s">
        <v>426</v>
      </c>
      <c r="C160" s="2" t="s">
        <v>285</v>
      </c>
      <c r="D160" s="189">
        <f>SUMIF(PPvsREal!$C:$C,'PPvsREal Summary'!C160,PPvsREal!$D:$D)</f>
        <v>987.5</v>
      </c>
      <c r="E160" s="3">
        <f>SUMIF(PPvsREal!$C:$C,'PPvsREal Summary'!C160,PPvsREal!$E:$E)</f>
        <v>0</v>
      </c>
      <c r="F160" s="3">
        <f>SUMIF(PPvsREal!$C:$C,'PPvsREal Summary'!C160,PPvsREal!$F:$F)</f>
        <v>987.5</v>
      </c>
      <c r="G160" s="3">
        <f>SUMIF(PPvsREal!$C:$C,'PPvsREal Summary'!C160,PPvsREal!$G:$G)</f>
        <v>0</v>
      </c>
      <c r="H160" s="3">
        <f>SUMIF(PPvsREal!$C:$C,'PPvsREal Summary'!C160,PPvsREal!$H:$H)</f>
        <v>987.5</v>
      </c>
      <c r="I160" s="3">
        <f>SUMIF(PPvsREal!$C:$C,'PPvsREal Summary'!C160,PPvsREal!$I:$I)</f>
        <v>0</v>
      </c>
      <c r="J160" s="3">
        <f>SUMIF(PPvsREal!$C:$C,'PPvsREal Summary'!C160,PPvsREal!$J:$J)</f>
        <v>987.5</v>
      </c>
      <c r="K160" s="3">
        <f>SUMIF(PPvsREal!$C:$C,'PPvsREal Summary'!C160,PPvsREal!$K:$K)</f>
        <v>0</v>
      </c>
      <c r="L160" s="3">
        <f>SUMIF(PPvsREal!$C:$C,'PPvsREal Summary'!C160,PPvsREal!$L:$L)</f>
        <v>987.5</v>
      </c>
      <c r="M160" s="3">
        <f>SUMIF(PPvsREal!$C:$C,'PPvsREal Summary'!C160,PPvsREal!$M:$M)</f>
        <v>0</v>
      </c>
      <c r="N160" s="3">
        <f>SUMIF(PPvsREal!$C:$C,'PPvsREal Summary'!C160,PPvsREal!$N:$N)</f>
        <v>987.5</v>
      </c>
      <c r="O160" s="3">
        <f>SUMIF(PPvsREal!$C:$C,'PPvsREal Summary'!C160,PPvsREal!$O:$O)</f>
        <v>0</v>
      </c>
      <c r="P160" s="3">
        <f>SUMIF(PPvsREal!$C:$C,'PPvsREal Summary'!C160,PPvsREal!$P:$P)</f>
        <v>987.5</v>
      </c>
      <c r="Q160" s="3">
        <f>SUMIF(PPvsREal!$C:$C,'PPvsREal Summary'!C160,PPvsREal!$Q:$Q)</f>
        <v>0</v>
      </c>
      <c r="R160" s="3">
        <f>SUMIF(PPvsREal!$C:$C,'PPvsREal Summary'!C160,PPvsREal!$R:$R)</f>
        <v>987.5</v>
      </c>
      <c r="S160" s="3">
        <f>SUMIF(PPvsREal!$C:$C,'PPvsREal Summary'!C160,PPvsREal!$S:$S)</f>
        <v>0</v>
      </c>
      <c r="T160" s="3">
        <f>SUMIF(PPvsREal!$C:$C,'PPvsREal Summary'!C160,PPvsREal!$T:$T)</f>
        <v>987.5</v>
      </c>
      <c r="U160" s="3">
        <f>SUMIF(PPvsREal!$C:$C,'PPvsREal Summary'!C160,PPvsREal!$U:$U)</f>
        <v>0</v>
      </c>
      <c r="V160" s="3">
        <f>SUMIF(PPvsREal!$C:$C,'PPvsREal Summary'!C160,PPvsREal!$V:$V)</f>
        <v>987.5</v>
      </c>
      <c r="W160" s="3">
        <f>SUMIF(PPvsREal!$C:$C,'PPvsREal Summary'!C160,PPvsREal!$W:$W)</f>
        <v>0</v>
      </c>
      <c r="X160" s="3">
        <f>SUMIF(PPvsREal!$C:$C,'PPvsREal Summary'!C160,PPvsREal!$X:$X)</f>
        <v>987.5</v>
      </c>
      <c r="Y160" s="3">
        <f>SUMIF(PPvsREal!$C:$C,'PPvsREal Summary'!C160,PPvsREal!$Y:$Y)</f>
        <v>0</v>
      </c>
      <c r="Z160" s="3">
        <f>SUMIF(PPvsREal!$C:$C,'PPvsREal Summary'!C160,PPvsREal!$Z:$Z)</f>
        <v>987.5</v>
      </c>
      <c r="AA160" s="190">
        <f>SUMIF(PPvsREal!$C:$C,'PPvsREal Summary'!C160,PPvsREal!$AA:$AA)</f>
        <v>0</v>
      </c>
      <c r="AB160" s="3"/>
      <c r="AC160" s="201">
        <f t="shared" ref="AC160:AD160" si="327">D160+F160+H160+J160+L160+N160+P160+R160+T160+V160+X160+Z160</f>
        <v>11850</v>
      </c>
      <c r="AD160" s="201">
        <f t="shared" si="327"/>
        <v>0</v>
      </c>
      <c r="AE160" s="3"/>
      <c r="AF160" s="201">
        <f t="shared" ref="AF160:AG160" si="328">D160+F160+H160+J160+L160+N160+P160+R160+T160+V160+X160+Z160</f>
        <v>11850</v>
      </c>
      <c r="AG160" s="201">
        <f t="shared" si="328"/>
        <v>0</v>
      </c>
    </row>
    <row r="161" ht="12.75" customHeight="1">
      <c r="A161" s="111"/>
      <c r="B161" s="188" t="s">
        <v>425</v>
      </c>
      <c r="C161" s="2" t="s">
        <v>266</v>
      </c>
      <c r="D161" s="189">
        <f>SUMIF(PPvsREal!$C:$C,'PPvsREal Summary'!C161,PPvsREal!$D:$D)</f>
        <v>13949.9</v>
      </c>
      <c r="E161" s="3">
        <f>SUMIF(PPvsREal!$C:$C,'PPvsREal Summary'!C161,PPvsREal!$E:$E)</f>
        <v>0</v>
      </c>
      <c r="F161" s="3">
        <f>SUMIF(PPvsREal!$C:$C,'PPvsREal Summary'!C161,PPvsREal!$F:$F)</f>
        <v>13949.9</v>
      </c>
      <c r="G161" s="3">
        <f>SUMIF(PPvsREal!$C:$C,'PPvsREal Summary'!C161,PPvsREal!$G:$G)</f>
        <v>0</v>
      </c>
      <c r="H161" s="3">
        <f>SUMIF(PPvsREal!$C:$C,'PPvsREal Summary'!C161,PPvsREal!$H:$H)</f>
        <v>13949.9</v>
      </c>
      <c r="I161" s="3">
        <f>SUMIF(PPvsREal!$C:$C,'PPvsREal Summary'!C161,PPvsREal!$I:$I)</f>
        <v>0</v>
      </c>
      <c r="J161" s="3">
        <f>SUMIF(PPvsREal!$C:$C,'PPvsREal Summary'!C161,PPvsREal!$J:$J)</f>
        <v>13949.9</v>
      </c>
      <c r="K161" s="3">
        <f>SUMIF(PPvsREal!$C:$C,'PPvsREal Summary'!C161,PPvsREal!$K:$K)</f>
        <v>0</v>
      </c>
      <c r="L161" s="3">
        <f>SUMIF(PPvsREal!$C:$C,'PPvsREal Summary'!C161,PPvsREal!$L:$L)</f>
        <v>13949.9</v>
      </c>
      <c r="M161" s="3">
        <f>SUMIF(PPvsREal!$C:$C,'PPvsREal Summary'!C161,PPvsREal!$M:$M)</f>
        <v>0</v>
      </c>
      <c r="N161" s="3">
        <f>SUMIF(PPvsREal!$C:$C,'PPvsREal Summary'!C161,PPvsREal!$N:$N)</f>
        <v>13949.9</v>
      </c>
      <c r="O161" s="3">
        <f>SUMIF(PPvsREal!$C:$C,'PPvsREal Summary'!C161,PPvsREal!$O:$O)</f>
        <v>0</v>
      </c>
      <c r="P161" s="3">
        <f>SUMIF(PPvsREal!$C:$C,'PPvsREal Summary'!C161,PPvsREal!$P:$P)</f>
        <v>13949.9</v>
      </c>
      <c r="Q161" s="3">
        <f>SUMIF(PPvsREal!$C:$C,'PPvsREal Summary'!C161,PPvsREal!$Q:$Q)</f>
        <v>0</v>
      </c>
      <c r="R161" s="3">
        <f>SUMIF(PPvsREal!$C:$C,'PPvsREal Summary'!C161,PPvsREal!$R:$R)</f>
        <v>13949.9</v>
      </c>
      <c r="S161" s="3">
        <f>SUMIF(PPvsREal!$C:$C,'PPvsREal Summary'!C161,PPvsREal!$S:$S)</f>
        <v>0</v>
      </c>
      <c r="T161" s="3">
        <f>SUMIF(PPvsREal!$C:$C,'PPvsREal Summary'!C161,PPvsREal!$T:$T)</f>
        <v>13949.9</v>
      </c>
      <c r="U161" s="3">
        <f>SUMIF(PPvsREal!$C:$C,'PPvsREal Summary'!C161,PPvsREal!$U:$U)</f>
        <v>0</v>
      </c>
      <c r="V161" s="3">
        <f>SUMIF(PPvsREal!$C:$C,'PPvsREal Summary'!C161,PPvsREal!$V:$V)</f>
        <v>13949.9</v>
      </c>
      <c r="W161" s="3">
        <f>SUMIF(PPvsREal!$C:$C,'PPvsREal Summary'!C161,PPvsREal!$W:$W)</f>
        <v>0</v>
      </c>
      <c r="X161" s="3">
        <f>SUMIF(PPvsREal!$C:$C,'PPvsREal Summary'!C161,PPvsREal!$X:$X)</f>
        <v>13949.9</v>
      </c>
      <c r="Y161" s="3">
        <f>SUMIF(PPvsREal!$C:$C,'PPvsREal Summary'!C161,PPvsREal!$Y:$Y)</f>
        <v>0</v>
      </c>
      <c r="Z161" s="3">
        <f>SUMIF(PPvsREal!$C:$C,'PPvsREal Summary'!C161,PPvsREal!$Z:$Z)</f>
        <v>13949.9</v>
      </c>
      <c r="AA161" s="190">
        <f>SUMIF(PPvsREal!$C:$C,'PPvsREal Summary'!C161,PPvsREal!$AA:$AA)</f>
        <v>0</v>
      </c>
      <c r="AB161" s="3"/>
      <c r="AC161" s="201">
        <f t="shared" ref="AC161:AD161" si="329">D161+F161+H161+J161+L161+N161+P161+R161+T161+V161+X161+Z161</f>
        <v>167398.8</v>
      </c>
      <c r="AD161" s="201">
        <f t="shared" si="329"/>
        <v>0</v>
      </c>
      <c r="AE161" s="3"/>
      <c r="AF161" s="201">
        <f t="shared" ref="AF161:AG161" si="330">D161+F161+H161+J161+L161+N161+P161+R161+T161+V161+X161+Z161</f>
        <v>167398.8</v>
      </c>
      <c r="AG161" s="201">
        <f t="shared" si="330"/>
        <v>0</v>
      </c>
    </row>
    <row r="162" ht="12.75" customHeight="1">
      <c r="A162" s="111"/>
      <c r="B162" s="188" t="s">
        <v>425</v>
      </c>
      <c r="C162" s="2" t="s">
        <v>268</v>
      </c>
      <c r="D162" s="189">
        <f>SUMIF(PPvsREal!$C:$C,'PPvsREal Summary'!C162,PPvsREal!$D:$D)</f>
        <v>127.2</v>
      </c>
      <c r="E162" s="3">
        <f>SUMIF(PPvsREal!$C:$C,'PPvsREal Summary'!C162,PPvsREal!$E:$E)</f>
        <v>0</v>
      </c>
      <c r="F162" s="3">
        <f>SUMIF(PPvsREal!$C:$C,'PPvsREal Summary'!C162,PPvsREal!$F:$F)</f>
        <v>127.2</v>
      </c>
      <c r="G162" s="3">
        <f>SUMIF(PPvsREal!$C:$C,'PPvsREal Summary'!C162,PPvsREal!$G:$G)</f>
        <v>0</v>
      </c>
      <c r="H162" s="3">
        <f>SUMIF(PPvsREal!$C:$C,'PPvsREal Summary'!C162,PPvsREal!$H:$H)</f>
        <v>127.2</v>
      </c>
      <c r="I162" s="3">
        <f>SUMIF(PPvsREal!$C:$C,'PPvsREal Summary'!C162,PPvsREal!$I:$I)</f>
        <v>0</v>
      </c>
      <c r="J162" s="3">
        <f>SUMIF(PPvsREal!$C:$C,'PPvsREal Summary'!C162,PPvsREal!$J:$J)</f>
        <v>127.2</v>
      </c>
      <c r="K162" s="3">
        <f>SUMIF(PPvsREal!$C:$C,'PPvsREal Summary'!C162,PPvsREal!$K:$K)</f>
        <v>0</v>
      </c>
      <c r="L162" s="3">
        <f>SUMIF(PPvsREal!$C:$C,'PPvsREal Summary'!C162,PPvsREal!$L:$L)</f>
        <v>127.2</v>
      </c>
      <c r="M162" s="3">
        <f>SUMIF(PPvsREal!$C:$C,'PPvsREal Summary'!C162,PPvsREal!$M:$M)</f>
        <v>0</v>
      </c>
      <c r="N162" s="3">
        <f>SUMIF(PPvsREal!$C:$C,'PPvsREal Summary'!C162,PPvsREal!$N:$N)</f>
        <v>127.2</v>
      </c>
      <c r="O162" s="3">
        <f>SUMIF(PPvsREal!$C:$C,'PPvsREal Summary'!C162,PPvsREal!$O:$O)</f>
        <v>0</v>
      </c>
      <c r="P162" s="3">
        <f>SUMIF(PPvsREal!$C:$C,'PPvsREal Summary'!C162,PPvsREal!$P:$P)</f>
        <v>127.2</v>
      </c>
      <c r="Q162" s="3">
        <f>SUMIF(PPvsREal!$C:$C,'PPvsREal Summary'!C162,PPvsREal!$Q:$Q)</f>
        <v>0</v>
      </c>
      <c r="R162" s="3">
        <f>SUMIF(PPvsREal!$C:$C,'PPvsREal Summary'!C162,PPvsREal!$R:$R)</f>
        <v>127.2</v>
      </c>
      <c r="S162" s="3">
        <f>SUMIF(PPvsREal!$C:$C,'PPvsREal Summary'!C162,PPvsREal!$S:$S)</f>
        <v>0</v>
      </c>
      <c r="T162" s="3">
        <f>SUMIF(PPvsREal!$C:$C,'PPvsREal Summary'!C162,PPvsREal!$T:$T)</f>
        <v>127.2</v>
      </c>
      <c r="U162" s="3">
        <f>SUMIF(PPvsREal!$C:$C,'PPvsREal Summary'!C162,PPvsREal!$U:$U)</f>
        <v>0</v>
      </c>
      <c r="V162" s="3">
        <f>SUMIF(PPvsREal!$C:$C,'PPvsREal Summary'!C162,PPvsREal!$V:$V)</f>
        <v>127.2</v>
      </c>
      <c r="W162" s="3">
        <f>SUMIF(PPvsREal!$C:$C,'PPvsREal Summary'!C162,PPvsREal!$W:$W)</f>
        <v>0</v>
      </c>
      <c r="X162" s="3">
        <f>SUMIF(PPvsREal!$C:$C,'PPvsREal Summary'!C162,PPvsREal!$X:$X)</f>
        <v>127.2</v>
      </c>
      <c r="Y162" s="3">
        <f>SUMIF(PPvsREal!$C:$C,'PPvsREal Summary'!C162,PPvsREal!$Y:$Y)</f>
        <v>0</v>
      </c>
      <c r="Z162" s="3">
        <f>SUMIF(PPvsREal!$C:$C,'PPvsREal Summary'!C162,PPvsREal!$Z:$Z)</f>
        <v>127.2</v>
      </c>
      <c r="AA162" s="190">
        <f>SUMIF(PPvsREal!$C:$C,'PPvsREal Summary'!C162,PPvsREal!$AA:$AA)</f>
        <v>0</v>
      </c>
      <c r="AB162" s="3"/>
      <c r="AC162" s="201">
        <f t="shared" ref="AC162:AD162" si="331">D162+F162+H162+J162+L162+N162+P162+R162+T162+V162+X162+Z162</f>
        <v>1526.4</v>
      </c>
      <c r="AD162" s="201">
        <f t="shared" si="331"/>
        <v>0</v>
      </c>
      <c r="AE162" s="3"/>
      <c r="AF162" s="201">
        <f t="shared" ref="AF162:AG162" si="332">D162+F162+H162+J162+L162+N162+P162+R162+T162+V162+X162+Z162</f>
        <v>1526.4</v>
      </c>
      <c r="AG162" s="201">
        <f t="shared" si="332"/>
        <v>0</v>
      </c>
    </row>
    <row r="163" ht="12.75" customHeight="1">
      <c r="A163" s="111"/>
      <c r="B163" s="188" t="s">
        <v>425</v>
      </c>
      <c r="C163" s="2" t="s">
        <v>270</v>
      </c>
      <c r="D163" s="189">
        <f>SUMIF(PPvsREal!$C:$C,'PPvsREal Summary'!C163,PPvsREal!$D:$D)</f>
        <v>954</v>
      </c>
      <c r="E163" s="3">
        <f>SUMIF(PPvsREal!$C:$C,'PPvsREal Summary'!C163,PPvsREal!$E:$E)</f>
        <v>0</v>
      </c>
      <c r="F163" s="3">
        <f>SUMIF(PPvsREal!$C:$C,'PPvsREal Summary'!C163,PPvsREal!$F:$F)</f>
        <v>954</v>
      </c>
      <c r="G163" s="3">
        <f>SUMIF(PPvsREal!$C:$C,'PPvsREal Summary'!C163,PPvsREal!$G:$G)</f>
        <v>0</v>
      </c>
      <c r="H163" s="3">
        <f>SUMIF(PPvsREal!$C:$C,'PPvsREal Summary'!C163,PPvsREal!$H:$H)</f>
        <v>954</v>
      </c>
      <c r="I163" s="3">
        <f>SUMIF(PPvsREal!$C:$C,'PPvsREal Summary'!C163,PPvsREal!$I:$I)</f>
        <v>0</v>
      </c>
      <c r="J163" s="3">
        <f>SUMIF(PPvsREal!$C:$C,'PPvsREal Summary'!C163,PPvsREal!$J:$J)</f>
        <v>954</v>
      </c>
      <c r="K163" s="3">
        <f>SUMIF(PPvsREal!$C:$C,'PPvsREal Summary'!C163,PPvsREal!$K:$K)</f>
        <v>0</v>
      </c>
      <c r="L163" s="3">
        <f>SUMIF(PPvsREal!$C:$C,'PPvsREal Summary'!C163,PPvsREal!$L:$L)</f>
        <v>954</v>
      </c>
      <c r="M163" s="3">
        <f>SUMIF(PPvsREal!$C:$C,'PPvsREal Summary'!C163,PPvsREal!$M:$M)</f>
        <v>0</v>
      </c>
      <c r="N163" s="3">
        <f>SUMIF(PPvsREal!$C:$C,'PPvsREal Summary'!C163,PPvsREal!$N:$N)</f>
        <v>954</v>
      </c>
      <c r="O163" s="3">
        <f>SUMIF(PPvsREal!$C:$C,'PPvsREal Summary'!C163,PPvsREal!$O:$O)</f>
        <v>0</v>
      </c>
      <c r="P163" s="3">
        <f>SUMIF(PPvsREal!$C:$C,'PPvsREal Summary'!C163,PPvsREal!$P:$P)</f>
        <v>954</v>
      </c>
      <c r="Q163" s="3">
        <f>SUMIF(PPvsREal!$C:$C,'PPvsREal Summary'!C163,PPvsREal!$Q:$Q)</f>
        <v>0</v>
      </c>
      <c r="R163" s="3">
        <f>SUMIF(PPvsREal!$C:$C,'PPvsREal Summary'!C163,PPvsREal!$R:$R)</f>
        <v>954</v>
      </c>
      <c r="S163" s="3">
        <f>SUMIF(PPvsREal!$C:$C,'PPvsREal Summary'!C163,PPvsREal!$S:$S)</f>
        <v>0</v>
      </c>
      <c r="T163" s="3">
        <f>SUMIF(PPvsREal!$C:$C,'PPvsREal Summary'!C163,PPvsREal!$T:$T)</f>
        <v>954</v>
      </c>
      <c r="U163" s="3">
        <f>SUMIF(PPvsREal!$C:$C,'PPvsREal Summary'!C163,PPvsREal!$U:$U)</f>
        <v>0</v>
      </c>
      <c r="V163" s="3">
        <f>SUMIF(PPvsREal!$C:$C,'PPvsREal Summary'!C163,PPvsREal!$V:$V)</f>
        <v>954</v>
      </c>
      <c r="W163" s="3">
        <f>SUMIF(PPvsREal!$C:$C,'PPvsREal Summary'!C163,PPvsREal!$W:$W)</f>
        <v>0</v>
      </c>
      <c r="X163" s="3">
        <f>SUMIF(PPvsREal!$C:$C,'PPvsREal Summary'!C163,PPvsREal!$X:$X)</f>
        <v>954</v>
      </c>
      <c r="Y163" s="3">
        <f>SUMIF(PPvsREal!$C:$C,'PPvsREal Summary'!C163,PPvsREal!$Y:$Y)</f>
        <v>0</v>
      </c>
      <c r="Z163" s="3">
        <f>SUMIF(PPvsREal!$C:$C,'PPvsREal Summary'!C163,PPvsREal!$Z:$Z)</f>
        <v>954</v>
      </c>
      <c r="AA163" s="190">
        <f>SUMIF(PPvsREal!$C:$C,'PPvsREal Summary'!C163,PPvsREal!$AA:$AA)</f>
        <v>0</v>
      </c>
      <c r="AB163" s="3"/>
      <c r="AC163" s="201">
        <f t="shared" ref="AC163:AD163" si="333">D163+F163+H163+J163+L163+N163+P163+R163+T163+V163+X163+Z163</f>
        <v>11448</v>
      </c>
      <c r="AD163" s="201">
        <f t="shared" si="333"/>
        <v>0</v>
      </c>
      <c r="AE163" s="3"/>
      <c r="AF163" s="201">
        <f t="shared" ref="AF163:AG163" si="334">D163+F163+H163+J163+L163+N163+P163+R163+T163+V163+X163+Z163</f>
        <v>11448</v>
      </c>
      <c r="AG163" s="201">
        <f t="shared" si="334"/>
        <v>0</v>
      </c>
    </row>
    <row r="164" ht="12.75" customHeight="1">
      <c r="A164" s="111"/>
      <c r="B164" s="188" t="s">
        <v>425</v>
      </c>
      <c r="C164" s="2" t="s">
        <v>272</v>
      </c>
      <c r="D164" s="189">
        <f>SUMIF(PPvsREal!$C:$C,'PPvsREal Summary'!C164,PPvsREal!$D:$D)</f>
        <v>240</v>
      </c>
      <c r="E164" s="3">
        <f>SUMIF(PPvsREal!$C:$C,'PPvsREal Summary'!C164,PPvsREal!$E:$E)</f>
        <v>0</v>
      </c>
      <c r="F164" s="3">
        <f>SUMIF(PPvsREal!$C:$C,'PPvsREal Summary'!C164,PPvsREal!$F:$F)</f>
        <v>240</v>
      </c>
      <c r="G164" s="3">
        <f>SUMIF(PPvsREal!$C:$C,'PPvsREal Summary'!C164,PPvsREal!$G:$G)</f>
        <v>0</v>
      </c>
      <c r="H164" s="3">
        <f>SUMIF(PPvsREal!$C:$C,'PPvsREal Summary'!C164,PPvsREal!$H:$H)</f>
        <v>240</v>
      </c>
      <c r="I164" s="3">
        <f>SUMIF(PPvsREal!$C:$C,'PPvsREal Summary'!C164,PPvsREal!$I:$I)</f>
        <v>0</v>
      </c>
      <c r="J164" s="3">
        <f>SUMIF(PPvsREal!$C:$C,'PPvsREal Summary'!C164,PPvsREal!$J:$J)</f>
        <v>240</v>
      </c>
      <c r="K164" s="3">
        <f>SUMIF(PPvsREal!$C:$C,'PPvsREal Summary'!C164,PPvsREal!$K:$K)</f>
        <v>0</v>
      </c>
      <c r="L164" s="3">
        <f>SUMIF(PPvsREal!$C:$C,'PPvsREal Summary'!C164,PPvsREal!$L:$L)</f>
        <v>240</v>
      </c>
      <c r="M164" s="3">
        <f>SUMIF(PPvsREal!$C:$C,'PPvsREal Summary'!C164,PPvsREal!$M:$M)</f>
        <v>0</v>
      </c>
      <c r="N164" s="3">
        <f>SUMIF(PPvsREal!$C:$C,'PPvsREal Summary'!C164,PPvsREal!$N:$N)</f>
        <v>240</v>
      </c>
      <c r="O164" s="3">
        <f>SUMIF(PPvsREal!$C:$C,'PPvsREal Summary'!C164,PPvsREal!$O:$O)</f>
        <v>0</v>
      </c>
      <c r="P164" s="3">
        <f>SUMIF(PPvsREal!$C:$C,'PPvsREal Summary'!C164,PPvsREal!$P:$P)</f>
        <v>240</v>
      </c>
      <c r="Q164" s="3">
        <f>SUMIF(PPvsREal!$C:$C,'PPvsREal Summary'!C164,PPvsREal!$Q:$Q)</f>
        <v>0</v>
      </c>
      <c r="R164" s="3">
        <f>SUMIF(PPvsREal!$C:$C,'PPvsREal Summary'!C164,PPvsREal!$R:$R)</f>
        <v>240</v>
      </c>
      <c r="S164" s="3">
        <f>SUMIF(PPvsREal!$C:$C,'PPvsREal Summary'!C164,PPvsREal!$S:$S)</f>
        <v>0</v>
      </c>
      <c r="T164" s="3">
        <f>SUMIF(PPvsREal!$C:$C,'PPvsREal Summary'!C164,PPvsREal!$T:$T)</f>
        <v>240</v>
      </c>
      <c r="U164" s="3">
        <f>SUMIF(PPvsREal!$C:$C,'PPvsREal Summary'!C164,PPvsREal!$U:$U)</f>
        <v>0</v>
      </c>
      <c r="V164" s="3">
        <f>SUMIF(PPvsREal!$C:$C,'PPvsREal Summary'!C164,PPvsREal!$V:$V)</f>
        <v>240</v>
      </c>
      <c r="W164" s="3">
        <f>SUMIF(PPvsREal!$C:$C,'PPvsREal Summary'!C164,PPvsREal!$W:$W)</f>
        <v>0</v>
      </c>
      <c r="X164" s="3">
        <f>SUMIF(PPvsREal!$C:$C,'PPvsREal Summary'!C164,PPvsREal!$X:$X)</f>
        <v>240</v>
      </c>
      <c r="Y164" s="3">
        <f>SUMIF(PPvsREal!$C:$C,'PPvsREal Summary'!C164,PPvsREal!$Y:$Y)</f>
        <v>0</v>
      </c>
      <c r="Z164" s="3">
        <f>SUMIF(PPvsREal!$C:$C,'PPvsREal Summary'!C164,PPvsREal!$Z:$Z)</f>
        <v>240</v>
      </c>
      <c r="AA164" s="190">
        <f>SUMIF(PPvsREal!$C:$C,'PPvsREal Summary'!C164,PPvsREal!$AA:$AA)</f>
        <v>0</v>
      </c>
      <c r="AB164" s="3"/>
      <c r="AC164" s="201">
        <f t="shared" ref="AC164:AD164" si="335">D164+F164+H164+J164+L164+N164+P164+R164+T164+V164+X164+Z164</f>
        <v>2880</v>
      </c>
      <c r="AD164" s="201">
        <f t="shared" si="335"/>
        <v>0</v>
      </c>
      <c r="AE164" s="3"/>
      <c r="AF164" s="201">
        <f t="shared" ref="AF164:AG164" si="336">D164+F164+H164+J164+L164+N164+P164+R164+T164+V164+X164+Z164</f>
        <v>2880</v>
      </c>
      <c r="AG164" s="201">
        <f t="shared" si="336"/>
        <v>0</v>
      </c>
    </row>
    <row r="165" ht="12.75" customHeight="1">
      <c r="A165" s="111"/>
      <c r="B165" s="188" t="s">
        <v>37</v>
      </c>
      <c r="C165" s="2" t="s">
        <v>323</v>
      </c>
      <c r="D165" s="189">
        <f>SUMIF(PPvsREal!$C:$C,'PPvsREal Summary'!C165,PPvsREal!$D:$D)</f>
        <v>0</v>
      </c>
      <c r="E165" s="3">
        <f>SUMIF(PPvsREal!$C:$C,'PPvsREal Summary'!C165,PPvsREal!$E:$E)</f>
        <v>0</v>
      </c>
      <c r="F165" s="3">
        <f>SUMIF(PPvsREal!$C:$C,'PPvsREal Summary'!C165,PPvsREal!$F:$F)</f>
        <v>0</v>
      </c>
      <c r="G165" s="3">
        <f>SUMIF(PPvsREal!$C:$C,'PPvsREal Summary'!C165,PPvsREal!$G:$G)</f>
        <v>0</v>
      </c>
      <c r="H165" s="3">
        <f>SUMIF(PPvsREal!$C:$C,'PPvsREal Summary'!C165,PPvsREal!$H:$H)</f>
        <v>0</v>
      </c>
      <c r="I165" s="3">
        <f>SUMIF(PPvsREal!$C:$C,'PPvsREal Summary'!C165,PPvsREal!$I:$I)</f>
        <v>0</v>
      </c>
      <c r="J165" s="3">
        <f>SUMIF(PPvsREal!$C:$C,'PPvsREal Summary'!C165,PPvsREal!$J:$J)</f>
        <v>0</v>
      </c>
      <c r="K165" s="3">
        <f>SUMIF(PPvsREal!$C:$C,'PPvsREal Summary'!C165,PPvsREal!$K:$K)</f>
        <v>0</v>
      </c>
      <c r="L165" s="3">
        <f>SUMIF(PPvsREal!$C:$C,'PPvsREal Summary'!C165,PPvsREal!$L:$L)</f>
        <v>0</v>
      </c>
      <c r="M165" s="3">
        <f>SUMIF(PPvsREal!$C:$C,'PPvsREal Summary'!C165,PPvsREal!$M:$M)</f>
        <v>0</v>
      </c>
      <c r="N165" s="3">
        <f>SUMIF(PPvsREal!$C:$C,'PPvsREal Summary'!C165,PPvsREal!$N:$N)</f>
        <v>0</v>
      </c>
      <c r="O165" s="3">
        <f>SUMIF(PPvsREal!$C:$C,'PPvsREal Summary'!C165,PPvsREal!$O:$O)</f>
        <v>0</v>
      </c>
      <c r="P165" s="3">
        <f>SUMIF(PPvsREal!$C:$C,'PPvsREal Summary'!C165,PPvsREal!$P:$P)</f>
        <v>0</v>
      </c>
      <c r="Q165" s="3">
        <f>SUMIF(PPvsREal!$C:$C,'PPvsREal Summary'!C165,PPvsREal!$Q:$Q)</f>
        <v>0</v>
      </c>
      <c r="R165" s="3">
        <f>SUMIF(PPvsREal!$C:$C,'PPvsREal Summary'!C165,PPvsREal!$R:$R)</f>
        <v>0</v>
      </c>
      <c r="S165" s="3">
        <f>SUMIF(PPvsREal!$C:$C,'PPvsREal Summary'!C165,PPvsREal!$S:$S)</f>
        <v>0</v>
      </c>
      <c r="T165" s="3">
        <f>SUMIF(PPvsREal!$C:$C,'PPvsREal Summary'!C165,PPvsREal!$T:$T)</f>
        <v>0</v>
      </c>
      <c r="U165" s="3">
        <f>SUMIF(PPvsREal!$C:$C,'PPvsREal Summary'!C165,PPvsREal!$U:$U)</f>
        <v>0</v>
      </c>
      <c r="V165" s="3">
        <f>SUMIF(PPvsREal!$C:$C,'PPvsREal Summary'!C165,PPvsREal!$V:$V)</f>
        <v>0</v>
      </c>
      <c r="W165" s="3">
        <f>SUMIF(PPvsREal!$C:$C,'PPvsREal Summary'!C165,PPvsREal!$W:$W)</f>
        <v>0</v>
      </c>
      <c r="X165" s="3">
        <f>SUMIF(PPvsREal!$C:$C,'PPvsREal Summary'!C165,PPvsREal!$X:$X)</f>
        <v>0</v>
      </c>
      <c r="Y165" s="3">
        <f>SUMIF(PPvsREal!$C:$C,'PPvsREal Summary'!C165,PPvsREal!$Y:$Y)</f>
        <v>0</v>
      </c>
      <c r="Z165" s="3">
        <f>SUMIF(PPvsREal!$C:$C,'PPvsREal Summary'!C165,PPvsREal!$Z:$Z)</f>
        <v>0</v>
      </c>
      <c r="AA165" s="190">
        <f>SUMIF(PPvsREal!$C:$C,'PPvsREal Summary'!C165,PPvsREal!$AA:$AA)</f>
        <v>0</v>
      </c>
      <c r="AB165" s="3"/>
      <c r="AC165" s="201">
        <f t="shared" ref="AC165:AD165" si="337">D165+F165+H165+J165+L165+N165+P165+R165+T165+V165+X165+Z165</f>
        <v>0</v>
      </c>
      <c r="AD165" s="201">
        <f t="shared" si="337"/>
        <v>0</v>
      </c>
      <c r="AE165" s="3"/>
      <c r="AF165" s="201">
        <f t="shared" ref="AF165:AG165" si="338">D165+F165+H165+J165+L165+N165+P165+R165+T165+V165+X165+Z165</f>
        <v>0</v>
      </c>
      <c r="AG165" s="201">
        <f t="shared" si="338"/>
        <v>0</v>
      </c>
    </row>
    <row r="166" ht="12.75" customHeight="1">
      <c r="A166" s="111"/>
      <c r="B166" s="188" t="s">
        <v>37</v>
      </c>
      <c r="C166" s="2" t="s">
        <v>325</v>
      </c>
      <c r="D166" s="189">
        <f>SUMIF(PPvsREal!$C:$C,'PPvsREal Summary'!C166,PPvsREal!$D:$D)</f>
        <v>6777.7778</v>
      </c>
      <c r="E166" s="3">
        <f>SUMIF(PPvsREal!$C:$C,'PPvsREal Summary'!C166,PPvsREal!$E:$E)</f>
        <v>0</v>
      </c>
      <c r="F166" s="3">
        <f>SUMIF(PPvsREal!$C:$C,'PPvsREal Summary'!C166,PPvsREal!$F:$F)</f>
        <v>1542.3742</v>
      </c>
      <c r="G166" s="3">
        <f>SUMIF(PPvsREal!$C:$C,'PPvsREal Summary'!C166,PPvsREal!$G:$G)</f>
        <v>0</v>
      </c>
      <c r="H166" s="3">
        <f>SUMIF(PPvsREal!$C:$C,'PPvsREal Summary'!C166,PPvsREal!$H:$H)</f>
        <v>1490.0844</v>
      </c>
      <c r="I166" s="3">
        <f>SUMIF(PPvsREal!$C:$C,'PPvsREal Summary'!C166,PPvsREal!$I:$I)</f>
        <v>0</v>
      </c>
      <c r="J166" s="3">
        <f>SUMIF(PPvsREal!$C:$C,'PPvsREal Summary'!C166,PPvsREal!$J:$J)</f>
        <v>4085.1976</v>
      </c>
      <c r="K166" s="3">
        <f>SUMIF(PPvsREal!$C:$C,'PPvsREal Summary'!C166,PPvsREal!$K:$K)</f>
        <v>0</v>
      </c>
      <c r="L166" s="3">
        <f>SUMIF(PPvsREal!$C:$C,'PPvsREal Summary'!C166,PPvsREal!$L:$L)</f>
        <v>3237.9608</v>
      </c>
      <c r="M166" s="3">
        <f>SUMIF(PPvsREal!$C:$C,'PPvsREal Summary'!C166,PPvsREal!$M:$M)</f>
        <v>0</v>
      </c>
      <c r="N166" s="3">
        <f>SUMIF(PPvsREal!$C:$C,'PPvsREal Summary'!C166,PPvsREal!$N:$N)</f>
        <v>7383.9494</v>
      </c>
      <c r="O166" s="3">
        <f>SUMIF(PPvsREal!$C:$C,'PPvsREal Summary'!C166,PPvsREal!$O:$O)</f>
        <v>0</v>
      </c>
      <c r="P166" s="3">
        <f>SUMIF(PPvsREal!$C:$C,'PPvsREal Summary'!C166,PPvsREal!$P:$P)</f>
        <v>3526.2596</v>
      </c>
      <c r="Q166" s="3">
        <f>SUMIF(PPvsREal!$C:$C,'PPvsREal Summary'!C166,PPvsREal!$Q:$Q)</f>
        <v>0</v>
      </c>
      <c r="R166" s="3">
        <f>SUMIF(PPvsREal!$C:$C,'PPvsREal Summary'!C166,PPvsREal!$R:$R)</f>
        <v>5511.682</v>
      </c>
      <c r="S166" s="3">
        <f>SUMIF(PPvsREal!$C:$C,'PPvsREal Summary'!C166,PPvsREal!$S:$S)</f>
        <v>0</v>
      </c>
      <c r="T166" s="3">
        <f>SUMIF(PPvsREal!$C:$C,'PPvsREal Summary'!C166,PPvsREal!$T:$T)</f>
        <v>2575.1428</v>
      </c>
      <c r="U166" s="3">
        <f>SUMIF(PPvsREal!$C:$C,'PPvsREal Summary'!C166,PPvsREal!$U:$U)</f>
        <v>0</v>
      </c>
      <c r="V166" s="3">
        <f>SUMIF(PPvsREal!$C:$C,'PPvsREal Summary'!C166,PPvsREal!$V:$V)</f>
        <v>3975</v>
      </c>
      <c r="W166" s="3">
        <f>SUMIF(PPvsREal!$C:$C,'PPvsREal Summary'!C166,PPvsREal!$W:$W)</f>
        <v>0</v>
      </c>
      <c r="X166" s="3">
        <f>SUMIF(PPvsREal!$C:$C,'PPvsREal Summary'!C166,PPvsREal!$X:$X)</f>
        <v>3975</v>
      </c>
      <c r="Y166" s="3">
        <f>SUMIF(PPvsREal!$C:$C,'PPvsREal Summary'!C166,PPvsREal!$Y:$Y)</f>
        <v>0</v>
      </c>
      <c r="Z166" s="3">
        <f>SUMIF(PPvsREal!$C:$C,'PPvsREal Summary'!C166,PPvsREal!$Z:$Z)</f>
        <v>3975</v>
      </c>
      <c r="AA166" s="190">
        <f>SUMIF(PPvsREal!$C:$C,'PPvsREal Summary'!C166,PPvsREal!$AA:$AA)</f>
        <v>0</v>
      </c>
      <c r="AB166" s="3"/>
      <c r="AC166" s="201">
        <f t="shared" ref="AC166:AD166" si="339">D166+F166+H166+J166+L166+N166+P166+R166+T166+V166+X166+Z166</f>
        <v>48055.4286</v>
      </c>
      <c r="AD166" s="201">
        <f t="shared" si="339"/>
        <v>0</v>
      </c>
      <c r="AE166" s="3"/>
      <c r="AF166" s="201">
        <f t="shared" ref="AF166:AG166" si="340">D166+F166+H166+J166+L166+N166+P166+R166+T166+V166+X166+Z166</f>
        <v>48055.4286</v>
      </c>
      <c r="AG166" s="201">
        <f t="shared" si="340"/>
        <v>0</v>
      </c>
    </row>
    <row r="167" ht="12.75" customHeight="1">
      <c r="A167" s="111"/>
      <c r="B167" s="188" t="s">
        <v>37</v>
      </c>
      <c r="C167" s="2" t="s">
        <v>367</v>
      </c>
      <c r="D167" s="189">
        <f>SUMIF(PPvsREal!$C:$C,'PPvsREal Summary'!C167,PPvsREal!$D:$D)</f>
        <v>10000</v>
      </c>
      <c r="E167" s="3">
        <f>SUMIF(PPvsREal!$C:$C,'PPvsREal Summary'!C167,PPvsREal!$E:$E)</f>
        <v>0</v>
      </c>
      <c r="F167" s="3">
        <f>SUMIF(PPvsREal!$C:$C,'PPvsREal Summary'!C167,PPvsREal!$F:$F)</f>
        <v>15000</v>
      </c>
      <c r="G167" s="3">
        <f>SUMIF(PPvsREal!$C:$C,'PPvsREal Summary'!C167,PPvsREal!$G:$G)</f>
        <v>0</v>
      </c>
      <c r="H167" s="3">
        <f>SUMIF(PPvsREal!$C:$C,'PPvsREal Summary'!C167,PPvsREal!$H:$H)</f>
        <v>7500</v>
      </c>
      <c r="I167" s="3">
        <f>SUMIF(PPvsREal!$C:$C,'PPvsREal Summary'!C167,PPvsREal!$I:$I)</f>
        <v>0</v>
      </c>
      <c r="J167" s="3">
        <f>SUMIF(PPvsREal!$C:$C,'PPvsREal Summary'!C167,PPvsREal!$J:$J)</f>
        <v>7500</v>
      </c>
      <c r="K167" s="3">
        <f>SUMIF(PPvsREal!$C:$C,'PPvsREal Summary'!C167,PPvsREal!$K:$K)</f>
        <v>0</v>
      </c>
      <c r="L167" s="3">
        <f>SUMIF(PPvsREal!$C:$C,'PPvsREal Summary'!C167,PPvsREal!$L:$L)</f>
        <v>7500</v>
      </c>
      <c r="M167" s="3">
        <f>SUMIF(PPvsREal!$C:$C,'PPvsREal Summary'!C167,PPvsREal!$M:$M)</f>
        <v>0</v>
      </c>
      <c r="N167" s="3">
        <f>SUMIF(PPvsREal!$C:$C,'PPvsREal Summary'!C167,PPvsREal!$N:$N)</f>
        <v>7500</v>
      </c>
      <c r="O167" s="3">
        <f>SUMIF(PPvsREal!$C:$C,'PPvsREal Summary'!C167,PPvsREal!$O:$O)</f>
        <v>0</v>
      </c>
      <c r="P167" s="3">
        <f>SUMIF(PPvsREal!$C:$C,'PPvsREal Summary'!C167,PPvsREal!$P:$P)</f>
        <v>7500</v>
      </c>
      <c r="Q167" s="3">
        <f>SUMIF(PPvsREal!$C:$C,'PPvsREal Summary'!C167,PPvsREal!$Q:$Q)</f>
        <v>0</v>
      </c>
      <c r="R167" s="3">
        <f>SUMIF(PPvsREal!$C:$C,'PPvsREal Summary'!C167,PPvsREal!$R:$R)</f>
        <v>7500</v>
      </c>
      <c r="S167" s="3">
        <f>SUMIF(PPvsREal!$C:$C,'PPvsREal Summary'!C167,PPvsREal!$S:$S)</f>
        <v>0</v>
      </c>
      <c r="T167" s="3">
        <f>SUMIF(PPvsREal!$C:$C,'PPvsREal Summary'!C167,PPvsREal!$T:$T)</f>
        <v>7500</v>
      </c>
      <c r="U167" s="3">
        <f>SUMIF(PPvsREal!$C:$C,'PPvsREal Summary'!C167,PPvsREal!$U:$U)</f>
        <v>0</v>
      </c>
      <c r="V167" s="3">
        <f>SUMIF(PPvsREal!$C:$C,'PPvsREal Summary'!C167,PPvsREal!$V:$V)</f>
        <v>7500</v>
      </c>
      <c r="W167" s="3">
        <f>SUMIF(PPvsREal!$C:$C,'PPvsREal Summary'!C167,PPvsREal!$W:$W)</f>
        <v>0</v>
      </c>
      <c r="X167" s="3">
        <f>SUMIF(PPvsREal!$C:$C,'PPvsREal Summary'!C167,PPvsREal!$X:$X)</f>
        <v>7500</v>
      </c>
      <c r="Y167" s="3">
        <f>SUMIF(PPvsREal!$C:$C,'PPvsREal Summary'!C167,PPvsREal!$Y:$Y)</f>
        <v>0</v>
      </c>
      <c r="Z167" s="3">
        <f>SUMIF(PPvsREal!$C:$C,'PPvsREal Summary'!C167,PPvsREal!$Z:$Z)</f>
        <v>7500</v>
      </c>
      <c r="AA167" s="190">
        <f>SUMIF(PPvsREal!$C:$C,'PPvsREal Summary'!C167,PPvsREal!$AA:$AA)</f>
        <v>0</v>
      </c>
      <c r="AB167" s="3"/>
      <c r="AC167" s="201">
        <f t="shared" ref="AC167:AD167" si="341">D167+F167+H167+J167+L167+N167+P167+R167+T167+V167+X167+Z167</f>
        <v>100000</v>
      </c>
      <c r="AD167" s="201">
        <f t="shared" si="341"/>
        <v>0</v>
      </c>
      <c r="AE167" s="3"/>
      <c r="AF167" s="201">
        <f t="shared" ref="AF167:AG167" si="342">D167+F167+H167+J167+L167+N167+P167+R167+T167+V167+X167+Z167</f>
        <v>100000</v>
      </c>
      <c r="AG167" s="201">
        <f t="shared" si="342"/>
        <v>0</v>
      </c>
    </row>
    <row r="168" ht="12.75" customHeight="1">
      <c r="A168" s="111"/>
      <c r="B168" s="188" t="s">
        <v>37</v>
      </c>
      <c r="C168" s="2" t="s">
        <v>359</v>
      </c>
      <c r="D168" s="189">
        <f>SUMIF(PPvsREal!$C:$C,'PPvsREal Summary'!C168,PPvsREal!$D:$D)</f>
        <v>0</v>
      </c>
      <c r="E168" s="3">
        <f>SUMIF(PPvsREal!$C:$C,'PPvsREal Summary'!C168,PPvsREal!$E:$E)</f>
        <v>0</v>
      </c>
      <c r="F168" s="3">
        <f>SUMIF(PPvsREal!$C:$C,'PPvsREal Summary'!C168,PPvsREal!$F:$F)</f>
        <v>0</v>
      </c>
      <c r="G168" s="3">
        <f>SUMIF(PPvsREal!$C:$C,'PPvsREal Summary'!C168,PPvsREal!$G:$G)</f>
        <v>0</v>
      </c>
      <c r="H168" s="3">
        <f>SUMIF(PPvsREal!$C:$C,'PPvsREal Summary'!C168,PPvsREal!$H:$H)</f>
        <v>0</v>
      </c>
      <c r="I168" s="3">
        <f>SUMIF(PPvsREal!$C:$C,'PPvsREal Summary'!C168,PPvsREal!$I:$I)</f>
        <v>0</v>
      </c>
      <c r="J168" s="3">
        <f>SUMIF(PPvsREal!$C:$C,'PPvsREal Summary'!C168,PPvsREal!$J:$J)</f>
        <v>0</v>
      </c>
      <c r="K168" s="3">
        <f>SUMIF(PPvsREal!$C:$C,'PPvsREal Summary'!C168,PPvsREal!$K:$K)</f>
        <v>0</v>
      </c>
      <c r="L168" s="3">
        <f>SUMIF(PPvsREal!$C:$C,'PPvsREal Summary'!C168,PPvsREal!$L:$L)</f>
        <v>0</v>
      </c>
      <c r="M168" s="3">
        <f>SUMIF(PPvsREal!$C:$C,'PPvsREal Summary'!C168,PPvsREal!$M:$M)</f>
        <v>0</v>
      </c>
      <c r="N168" s="3">
        <f>SUMIF(PPvsREal!$C:$C,'PPvsREal Summary'!C168,PPvsREal!$N:$N)</f>
        <v>0</v>
      </c>
      <c r="O168" s="3">
        <f>SUMIF(PPvsREal!$C:$C,'PPvsREal Summary'!C168,PPvsREal!$O:$O)</f>
        <v>0</v>
      </c>
      <c r="P168" s="3">
        <f>SUMIF(PPvsREal!$C:$C,'PPvsREal Summary'!C168,PPvsREal!$P:$P)</f>
        <v>10833.9314</v>
      </c>
      <c r="Q168" s="3">
        <f>SUMIF(PPvsREal!$C:$C,'PPvsREal Summary'!C168,PPvsREal!$Q:$Q)</f>
        <v>0</v>
      </c>
      <c r="R168" s="3">
        <f>SUMIF(PPvsREal!$C:$C,'PPvsREal Summary'!C168,PPvsREal!$R:$R)</f>
        <v>0</v>
      </c>
      <c r="S168" s="3">
        <f>SUMIF(PPvsREal!$C:$C,'PPvsREal Summary'!C168,PPvsREal!$S:$S)</f>
        <v>0</v>
      </c>
      <c r="T168" s="3">
        <f>SUMIF(PPvsREal!$C:$C,'PPvsREal Summary'!C168,PPvsREal!$T:$T)</f>
        <v>0</v>
      </c>
      <c r="U168" s="3">
        <f>SUMIF(PPvsREal!$C:$C,'PPvsREal Summary'!C168,PPvsREal!$U:$U)</f>
        <v>0</v>
      </c>
      <c r="V168" s="3">
        <f>SUMIF(PPvsREal!$C:$C,'PPvsREal Summary'!C168,PPvsREal!$V:$V)</f>
        <v>0</v>
      </c>
      <c r="W168" s="3">
        <f>SUMIF(PPvsREal!$C:$C,'PPvsREal Summary'!C168,PPvsREal!$W:$W)</f>
        <v>0</v>
      </c>
      <c r="X168" s="3">
        <f>SUMIF(PPvsREal!$C:$C,'PPvsREal Summary'!C168,PPvsREal!$X:$X)</f>
        <v>0</v>
      </c>
      <c r="Y168" s="3">
        <f>SUMIF(PPvsREal!$C:$C,'PPvsREal Summary'!C168,PPvsREal!$Y:$Y)</f>
        <v>0</v>
      </c>
      <c r="Z168" s="3">
        <f>SUMIF(PPvsREal!$C:$C,'PPvsREal Summary'!C168,PPvsREal!$Z:$Z)</f>
        <v>0</v>
      </c>
      <c r="AA168" s="190">
        <f>SUMIF(PPvsREal!$C:$C,'PPvsREal Summary'!C168,PPvsREal!$AA:$AA)</f>
        <v>0</v>
      </c>
      <c r="AB168" s="3"/>
      <c r="AC168" s="201">
        <f t="shared" ref="AC168:AD168" si="343">D168+F168+H168+J168+L168+N168+P168+R168+T168+V168+X168+Z168</f>
        <v>10833.9314</v>
      </c>
      <c r="AD168" s="201">
        <f t="shared" si="343"/>
        <v>0</v>
      </c>
      <c r="AE168" s="3"/>
      <c r="AF168" s="201">
        <f t="shared" ref="AF168:AG168" si="344">D168+F168+H168+J168+L168+N168+P168+R168+T168+V168+X168+Z168</f>
        <v>10833.9314</v>
      </c>
      <c r="AG168" s="201">
        <f t="shared" si="344"/>
        <v>0</v>
      </c>
    </row>
    <row r="169" ht="12.75" customHeight="1">
      <c r="A169" s="111"/>
      <c r="B169" s="188" t="s">
        <v>37</v>
      </c>
      <c r="C169" s="2" t="s">
        <v>365</v>
      </c>
      <c r="D169" s="189">
        <f>SUMIF(PPvsREal!$C:$C,'PPvsREal Summary'!C169,PPvsREal!$D:$D)</f>
        <v>0</v>
      </c>
      <c r="E169" s="3">
        <f>SUMIF(PPvsREal!$C:$C,'PPvsREal Summary'!C169,PPvsREal!$E:$E)</f>
        <v>0</v>
      </c>
      <c r="F169" s="3">
        <f>SUMIF(PPvsREal!$C:$C,'PPvsREal Summary'!C169,PPvsREal!$F:$F)</f>
        <v>0</v>
      </c>
      <c r="G169" s="3">
        <f>SUMIF(PPvsREal!$C:$C,'PPvsREal Summary'!C169,PPvsREal!$G:$G)</f>
        <v>0</v>
      </c>
      <c r="H169" s="3">
        <f>SUMIF(PPvsREal!$C:$C,'PPvsREal Summary'!C169,PPvsREal!$H:$H)</f>
        <v>0</v>
      </c>
      <c r="I169" s="3">
        <f>SUMIF(PPvsREal!$C:$C,'PPvsREal Summary'!C169,PPvsREal!$I:$I)</f>
        <v>0</v>
      </c>
      <c r="J169" s="3">
        <f>SUMIF(PPvsREal!$C:$C,'PPvsREal Summary'!C169,PPvsREal!$J:$J)</f>
        <v>0</v>
      </c>
      <c r="K169" s="3">
        <f>SUMIF(PPvsREal!$C:$C,'PPvsREal Summary'!C169,PPvsREal!$K:$K)</f>
        <v>0</v>
      </c>
      <c r="L169" s="3">
        <f>SUMIF(PPvsREal!$C:$C,'PPvsREal Summary'!C169,PPvsREal!$L:$L)</f>
        <v>0</v>
      </c>
      <c r="M169" s="3">
        <f>SUMIF(PPvsREal!$C:$C,'PPvsREal Summary'!C169,PPvsREal!$M:$M)</f>
        <v>0</v>
      </c>
      <c r="N169" s="3">
        <f>SUMIF(PPvsREal!$C:$C,'PPvsREal Summary'!C169,PPvsREal!$N:$N)</f>
        <v>0</v>
      </c>
      <c r="O169" s="3">
        <f>SUMIF(PPvsREal!$C:$C,'PPvsREal Summary'!C169,PPvsREal!$O:$O)</f>
        <v>0</v>
      </c>
      <c r="P169" s="3">
        <f>SUMIF(PPvsREal!$C:$C,'PPvsREal Summary'!C169,PPvsREal!$P:$P)</f>
        <v>0</v>
      </c>
      <c r="Q169" s="3">
        <f>SUMIF(PPvsREal!$C:$C,'PPvsREal Summary'!C169,PPvsREal!$Q:$Q)</f>
        <v>0</v>
      </c>
      <c r="R169" s="3">
        <f>SUMIF(PPvsREal!$C:$C,'PPvsREal Summary'!C169,PPvsREal!$R:$R)</f>
        <v>0</v>
      </c>
      <c r="S169" s="3">
        <f>SUMIF(PPvsREal!$C:$C,'PPvsREal Summary'!C169,PPvsREal!$S:$S)</f>
        <v>0</v>
      </c>
      <c r="T169" s="3">
        <f>SUMIF(PPvsREal!$C:$C,'PPvsREal Summary'!C169,PPvsREal!$T:$T)</f>
        <v>0</v>
      </c>
      <c r="U169" s="3">
        <f>SUMIF(PPvsREal!$C:$C,'PPvsREal Summary'!C169,PPvsREal!$U:$U)</f>
        <v>0</v>
      </c>
      <c r="V169" s="3">
        <f>SUMIF(PPvsREal!$C:$C,'PPvsREal Summary'!C169,PPvsREal!$V:$V)</f>
        <v>0</v>
      </c>
      <c r="W169" s="3">
        <f>SUMIF(PPvsREal!$C:$C,'PPvsREal Summary'!C169,PPvsREal!$W:$W)</f>
        <v>0</v>
      </c>
      <c r="X169" s="3">
        <f>SUMIF(PPvsREal!$C:$C,'PPvsREal Summary'!C169,PPvsREal!$X:$X)</f>
        <v>18815</v>
      </c>
      <c r="Y169" s="3">
        <f>SUMIF(PPvsREal!$C:$C,'PPvsREal Summary'!C169,PPvsREal!$Y:$Y)</f>
        <v>0</v>
      </c>
      <c r="Z169" s="3">
        <f>SUMIF(PPvsREal!$C:$C,'PPvsREal Summary'!C169,PPvsREal!$Z:$Z)</f>
        <v>18815</v>
      </c>
      <c r="AA169" s="190">
        <f>SUMIF(PPvsREal!$C:$C,'PPvsREal Summary'!C169,PPvsREal!$AA:$AA)</f>
        <v>0</v>
      </c>
      <c r="AB169" s="3"/>
      <c r="AC169" s="201">
        <f t="shared" ref="AC169:AD169" si="345">D169+F169+H169+J169+L169+N169+P169+R169+T169+V169+X169+Z169</f>
        <v>37630</v>
      </c>
      <c r="AD169" s="201">
        <f t="shared" si="345"/>
        <v>0</v>
      </c>
      <c r="AE169" s="3"/>
      <c r="AF169" s="201">
        <f t="shared" ref="AF169:AG169" si="346">D169+F169+H169+J169+L169+N169+P169+R169+T169+V169+X169+Z169</f>
        <v>37630</v>
      </c>
      <c r="AG169" s="201">
        <f t="shared" si="346"/>
        <v>0</v>
      </c>
    </row>
    <row r="170" ht="12.75" customHeight="1">
      <c r="A170" s="111"/>
      <c r="B170" s="188" t="s">
        <v>37</v>
      </c>
      <c r="C170" s="2" t="s">
        <v>369</v>
      </c>
      <c r="D170" s="189">
        <f>SUMIF(PPvsREal!$C:$C,'PPvsREal Summary'!C170,PPvsREal!$D:$D)</f>
        <v>0</v>
      </c>
      <c r="E170" s="3">
        <f>SUMIF(PPvsREal!$C:$C,'PPvsREal Summary'!C170,PPvsREal!$E:$E)</f>
        <v>0</v>
      </c>
      <c r="F170" s="3">
        <f>SUMIF(PPvsREal!$C:$C,'PPvsREal Summary'!C170,PPvsREal!$F:$F)</f>
        <v>0</v>
      </c>
      <c r="G170" s="3">
        <f>SUMIF(PPvsREal!$C:$C,'PPvsREal Summary'!C170,PPvsREal!$G:$G)</f>
        <v>0</v>
      </c>
      <c r="H170" s="3">
        <f>SUMIF(PPvsREal!$C:$C,'PPvsREal Summary'!C170,PPvsREal!$H:$H)</f>
        <v>0</v>
      </c>
      <c r="I170" s="3">
        <f>SUMIF(PPvsREal!$C:$C,'PPvsREal Summary'!C170,PPvsREal!$I:$I)</f>
        <v>0</v>
      </c>
      <c r="J170" s="3">
        <f>SUMIF(PPvsREal!$C:$C,'PPvsREal Summary'!C170,PPvsREal!$J:$J)</f>
        <v>0</v>
      </c>
      <c r="K170" s="3">
        <f>SUMIF(PPvsREal!$C:$C,'PPvsREal Summary'!C170,PPvsREal!$K:$K)</f>
        <v>0</v>
      </c>
      <c r="L170" s="3">
        <f>SUMIF(PPvsREal!$C:$C,'PPvsREal Summary'!C170,PPvsREal!$L:$L)</f>
        <v>0</v>
      </c>
      <c r="M170" s="3">
        <f>SUMIF(PPvsREal!$C:$C,'PPvsREal Summary'!C170,PPvsREal!$M:$M)</f>
        <v>0</v>
      </c>
      <c r="N170" s="3">
        <f>SUMIF(PPvsREal!$C:$C,'PPvsREal Summary'!C170,PPvsREal!$N:$N)</f>
        <v>0</v>
      </c>
      <c r="O170" s="3">
        <f>SUMIF(PPvsREal!$C:$C,'PPvsREal Summary'!C170,PPvsREal!$O:$O)</f>
        <v>0</v>
      </c>
      <c r="P170" s="3">
        <f>SUMIF(PPvsREal!$C:$C,'PPvsREal Summary'!C170,PPvsREal!$P:$P)</f>
        <v>0</v>
      </c>
      <c r="Q170" s="3">
        <f>SUMIF(PPvsREal!$C:$C,'PPvsREal Summary'!C170,PPvsREal!$Q:$Q)</f>
        <v>0</v>
      </c>
      <c r="R170" s="3">
        <f>SUMIF(PPvsREal!$C:$C,'PPvsREal Summary'!C170,PPvsREal!$R:$R)</f>
        <v>0</v>
      </c>
      <c r="S170" s="3">
        <f>SUMIF(PPvsREal!$C:$C,'PPvsREal Summary'!C170,PPvsREal!$S:$S)</f>
        <v>0</v>
      </c>
      <c r="T170" s="3">
        <f>SUMIF(PPvsREal!$C:$C,'PPvsREal Summary'!C170,PPvsREal!$T:$T)</f>
        <v>0</v>
      </c>
      <c r="U170" s="3">
        <f>SUMIF(PPvsREal!$C:$C,'PPvsREal Summary'!C170,PPvsREal!$U:$U)</f>
        <v>0</v>
      </c>
      <c r="V170" s="3">
        <f>SUMIF(PPvsREal!$C:$C,'PPvsREal Summary'!C170,PPvsREal!$V:$V)</f>
        <v>0</v>
      </c>
      <c r="W170" s="3">
        <f>SUMIF(PPvsREal!$C:$C,'PPvsREal Summary'!C170,PPvsREal!$W:$W)</f>
        <v>0</v>
      </c>
      <c r="X170" s="3">
        <f>SUMIF(PPvsREal!$C:$C,'PPvsREal Summary'!C170,PPvsREal!$X:$X)</f>
        <v>0</v>
      </c>
      <c r="Y170" s="3">
        <f>SUMIF(PPvsREal!$C:$C,'PPvsREal Summary'!C170,PPvsREal!$Y:$Y)</f>
        <v>0</v>
      </c>
      <c r="Z170" s="3">
        <f>SUMIF(PPvsREal!$C:$C,'PPvsREal Summary'!C170,PPvsREal!$Z:$Z)</f>
        <v>0</v>
      </c>
      <c r="AA170" s="190">
        <f>SUMIF(PPvsREal!$C:$C,'PPvsREal Summary'!C170,PPvsREal!$AA:$AA)</f>
        <v>0</v>
      </c>
      <c r="AB170" s="3"/>
      <c r="AC170" s="201">
        <f t="shared" ref="AC170:AD170" si="347">D170+F170+H170+J170+L170+N170+P170+R170+T170+V170+X170+Z170</f>
        <v>0</v>
      </c>
      <c r="AD170" s="201">
        <f t="shared" si="347"/>
        <v>0</v>
      </c>
      <c r="AE170" s="3"/>
      <c r="AF170" s="201">
        <f t="shared" ref="AF170:AG170" si="348">D170+F170+H170+J170+L170+N170+P170+R170+T170+V170+X170+Z170</f>
        <v>0</v>
      </c>
      <c r="AG170" s="201">
        <f t="shared" si="348"/>
        <v>0</v>
      </c>
    </row>
    <row r="171" ht="12.75" customHeight="1">
      <c r="A171" s="111"/>
      <c r="B171" s="202"/>
      <c r="C171" s="203">
        <v>9.01E20</v>
      </c>
      <c r="D171" s="204">
        <f t="shared" ref="D171:AA171" si="349">SUM(D136:D170)</f>
        <v>119173.539</v>
      </c>
      <c r="E171" s="204">
        <f t="shared" si="349"/>
        <v>0</v>
      </c>
      <c r="F171" s="204">
        <f t="shared" si="349"/>
        <v>125747.5224</v>
      </c>
      <c r="G171" s="204">
        <f t="shared" si="349"/>
        <v>8000</v>
      </c>
      <c r="H171" s="204">
        <f t="shared" si="349"/>
        <v>165905.4086</v>
      </c>
      <c r="I171" s="204">
        <f t="shared" si="349"/>
        <v>8000</v>
      </c>
      <c r="J171" s="204">
        <f t="shared" si="349"/>
        <v>156988.6568</v>
      </c>
      <c r="K171" s="204">
        <f t="shared" si="349"/>
        <v>8000</v>
      </c>
      <c r="L171" s="204">
        <f t="shared" si="349"/>
        <v>174073.7258</v>
      </c>
      <c r="M171" s="204">
        <f t="shared" si="349"/>
        <v>8000</v>
      </c>
      <c r="N171" s="204">
        <f t="shared" si="349"/>
        <v>190983.8956</v>
      </c>
      <c r="O171" s="204">
        <f t="shared" si="349"/>
        <v>8000</v>
      </c>
      <c r="P171" s="204">
        <f t="shared" si="349"/>
        <v>149662.2336</v>
      </c>
      <c r="Q171" s="204">
        <f t="shared" si="349"/>
        <v>8000</v>
      </c>
      <c r="R171" s="204">
        <f t="shared" si="349"/>
        <v>105064.472</v>
      </c>
      <c r="S171" s="204">
        <f t="shared" si="349"/>
        <v>8000</v>
      </c>
      <c r="T171" s="204">
        <f t="shared" si="349"/>
        <v>137382.6424</v>
      </c>
      <c r="U171" s="204">
        <f t="shared" si="349"/>
        <v>8000</v>
      </c>
      <c r="V171" s="204">
        <f t="shared" si="349"/>
        <v>146504.8144</v>
      </c>
      <c r="W171" s="204">
        <f t="shared" si="349"/>
        <v>8000</v>
      </c>
      <c r="X171" s="204">
        <f t="shared" si="349"/>
        <v>159130.4744</v>
      </c>
      <c r="Y171" s="204">
        <f t="shared" si="349"/>
        <v>8000</v>
      </c>
      <c r="Z171" s="204">
        <f t="shared" si="349"/>
        <v>143654.4744</v>
      </c>
      <c r="AA171" s="205">
        <f t="shared" si="349"/>
        <v>0</v>
      </c>
      <c r="AB171" s="3"/>
      <c r="AC171" s="206">
        <f t="shared" ref="AC171:AD171" si="350">D171+F171+H171+J171+L171+N171+P171+R171+T171+V171+X171+Z171</f>
        <v>1774271.859</v>
      </c>
      <c r="AD171" s="206">
        <f t="shared" si="350"/>
        <v>80000</v>
      </c>
      <c r="AE171" s="3"/>
      <c r="AF171" s="206">
        <f t="shared" ref="AF171:AG171" si="351">D171+F171+H171+J171+L171+N171+P171+R171+T171+V171+X171+Z171</f>
        <v>1774271.859</v>
      </c>
      <c r="AG171" s="206">
        <f t="shared" si="351"/>
        <v>80000</v>
      </c>
    </row>
    <row r="172" ht="12.75" customHeight="1">
      <c r="A172" s="111"/>
      <c r="B172" s="188"/>
      <c r="C172" s="2"/>
      <c r="D172" s="189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90"/>
      <c r="AB172" s="3"/>
      <c r="AC172" s="201">
        <f t="shared" ref="AC172:AD172" si="352">D172+F172+H172+J172+L172+N172+P172+R172+T172+V172+X172+Z172</f>
        <v>0</v>
      </c>
      <c r="AD172" s="201">
        <f t="shared" si="352"/>
        <v>0</v>
      </c>
      <c r="AE172" s="3"/>
      <c r="AF172" s="201">
        <f t="shared" ref="AF172:AG172" si="353">D172+F172+H172+J172+L172+N172+P172+R172+T172+V172+X172+Z172</f>
        <v>0</v>
      </c>
      <c r="AG172" s="201">
        <f t="shared" si="353"/>
        <v>0</v>
      </c>
    </row>
    <row r="173" ht="12.75" customHeight="1">
      <c r="A173" s="111"/>
      <c r="B173" s="188" t="s">
        <v>37</v>
      </c>
      <c r="C173" s="2" t="s">
        <v>396</v>
      </c>
      <c r="D173" s="189">
        <f>SUMIF(PPvsREal!$C:$C,'PPvsREal Summary'!C173,PPvsREal!$D:$D)</f>
        <v>360748.3323</v>
      </c>
      <c r="E173" s="3">
        <f>SUMIF(PPvsREal!$C:$C,'PPvsREal Summary'!C173,PPvsREal!$E:$E)</f>
        <v>0</v>
      </c>
      <c r="F173" s="3">
        <f>SUMIF(PPvsREal!$C:$C,'PPvsREal Summary'!C173,PPvsREal!$F:$F)</f>
        <v>360748.3323</v>
      </c>
      <c r="G173" s="3">
        <f>SUMIF(PPvsREal!$C:$C,'PPvsREal Summary'!C173,PPvsREal!$G:$G)</f>
        <v>0</v>
      </c>
      <c r="H173" s="3">
        <f>SUMIF(PPvsREal!$C:$C,'PPvsREal Summary'!C173,PPvsREal!$H:$H)</f>
        <v>360748.3323</v>
      </c>
      <c r="I173" s="3">
        <f>SUMIF(PPvsREal!$C:$C,'PPvsREal Summary'!C173,PPvsREal!$I:$I)</f>
        <v>0</v>
      </c>
      <c r="J173" s="3">
        <f>SUMIF(PPvsREal!$C:$C,'PPvsREal Summary'!C173,PPvsREal!$J:$J)</f>
        <v>360748.3323</v>
      </c>
      <c r="K173" s="3">
        <f>SUMIF(PPvsREal!$C:$C,'PPvsREal Summary'!C173,PPvsREal!$K:$K)</f>
        <v>0</v>
      </c>
      <c r="L173" s="3">
        <f>SUMIF(PPvsREal!$C:$C,'PPvsREal Summary'!C173,PPvsREal!$L:$L)</f>
        <v>360748.3323</v>
      </c>
      <c r="M173" s="3">
        <f>SUMIF(PPvsREal!$C:$C,'PPvsREal Summary'!C173,PPvsREal!$M:$M)</f>
        <v>0</v>
      </c>
      <c r="N173" s="3">
        <f>SUMIF(PPvsREal!$C:$C,'PPvsREal Summary'!C173,PPvsREal!$N:$N)</f>
        <v>360748.3323</v>
      </c>
      <c r="O173" s="3">
        <f>SUMIF(PPvsREal!$C:$C,'PPvsREal Summary'!C173,PPvsREal!$O:$O)</f>
        <v>0</v>
      </c>
      <c r="P173" s="3">
        <f>SUMIF(PPvsREal!$C:$C,'PPvsREal Summary'!C173,PPvsREal!$P:$P)</f>
        <v>360748.3323</v>
      </c>
      <c r="Q173" s="3">
        <f>SUMIF(PPvsREal!$C:$C,'PPvsREal Summary'!C173,PPvsREal!$Q:$Q)</f>
        <v>0</v>
      </c>
      <c r="R173" s="3">
        <f>SUMIF(PPvsREal!$C:$C,'PPvsREal Summary'!C173,PPvsREal!$R:$R)</f>
        <v>360748.3323</v>
      </c>
      <c r="S173" s="3">
        <f>SUMIF(PPvsREal!$C:$C,'PPvsREal Summary'!C173,PPvsREal!$S:$S)</f>
        <v>0</v>
      </c>
      <c r="T173" s="3">
        <f>SUMIF(PPvsREal!$C:$C,'PPvsREal Summary'!C173,PPvsREal!$T:$T)</f>
        <v>360748.3323</v>
      </c>
      <c r="U173" s="3">
        <f>SUMIF(PPvsREal!$C:$C,'PPvsREal Summary'!C173,PPvsREal!$U:$U)</f>
        <v>0</v>
      </c>
      <c r="V173" s="3">
        <f>SUMIF(PPvsREal!$C:$C,'PPvsREal Summary'!C173,PPvsREal!$V:$V)</f>
        <v>360748.3323</v>
      </c>
      <c r="W173" s="3">
        <f>SUMIF(PPvsREal!$C:$C,'PPvsREal Summary'!C173,PPvsREal!$W:$W)</f>
        <v>0</v>
      </c>
      <c r="X173" s="3">
        <f>SUMIF(PPvsREal!$C:$C,'PPvsREal Summary'!C173,PPvsREal!$X:$X)</f>
        <v>360748.3323</v>
      </c>
      <c r="Y173" s="3">
        <f>SUMIF(PPvsREal!$C:$C,'PPvsREal Summary'!C173,PPvsREal!$Y:$Y)</f>
        <v>0</v>
      </c>
      <c r="Z173" s="3">
        <f>SUMIF(PPvsREal!$C:$C,'PPvsREal Summary'!C173,PPvsREal!$Z:$Z)</f>
        <v>360748.3323</v>
      </c>
      <c r="AA173" s="190">
        <f>SUMIF(PPvsREal!$C:$C,'PPvsREal Summary'!C173,PPvsREal!$AA:$AA)</f>
        <v>0</v>
      </c>
      <c r="AB173" s="3"/>
      <c r="AC173" s="201">
        <f t="shared" ref="AC173:AD173" si="354">D173+F173+H173+J173+L173+N173+P173+R173+T173+V173+X173+Z173</f>
        <v>4328979.987</v>
      </c>
      <c r="AD173" s="201">
        <f t="shared" si="354"/>
        <v>0</v>
      </c>
      <c r="AE173" s="3"/>
      <c r="AF173" s="201">
        <f t="shared" ref="AF173:AG173" si="355">D173+F173+H173+J173+L173+N173+P173+R173+T173+V173+X173+Z173</f>
        <v>4328979.987</v>
      </c>
      <c r="AG173" s="201">
        <f t="shared" si="355"/>
        <v>0</v>
      </c>
    </row>
    <row r="174" ht="12.75" customHeight="1">
      <c r="A174" s="111"/>
      <c r="B174" s="202"/>
      <c r="C174" s="203">
        <v>9.03E20</v>
      </c>
      <c r="D174" s="205">
        <f t="shared" ref="D174:AA174" si="356">SUM(D173)</f>
        <v>360748.3323</v>
      </c>
      <c r="E174" s="205">
        <f t="shared" si="356"/>
        <v>0</v>
      </c>
      <c r="F174" s="205">
        <f t="shared" si="356"/>
        <v>360748.3323</v>
      </c>
      <c r="G174" s="205">
        <f t="shared" si="356"/>
        <v>0</v>
      </c>
      <c r="H174" s="205">
        <f t="shared" si="356"/>
        <v>360748.3323</v>
      </c>
      <c r="I174" s="205">
        <f t="shared" si="356"/>
        <v>0</v>
      </c>
      <c r="J174" s="205">
        <f t="shared" si="356"/>
        <v>360748.3323</v>
      </c>
      <c r="K174" s="205">
        <f t="shared" si="356"/>
        <v>0</v>
      </c>
      <c r="L174" s="205">
        <f t="shared" si="356"/>
        <v>360748.3323</v>
      </c>
      <c r="M174" s="205">
        <f t="shared" si="356"/>
        <v>0</v>
      </c>
      <c r="N174" s="205">
        <f t="shared" si="356"/>
        <v>360748.3323</v>
      </c>
      <c r="O174" s="205">
        <f t="shared" si="356"/>
        <v>0</v>
      </c>
      <c r="P174" s="205">
        <f t="shared" si="356"/>
        <v>360748.3323</v>
      </c>
      <c r="Q174" s="205">
        <f t="shared" si="356"/>
        <v>0</v>
      </c>
      <c r="R174" s="205">
        <f t="shared" si="356"/>
        <v>360748.3323</v>
      </c>
      <c r="S174" s="205">
        <f t="shared" si="356"/>
        <v>0</v>
      </c>
      <c r="T174" s="205">
        <f t="shared" si="356"/>
        <v>360748.3323</v>
      </c>
      <c r="U174" s="205">
        <f t="shared" si="356"/>
        <v>0</v>
      </c>
      <c r="V174" s="205">
        <f t="shared" si="356"/>
        <v>360748.3323</v>
      </c>
      <c r="W174" s="205">
        <f t="shared" si="356"/>
        <v>0</v>
      </c>
      <c r="X174" s="205">
        <f t="shared" si="356"/>
        <v>360748.3323</v>
      </c>
      <c r="Y174" s="205">
        <f t="shared" si="356"/>
        <v>0</v>
      </c>
      <c r="Z174" s="205">
        <f t="shared" si="356"/>
        <v>360748.3323</v>
      </c>
      <c r="AA174" s="205">
        <f t="shared" si="356"/>
        <v>0</v>
      </c>
      <c r="AB174" s="3"/>
      <c r="AC174" s="206">
        <f t="shared" ref="AC174:AD174" si="357">D174+F174+H174+J174+L174+N174+P174+R174+T174+V174+X174+Z174</f>
        <v>4328979.987</v>
      </c>
      <c r="AD174" s="206">
        <f t="shared" si="357"/>
        <v>0</v>
      </c>
      <c r="AE174" s="3"/>
      <c r="AF174" s="206">
        <f t="shared" ref="AF174:AG174" si="358">D174+F174+H174+J174+L174+N174+P174+R174+T174+V174+X174+Z174</f>
        <v>4328979.987</v>
      </c>
      <c r="AG174" s="206">
        <f t="shared" si="358"/>
        <v>0</v>
      </c>
    </row>
    <row r="175" ht="12.75" customHeight="1">
      <c r="A175" s="111"/>
      <c r="B175" s="188"/>
      <c r="C175" s="2"/>
      <c r="D175" s="189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90"/>
      <c r="AB175" s="3"/>
      <c r="AC175" s="201">
        <f t="shared" ref="AC175:AD175" si="359">D175+F175+H175+J175+L175+N175+P175+R175+T175+V175+X175+Z175</f>
        <v>0</v>
      </c>
      <c r="AD175" s="201">
        <f t="shared" si="359"/>
        <v>0</v>
      </c>
      <c r="AE175" s="3"/>
      <c r="AF175" s="201">
        <f t="shared" ref="AF175:AG175" si="360">D175+F175+H175+J175+L175+N175+P175+R175+T175+V175+X175+Z175</f>
        <v>0</v>
      </c>
      <c r="AG175" s="201">
        <f t="shared" si="360"/>
        <v>0</v>
      </c>
    </row>
    <row r="176" ht="12.75" customHeight="1">
      <c r="A176" s="111"/>
      <c r="B176" s="188" t="s">
        <v>39</v>
      </c>
      <c r="C176" s="2" t="s">
        <v>97</v>
      </c>
      <c r="D176" s="189">
        <f>SUMIF(PPvsREal!$C:$C,'PPvsREal Summary'!C176,PPvsREal!$D:$D)</f>
        <v>0</v>
      </c>
      <c r="E176" s="3">
        <f>SUMIF(PPvsREal!$C:$C,'PPvsREal Summary'!C176,PPvsREal!$E:$E)</f>
        <v>0</v>
      </c>
      <c r="F176" s="3">
        <f>SUMIF(PPvsREal!$C:$C,'PPvsREal Summary'!C176,PPvsREal!$F:$F)</f>
        <v>0</v>
      </c>
      <c r="G176" s="3">
        <f>SUMIF(PPvsREal!$C:$C,'PPvsREal Summary'!C176,PPvsREal!$G:$G)</f>
        <v>0</v>
      </c>
      <c r="H176" s="3">
        <f>SUMIF(PPvsREal!$C:$C,'PPvsREal Summary'!C176,PPvsREal!$H:$H)</f>
        <v>0</v>
      </c>
      <c r="I176" s="3">
        <f>SUMIF(PPvsREal!$C:$C,'PPvsREal Summary'!C176,PPvsREal!$I:$I)</f>
        <v>0</v>
      </c>
      <c r="J176" s="3">
        <f>SUMIF(PPvsREal!$C:$C,'PPvsREal Summary'!C176,PPvsREal!$J:$J)</f>
        <v>0</v>
      </c>
      <c r="K176" s="3">
        <f>SUMIF(PPvsREal!$C:$C,'PPvsREal Summary'!C176,PPvsREal!$K:$K)</f>
        <v>0</v>
      </c>
      <c r="L176" s="3">
        <f>SUMIF(PPvsREal!$C:$C,'PPvsREal Summary'!C176,PPvsREal!$L:$L)</f>
        <v>0</v>
      </c>
      <c r="M176" s="3">
        <f>SUMIF(PPvsREal!$C:$C,'PPvsREal Summary'!C176,PPvsREal!$M:$M)</f>
        <v>0</v>
      </c>
      <c r="N176" s="3">
        <f>SUMIF(PPvsREal!$C:$C,'PPvsREal Summary'!C176,PPvsREal!$N:$N)</f>
        <v>0</v>
      </c>
      <c r="O176" s="3">
        <f>SUMIF(PPvsREal!$C:$C,'PPvsREal Summary'!C176,PPvsREal!$O:$O)</f>
        <v>0</v>
      </c>
      <c r="P176" s="3">
        <f>SUMIF(PPvsREal!$C:$C,'PPvsREal Summary'!C176,PPvsREal!$P:$P)</f>
        <v>0</v>
      </c>
      <c r="Q176" s="3">
        <f>SUMIF(PPvsREal!$C:$C,'PPvsREal Summary'!C176,PPvsREal!$Q:$Q)</f>
        <v>0</v>
      </c>
      <c r="R176" s="3">
        <f>SUMIF(PPvsREal!$C:$C,'PPvsREal Summary'!C176,PPvsREal!$R:$R)</f>
        <v>0</v>
      </c>
      <c r="S176" s="3">
        <f>SUMIF(PPvsREal!$C:$C,'PPvsREal Summary'!C176,PPvsREal!$S:$S)</f>
        <v>0</v>
      </c>
      <c r="T176" s="3">
        <f>SUMIF(PPvsREal!$C:$C,'PPvsREal Summary'!C176,PPvsREal!$T:$T)</f>
        <v>0</v>
      </c>
      <c r="U176" s="3">
        <f>SUMIF(PPvsREal!$C:$C,'PPvsREal Summary'!C176,PPvsREal!$U:$U)</f>
        <v>0</v>
      </c>
      <c r="V176" s="3">
        <f>SUMIF(PPvsREal!$C:$C,'PPvsREal Summary'!C176,PPvsREal!$V:$V)</f>
        <v>0</v>
      </c>
      <c r="W176" s="3">
        <f>SUMIF(PPvsREal!$C:$C,'PPvsREal Summary'!C176,PPvsREal!$W:$W)</f>
        <v>0</v>
      </c>
      <c r="X176" s="3">
        <f>SUMIF(PPvsREal!$C:$C,'PPvsREal Summary'!C176,PPvsREal!$X:$X)</f>
        <v>0</v>
      </c>
      <c r="Y176" s="3">
        <f>SUMIF(PPvsREal!$C:$C,'PPvsREal Summary'!C176,PPvsREal!$Y:$Y)</f>
        <v>0</v>
      </c>
      <c r="Z176" s="3">
        <f>SUMIF(PPvsREal!$C:$C,'PPvsREal Summary'!C176,PPvsREal!$Z:$Z)</f>
        <v>0</v>
      </c>
      <c r="AA176" s="190">
        <f>SUMIF(PPvsREal!$C:$C,'PPvsREal Summary'!C176,PPvsREal!$AA:$AA)</f>
        <v>0</v>
      </c>
      <c r="AB176" s="3"/>
      <c r="AC176" s="201">
        <f t="shared" ref="AC176:AD176" si="361">D176+F176+H176+J176+L176+N176+P176+R176+T176+V176+X176+Z176</f>
        <v>0</v>
      </c>
      <c r="AD176" s="201">
        <f t="shared" si="361"/>
        <v>0</v>
      </c>
      <c r="AE176" s="3"/>
      <c r="AF176" s="201">
        <f t="shared" ref="AF176:AG176" si="362">D176+F176+H176+J176+L176+N176+P176+R176+T176+V176+X176+Z176</f>
        <v>0</v>
      </c>
      <c r="AG176" s="201">
        <f t="shared" si="362"/>
        <v>0</v>
      </c>
    </row>
    <row r="177" ht="12.75" customHeight="1">
      <c r="A177" s="111"/>
      <c r="B177" s="188"/>
      <c r="C177" s="2"/>
      <c r="D177" s="189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90"/>
      <c r="AB177" s="3"/>
      <c r="AC177" s="201">
        <f t="shared" ref="AC177:AD177" si="363">D177+F177+H177+J177+L177+N177+P177+R177+T177+V177+X177+Z177</f>
        <v>0</v>
      </c>
      <c r="AD177" s="201">
        <f t="shared" si="363"/>
        <v>0</v>
      </c>
      <c r="AE177" s="3"/>
      <c r="AF177" s="201">
        <f t="shared" ref="AF177:AG177" si="364">D177+F177+H177+J177+L177+N177+P177+R177+T177+V177+X177+Z177</f>
        <v>0</v>
      </c>
      <c r="AG177" s="201">
        <f t="shared" si="364"/>
        <v>0</v>
      </c>
    </row>
    <row r="178" ht="12.75" customHeight="1">
      <c r="A178" s="111"/>
      <c r="B178" s="188" t="s">
        <v>37</v>
      </c>
      <c r="C178" s="2" t="s">
        <v>398</v>
      </c>
      <c r="D178" s="189">
        <f>SUMIF(PPvsREal!$C:$C,'PPvsREal Summary'!C178,PPvsREal!$D:$D)</f>
        <v>0</v>
      </c>
      <c r="E178" s="3">
        <f>SUMIF(PPvsREal!$C:$C,'PPvsREal Summary'!C178,PPvsREal!$E:$E)</f>
        <v>0</v>
      </c>
      <c r="F178" s="3">
        <f>SUMIF(PPvsREal!$C:$C,'PPvsREal Summary'!C178,PPvsREal!$F:$F)</f>
        <v>0</v>
      </c>
      <c r="G178" s="3">
        <f>SUMIF(PPvsREal!$C:$C,'PPvsREal Summary'!C178,PPvsREal!$G:$G)</f>
        <v>0</v>
      </c>
      <c r="H178" s="3">
        <f>SUMIF(PPvsREal!$C:$C,'PPvsREal Summary'!C178,PPvsREal!$H:$H)</f>
        <v>0</v>
      </c>
      <c r="I178" s="3">
        <f>SUMIF(PPvsREal!$C:$C,'PPvsREal Summary'!C178,PPvsREal!$I:$I)</f>
        <v>0</v>
      </c>
      <c r="J178" s="3">
        <f>SUMIF(PPvsREal!$C:$C,'PPvsREal Summary'!C178,PPvsREal!$J:$J)</f>
        <v>0</v>
      </c>
      <c r="K178" s="3">
        <f>SUMIF(PPvsREal!$C:$C,'PPvsREal Summary'!C178,PPvsREal!$K:$K)</f>
        <v>0</v>
      </c>
      <c r="L178" s="3">
        <f>SUMIF(PPvsREal!$C:$C,'PPvsREal Summary'!C178,PPvsREal!$L:$L)</f>
        <v>0</v>
      </c>
      <c r="M178" s="3">
        <f>SUMIF(PPvsREal!$C:$C,'PPvsREal Summary'!C178,PPvsREal!$M:$M)</f>
        <v>0</v>
      </c>
      <c r="N178" s="3">
        <f>SUMIF(PPvsREal!$C:$C,'PPvsREal Summary'!C178,PPvsREal!$N:$N)</f>
        <v>0</v>
      </c>
      <c r="O178" s="3">
        <f>SUMIF(PPvsREal!$C:$C,'PPvsREal Summary'!C178,PPvsREal!$O:$O)</f>
        <v>0</v>
      </c>
      <c r="P178" s="3">
        <f>SUMIF(PPvsREal!$C:$C,'PPvsREal Summary'!C178,PPvsREal!$P:$P)</f>
        <v>0</v>
      </c>
      <c r="Q178" s="3">
        <f>SUMIF(PPvsREal!$C:$C,'PPvsREal Summary'!C178,PPvsREal!$Q:$Q)</f>
        <v>0</v>
      </c>
      <c r="R178" s="3">
        <f>SUMIF(PPvsREal!$C:$C,'PPvsREal Summary'!C178,PPvsREal!$R:$R)</f>
        <v>0</v>
      </c>
      <c r="S178" s="3">
        <f>SUMIF(PPvsREal!$C:$C,'PPvsREal Summary'!C178,PPvsREal!$S:$S)</f>
        <v>0</v>
      </c>
      <c r="T178" s="3">
        <f>SUMIF(PPvsREal!$C:$C,'PPvsREal Summary'!C178,PPvsREal!$T:$T)</f>
        <v>0</v>
      </c>
      <c r="U178" s="3">
        <f>SUMIF(PPvsREal!$C:$C,'PPvsREal Summary'!C178,PPvsREal!$U:$U)</f>
        <v>0</v>
      </c>
      <c r="V178" s="3">
        <f>SUMIF(PPvsREal!$C:$C,'PPvsREal Summary'!C178,PPvsREal!$V:$V)</f>
        <v>0</v>
      </c>
      <c r="W178" s="3">
        <f>SUMIF(PPvsREal!$C:$C,'PPvsREal Summary'!C178,PPvsREal!$W:$W)</f>
        <v>0</v>
      </c>
      <c r="X178" s="3">
        <f>SUMIF(PPvsREal!$C:$C,'PPvsREal Summary'!C178,PPvsREal!$X:$X)</f>
        <v>0</v>
      </c>
      <c r="Y178" s="3">
        <f>SUMIF(PPvsREal!$C:$C,'PPvsREal Summary'!C178,PPvsREal!$Y:$Y)</f>
        <v>0</v>
      </c>
      <c r="Z178" s="3">
        <f>SUMIF(PPvsREal!$C:$C,'PPvsREal Summary'!C178,PPvsREal!$Z:$Z)</f>
        <v>0</v>
      </c>
      <c r="AA178" s="190">
        <f>SUMIF(PPvsREal!$C:$C,'PPvsREal Summary'!C178,PPvsREal!$AA:$AA)</f>
        <v>0</v>
      </c>
      <c r="AB178" s="3"/>
      <c r="AC178" s="201">
        <f t="shared" ref="AC178:AD178" si="365">D178+F178+H178+J178+L178+N178+P178+R178+T178+V178+X178+Z178</f>
        <v>0</v>
      </c>
      <c r="AD178" s="201">
        <f t="shared" si="365"/>
        <v>0</v>
      </c>
      <c r="AE178" s="3"/>
      <c r="AF178" s="201">
        <f t="shared" ref="AF178:AG178" si="366">D178+F178+H178+J178+L178+N178+P178+R178+T178+V178+X178+Z178</f>
        <v>0</v>
      </c>
      <c r="AG178" s="201">
        <f t="shared" si="366"/>
        <v>0</v>
      </c>
    </row>
    <row r="179" ht="12.75" customHeight="1">
      <c r="A179" s="111"/>
      <c r="B179" s="209"/>
      <c r="C179" s="210">
        <v>9.04E20</v>
      </c>
      <c r="D179" s="211">
        <f t="shared" ref="D179:AA179" si="367">D178</f>
        <v>0</v>
      </c>
      <c r="E179" s="211">
        <f t="shared" si="367"/>
        <v>0</v>
      </c>
      <c r="F179" s="211">
        <f t="shared" si="367"/>
        <v>0</v>
      </c>
      <c r="G179" s="211">
        <f t="shared" si="367"/>
        <v>0</v>
      </c>
      <c r="H179" s="211">
        <f t="shared" si="367"/>
        <v>0</v>
      </c>
      <c r="I179" s="211">
        <f t="shared" si="367"/>
        <v>0</v>
      </c>
      <c r="J179" s="211">
        <f t="shared" si="367"/>
        <v>0</v>
      </c>
      <c r="K179" s="211">
        <f t="shared" si="367"/>
        <v>0</v>
      </c>
      <c r="L179" s="211">
        <f t="shared" si="367"/>
        <v>0</v>
      </c>
      <c r="M179" s="211">
        <f t="shared" si="367"/>
        <v>0</v>
      </c>
      <c r="N179" s="211">
        <f t="shared" si="367"/>
        <v>0</v>
      </c>
      <c r="O179" s="211">
        <f t="shared" si="367"/>
        <v>0</v>
      </c>
      <c r="P179" s="211">
        <f t="shared" si="367"/>
        <v>0</v>
      </c>
      <c r="Q179" s="211">
        <f t="shared" si="367"/>
        <v>0</v>
      </c>
      <c r="R179" s="211">
        <f t="shared" si="367"/>
        <v>0</v>
      </c>
      <c r="S179" s="211">
        <f t="shared" si="367"/>
        <v>0</v>
      </c>
      <c r="T179" s="211">
        <f t="shared" si="367"/>
        <v>0</v>
      </c>
      <c r="U179" s="211">
        <f t="shared" si="367"/>
        <v>0</v>
      </c>
      <c r="V179" s="211">
        <f t="shared" si="367"/>
        <v>0</v>
      </c>
      <c r="W179" s="211">
        <f t="shared" si="367"/>
        <v>0</v>
      </c>
      <c r="X179" s="211">
        <f t="shared" si="367"/>
        <v>0</v>
      </c>
      <c r="Y179" s="211">
        <f t="shared" si="367"/>
        <v>0</v>
      </c>
      <c r="Z179" s="211">
        <f t="shared" si="367"/>
        <v>0</v>
      </c>
      <c r="AA179" s="212">
        <f t="shared" si="367"/>
        <v>0</v>
      </c>
      <c r="AB179" s="3"/>
      <c r="AC179" s="213">
        <f t="shared" ref="AC179:AD179" si="368">D179+F179+H179+J179+L179+N179+P179+R179+T179+V179+X179+Z179</f>
        <v>0</v>
      </c>
      <c r="AD179" s="213">
        <f t="shared" si="368"/>
        <v>0</v>
      </c>
      <c r="AE179" s="3"/>
      <c r="AF179" s="213">
        <f t="shared" ref="AF179:AG179" si="369">D179+F179+H179+J179+L179+N179+P179+R179+T179+V179+X179+Z179</f>
        <v>0</v>
      </c>
      <c r="AG179" s="213">
        <f t="shared" si="369"/>
        <v>0</v>
      </c>
    </row>
    <row r="180" ht="15.75" customHeight="1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</row>
    <row r="181" ht="15.75" customHeight="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</row>
    <row r="182" ht="15.75" customHeight="1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</row>
    <row r="183" ht="15.75" customHeight="1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</row>
    <row r="184" ht="15.75" customHeight="1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</row>
    <row r="185" ht="15.75" customHeight="1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</row>
    <row r="186" ht="15.75" customHeight="1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</row>
    <row r="187" ht="15.75" customHeight="1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</row>
    <row r="188" ht="15.75" customHeight="1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</row>
    <row r="189" ht="15.75" customHeight="1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</row>
    <row r="190" ht="15.75" customHeight="1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</row>
    <row r="191" ht="15.75" customHeight="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</row>
    <row r="192" ht="15.75" customHeight="1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</row>
    <row r="193" ht="15.75" customHeight="1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</row>
    <row r="194" ht="15.75" customHeight="1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</row>
    <row r="195" ht="15.75" customHeight="1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</row>
    <row r="196" ht="15.75" customHeight="1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</row>
    <row r="197" ht="15.75" customHeight="1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</row>
    <row r="198" ht="15.75" customHeight="1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</row>
    <row r="199" ht="15.75" customHeight="1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</row>
    <row r="200" ht="15.75" customHeight="1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</row>
    <row r="201" ht="15.75" customHeight="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</row>
    <row r="202" ht="15.75" customHeight="1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</row>
    <row r="203" ht="15.75" customHeight="1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</row>
    <row r="204" ht="15.75" customHeight="1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</row>
    <row r="205" ht="15.75" customHeight="1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</row>
    <row r="206" ht="15.75" customHeight="1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</row>
    <row r="207" ht="15.75" customHeight="1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</row>
    <row r="208" ht="15.75" customHeight="1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</row>
    <row r="209" ht="15.75" customHeight="1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</row>
    <row r="210" ht="15.75" customHeight="1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</row>
    <row r="211" ht="15.75" customHeight="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</row>
    <row r="212" ht="15.75" customHeight="1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</row>
    <row r="213" ht="15.75" customHeight="1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</row>
    <row r="214" ht="15.75" customHeight="1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</row>
    <row r="215" ht="15.75" customHeight="1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</row>
    <row r="216" ht="15.75" customHeight="1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</row>
    <row r="217" ht="15.75" customHeight="1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</row>
    <row r="218" ht="15.75" customHeight="1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</row>
    <row r="219" ht="15.75" customHeight="1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</row>
    <row r="220" ht="15.75" customHeight="1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</row>
    <row r="221" ht="15.75" customHeight="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</row>
    <row r="222" ht="15.75" customHeight="1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</row>
    <row r="223" ht="15.75" customHeight="1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</row>
    <row r="224" ht="15.75" customHeight="1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</row>
    <row r="225" ht="15.75" customHeight="1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</row>
    <row r="226" ht="15.75" customHeight="1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</row>
    <row r="227" ht="15.75" customHeight="1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</row>
    <row r="228" ht="15.75" customHeight="1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</row>
    <row r="229" ht="15.75" customHeight="1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</row>
    <row r="230" ht="15.75" customHeight="1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</row>
    <row r="231" ht="15.75" customHeight="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</row>
    <row r="232" ht="15.75" customHeight="1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</row>
    <row r="233" ht="15.75" customHeight="1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</row>
    <row r="234" ht="15.75" customHeight="1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</row>
    <row r="235" ht="15.75" customHeight="1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</row>
    <row r="236" ht="15.75" customHeight="1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</row>
    <row r="237" ht="15.75" customHeight="1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</row>
    <row r="238" ht="15.75" customHeight="1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</row>
    <row r="239" ht="15.75" customHeight="1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</row>
    <row r="240" ht="15.75" customHeight="1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</row>
    <row r="241" ht="15.75" customHeight="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</row>
    <row r="242" ht="15.75" customHeight="1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</row>
    <row r="243" ht="15.75" customHeight="1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</row>
    <row r="244" ht="15.75" customHeight="1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</row>
    <row r="245" ht="15.75" customHeight="1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</row>
    <row r="246" ht="15.75" customHeight="1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</row>
    <row r="247" ht="15.75" customHeight="1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</row>
    <row r="248" ht="15.75" customHeight="1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</row>
    <row r="249" ht="15.75" customHeight="1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</row>
    <row r="250" ht="15.75" customHeight="1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</row>
    <row r="251" ht="15.75" customHeight="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</row>
    <row r="252" ht="15.75" customHeight="1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</row>
    <row r="253" ht="15.75" customHeight="1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</row>
    <row r="254" ht="15.75" customHeight="1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</row>
    <row r="255" ht="15.75" customHeight="1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</row>
    <row r="256" ht="15.75" customHeight="1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</row>
    <row r="257" ht="15.75" customHeight="1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</row>
    <row r="258" ht="15.75" customHeight="1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</row>
    <row r="259" ht="15.75" customHeight="1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</row>
    <row r="260" ht="15.75" customHeight="1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</row>
    <row r="261" ht="15.75" customHeight="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</row>
    <row r="262" ht="15.75" customHeight="1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</row>
    <row r="263" ht="15.75" customHeight="1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</row>
    <row r="264" ht="15.75" customHeight="1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</row>
    <row r="265" ht="15.75" customHeight="1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</row>
    <row r="266" ht="15.75" customHeight="1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</row>
    <row r="267" ht="15.75" customHeight="1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</row>
    <row r="268" ht="15.75" customHeight="1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</row>
    <row r="269" ht="15.75" customHeight="1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</row>
    <row r="270" ht="15.75" customHeight="1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</row>
    <row r="271" ht="15.75" customHeight="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</row>
    <row r="272" ht="15.75" customHeight="1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</row>
    <row r="273" ht="15.75" customHeight="1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</row>
    <row r="274" ht="15.75" customHeight="1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</row>
    <row r="275" ht="15.75" customHeight="1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</row>
    <row r="276" ht="15.75" customHeight="1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</row>
    <row r="277" ht="15.75" customHeight="1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</row>
    <row r="278" ht="15.75" customHeight="1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</row>
    <row r="279" ht="15.75" customHeight="1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</row>
    <row r="280" ht="15.75" customHeight="1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</row>
    <row r="281" ht="15.75" customHeight="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</row>
    <row r="282" ht="15.75" customHeight="1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</row>
    <row r="283" ht="15.75" customHeight="1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</row>
    <row r="284" ht="15.75" customHeight="1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</row>
    <row r="285" ht="15.75" customHeight="1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</row>
    <row r="286" ht="15.75" customHeight="1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</row>
    <row r="287" ht="15.75" customHeight="1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</row>
    <row r="288" ht="15.75" customHeight="1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</row>
    <row r="289" ht="15.75" customHeight="1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</row>
    <row r="290" ht="15.75" customHeight="1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</row>
    <row r="291" ht="15.75" customHeight="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</row>
    <row r="292" ht="15.75" customHeight="1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</row>
    <row r="293" ht="15.75" customHeight="1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</row>
    <row r="294" ht="15.75" customHeight="1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</row>
    <row r="295" ht="15.75" customHeight="1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</row>
    <row r="296" ht="15.75" customHeight="1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</row>
    <row r="297" ht="15.75" customHeight="1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</row>
    <row r="298" ht="15.75" customHeight="1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</row>
    <row r="299" ht="15.75" customHeight="1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</row>
    <row r="300" ht="15.75" customHeight="1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</row>
    <row r="301" ht="15.75" customHeight="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</row>
    <row r="302" ht="15.75" customHeight="1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</row>
    <row r="303" ht="15.75" customHeight="1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</row>
    <row r="304" ht="15.75" customHeight="1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</row>
    <row r="305" ht="15.75" customHeight="1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</row>
    <row r="306" ht="15.75" customHeight="1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</row>
    <row r="307" ht="15.75" customHeight="1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</row>
    <row r="308" ht="15.75" customHeight="1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</row>
    <row r="309" ht="15.75" customHeight="1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</row>
    <row r="310" ht="15.75" customHeight="1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</row>
    <row r="311" ht="15.75" customHeight="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</row>
    <row r="312" ht="15.75" customHeight="1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</row>
    <row r="313" ht="15.75" customHeight="1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</row>
    <row r="314" ht="15.75" customHeight="1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</row>
    <row r="315" ht="15.75" customHeight="1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</row>
    <row r="316" ht="15.75" customHeight="1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</row>
    <row r="317" ht="15.75" customHeight="1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</row>
    <row r="318" ht="15.75" customHeight="1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</row>
    <row r="319" ht="15.75" customHeight="1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</row>
    <row r="320" ht="15.75" customHeight="1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</row>
    <row r="321" ht="15.75" customHeight="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</row>
    <row r="322" ht="15.75" customHeight="1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</row>
    <row r="323" ht="15.75" customHeight="1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</row>
    <row r="324" ht="15.75" customHeight="1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</row>
    <row r="325" ht="15.75" customHeight="1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</row>
    <row r="326" ht="15.75" customHeight="1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</row>
    <row r="327" ht="15.75" customHeight="1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</row>
    <row r="328" ht="15.75" customHeight="1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</row>
    <row r="329" ht="15.75" customHeight="1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</row>
    <row r="330" ht="15.75" customHeight="1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</row>
    <row r="331" ht="15.75" customHeight="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</row>
    <row r="332" ht="15.75" customHeight="1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</row>
    <row r="333" ht="15.75" customHeight="1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</row>
    <row r="334" ht="15.75" customHeight="1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</row>
    <row r="335" ht="15.75" customHeight="1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</row>
    <row r="336" ht="15.75" customHeight="1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</row>
    <row r="337" ht="15.75" customHeight="1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</row>
    <row r="338" ht="15.75" customHeight="1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</row>
    <row r="339" ht="15.75" customHeight="1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</row>
    <row r="340" ht="15.75" customHeight="1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</row>
    <row r="341" ht="15.75" customHeight="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</row>
    <row r="342" ht="15.75" customHeight="1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</row>
    <row r="343" ht="15.75" customHeight="1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</row>
    <row r="344" ht="15.75" customHeight="1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</row>
    <row r="345" ht="15.75" customHeight="1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</row>
    <row r="346" ht="15.75" customHeight="1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</row>
    <row r="347" ht="15.75" customHeight="1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</row>
    <row r="348" ht="15.75" customHeight="1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</row>
    <row r="349" ht="15.75" customHeight="1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</row>
    <row r="350" ht="15.75" customHeight="1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</row>
    <row r="351" ht="15.75" customHeight="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</row>
    <row r="352" ht="15.75" customHeight="1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</row>
    <row r="353" ht="15.75" customHeight="1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</row>
    <row r="354" ht="15.75" customHeight="1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</row>
    <row r="355" ht="15.75" customHeight="1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</row>
    <row r="356" ht="15.75" customHeight="1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</row>
    <row r="357" ht="15.75" customHeight="1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</row>
    <row r="358" ht="15.75" customHeight="1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</row>
    <row r="359" ht="15.75" customHeight="1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</row>
    <row r="360" ht="15.75" customHeight="1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</row>
    <row r="361" ht="15.75" customHeight="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</row>
    <row r="362" ht="15.75" customHeight="1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</row>
    <row r="363" ht="15.75" customHeight="1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</row>
    <row r="364" ht="15.75" customHeight="1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</row>
    <row r="365" ht="15.75" customHeight="1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</row>
    <row r="366" ht="15.75" customHeight="1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</row>
    <row r="367" ht="15.75" customHeight="1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</row>
    <row r="368" ht="15.75" customHeight="1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</row>
    <row r="369" ht="15.75" customHeight="1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</row>
    <row r="370" ht="15.75" customHeight="1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</row>
    <row r="371" ht="15.75" customHeight="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</row>
    <row r="372" ht="15.75" customHeight="1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</row>
    <row r="373" ht="15.75" customHeight="1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</row>
    <row r="374" ht="15.75" customHeight="1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</row>
    <row r="375" ht="15.75" customHeight="1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</row>
    <row r="376" ht="15.75" customHeight="1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</row>
    <row r="377" ht="15.75" customHeight="1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</row>
    <row r="378" ht="15.75" customHeight="1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</row>
    <row r="379" ht="15.75" customHeight="1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</row>
    <row r="380" ht="15.75" customHeight="1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</row>
    <row r="381" ht="15.75" customHeight="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</row>
    <row r="382" ht="15.75" customHeight="1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</row>
    <row r="383" ht="15.75" customHeight="1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</row>
    <row r="384" ht="15.75" customHeight="1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</row>
    <row r="385" ht="15.75" customHeight="1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</row>
    <row r="386" ht="15.75" customHeight="1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</row>
    <row r="387" ht="15.75" customHeight="1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</row>
    <row r="388" ht="15.75" customHeight="1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</row>
    <row r="389" ht="15.75" customHeight="1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</row>
    <row r="390" ht="15.75" customHeight="1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</row>
    <row r="391" ht="15.75" customHeight="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</row>
    <row r="392" ht="15.75" customHeight="1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</row>
    <row r="393" ht="15.75" customHeight="1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</row>
    <row r="394" ht="15.75" customHeight="1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</row>
    <row r="395" ht="15.75" customHeight="1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</row>
    <row r="396" ht="15.75" customHeight="1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</row>
    <row r="397" ht="15.75" customHeight="1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</row>
    <row r="398" ht="15.75" customHeight="1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</row>
    <row r="399" ht="15.75" customHeight="1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</row>
    <row r="400" ht="15.75" customHeight="1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</row>
    <row r="401" ht="15.75" customHeight="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</row>
    <row r="402" ht="15.75" customHeight="1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  <c r="AE402" s="111"/>
      <c r="AF402" s="111"/>
      <c r="AG402" s="111"/>
    </row>
    <row r="403" ht="15.75" customHeight="1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  <c r="AE403" s="111"/>
      <c r="AF403" s="111"/>
      <c r="AG403" s="111"/>
    </row>
    <row r="404" ht="15.75" customHeight="1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  <c r="AE404" s="111"/>
      <c r="AF404" s="111"/>
      <c r="AG404" s="111"/>
    </row>
    <row r="405" ht="15.75" customHeight="1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  <c r="AE405" s="111"/>
      <c r="AF405" s="111"/>
      <c r="AG405" s="111"/>
    </row>
    <row r="406" ht="15.75" customHeight="1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  <c r="AE406" s="111"/>
      <c r="AF406" s="111"/>
      <c r="AG406" s="111"/>
    </row>
    <row r="407" ht="15.75" customHeight="1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  <c r="AE407" s="111"/>
      <c r="AF407" s="111"/>
      <c r="AG407" s="111"/>
    </row>
    <row r="408" ht="15.75" customHeight="1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  <c r="AE408" s="111"/>
      <c r="AF408" s="111"/>
      <c r="AG408" s="111"/>
    </row>
    <row r="409" ht="15.75" customHeight="1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  <c r="AE409" s="111"/>
      <c r="AF409" s="111"/>
      <c r="AG409" s="111"/>
    </row>
    <row r="410" ht="15.75" customHeight="1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  <c r="AE410" s="111"/>
      <c r="AF410" s="111"/>
      <c r="AG410" s="111"/>
    </row>
    <row r="411" ht="15.75" customHeight="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  <c r="AE411" s="111"/>
      <c r="AF411" s="111"/>
      <c r="AG411" s="111"/>
    </row>
    <row r="412" ht="15.75" customHeight="1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  <c r="AE412" s="111"/>
      <c r="AF412" s="111"/>
      <c r="AG412" s="111"/>
    </row>
    <row r="413" ht="15.75" customHeight="1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  <c r="AE413" s="111"/>
      <c r="AF413" s="111"/>
      <c r="AG413" s="111"/>
    </row>
    <row r="414" ht="15.75" customHeight="1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  <c r="AE414" s="111"/>
      <c r="AF414" s="111"/>
      <c r="AG414" s="111"/>
    </row>
    <row r="415" ht="15.75" customHeight="1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  <c r="AE415" s="111"/>
      <c r="AF415" s="111"/>
      <c r="AG415" s="111"/>
    </row>
    <row r="416" ht="15.75" customHeight="1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  <c r="AE416" s="111"/>
      <c r="AF416" s="111"/>
      <c r="AG416" s="111"/>
    </row>
    <row r="417" ht="15.75" customHeight="1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  <c r="AE417" s="111"/>
      <c r="AF417" s="111"/>
      <c r="AG417" s="111"/>
    </row>
    <row r="418" ht="15.75" customHeight="1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  <c r="AE418" s="111"/>
      <c r="AF418" s="111"/>
      <c r="AG418" s="111"/>
    </row>
    <row r="419" ht="15.75" customHeight="1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  <c r="AE419" s="111"/>
      <c r="AF419" s="111"/>
      <c r="AG419" s="111"/>
    </row>
    <row r="420" ht="15.75" customHeight="1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  <c r="AE420" s="111"/>
      <c r="AF420" s="111"/>
      <c r="AG420" s="111"/>
    </row>
    <row r="421" ht="15.75" customHeight="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  <c r="AE421" s="111"/>
      <c r="AF421" s="111"/>
      <c r="AG421" s="111"/>
    </row>
    <row r="422" ht="15.75" customHeight="1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  <c r="AE422" s="111"/>
      <c r="AF422" s="111"/>
      <c r="AG422" s="111"/>
    </row>
    <row r="423" ht="15.75" customHeight="1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  <c r="AE423" s="111"/>
      <c r="AF423" s="111"/>
      <c r="AG423" s="111"/>
    </row>
    <row r="424" ht="15.75" customHeight="1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  <c r="AE424" s="111"/>
      <c r="AF424" s="111"/>
      <c r="AG424" s="111"/>
    </row>
    <row r="425" ht="15.75" customHeight="1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  <c r="AE425" s="111"/>
      <c r="AF425" s="111"/>
      <c r="AG425" s="111"/>
    </row>
    <row r="426" ht="15.75" customHeight="1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  <c r="AE426" s="111"/>
      <c r="AF426" s="111"/>
      <c r="AG426" s="111"/>
    </row>
    <row r="427" ht="15.75" customHeight="1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  <c r="AE427" s="111"/>
      <c r="AF427" s="111"/>
      <c r="AG427" s="111"/>
    </row>
    <row r="428" ht="15.75" customHeight="1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  <c r="AE428" s="111"/>
      <c r="AF428" s="111"/>
      <c r="AG428" s="111"/>
    </row>
    <row r="429" ht="15.75" customHeight="1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  <c r="AE429" s="111"/>
      <c r="AF429" s="111"/>
      <c r="AG429" s="111"/>
    </row>
    <row r="430" ht="15.75" customHeight="1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  <c r="AE430" s="111"/>
      <c r="AF430" s="111"/>
      <c r="AG430" s="111"/>
    </row>
    <row r="431" ht="15.75" customHeight="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  <c r="AE431" s="111"/>
      <c r="AF431" s="111"/>
      <c r="AG431" s="111"/>
    </row>
    <row r="432" ht="15.75" customHeight="1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  <c r="AE432" s="111"/>
      <c r="AF432" s="111"/>
      <c r="AG432" s="111"/>
    </row>
    <row r="433" ht="15.75" customHeight="1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  <c r="AE433" s="111"/>
      <c r="AF433" s="111"/>
      <c r="AG433" s="111"/>
    </row>
    <row r="434" ht="15.75" customHeight="1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  <c r="AE434" s="111"/>
      <c r="AF434" s="111"/>
      <c r="AG434" s="111"/>
    </row>
    <row r="435" ht="15.75" customHeight="1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  <c r="AE435" s="111"/>
      <c r="AF435" s="111"/>
      <c r="AG435" s="111"/>
    </row>
    <row r="436" ht="15.75" customHeight="1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  <c r="AE436" s="111"/>
      <c r="AF436" s="111"/>
      <c r="AG436" s="111"/>
    </row>
    <row r="437" ht="15.75" customHeight="1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  <c r="AE437" s="111"/>
      <c r="AF437" s="111"/>
      <c r="AG437" s="111"/>
    </row>
    <row r="438" ht="15.75" customHeight="1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  <c r="AD438" s="111"/>
      <c r="AE438" s="111"/>
      <c r="AF438" s="111"/>
      <c r="AG438" s="111"/>
    </row>
    <row r="439" ht="15.75" customHeight="1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  <c r="AD439" s="111"/>
      <c r="AE439" s="111"/>
      <c r="AF439" s="111"/>
      <c r="AG439" s="111"/>
    </row>
    <row r="440" ht="15.75" customHeight="1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  <c r="AE440" s="111"/>
      <c r="AF440" s="111"/>
      <c r="AG440" s="111"/>
    </row>
    <row r="441" ht="15.75" customHeight="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  <c r="AE441" s="111"/>
      <c r="AF441" s="111"/>
      <c r="AG441" s="111"/>
    </row>
    <row r="442" ht="15.75" customHeight="1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  <c r="AD442" s="111"/>
      <c r="AE442" s="111"/>
      <c r="AF442" s="111"/>
      <c r="AG442" s="111"/>
    </row>
    <row r="443" ht="15.75" customHeight="1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  <c r="AE443" s="111"/>
      <c r="AF443" s="111"/>
      <c r="AG443" s="111"/>
    </row>
    <row r="444" ht="15.75" customHeight="1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  <c r="AE444" s="111"/>
      <c r="AF444" s="111"/>
      <c r="AG444" s="111"/>
    </row>
    <row r="445" ht="15.75" customHeight="1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  <c r="AD445" s="111"/>
      <c r="AE445" s="111"/>
      <c r="AF445" s="111"/>
      <c r="AG445" s="111"/>
    </row>
    <row r="446" ht="15.75" customHeight="1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  <c r="AD446" s="111"/>
      <c r="AE446" s="111"/>
      <c r="AF446" s="111"/>
      <c r="AG446" s="111"/>
    </row>
    <row r="447" ht="15.75" customHeight="1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  <c r="AD447" s="111"/>
      <c r="AE447" s="111"/>
      <c r="AF447" s="111"/>
      <c r="AG447" s="111"/>
    </row>
    <row r="448" ht="15.75" customHeight="1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  <c r="AD448" s="111"/>
      <c r="AE448" s="111"/>
      <c r="AF448" s="111"/>
      <c r="AG448" s="111"/>
    </row>
    <row r="449" ht="15.75" customHeight="1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  <c r="AD449" s="111"/>
      <c r="AE449" s="111"/>
      <c r="AF449" s="111"/>
      <c r="AG449" s="111"/>
    </row>
    <row r="450" ht="15.75" customHeight="1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  <c r="AD450" s="111"/>
      <c r="AE450" s="111"/>
      <c r="AF450" s="111"/>
      <c r="AG450" s="111"/>
    </row>
    <row r="451" ht="15.75" customHeight="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  <c r="AD451" s="111"/>
      <c r="AE451" s="111"/>
      <c r="AF451" s="111"/>
      <c r="AG451" s="111"/>
    </row>
    <row r="452" ht="15.75" customHeight="1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  <c r="AG452" s="111"/>
    </row>
    <row r="453" ht="15.75" customHeight="1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  <c r="AD453" s="111"/>
      <c r="AE453" s="111"/>
      <c r="AF453" s="111"/>
      <c r="AG453" s="111"/>
    </row>
    <row r="454" ht="15.75" customHeight="1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  <c r="AD454" s="111"/>
      <c r="AE454" s="111"/>
      <c r="AF454" s="111"/>
      <c r="AG454" s="111"/>
    </row>
    <row r="455" ht="15.75" customHeight="1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  <c r="AE455" s="111"/>
      <c r="AF455" s="111"/>
      <c r="AG455" s="111"/>
    </row>
    <row r="456" ht="15.75" customHeight="1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  <c r="AD456" s="111"/>
      <c r="AE456" s="111"/>
      <c r="AF456" s="111"/>
      <c r="AG456" s="111"/>
    </row>
    <row r="457" ht="15.75" customHeight="1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  <c r="AD457" s="111"/>
      <c r="AE457" s="111"/>
      <c r="AF457" s="111"/>
      <c r="AG457" s="111"/>
    </row>
    <row r="458" ht="15.75" customHeight="1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  <c r="AD458" s="111"/>
      <c r="AE458" s="111"/>
      <c r="AF458" s="111"/>
      <c r="AG458" s="111"/>
    </row>
    <row r="459" ht="15.75" customHeight="1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  <c r="AD459" s="111"/>
      <c r="AE459" s="111"/>
      <c r="AF459" s="111"/>
      <c r="AG459" s="111"/>
    </row>
    <row r="460" ht="15.75" customHeight="1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  <c r="AD460" s="111"/>
      <c r="AE460" s="111"/>
      <c r="AF460" s="111"/>
      <c r="AG460" s="111"/>
    </row>
    <row r="461" ht="15.75" customHeight="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  <c r="AD461" s="111"/>
      <c r="AE461" s="111"/>
      <c r="AF461" s="111"/>
      <c r="AG461" s="111"/>
    </row>
    <row r="462" ht="15.75" customHeight="1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  <c r="AE462" s="111"/>
      <c r="AF462" s="111"/>
      <c r="AG462" s="111"/>
    </row>
    <row r="463" ht="15.75" customHeight="1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  <c r="AE463" s="111"/>
      <c r="AF463" s="111"/>
      <c r="AG463" s="111"/>
    </row>
    <row r="464" ht="15.75" customHeight="1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  <c r="AD464" s="111"/>
      <c r="AE464" s="111"/>
      <c r="AF464" s="111"/>
      <c r="AG464" s="111"/>
    </row>
    <row r="465" ht="15.75" customHeight="1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  <c r="AD465" s="111"/>
      <c r="AE465" s="111"/>
      <c r="AF465" s="111"/>
      <c r="AG465" s="111"/>
    </row>
    <row r="466" ht="15.75" customHeight="1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  <c r="AD466" s="111"/>
      <c r="AE466" s="111"/>
      <c r="AF466" s="111"/>
      <c r="AG466" s="111"/>
    </row>
    <row r="467" ht="15.75" customHeight="1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  <c r="AD467" s="111"/>
      <c r="AE467" s="111"/>
      <c r="AF467" s="111"/>
      <c r="AG467" s="111"/>
    </row>
    <row r="468" ht="15.75" customHeight="1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  <c r="AD468" s="111"/>
      <c r="AE468" s="111"/>
      <c r="AF468" s="111"/>
      <c r="AG468" s="111"/>
    </row>
    <row r="469" ht="15.75" customHeight="1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  <c r="AD469" s="111"/>
      <c r="AE469" s="111"/>
      <c r="AF469" s="111"/>
      <c r="AG469" s="111"/>
    </row>
    <row r="470" ht="15.75" customHeight="1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  <c r="AD470" s="111"/>
      <c r="AE470" s="111"/>
      <c r="AF470" s="111"/>
      <c r="AG470" s="111"/>
    </row>
    <row r="471" ht="15.75" customHeight="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  <c r="AD471" s="111"/>
      <c r="AE471" s="111"/>
      <c r="AF471" s="111"/>
      <c r="AG471" s="111"/>
    </row>
    <row r="472" ht="15.75" customHeight="1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  <c r="AD472" s="111"/>
      <c r="AE472" s="111"/>
      <c r="AF472" s="111"/>
      <c r="AG472" s="111"/>
    </row>
    <row r="473" ht="15.75" customHeight="1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  <c r="AD473" s="111"/>
      <c r="AE473" s="111"/>
      <c r="AF473" s="111"/>
      <c r="AG473" s="111"/>
    </row>
    <row r="474" ht="15.75" customHeight="1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  <c r="AD474" s="111"/>
      <c r="AE474" s="111"/>
      <c r="AF474" s="111"/>
      <c r="AG474" s="111"/>
    </row>
    <row r="475" ht="15.75" customHeight="1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  <c r="AD475" s="111"/>
      <c r="AE475" s="111"/>
      <c r="AF475" s="111"/>
      <c r="AG475" s="111"/>
    </row>
    <row r="476" ht="15.75" customHeight="1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  <c r="AD476" s="111"/>
      <c r="AE476" s="111"/>
      <c r="AF476" s="111"/>
      <c r="AG476" s="111"/>
    </row>
    <row r="477" ht="15.75" customHeight="1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  <c r="AD477" s="111"/>
      <c r="AE477" s="111"/>
      <c r="AF477" s="111"/>
      <c r="AG477" s="111"/>
    </row>
    <row r="478" ht="15.75" customHeight="1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  <c r="AD478" s="111"/>
      <c r="AE478" s="111"/>
      <c r="AF478" s="111"/>
      <c r="AG478" s="111"/>
    </row>
    <row r="479" ht="15.75" customHeight="1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  <c r="AD479" s="111"/>
      <c r="AE479" s="111"/>
      <c r="AF479" s="111"/>
      <c r="AG479" s="111"/>
    </row>
    <row r="480" ht="15.75" customHeight="1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  <c r="AD480" s="111"/>
      <c r="AE480" s="111"/>
      <c r="AF480" s="111"/>
      <c r="AG480" s="111"/>
    </row>
    <row r="481" ht="15.75" customHeight="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  <c r="AD481" s="111"/>
      <c r="AE481" s="111"/>
      <c r="AF481" s="111"/>
      <c r="AG481" s="111"/>
    </row>
    <row r="482" ht="15.75" customHeight="1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  <c r="AD482" s="111"/>
      <c r="AE482" s="111"/>
      <c r="AF482" s="111"/>
      <c r="AG482" s="111"/>
    </row>
    <row r="483" ht="15.75" customHeight="1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  <c r="AD483" s="111"/>
      <c r="AE483" s="111"/>
      <c r="AF483" s="111"/>
      <c r="AG483" s="111"/>
    </row>
    <row r="484" ht="15.75" customHeight="1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  <c r="AD484" s="111"/>
      <c r="AE484" s="111"/>
      <c r="AF484" s="111"/>
      <c r="AG484" s="111"/>
    </row>
    <row r="485" ht="15.75" customHeight="1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  <c r="AD485" s="111"/>
      <c r="AE485" s="111"/>
      <c r="AF485" s="111"/>
      <c r="AG485" s="111"/>
    </row>
    <row r="486" ht="15.75" customHeight="1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  <c r="AD486" s="111"/>
      <c r="AE486" s="111"/>
      <c r="AF486" s="111"/>
      <c r="AG486" s="111"/>
    </row>
    <row r="487" ht="15.75" customHeight="1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  <c r="AD487" s="111"/>
      <c r="AE487" s="111"/>
      <c r="AF487" s="111"/>
      <c r="AG487" s="111"/>
    </row>
    <row r="488" ht="15.75" customHeight="1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  <c r="AD488" s="111"/>
      <c r="AE488" s="111"/>
      <c r="AF488" s="111"/>
      <c r="AG488" s="111"/>
    </row>
    <row r="489" ht="15.75" customHeight="1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  <c r="AD489" s="111"/>
      <c r="AE489" s="111"/>
      <c r="AF489" s="111"/>
      <c r="AG489" s="111"/>
    </row>
    <row r="490" ht="15.75" customHeight="1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  <c r="AD490" s="111"/>
      <c r="AE490" s="111"/>
      <c r="AF490" s="111"/>
      <c r="AG490" s="111"/>
    </row>
    <row r="491" ht="15.75" customHeight="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  <c r="AD491" s="111"/>
      <c r="AE491" s="111"/>
      <c r="AF491" s="111"/>
      <c r="AG491" s="111"/>
    </row>
    <row r="492" ht="15.75" customHeight="1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  <c r="AD492" s="111"/>
      <c r="AE492" s="111"/>
      <c r="AF492" s="111"/>
      <c r="AG492" s="111"/>
    </row>
    <row r="493" ht="15.75" customHeight="1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  <c r="AD493" s="111"/>
      <c r="AE493" s="111"/>
      <c r="AF493" s="111"/>
      <c r="AG493" s="111"/>
    </row>
    <row r="494" ht="15.75" customHeight="1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  <c r="AD494" s="111"/>
      <c r="AE494" s="111"/>
      <c r="AF494" s="111"/>
      <c r="AG494" s="111"/>
    </row>
    <row r="495" ht="15.75" customHeight="1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  <c r="AD495" s="111"/>
      <c r="AE495" s="111"/>
      <c r="AF495" s="111"/>
      <c r="AG495" s="111"/>
    </row>
    <row r="496" ht="15.75" customHeight="1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  <c r="AE496" s="111"/>
      <c r="AF496" s="111"/>
      <c r="AG496" s="111"/>
    </row>
    <row r="497" ht="15.75" customHeight="1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  <c r="AD497" s="111"/>
      <c r="AE497" s="111"/>
      <c r="AF497" s="111"/>
      <c r="AG497" s="111"/>
    </row>
    <row r="498" ht="15.75" customHeight="1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  <c r="AD498" s="111"/>
      <c r="AE498" s="111"/>
      <c r="AF498" s="111"/>
      <c r="AG498" s="111"/>
    </row>
    <row r="499" ht="15.75" customHeight="1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  <c r="AD499" s="111"/>
      <c r="AE499" s="111"/>
      <c r="AF499" s="111"/>
      <c r="AG499" s="111"/>
    </row>
    <row r="500" ht="15.75" customHeight="1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  <c r="AD500" s="111"/>
      <c r="AE500" s="111"/>
      <c r="AF500" s="111"/>
      <c r="AG500" s="111"/>
    </row>
    <row r="501" ht="15.75" customHeight="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  <c r="AD501" s="111"/>
      <c r="AE501" s="111"/>
      <c r="AF501" s="111"/>
      <c r="AG501" s="111"/>
    </row>
    <row r="502" ht="15.75" customHeight="1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  <c r="AD502" s="111"/>
      <c r="AE502" s="111"/>
      <c r="AF502" s="111"/>
      <c r="AG502" s="111"/>
    </row>
    <row r="503" ht="15.75" customHeight="1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  <c r="AD503" s="111"/>
      <c r="AE503" s="111"/>
      <c r="AF503" s="111"/>
      <c r="AG503" s="111"/>
    </row>
    <row r="504" ht="15.75" customHeight="1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  <c r="AD504" s="111"/>
      <c r="AE504" s="111"/>
      <c r="AF504" s="111"/>
      <c r="AG504" s="111"/>
    </row>
    <row r="505" ht="15.75" customHeight="1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  <c r="AE505" s="111"/>
      <c r="AF505" s="111"/>
      <c r="AG505" s="111"/>
    </row>
    <row r="506" ht="15.75" customHeight="1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  <c r="AD506" s="111"/>
      <c r="AE506" s="111"/>
      <c r="AF506" s="111"/>
      <c r="AG506" s="111"/>
    </row>
    <row r="507" ht="15.75" customHeight="1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  <c r="AD507" s="111"/>
      <c r="AE507" s="111"/>
      <c r="AF507" s="111"/>
      <c r="AG507" s="111"/>
    </row>
    <row r="508" ht="15.75" customHeight="1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  <c r="AD508" s="111"/>
      <c r="AE508" s="111"/>
      <c r="AF508" s="111"/>
      <c r="AG508" s="111"/>
    </row>
    <row r="509" ht="15.75" customHeight="1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  <c r="AD509" s="111"/>
      <c r="AE509" s="111"/>
      <c r="AF509" s="111"/>
      <c r="AG509" s="111"/>
    </row>
    <row r="510" ht="15.75" customHeight="1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  <c r="AD510" s="111"/>
      <c r="AE510" s="111"/>
      <c r="AF510" s="111"/>
      <c r="AG510" s="111"/>
    </row>
    <row r="511" ht="15.75" customHeight="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  <c r="AG511" s="111"/>
    </row>
    <row r="512" ht="15.75" customHeight="1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  <c r="AD512" s="111"/>
      <c r="AE512" s="111"/>
      <c r="AF512" s="111"/>
      <c r="AG512" s="111"/>
    </row>
    <row r="513" ht="15.75" customHeight="1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  <c r="AD513" s="111"/>
      <c r="AE513" s="111"/>
      <c r="AF513" s="111"/>
      <c r="AG513" s="111"/>
    </row>
    <row r="514" ht="15.75" customHeight="1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  <c r="AD514" s="111"/>
      <c r="AE514" s="111"/>
      <c r="AF514" s="111"/>
      <c r="AG514" s="111"/>
    </row>
    <row r="515" ht="15.75" customHeight="1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  <c r="AD515" s="111"/>
      <c r="AE515" s="111"/>
      <c r="AF515" s="111"/>
      <c r="AG515" s="111"/>
    </row>
    <row r="516" ht="15.75" customHeight="1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  <c r="AD516" s="111"/>
      <c r="AE516" s="111"/>
      <c r="AF516" s="111"/>
      <c r="AG516" s="111"/>
    </row>
    <row r="517" ht="15.75" customHeight="1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  <c r="AD517" s="111"/>
      <c r="AE517" s="111"/>
      <c r="AF517" s="111"/>
      <c r="AG517" s="111"/>
    </row>
    <row r="518" ht="15.75" customHeight="1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  <c r="AD518" s="111"/>
      <c r="AE518" s="111"/>
      <c r="AF518" s="111"/>
      <c r="AG518" s="111"/>
    </row>
    <row r="519" ht="15.75" customHeight="1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  <c r="AD519" s="111"/>
      <c r="AE519" s="111"/>
      <c r="AF519" s="111"/>
      <c r="AG519" s="111"/>
    </row>
    <row r="520" ht="15.75" customHeight="1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  <c r="AD520" s="111"/>
      <c r="AE520" s="111"/>
      <c r="AF520" s="111"/>
      <c r="AG520" s="111"/>
    </row>
    <row r="521" ht="15.75" customHeight="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  <c r="AD521" s="111"/>
      <c r="AE521" s="111"/>
      <c r="AF521" s="111"/>
      <c r="AG521" s="111"/>
    </row>
    <row r="522" ht="15.75" customHeight="1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  <c r="AD522" s="111"/>
      <c r="AE522" s="111"/>
      <c r="AF522" s="111"/>
      <c r="AG522" s="111"/>
    </row>
    <row r="523" ht="15.75" customHeight="1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  <c r="AD523" s="111"/>
      <c r="AE523" s="111"/>
      <c r="AF523" s="111"/>
      <c r="AG523" s="111"/>
    </row>
    <row r="524" ht="15.75" customHeight="1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  <c r="AD524" s="111"/>
      <c r="AE524" s="111"/>
      <c r="AF524" s="111"/>
      <c r="AG524" s="111"/>
    </row>
    <row r="525" ht="15.75" customHeight="1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  <c r="AD525" s="111"/>
      <c r="AE525" s="111"/>
      <c r="AF525" s="111"/>
      <c r="AG525" s="111"/>
    </row>
    <row r="526" ht="15.75" customHeight="1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  <c r="AD526" s="111"/>
      <c r="AE526" s="111"/>
      <c r="AF526" s="111"/>
      <c r="AG526" s="111"/>
    </row>
    <row r="527" ht="15.75" customHeight="1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  <c r="AD527" s="111"/>
      <c r="AE527" s="111"/>
      <c r="AF527" s="111"/>
      <c r="AG527" s="111"/>
    </row>
    <row r="528" ht="15.75" customHeight="1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  <c r="AD528" s="111"/>
      <c r="AE528" s="111"/>
      <c r="AF528" s="111"/>
      <c r="AG528" s="111"/>
    </row>
    <row r="529" ht="15.75" customHeight="1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  <c r="AD529" s="111"/>
      <c r="AE529" s="111"/>
      <c r="AF529" s="111"/>
      <c r="AG529" s="111"/>
    </row>
    <row r="530" ht="15.75" customHeight="1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  <c r="AD530" s="111"/>
      <c r="AE530" s="111"/>
      <c r="AF530" s="111"/>
      <c r="AG530" s="111"/>
    </row>
    <row r="531" ht="15.75" customHeight="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  <c r="AD531" s="111"/>
      <c r="AE531" s="111"/>
      <c r="AF531" s="111"/>
      <c r="AG531" s="111"/>
    </row>
    <row r="532" ht="15.75" customHeight="1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  <c r="AD532" s="111"/>
      <c r="AE532" s="111"/>
      <c r="AF532" s="111"/>
      <c r="AG532" s="111"/>
    </row>
    <row r="533" ht="15.75" customHeight="1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  <c r="AD533" s="111"/>
      <c r="AE533" s="111"/>
      <c r="AF533" s="111"/>
      <c r="AG533" s="111"/>
    </row>
    <row r="534" ht="15.75" customHeight="1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  <c r="AD534" s="111"/>
      <c r="AE534" s="111"/>
      <c r="AF534" s="111"/>
      <c r="AG534" s="111"/>
    </row>
    <row r="535" ht="15.75" customHeight="1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  <c r="AD535" s="111"/>
      <c r="AE535" s="111"/>
      <c r="AF535" s="111"/>
      <c r="AG535" s="111"/>
    </row>
    <row r="536" ht="15.75" customHeight="1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  <c r="AD536" s="111"/>
      <c r="AE536" s="111"/>
      <c r="AF536" s="111"/>
      <c r="AG536" s="111"/>
    </row>
    <row r="537" ht="15.75" customHeight="1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  <c r="AD537" s="111"/>
      <c r="AE537" s="111"/>
      <c r="AF537" s="111"/>
      <c r="AG537" s="111"/>
    </row>
    <row r="538" ht="15.75" customHeight="1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  <c r="AD538" s="111"/>
      <c r="AE538" s="111"/>
      <c r="AF538" s="111"/>
      <c r="AG538" s="111"/>
    </row>
    <row r="539" ht="15.75" customHeight="1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  <c r="AD539" s="111"/>
      <c r="AE539" s="111"/>
      <c r="AF539" s="111"/>
      <c r="AG539" s="111"/>
    </row>
    <row r="540" ht="15.75" customHeight="1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  <c r="AD540" s="111"/>
      <c r="AE540" s="111"/>
      <c r="AF540" s="111"/>
      <c r="AG540" s="111"/>
    </row>
    <row r="541" ht="15.75" customHeight="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  <c r="AD541" s="111"/>
      <c r="AE541" s="111"/>
      <c r="AF541" s="111"/>
      <c r="AG541" s="111"/>
    </row>
    <row r="542" ht="15.75" customHeight="1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  <c r="AD542" s="111"/>
      <c r="AE542" s="111"/>
      <c r="AF542" s="111"/>
      <c r="AG542" s="111"/>
    </row>
    <row r="543" ht="15.75" customHeight="1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  <c r="AD543" s="111"/>
      <c r="AE543" s="111"/>
      <c r="AF543" s="111"/>
      <c r="AG543" s="111"/>
    </row>
    <row r="544" ht="15.75" customHeight="1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  <c r="AD544" s="111"/>
      <c r="AE544" s="111"/>
      <c r="AF544" s="111"/>
      <c r="AG544" s="111"/>
    </row>
    <row r="545" ht="15.75" customHeight="1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  <c r="AD545" s="111"/>
      <c r="AE545" s="111"/>
      <c r="AF545" s="111"/>
      <c r="AG545" s="111"/>
    </row>
    <row r="546" ht="15.75" customHeight="1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  <c r="AD546" s="111"/>
      <c r="AE546" s="111"/>
      <c r="AF546" s="111"/>
      <c r="AG546" s="111"/>
    </row>
    <row r="547" ht="15.75" customHeight="1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  <c r="AD547" s="111"/>
      <c r="AE547" s="111"/>
      <c r="AF547" s="111"/>
      <c r="AG547" s="111"/>
    </row>
    <row r="548" ht="15.75" customHeight="1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  <c r="AD548" s="111"/>
      <c r="AE548" s="111"/>
      <c r="AF548" s="111"/>
      <c r="AG548" s="111"/>
    </row>
    <row r="549" ht="15.75" customHeight="1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  <c r="AD549" s="111"/>
      <c r="AE549" s="111"/>
      <c r="AF549" s="111"/>
      <c r="AG549" s="111"/>
    </row>
    <row r="550" ht="15.75" customHeight="1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  <c r="AD550" s="111"/>
      <c r="AE550" s="111"/>
      <c r="AF550" s="111"/>
      <c r="AG550" s="111"/>
    </row>
    <row r="551" ht="15.75" customHeight="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  <c r="AD551" s="111"/>
      <c r="AE551" s="111"/>
      <c r="AF551" s="111"/>
      <c r="AG551" s="111"/>
    </row>
    <row r="552" ht="15.75" customHeight="1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  <c r="AD552" s="111"/>
      <c r="AE552" s="111"/>
      <c r="AF552" s="111"/>
      <c r="AG552" s="111"/>
    </row>
    <row r="553" ht="15.75" customHeight="1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  <c r="AD553" s="111"/>
      <c r="AE553" s="111"/>
      <c r="AF553" s="111"/>
      <c r="AG553" s="111"/>
    </row>
    <row r="554" ht="15.75" customHeight="1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  <c r="AD554" s="111"/>
      <c r="AE554" s="111"/>
      <c r="AF554" s="111"/>
      <c r="AG554" s="111"/>
    </row>
    <row r="555" ht="15.75" customHeight="1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  <c r="AD555" s="111"/>
      <c r="AE555" s="111"/>
      <c r="AF555" s="111"/>
      <c r="AG555" s="111"/>
    </row>
    <row r="556" ht="15.75" customHeight="1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  <c r="AD556" s="111"/>
      <c r="AE556" s="111"/>
      <c r="AF556" s="111"/>
      <c r="AG556" s="111"/>
    </row>
    <row r="557" ht="15.75" customHeight="1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  <c r="AD557" s="111"/>
      <c r="AE557" s="111"/>
      <c r="AF557" s="111"/>
      <c r="AG557" s="111"/>
    </row>
    <row r="558" ht="15.75" customHeight="1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  <c r="AD558" s="111"/>
      <c r="AE558" s="111"/>
      <c r="AF558" s="111"/>
      <c r="AG558" s="111"/>
    </row>
    <row r="559" ht="15.75" customHeight="1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  <c r="AD559" s="111"/>
      <c r="AE559" s="111"/>
      <c r="AF559" s="111"/>
      <c r="AG559" s="111"/>
    </row>
    <row r="560" ht="15.75" customHeight="1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  <c r="AD560" s="111"/>
      <c r="AE560" s="111"/>
      <c r="AF560" s="111"/>
      <c r="AG560" s="111"/>
    </row>
    <row r="561" ht="15.75" customHeight="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  <c r="AD561" s="111"/>
      <c r="AE561" s="111"/>
      <c r="AF561" s="111"/>
      <c r="AG561" s="111"/>
    </row>
    <row r="562" ht="15.75" customHeight="1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  <c r="AD562" s="111"/>
      <c r="AE562" s="111"/>
      <c r="AF562" s="111"/>
      <c r="AG562" s="111"/>
    </row>
    <row r="563" ht="15.75" customHeight="1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  <c r="AD563" s="111"/>
      <c r="AE563" s="111"/>
      <c r="AF563" s="111"/>
      <c r="AG563" s="111"/>
    </row>
    <row r="564" ht="15.75" customHeight="1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  <c r="AD564" s="111"/>
      <c r="AE564" s="111"/>
      <c r="AF564" s="111"/>
      <c r="AG564" s="111"/>
    </row>
    <row r="565" ht="15.75" customHeight="1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  <c r="AG565" s="111"/>
    </row>
    <row r="566" ht="15.75" customHeight="1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  <c r="AD566" s="111"/>
      <c r="AE566" s="111"/>
      <c r="AF566" s="111"/>
      <c r="AG566" s="111"/>
    </row>
    <row r="567" ht="15.75" customHeight="1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  <c r="AD567" s="111"/>
      <c r="AE567" s="111"/>
      <c r="AF567" s="111"/>
      <c r="AG567" s="111"/>
    </row>
    <row r="568" ht="15.75" customHeight="1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  <c r="AD568" s="111"/>
      <c r="AE568" s="111"/>
      <c r="AF568" s="111"/>
      <c r="AG568" s="111"/>
    </row>
    <row r="569" ht="15.75" customHeight="1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  <c r="AD569" s="111"/>
      <c r="AE569" s="111"/>
      <c r="AF569" s="111"/>
      <c r="AG569" s="111"/>
    </row>
    <row r="570" ht="15.75" customHeight="1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  <c r="AD570" s="111"/>
      <c r="AE570" s="111"/>
      <c r="AF570" s="111"/>
      <c r="AG570" s="111"/>
    </row>
    <row r="571" ht="15.75" customHeight="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  <c r="AD571" s="111"/>
      <c r="AE571" s="111"/>
      <c r="AF571" s="111"/>
      <c r="AG571" s="111"/>
    </row>
    <row r="572" ht="15.75" customHeight="1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  <c r="AD572" s="111"/>
      <c r="AE572" s="111"/>
      <c r="AF572" s="111"/>
      <c r="AG572" s="111"/>
    </row>
    <row r="573" ht="15.75" customHeight="1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  <c r="AD573" s="111"/>
      <c r="AE573" s="111"/>
      <c r="AF573" s="111"/>
      <c r="AG573" s="111"/>
    </row>
    <row r="574" ht="15.75" customHeight="1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  <c r="AD574" s="111"/>
      <c r="AE574" s="111"/>
      <c r="AF574" s="111"/>
      <c r="AG574" s="111"/>
    </row>
    <row r="575" ht="15.75" customHeight="1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  <c r="AD575" s="111"/>
      <c r="AE575" s="111"/>
      <c r="AF575" s="111"/>
      <c r="AG575" s="111"/>
    </row>
    <row r="576" ht="15.75" customHeight="1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  <c r="AD576" s="111"/>
      <c r="AE576" s="111"/>
      <c r="AF576" s="111"/>
      <c r="AG576" s="111"/>
    </row>
    <row r="577" ht="15.75" customHeight="1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  <c r="AD577" s="111"/>
      <c r="AE577" s="111"/>
      <c r="AF577" s="111"/>
      <c r="AG577" s="111"/>
    </row>
    <row r="578" ht="15.75" customHeight="1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  <c r="AD578" s="111"/>
      <c r="AE578" s="111"/>
      <c r="AF578" s="111"/>
      <c r="AG578" s="111"/>
    </row>
    <row r="579" ht="15.75" customHeight="1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  <c r="AD579" s="111"/>
      <c r="AE579" s="111"/>
      <c r="AF579" s="111"/>
      <c r="AG579" s="111"/>
    </row>
    <row r="580" ht="15.75" customHeight="1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  <c r="AD580" s="111"/>
      <c r="AE580" s="111"/>
      <c r="AF580" s="111"/>
      <c r="AG580" s="111"/>
    </row>
    <row r="581" ht="15.75" customHeight="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  <c r="AD581" s="111"/>
      <c r="AE581" s="111"/>
      <c r="AF581" s="111"/>
      <c r="AG581" s="111"/>
    </row>
    <row r="582" ht="15.75" customHeight="1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  <c r="AD582" s="111"/>
      <c r="AE582" s="111"/>
      <c r="AF582" s="111"/>
      <c r="AG582" s="111"/>
    </row>
    <row r="583" ht="15.75" customHeight="1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  <c r="AD583" s="111"/>
      <c r="AE583" s="111"/>
      <c r="AF583" s="111"/>
      <c r="AG583" s="111"/>
    </row>
    <row r="584" ht="15.75" customHeight="1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  <c r="AD584" s="111"/>
      <c r="AE584" s="111"/>
      <c r="AF584" s="111"/>
      <c r="AG584" s="111"/>
    </row>
    <row r="585" ht="15.75" customHeight="1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  <c r="AD585" s="111"/>
      <c r="AE585" s="111"/>
      <c r="AF585" s="111"/>
      <c r="AG585" s="111"/>
    </row>
    <row r="586" ht="15.75" customHeight="1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  <c r="AD586" s="111"/>
      <c r="AE586" s="111"/>
      <c r="AF586" s="111"/>
      <c r="AG586" s="111"/>
    </row>
    <row r="587" ht="15.75" customHeight="1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  <c r="AD587" s="111"/>
      <c r="AE587" s="111"/>
      <c r="AF587" s="111"/>
      <c r="AG587" s="111"/>
    </row>
    <row r="588" ht="15.75" customHeight="1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  <c r="AD588" s="111"/>
      <c r="AE588" s="111"/>
      <c r="AF588" s="111"/>
      <c r="AG588" s="111"/>
    </row>
    <row r="589" ht="15.75" customHeight="1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  <c r="AD589" s="111"/>
      <c r="AE589" s="111"/>
      <c r="AF589" s="111"/>
      <c r="AG589" s="111"/>
    </row>
    <row r="590" ht="15.75" customHeight="1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  <c r="AD590" s="111"/>
      <c r="AE590" s="111"/>
      <c r="AF590" s="111"/>
      <c r="AG590" s="111"/>
    </row>
    <row r="591" ht="15.75" customHeight="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  <c r="AD591" s="111"/>
      <c r="AE591" s="111"/>
      <c r="AF591" s="111"/>
      <c r="AG591" s="111"/>
    </row>
    <row r="592" ht="15.75" customHeight="1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  <c r="AD592" s="111"/>
      <c r="AE592" s="111"/>
      <c r="AF592" s="111"/>
      <c r="AG592" s="111"/>
    </row>
    <row r="593" ht="15.75" customHeight="1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  <c r="AD593" s="111"/>
      <c r="AE593" s="111"/>
      <c r="AF593" s="111"/>
      <c r="AG593" s="111"/>
    </row>
    <row r="594" ht="15.75" customHeight="1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  <c r="AD594" s="111"/>
      <c r="AE594" s="111"/>
      <c r="AF594" s="111"/>
      <c r="AG594" s="111"/>
    </row>
    <row r="595" ht="15.75" customHeight="1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  <c r="AD595" s="111"/>
      <c r="AE595" s="111"/>
      <c r="AF595" s="111"/>
      <c r="AG595" s="111"/>
    </row>
    <row r="596" ht="15.75" customHeight="1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  <c r="AD596" s="111"/>
      <c r="AE596" s="111"/>
      <c r="AF596" s="111"/>
      <c r="AG596" s="111"/>
    </row>
    <row r="597" ht="15.75" customHeight="1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  <c r="AD597" s="111"/>
      <c r="AE597" s="111"/>
      <c r="AF597" s="111"/>
      <c r="AG597" s="111"/>
    </row>
    <row r="598" ht="15.75" customHeight="1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  <c r="AD598" s="111"/>
      <c r="AE598" s="111"/>
      <c r="AF598" s="111"/>
      <c r="AG598" s="111"/>
    </row>
    <row r="599" ht="15.75" customHeight="1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  <c r="AD599" s="111"/>
      <c r="AE599" s="111"/>
      <c r="AF599" s="111"/>
      <c r="AG599" s="111"/>
    </row>
    <row r="600" ht="15.75" customHeight="1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  <c r="AD600" s="111"/>
      <c r="AE600" s="111"/>
      <c r="AF600" s="111"/>
      <c r="AG600" s="111"/>
    </row>
    <row r="601" ht="15.75" customHeight="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  <c r="AD601" s="111"/>
      <c r="AE601" s="111"/>
      <c r="AF601" s="111"/>
      <c r="AG601" s="111"/>
    </row>
    <row r="602" ht="15.75" customHeight="1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  <c r="AD602" s="111"/>
      <c r="AE602" s="111"/>
      <c r="AF602" s="111"/>
      <c r="AG602" s="111"/>
    </row>
    <row r="603" ht="15.75" customHeight="1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  <c r="AD603" s="111"/>
      <c r="AE603" s="111"/>
      <c r="AF603" s="111"/>
      <c r="AG603" s="111"/>
    </row>
    <row r="604" ht="15.75" customHeight="1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  <c r="AD604" s="111"/>
      <c r="AE604" s="111"/>
      <c r="AF604" s="111"/>
      <c r="AG604" s="111"/>
    </row>
    <row r="605" ht="15.75" customHeight="1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  <c r="AD605" s="111"/>
      <c r="AE605" s="111"/>
      <c r="AF605" s="111"/>
      <c r="AG605" s="111"/>
    </row>
    <row r="606" ht="15.75" customHeight="1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  <c r="AD606" s="111"/>
      <c r="AE606" s="111"/>
      <c r="AF606" s="111"/>
      <c r="AG606" s="111"/>
    </row>
    <row r="607" ht="15.75" customHeight="1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  <c r="AD607" s="111"/>
      <c r="AE607" s="111"/>
      <c r="AF607" s="111"/>
      <c r="AG607" s="111"/>
    </row>
    <row r="608" ht="15.75" customHeight="1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  <c r="AD608" s="111"/>
      <c r="AE608" s="111"/>
      <c r="AF608" s="111"/>
      <c r="AG608" s="111"/>
    </row>
    <row r="609" ht="15.75" customHeight="1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  <c r="AD609" s="111"/>
      <c r="AE609" s="111"/>
      <c r="AF609" s="111"/>
      <c r="AG609" s="111"/>
    </row>
    <row r="610" ht="15.75" customHeight="1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  <c r="AD610" s="111"/>
      <c r="AE610" s="111"/>
      <c r="AF610" s="111"/>
      <c r="AG610" s="111"/>
    </row>
    <row r="611" ht="15.75" customHeight="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  <c r="AD611" s="111"/>
      <c r="AE611" s="111"/>
      <c r="AF611" s="111"/>
      <c r="AG611" s="111"/>
    </row>
    <row r="612" ht="15.75" customHeight="1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  <c r="AD612" s="111"/>
      <c r="AE612" s="111"/>
      <c r="AF612" s="111"/>
      <c r="AG612" s="111"/>
    </row>
    <row r="613" ht="15.75" customHeight="1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  <c r="AD613" s="111"/>
      <c r="AE613" s="111"/>
      <c r="AF613" s="111"/>
      <c r="AG613" s="111"/>
    </row>
    <row r="614" ht="15.75" customHeight="1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  <c r="AD614" s="111"/>
      <c r="AE614" s="111"/>
      <c r="AF614" s="111"/>
      <c r="AG614" s="111"/>
    </row>
    <row r="615" ht="15.75" customHeight="1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  <c r="AD615" s="111"/>
      <c r="AE615" s="111"/>
      <c r="AF615" s="111"/>
      <c r="AG615" s="111"/>
    </row>
    <row r="616" ht="15.75" customHeight="1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  <c r="AD616" s="111"/>
      <c r="AE616" s="111"/>
      <c r="AF616" s="111"/>
      <c r="AG616" s="111"/>
    </row>
    <row r="617" ht="15.75" customHeight="1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  <c r="AD617" s="111"/>
      <c r="AE617" s="111"/>
      <c r="AF617" s="111"/>
      <c r="AG617" s="111"/>
    </row>
    <row r="618" ht="15.75" customHeight="1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  <c r="AE618" s="111"/>
      <c r="AF618" s="111"/>
      <c r="AG618" s="111"/>
    </row>
    <row r="619" ht="15.75" customHeight="1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  <c r="AD619" s="111"/>
      <c r="AE619" s="111"/>
      <c r="AF619" s="111"/>
      <c r="AG619" s="111"/>
    </row>
    <row r="620" ht="15.75" customHeight="1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  <c r="AD620" s="111"/>
      <c r="AE620" s="111"/>
      <c r="AF620" s="111"/>
      <c r="AG620" s="111"/>
    </row>
    <row r="621" ht="15.75" customHeight="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  <c r="AD621" s="111"/>
      <c r="AE621" s="111"/>
      <c r="AF621" s="111"/>
      <c r="AG621" s="111"/>
    </row>
    <row r="622" ht="15.75" customHeight="1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  <c r="AD622" s="111"/>
      <c r="AE622" s="111"/>
      <c r="AF622" s="111"/>
      <c r="AG622" s="111"/>
    </row>
    <row r="623" ht="15.75" customHeight="1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  <c r="AD623" s="111"/>
      <c r="AE623" s="111"/>
      <c r="AF623" s="111"/>
      <c r="AG623" s="111"/>
    </row>
    <row r="624" ht="15.75" customHeight="1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  <c r="AD624" s="111"/>
      <c r="AE624" s="111"/>
      <c r="AF624" s="111"/>
      <c r="AG624" s="111"/>
    </row>
    <row r="625" ht="15.75" customHeight="1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  <c r="AD625" s="111"/>
      <c r="AE625" s="111"/>
      <c r="AF625" s="111"/>
      <c r="AG625" s="111"/>
    </row>
    <row r="626" ht="15.75" customHeight="1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  <c r="AD626" s="111"/>
      <c r="AE626" s="111"/>
      <c r="AF626" s="111"/>
      <c r="AG626" s="111"/>
    </row>
    <row r="627" ht="15.75" customHeight="1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  <c r="AD627" s="111"/>
      <c r="AE627" s="111"/>
      <c r="AF627" s="111"/>
      <c r="AG627" s="111"/>
    </row>
    <row r="628" ht="15.75" customHeight="1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  <c r="AD628" s="111"/>
      <c r="AE628" s="111"/>
      <c r="AF628" s="111"/>
      <c r="AG628" s="111"/>
    </row>
    <row r="629" ht="15.75" customHeight="1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  <c r="AD629" s="111"/>
      <c r="AE629" s="111"/>
      <c r="AF629" s="111"/>
      <c r="AG629" s="111"/>
    </row>
    <row r="630" ht="15.75" customHeight="1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  <c r="AD630" s="111"/>
      <c r="AE630" s="111"/>
      <c r="AF630" s="111"/>
      <c r="AG630" s="111"/>
    </row>
    <row r="631" ht="15.75" customHeight="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  <c r="AD631" s="111"/>
      <c r="AE631" s="111"/>
      <c r="AF631" s="111"/>
      <c r="AG631" s="111"/>
    </row>
    <row r="632" ht="15.75" customHeight="1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  <c r="AD632" s="111"/>
      <c r="AE632" s="111"/>
      <c r="AF632" s="111"/>
      <c r="AG632" s="111"/>
    </row>
    <row r="633" ht="15.75" customHeight="1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  <c r="AD633" s="111"/>
      <c r="AE633" s="111"/>
      <c r="AF633" s="111"/>
      <c r="AG633" s="111"/>
    </row>
    <row r="634" ht="15.75" customHeight="1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  <c r="AD634" s="111"/>
      <c r="AE634" s="111"/>
      <c r="AF634" s="111"/>
      <c r="AG634" s="111"/>
    </row>
    <row r="635" ht="15.75" customHeight="1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  <c r="AD635" s="111"/>
      <c r="AE635" s="111"/>
      <c r="AF635" s="111"/>
      <c r="AG635" s="111"/>
    </row>
    <row r="636" ht="15.75" customHeight="1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  <c r="AD636" s="111"/>
      <c r="AE636" s="111"/>
      <c r="AF636" s="111"/>
      <c r="AG636" s="111"/>
    </row>
    <row r="637" ht="15.75" customHeight="1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  <c r="AD637" s="111"/>
      <c r="AE637" s="111"/>
      <c r="AF637" s="111"/>
      <c r="AG637" s="111"/>
    </row>
    <row r="638" ht="15.75" customHeight="1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  <c r="AD638" s="111"/>
      <c r="AE638" s="111"/>
      <c r="AF638" s="111"/>
      <c r="AG638" s="111"/>
    </row>
    <row r="639" ht="15.75" customHeight="1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  <c r="AD639" s="111"/>
      <c r="AE639" s="111"/>
      <c r="AF639" s="111"/>
      <c r="AG639" s="111"/>
    </row>
    <row r="640" ht="15.75" customHeight="1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  <c r="AD640" s="111"/>
      <c r="AE640" s="111"/>
      <c r="AF640" s="111"/>
      <c r="AG640" s="111"/>
    </row>
    <row r="641" ht="15.75" customHeight="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  <c r="AD641" s="111"/>
      <c r="AE641" s="111"/>
      <c r="AF641" s="111"/>
      <c r="AG641" s="111"/>
    </row>
    <row r="642" ht="15.75" customHeight="1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  <c r="AD642" s="111"/>
      <c r="AE642" s="111"/>
      <c r="AF642" s="111"/>
      <c r="AG642" s="111"/>
    </row>
    <row r="643" ht="15.75" customHeight="1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  <c r="AD643" s="111"/>
      <c r="AE643" s="111"/>
      <c r="AF643" s="111"/>
      <c r="AG643" s="111"/>
    </row>
    <row r="644" ht="15.75" customHeight="1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  <c r="AD644" s="111"/>
      <c r="AE644" s="111"/>
      <c r="AF644" s="111"/>
      <c r="AG644" s="111"/>
    </row>
    <row r="645" ht="15.75" customHeight="1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  <c r="AD645" s="111"/>
      <c r="AE645" s="111"/>
      <c r="AF645" s="111"/>
      <c r="AG645" s="111"/>
    </row>
    <row r="646" ht="15.75" customHeight="1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  <c r="AD646" s="111"/>
      <c r="AE646" s="111"/>
      <c r="AF646" s="111"/>
      <c r="AG646" s="111"/>
    </row>
    <row r="647" ht="15.75" customHeight="1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  <c r="AD647" s="111"/>
      <c r="AE647" s="111"/>
      <c r="AF647" s="111"/>
      <c r="AG647" s="111"/>
    </row>
    <row r="648" ht="15.75" customHeight="1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  <c r="AD648" s="111"/>
      <c r="AE648" s="111"/>
      <c r="AF648" s="111"/>
      <c r="AG648" s="111"/>
    </row>
    <row r="649" ht="15.75" customHeight="1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  <c r="AD649" s="111"/>
      <c r="AE649" s="111"/>
      <c r="AF649" s="111"/>
      <c r="AG649" s="111"/>
    </row>
    <row r="650" ht="15.75" customHeight="1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  <c r="AD650" s="111"/>
      <c r="AE650" s="111"/>
      <c r="AF650" s="111"/>
      <c r="AG650" s="111"/>
    </row>
    <row r="651" ht="15.75" customHeight="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  <c r="AD651" s="111"/>
      <c r="AE651" s="111"/>
      <c r="AF651" s="111"/>
      <c r="AG651" s="111"/>
    </row>
    <row r="652" ht="15.75" customHeight="1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  <c r="AD652" s="111"/>
      <c r="AE652" s="111"/>
      <c r="AF652" s="111"/>
      <c r="AG652" s="111"/>
    </row>
    <row r="653" ht="15.75" customHeight="1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  <c r="AD653" s="111"/>
      <c r="AE653" s="111"/>
      <c r="AF653" s="111"/>
      <c r="AG653" s="111"/>
    </row>
    <row r="654" ht="15.75" customHeight="1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  <c r="AD654" s="111"/>
      <c r="AE654" s="111"/>
      <c r="AF654" s="111"/>
      <c r="AG654" s="111"/>
    </row>
    <row r="655" ht="15.75" customHeight="1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  <c r="AD655" s="111"/>
      <c r="AE655" s="111"/>
      <c r="AF655" s="111"/>
      <c r="AG655" s="111"/>
    </row>
    <row r="656" ht="15.75" customHeight="1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  <c r="AD656" s="111"/>
      <c r="AE656" s="111"/>
      <c r="AF656" s="111"/>
      <c r="AG656" s="111"/>
    </row>
    <row r="657" ht="15.75" customHeight="1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  <c r="AD657" s="111"/>
      <c r="AE657" s="111"/>
      <c r="AF657" s="111"/>
      <c r="AG657" s="111"/>
    </row>
    <row r="658" ht="15.75" customHeight="1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  <c r="AD658" s="111"/>
      <c r="AE658" s="111"/>
      <c r="AF658" s="111"/>
      <c r="AG658" s="111"/>
    </row>
    <row r="659" ht="15.75" customHeight="1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  <c r="AD659" s="111"/>
      <c r="AE659" s="111"/>
      <c r="AF659" s="111"/>
      <c r="AG659" s="111"/>
    </row>
    <row r="660" ht="15.75" customHeight="1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  <c r="AD660" s="111"/>
      <c r="AE660" s="111"/>
      <c r="AF660" s="111"/>
      <c r="AG660" s="111"/>
    </row>
    <row r="661" ht="15.75" customHeight="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  <c r="AD661" s="111"/>
      <c r="AE661" s="111"/>
      <c r="AF661" s="111"/>
      <c r="AG661" s="111"/>
    </row>
    <row r="662" ht="15.75" customHeight="1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  <c r="AD662" s="111"/>
      <c r="AE662" s="111"/>
      <c r="AF662" s="111"/>
      <c r="AG662" s="111"/>
    </row>
    <row r="663" ht="15.75" customHeight="1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  <c r="AG663" s="111"/>
    </row>
    <row r="664" ht="15.75" customHeight="1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  <c r="AD664" s="111"/>
      <c r="AE664" s="111"/>
      <c r="AF664" s="111"/>
      <c r="AG664" s="111"/>
    </row>
    <row r="665" ht="15.75" customHeight="1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  <c r="AD665" s="111"/>
      <c r="AE665" s="111"/>
      <c r="AF665" s="111"/>
      <c r="AG665" s="111"/>
    </row>
    <row r="666" ht="15.75" customHeight="1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  <c r="AD666" s="111"/>
      <c r="AE666" s="111"/>
      <c r="AF666" s="111"/>
      <c r="AG666" s="111"/>
    </row>
    <row r="667" ht="15.75" customHeight="1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  <c r="AD667" s="111"/>
      <c r="AE667" s="111"/>
      <c r="AF667" s="111"/>
      <c r="AG667" s="111"/>
    </row>
    <row r="668" ht="15.75" customHeight="1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  <c r="AD668" s="111"/>
      <c r="AE668" s="111"/>
      <c r="AF668" s="111"/>
      <c r="AG668" s="111"/>
    </row>
    <row r="669" ht="15.75" customHeight="1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  <c r="AD669" s="111"/>
      <c r="AE669" s="111"/>
      <c r="AF669" s="111"/>
      <c r="AG669" s="111"/>
    </row>
    <row r="670" ht="15.75" customHeight="1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  <c r="AD670" s="111"/>
      <c r="AE670" s="111"/>
      <c r="AF670" s="111"/>
      <c r="AG670" s="111"/>
    </row>
    <row r="671" ht="15.75" customHeight="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  <c r="AD671" s="111"/>
      <c r="AE671" s="111"/>
      <c r="AF671" s="111"/>
      <c r="AG671" s="111"/>
    </row>
    <row r="672" ht="15.75" customHeight="1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  <c r="AD672" s="111"/>
      <c r="AE672" s="111"/>
      <c r="AF672" s="111"/>
      <c r="AG672" s="111"/>
    </row>
    <row r="673" ht="15.75" customHeight="1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  <c r="AD673" s="111"/>
      <c r="AE673" s="111"/>
      <c r="AF673" s="111"/>
      <c r="AG673" s="111"/>
    </row>
    <row r="674" ht="15.75" customHeight="1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  <c r="AD674" s="111"/>
      <c r="AE674" s="111"/>
      <c r="AF674" s="111"/>
      <c r="AG674" s="111"/>
    </row>
    <row r="675" ht="15.75" customHeight="1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  <c r="AD675" s="111"/>
      <c r="AE675" s="111"/>
      <c r="AF675" s="111"/>
      <c r="AG675" s="111"/>
    </row>
    <row r="676" ht="15.75" customHeight="1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  <c r="AD676" s="111"/>
      <c r="AE676" s="111"/>
      <c r="AF676" s="111"/>
      <c r="AG676" s="111"/>
    </row>
    <row r="677" ht="15.75" customHeight="1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  <c r="AD677" s="111"/>
      <c r="AE677" s="111"/>
      <c r="AF677" s="111"/>
      <c r="AG677" s="111"/>
    </row>
    <row r="678" ht="15.75" customHeight="1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  <c r="AD678" s="111"/>
      <c r="AE678" s="111"/>
      <c r="AF678" s="111"/>
      <c r="AG678" s="111"/>
    </row>
    <row r="679" ht="15.75" customHeight="1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  <c r="AD679" s="111"/>
      <c r="AE679" s="111"/>
      <c r="AF679" s="111"/>
      <c r="AG679" s="111"/>
    </row>
    <row r="680" ht="15.75" customHeight="1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  <c r="AD680" s="111"/>
      <c r="AE680" s="111"/>
      <c r="AF680" s="111"/>
      <c r="AG680" s="111"/>
    </row>
    <row r="681" ht="15.75" customHeight="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  <c r="AD681" s="111"/>
      <c r="AE681" s="111"/>
      <c r="AF681" s="111"/>
      <c r="AG681" s="111"/>
    </row>
    <row r="682" ht="15.75" customHeight="1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  <c r="AD682" s="111"/>
      <c r="AE682" s="111"/>
      <c r="AF682" s="111"/>
      <c r="AG682" s="111"/>
    </row>
    <row r="683" ht="15.75" customHeight="1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  <c r="AD683" s="111"/>
      <c r="AE683" s="111"/>
      <c r="AF683" s="111"/>
      <c r="AG683" s="111"/>
    </row>
    <row r="684" ht="15.75" customHeight="1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  <c r="AD684" s="111"/>
      <c r="AE684" s="111"/>
      <c r="AF684" s="111"/>
      <c r="AG684" s="111"/>
    </row>
    <row r="685" ht="15.75" customHeight="1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  <c r="AD685" s="111"/>
      <c r="AE685" s="111"/>
      <c r="AF685" s="111"/>
      <c r="AG685" s="111"/>
    </row>
    <row r="686" ht="15.75" customHeight="1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  <c r="AD686" s="111"/>
      <c r="AE686" s="111"/>
      <c r="AF686" s="111"/>
      <c r="AG686" s="111"/>
    </row>
    <row r="687" ht="15.75" customHeight="1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  <c r="AD687" s="111"/>
      <c r="AE687" s="111"/>
      <c r="AF687" s="111"/>
      <c r="AG687" s="111"/>
    </row>
    <row r="688" ht="15.75" customHeight="1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  <c r="AD688" s="111"/>
      <c r="AE688" s="111"/>
      <c r="AF688" s="111"/>
      <c r="AG688" s="111"/>
    </row>
    <row r="689" ht="15.75" customHeight="1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  <c r="AD689" s="111"/>
      <c r="AE689" s="111"/>
      <c r="AF689" s="111"/>
      <c r="AG689" s="111"/>
    </row>
    <row r="690" ht="15.75" customHeight="1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  <c r="AD690" s="111"/>
      <c r="AE690" s="111"/>
      <c r="AF690" s="111"/>
      <c r="AG690" s="111"/>
    </row>
    <row r="691" ht="15.75" customHeight="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  <c r="AD691" s="111"/>
      <c r="AE691" s="111"/>
      <c r="AF691" s="111"/>
      <c r="AG691" s="111"/>
    </row>
    <row r="692" ht="15.75" customHeight="1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  <c r="AD692" s="111"/>
      <c r="AE692" s="111"/>
      <c r="AF692" s="111"/>
      <c r="AG692" s="111"/>
    </row>
    <row r="693" ht="15.75" customHeight="1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  <c r="AD693" s="111"/>
      <c r="AE693" s="111"/>
      <c r="AF693" s="111"/>
      <c r="AG693" s="111"/>
    </row>
    <row r="694" ht="15.75" customHeight="1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  <c r="AD694" s="111"/>
      <c r="AE694" s="111"/>
      <c r="AF694" s="111"/>
      <c r="AG694" s="111"/>
    </row>
    <row r="695" ht="15.75" customHeight="1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  <c r="AD695" s="111"/>
      <c r="AE695" s="111"/>
      <c r="AF695" s="111"/>
      <c r="AG695" s="111"/>
    </row>
    <row r="696" ht="15.75" customHeight="1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  <c r="AD696" s="111"/>
      <c r="AE696" s="111"/>
      <c r="AF696" s="111"/>
      <c r="AG696" s="111"/>
    </row>
    <row r="697" ht="15.75" customHeight="1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  <c r="AD697" s="111"/>
      <c r="AE697" s="111"/>
      <c r="AF697" s="111"/>
      <c r="AG697" s="111"/>
    </row>
    <row r="698" ht="15.75" customHeight="1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  <c r="AD698" s="111"/>
      <c r="AE698" s="111"/>
      <c r="AF698" s="111"/>
      <c r="AG698" s="111"/>
    </row>
    <row r="699" ht="15.75" customHeight="1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  <c r="AD699" s="111"/>
      <c r="AE699" s="111"/>
      <c r="AF699" s="111"/>
      <c r="AG699" s="111"/>
    </row>
    <row r="700" ht="15.75" customHeight="1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  <c r="AD700" s="111"/>
      <c r="AE700" s="111"/>
      <c r="AF700" s="111"/>
      <c r="AG700" s="111"/>
    </row>
    <row r="701" ht="15.75" customHeight="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  <c r="AD701" s="111"/>
      <c r="AE701" s="111"/>
      <c r="AF701" s="111"/>
      <c r="AG701" s="111"/>
    </row>
    <row r="702" ht="15.75" customHeight="1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  <c r="AD702" s="111"/>
      <c r="AE702" s="111"/>
      <c r="AF702" s="111"/>
      <c r="AG702" s="111"/>
    </row>
    <row r="703" ht="15.75" customHeight="1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  <c r="AD703" s="111"/>
      <c r="AE703" s="111"/>
      <c r="AF703" s="111"/>
      <c r="AG703" s="111"/>
    </row>
    <row r="704" ht="15.75" customHeight="1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  <c r="AD704" s="111"/>
      <c r="AE704" s="111"/>
      <c r="AF704" s="111"/>
      <c r="AG704" s="111"/>
    </row>
    <row r="705" ht="15.75" customHeight="1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  <c r="AD705" s="111"/>
      <c r="AE705" s="111"/>
      <c r="AF705" s="111"/>
      <c r="AG705" s="111"/>
    </row>
    <row r="706" ht="15.75" customHeight="1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  <c r="AD706" s="111"/>
      <c r="AE706" s="111"/>
      <c r="AF706" s="111"/>
      <c r="AG706" s="111"/>
    </row>
    <row r="707" ht="15.75" customHeight="1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  <c r="AD707" s="111"/>
      <c r="AE707" s="111"/>
      <c r="AF707" s="111"/>
      <c r="AG707" s="111"/>
    </row>
    <row r="708" ht="15.75" customHeight="1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  <c r="AD708" s="111"/>
      <c r="AE708" s="111"/>
      <c r="AF708" s="111"/>
      <c r="AG708" s="111"/>
    </row>
    <row r="709" ht="15.75" customHeight="1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  <c r="AD709" s="111"/>
      <c r="AE709" s="111"/>
      <c r="AF709" s="111"/>
      <c r="AG709" s="111"/>
    </row>
    <row r="710" ht="15.75" customHeight="1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  <c r="AD710" s="111"/>
      <c r="AE710" s="111"/>
      <c r="AF710" s="111"/>
      <c r="AG710" s="111"/>
    </row>
    <row r="711" ht="15.75" customHeight="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  <c r="AD711" s="111"/>
      <c r="AE711" s="111"/>
      <c r="AF711" s="111"/>
      <c r="AG711" s="111"/>
    </row>
    <row r="712" ht="15.75" customHeight="1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  <c r="AG712" s="111"/>
    </row>
    <row r="713" ht="15.75" customHeight="1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  <c r="AD713" s="111"/>
      <c r="AE713" s="111"/>
      <c r="AF713" s="111"/>
      <c r="AG713" s="111"/>
    </row>
    <row r="714" ht="15.75" customHeight="1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  <c r="AD714" s="111"/>
      <c r="AE714" s="111"/>
      <c r="AF714" s="111"/>
      <c r="AG714" s="111"/>
    </row>
    <row r="715" ht="15.75" customHeight="1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  <c r="AD715" s="111"/>
      <c r="AE715" s="111"/>
      <c r="AF715" s="111"/>
      <c r="AG715" s="111"/>
    </row>
    <row r="716" ht="15.75" customHeight="1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  <c r="AD716" s="111"/>
      <c r="AE716" s="111"/>
      <c r="AF716" s="111"/>
      <c r="AG716" s="111"/>
    </row>
    <row r="717" ht="15.75" customHeight="1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  <c r="AD717" s="111"/>
      <c r="AE717" s="111"/>
      <c r="AF717" s="111"/>
      <c r="AG717" s="111"/>
    </row>
    <row r="718" ht="15.75" customHeight="1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  <c r="AD718" s="111"/>
      <c r="AE718" s="111"/>
      <c r="AF718" s="111"/>
      <c r="AG718" s="111"/>
    </row>
    <row r="719" ht="15.75" customHeight="1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  <c r="AD719" s="111"/>
      <c r="AE719" s="111"/>
      <c r="AF719" s="111"/>
      <c r="AG719" s="111"/>
    </row>
    <row r="720" ht="15.75" customHeight="1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  <c r="AD720" s="111"/>
      <c r="AE720" s="111"/>
      <c r="AF720" s="111"/>
      <c r="AG720" s="111"/>
    </row>
    <row r="721" ht="15.75" customHeight="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  <c r="AD721" s="111"/>
      <c r="AE721" s="111"/>
      <c r="AF721" s="111"/>
      <c r="AG721" s="111"/>
    </row>
    <row r="722" ht="15.75" customHeight="1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  <c r="AD722" s="111"/>
      <c r="AE722" s="111"/>
      <c r="AF722" s="111"/>
      <c r="AG722" s="111"/>
    </row>
    <row r="723" ht="15.75" customHeight="1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  <c r="AD723" s="111"/>
      <c r="AE723" s="111"/>
      <c r="AF723" s="111"/>
      <c r="AG723" s="111"/>
    </row>
    <row r="724" ht="15.75" customHeight="1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  <c r="AD724" s="111"/>
      <c r="AE724" s="111"/>
      <c r="AF724" s="111"/>
      <c r="AG724" s="111"/>
    </row>
    <row r="725" ht="15.75" customHeight="1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  <c r="AD725" s="111"/>
      <c r="AE725" s="111"/>
      <c r="AF725" s="111"/>
      <c r="AG725" s="111"/>
    </row>
    <row r="726" ht="15.75" customHeight="1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  <c r="AD726" s="111"/>
      <c r="AE726" s="111"/>
      <c r="AF726" s="111"/>
      <c r="AG726" s="111"/>
    </row>
    <row r="727" ht="15.75" customHeight="1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  <c r="AD727" s="111"/>
      <c r="AE727" s="111"/>
      <c r="AF727" s="111"/>
      <c r="AG727" s="111"/>
    </row>
    <row r="728" ht="15.75" customHeight="1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  <c r="AD728" s="111"/>
      <c r="AE728" s="111"/>
      <c r="AF728" s="111"/>
      <c r="AG728" s="111"/>
    </row>
    <row r="729" ht="15.75" customHeight="1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  <c r="AD729" s="111"/>
      <c r="AE729" s="111"/>
      <c r="AF729" s="111"/>
      <c r="AG729" s="111"/>
    </row>
    <row r="730" ht="15.75" customHeight="1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  <c r="AD730" s="111"/>
      <c r="AE730" s="111"/>
      <c r="AF730" s="111"/>
      <c r="AG730" s="111"/>
    </row>
    <row r="731" ht="15.75" customHeight="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  <c r="AD731" s="111"/>
      <c r="AE731" s="111"/>
      <c r="AF731" s="111"/>
      <c r="AG731" s="111"/>
    </row>
    <row r="732" ht="15.75" customHeight="1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  <c r="AD732" s="111"/>
      <c r="AE732" s="111"/>
      <c r="AF732" s="111"/>
      <c r="AG732" s="111"/>
    </row>
    <row r="733" ht="15.75" customHeight="1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  <c r="AD733" s="111"/>
      <c r="AE733" s="111"/>
      <c r="AF733" s="111"/>
      <c r="AG733" s="111"/>
    </row>
    <row r="734" ht="15.75" customHeight="1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  <c r="AD734" s="111"/>
      <c r="AE734" s="111"/>
      <c r="AF734" s="111"/>
      <c r="AG734" s="111"/>
    </row>
    <row r="735" ht="15.75" customHeight="1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  <c r="AG735" s="111"/>
    </row>
    <row r="736" ht="15.75" customHeight="1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  <c r="AD736" s="111"/>
      <c r="AE736" s="111"/>
      <c r="AF736" s="111"/>
      <c r="AG736" s="111"/>
    </row>
    <row r="737" ht="15.75" customHeight="1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  <c r="AD737" s="111"/>
      <c r="AE737" s="111"/>
      <c r="AF737" s="111"/>
      <c r="AG737" s="111"/>
    </row>
    <row r="738" ht="15.75" customHeight="1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  <c r="AD738" s="111"/>
      <c r="AE738" s="111"/>
      <c r="AF738" s="111"/>
      <c r="AG738" s="111"/>
    </row>
    <row r="739" ht="15.75" customHeight="1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  <c r="AD739" s="111"/>
      <c r="AE739" s="111"/>
      <c r="AF739" s="111"/>
      <c r="AG739" s="111"/>
    </row>
    <row r="740" ht="15.75" customHeight="1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  <c r="AD740" s="111"/>
      <c r="AE740" s="111"/>
      <c r="AF740" s="111"/>
      <c r="AG740" s="111"/>
    </row>
    <row r="741" ht="15.75" customHeight="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1"/>
      <c r="AD741" s="111"/>
      <c r="AE741" s="111"/>
      <c r="AF741" s="111"/>
      <c r="AG741" s="111"/>
    </row>
    <row r="742" ht="15.75" customHeight="1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1"/>
      <c r="AD742" s="111"/>
      <c r="AE742" s="111"/>
      <c r="AF742" s="111"/>
      <c r="AG742" s="111"/>
    </row>
    <row r="743" ht="15.75" customHeight="1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1"/>
      <c r="AD743" s="111"/>
      <c r="AE743" s="111"/>
      <c r="AF743" s="111"/>
      <c r="AG743" s="111"/>
    </row>
    <row r="744" ht="15.75" customHeight="1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1"/>
      <c r="AD744" s="111"/>
      <c r="AE744" s="111"/>
      <c r="AF744" s="111"/>
      <c r="AG744" s="111"/>
    </row>
    <row r="745" ht="15.75" customHeight="1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1"/>
      <c r="AD745" s="111"/>
      <c r="AE745" s="111"/>
      <c r="AF745" s="111"/>
      <c r="AG745" s="111"/>
    </row>
    <row r="746" ht="15.75" customHeight="1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1"/>
      <c r="AD746" s="111"/>
      <c r="AE746" s="111"/>
      <c r="AF746" s="111"/>
      <c r="AG746" s="111"/>
    </row>
    <row r="747" ht="15.75" customHeight="1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1"/>
      <c r="AD747" s="111"/>
      <c r="AE747" s="111"/>
      <c r="AF747" s="111"/>
      <c r="AG747" s="111"/>
    </row>
    <row r="748" ht="15.75" customHeight="1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  <c r="AD748" s="111"/>
      <c r="AE748" s="111"/>
      <c r="AF748" s="111"/>
      <c r="AG748" s="111"/>
    </row>
    <row r="749" ht="15.75" customHeight="1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1"/>
      <c r="AD749" s="111"/>
      <c r="AE749" s="111"/>
      <c r="AF749" s="111"/>
      <c r="AG749" s="111"/>
    </row>
    <row r="750" ht="15.75" customHeight="1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  <c r="AD750" s="111"/>
      <c r="AE750" s="111"/>
      <c r="AF750" s="111"/>
      <c r="AG750" s="111"/>
    </row>
    <row r="751" ht="15.75" customHeight="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  <c r="AD751" s="111"/>
      <c r="AE751" s="111"/>
      <c r="AF751" s="111"/>
      <c r="AG751" s="111"/>
    </row>
    <row r="752" ht="15.75" customHeight="1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  <c r="AD752" s="111"/>
      <c r="AE752" s="111"/>
      <c r="AF752" s="111"/>
      <c r="AG752" s="111"/>
    </row>
    <row r="753" ht="15.75" customHeight="1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  <c r="AD753" s="111"/>
      <c r="AE753" s="111"/>
      <c r="AF753" s="111"/>
      <c r="AG753" s="111"/>
    </row>
    <row r="754" ht="15.75" customHeight="1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  <c r="AD754" s="111"/>
      <c r="AE754" s="111"/>
      <c r="AF754" s="111"/>
      <c r="AG754" s="111"/>
    </row>
    <row r="755" ht="15.75" customHeight="1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  <c r="AD755" s="111"/>
      <c r="AE755" s="111"/>
      <c r="AF755" s="111"/>
      <c r="AG755" s="111"/>
    </row>
    <row r="756" ht="15.75" customHeight="1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  <c r="AD756" s="111"/>
      <c r="AE756" s="111"/>
      <c r="AF756" s="111"/>
      <c r="AG756" s="111"/>
    </row>
    <row r="757" ht="15.75" customHeight="1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  <c r="AD757" s="111"/>
      <c r="AE757" s="111"/>
      <c r="AF757" s="111"/>
      <c r="AG757" s="111"/>
    </row>
    <row r="758" ht="15.75" customHeight="1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  <c r="AD758" s="111"/>
      <c r="AE758" s="111"/>
      <c r="AF758" s="111"/>
      <c r="AG758" s="111"/>
    </row>
    <row r="759" ht="15.75" customHeight="1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  <c r="AD759" s="111"/>
      <c r="AE759" s="111"/>
      <c r="AF759" s="111"/>
      <c r="AG759" s="111"/>
    </row>
    <row r="760" ht="15.75" customHeight="1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  <c r="AD760" s="111"/>
      <c r="AE760" s="111"/>
      <c r="AF760" s="111"/>
      <c r="AG760" s="111"/>
    </row>
    <row r="761" ht="15.75" customHeight="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  <c r="AD761" s="111"/>
      <c r="AE761" s="111"/>
      <c r="AF761" s="111"/>
      <c r="AG761" s="111"/>
    </row>
    <row r="762" ht="15.75" customHeight="1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  <c r="AD762" s="111"/>
      <c r="AE762" s="111"/>
      <c r="AF762" s="111"/>
      <c r="AG762" s="111"/>
    </row>
    <row r="763" ht="15.75" customHeight="1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  <c r="AD763" s="111"/>
      <c r="AE763" s="111"/>
      <c r="AF763" s="111"/>
      <c r="AG763" s="111"/>
    </row>
    <row r="764" ht="15.75" customHeight="1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  <c r="AD764" s="111"/>
      <c r="AE764" s="111"/>
      <c r="AF764" s="111"/>
      <c r="AG764" s="111"/>
    </row>
    <row r="765" ht="15.75" customHeight="1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  <c r="AD765" s="111"/>
      <c r="AE765" s="111"/>
      <c r="AF765" s="111"/>
      <c r="AG765" s="111"/>
    </row>
    <row r="766" ht="15.75" customHeight="1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  <c r="AD766" s="111"/>
      <c r="AE766" s="111"/>
      <c r="AF766" s="111"/>
      <c r="AG766" s="111"/>
    </row>
    <row r="767" ht="15.75" customHeight="1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  <c r="AD767" s="111"/>
      <c r="AE767" s="111"/>
      <c r="AF767" s="111"/>
      <c r="AG767" s="111"/>
    </row>
    <row r="768" ht="15.75" customHeight="1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  <c r="AD768" s="111"/>
      <c r="AE768" s="111"/>
      <c r="AF768" s="111"/>
      <c r="AG768" s="111"/>
    </row>
    <row r="769" ht="15.75" customHeight="1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  <c r="AD769" s="111"/>
      <c r="AE769" s="111"/>
      <c r="AF769" s="111"/>
      <c r="AG769" s="111"/>
    </row>
    <row r="770" ht="15.75" customHeight="1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  <c r="AD770" s="111"/>
      <c r="AE770" s="111"/>
      <c r="AF770" s="111"/>
      <c r="AG770" s="111"/>
    </row>
    <row r="771" ht="15.75" customHeight="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  <c r="AD771" s="111"/>
      <c r="AE771" s="111"/>
      <c r="AF771" s="111"/>
      <c r="AG771" s="111"/>
    </row>
    <row r="772" ht="15.75" customHeight="1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  <c r="AD772" s="111"/>
      <c r="AE772" s="111"/>
      <c r="AF772" s="111"/>
      <c r="AG772" s="111"/>
    </row>
    <row r="773" ht="15.75" customHeight="1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  <c r="AD773" s="111"/>
      <c r="AE773" s="111"/>
      <c r="AF773" s="111"/>
      <c r="AG773" s="111"/>
    </row>
    <row r="774" ht="15.75" customHeight="1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  <c r="AD774" s="111"/>
      <c r="AE774" s="111"/>
      <c r="AF774" s="111"/>
      <c r="AG774" s="111"/>
    </row>
    <row r="775" ht="15.75" customHeight="1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  <c r="AD775" s="111"/>
      <c r="AE775" s="111"/>
      <c r="AF775" s="111"/>
      <c r="AG775" s="111"/>
    </row>
    <row r="776" ht="15.75" customHeight="1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  <c r="AD776" s="111"/>
      <c r="AE776" s="111"/>
      <c r="AF776" s="111"/>
      <c r="AG776" s="111"/>
    </row>
    <row r="777" ht="15.75" customHeight="1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  <c r="AD777" s="111"/>
      <c r="AE777" s="111"/>
      <c r="AF777" s="111"/>
      <c r="AG777" s="111"/>
    </row>
    <row r="778" ht="15.75" customHeight="1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  <c r="AD778" s="111"/>
      <c r="AE778" s="111"/>
      <c r="AF778" s="111"/>
      <c r="AG778" s="111"/>
    </row>
    <row r="779" ht="15.75" customHeight="1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  <c r="AD779" s="111"/>
      <c r="AE779" s="111"/>
      <c r="AF779" s="111"/>
      <c r="AG779" s="111"/>
    </row>
    <row r="780" ht="15.75" customHeight="1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  <c r="AD780" s="111"/>
      <c r="AE780" s="111"/>
      <c r="AF780" s="111"/>
      <c r="AG780" s="111"/>
    </row>
    <row r="781" ht="15.75" customHeight="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  <c r="AD781" s="111"/>
      <c r="AE781" s="111"/>
      <c r="AF781" s="111"/>
      <c r="AG781" s="111"/>
    </row>
    <row r="782" ht="15.75" customHeight="1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  <c r="AD782" s="111"/>
      <c r="AE782" s="111"/>
      <c r="AF782" s="111"/>
      <c r="AG782" s="111"/>
    </row>
    <row r="783" ht="15.75" customHeight="1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  <c r="AD783" s="111"/>
      <c r="AE783" s="111"/>
      <c r="AF783" s="111"/>
      <c r="AG783" s="111"/>
    </row>
    <row r="784" ht="15.75" customHeight="1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  <c r="AD784" s="111"/>
      <c r="AE784" s="111"/>
      <c r="AF784" s="111"/>
      <c r="AG784" s="111"/>
    </row>
    <row r="785" ht="15.75" customHeight="1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  <c r="AD785" s="111"/>
      <c r="AE785" s="111"/>
      <c r="AF785" s="111"/>
      <c r="AG785" s="111"/>
    </row>
    <row r="786" ht="15.75" customHeight="1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  <c r="AD786" s="111"/>
      <c r="AE786" s="111"/>
      <c r="AF786" s="111"/>
      <c r="AG786" s="111"/>
    </row>
    <row r="787" ht="15.75" customHeight="1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  <c r="AD787" s="111"/>
      <c r="AE787" s="111"/>
      <c r="AF787" s="111"/>
      <c r="AG787" s="111"/>
    </row>
    <row r="788" ht="15.75" customHeight="1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  <c r="AD788" s="111"/>
      <c r="AE788" s="111"/>
      <c r="AF788" s="111"/>
      <c r="AG788" s="111"/>
    </row>
    <row r="789" ht="15.75" customHeight="1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  <c r="AD789" s="111"/>
      <c r="AE789" s="111"/>
      <c r="AF789" s="111"/>
      <c r="AG789" s="111"/>
    </row>
    <row r="790" ht="15.75" customHeight="1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  <c r="AD790" s="111"/>
      <c r="AE790" s="111"/>
      <c r="AF790" s="111"/>
      <c r="AG790" s="111"/>
    </row>
    <row r="791" ht="15.75" customHeight="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  <c r="AD791" s="111"/>
      <c r="AE791" s="111"/>
      <c r="AF791" s="111"/>
      <c r="AG791" s="111"/>
    </row>
    <row r="792" ht="15.75" customHeight="1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  <c r="AD792" s="111"/>
      <c r="AE792" s="111"/>
      <c r="AF792" s="111"/>
      <c r="AG792" s="111"/>
    </row>
    <row r="793" ht="15.75" customHeight="1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  <c r="AD793" s="111"/>
      <c r="AE793" s="111"/>
      <c r="AF793" s="111"/>
      <c r="AG793" s="111"/>
    </row>
    <row r="794" ht="15.75" customHeight="1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  <c r="AD794" s="111"/>
      <c r="AE794" s="111"/>
      <c r="AF794" s="111"/>
      <c r="AG794" s="111"/>
    </row>
    <row r="795" ht="15.75" customHeight="1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  <c r="AD795" s="111"/>
      <c r="AE795" s="111"/>
      <c r="AF795" s="111"/>
      <c r="AG795" s="111"/>
    </row>
    <row r="796" ht="15.75" customHeight="1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  <c r="AD796" s="111"/>
      <c r="AE796" s="111"/>
      <c r="AF796" s="111"/>
      <c r="AG796" s="111"/>
    </row>
    <row r="797" ht="15.75" customHeight="1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  <c r="AD797" s="111"/>
      <c r="AE797" s="111"/>
      <c r="AF797" s="111"/>
      <c r="AG797" s="111"/>
    </row>
    <row r="798" ht="15.75" customHeight="1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11"/>
      <c r="AD798" s="111"/>
      <c r="AE798" s="111"/>
      <c r="AF798" s="111"/>
      <c r="AG798" s="111"/>
    </row>
    <row r="799" ht="15.75" customHeight="1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1"/>
      <c r="AD799" s="111"/>
      <c r="AE799" s="111"/>
      <c r="AF799" s="111"/>
      <c r="AG799" s="111"/>
    </row>
    <row r="800" ht="15.75" customHeight="1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11"/>
      <c r="AD800" s="111"/>
      <c r="AE800" s="111"/>
      <c r="AF800" s="111"/>
      <c r="AG800" s="111"/>
    </row>
    <row r="801" ht="15.75" customHeight="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11"/>
      <c r="AD801" s="111"/>
      <c r="AE801" s="111"/>
      <c r="AF801" s="111"/>
      <c r="AG801" s="111"/>
    </row>
    <row r="802" ht="15.75" customHeight="1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11"/>
      <c r="AD802" s="111"/>
      <c r="AE802" s="111"/>
      <c r="AF802" s="111"/>
      <c r="AG802" s="111"/>
    </row>
    <row r="803" ht="15.75" customHeight="1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11"/>
      <c r="AD803" s="111"/>
      <c r="AE803" s="111"/>
      <c r="AF803" s="111"/>
      <c r="AG803" s="111"/>
    </row>
    <row r="804" ht="15.75" customHeight="1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11"/>
      <c r="AD804" s="111"/>
      <c r="AE804" s="111"/>
      <c r="AF804" s="111"/>
      <c r="AG804" s="111"/>
    </row>
    <row r="805" ht="15.75" customHeight="1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11"/>
      <c r="AD805" s="111"/>
      <c r="AE805" s="111"/>
      <c r="AF805" s="111"/>
      <c r="AG805" s="111"/>
    </row>
    <row r="806" ht="15.75" customHeight="1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11"/>
      <c r="AD806" s="111"/>
      <c r="AE806" s="111"/>
      <c r="AF806" s="111"/>
      <c r="AG806" s="111"/>
    </row>
    <row r="807" ht="15.75" customHeight="1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1"/>
      <c r="AD807" s="111"/>
      <c r="AE807" s="111"/>
      <c r="AF807" s="111"/>
      <c r="AG807" s="111"/>
    </row>
    <row r="808" ht="15.75" customHeight="1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11"/>
      <c r="AD808" s="111"/>
      <c r="AE808" s="111"/>
      <c r="AF808" s="111"/>
      <c r="AG808" s="111"/>
    </row>
    <row r="809" ht="15.75" customHeight="1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11"/>
      <c r="AD809" s="111"/>
      <c r="AE809" s="111"/>
      <c r="AF809" s="111"/>
      <c r="AG809" s="111"/>
    </row>
    <row r="810" ht="15.75" customHeight="1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11"/>
      <c r="AD810" s="111"/>
      <c r="AE810" s="111"/>
      <c r="AF810" s="111"/>
      <c r="AG810" s="111"/>
    </row>
    <row r="811" ht="15.75" customHeight="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11"/>
      <c r="AD811" s="111"/>
      <c r="AE811" s="111"/>
      <c r="AF811" s="111"/>
      <c r="AG811" s="111"/>
    </row>
    <row r="812" ht="15.75" customHeight="1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11"/>
      <c r="AD812" s="111"/>
      <c r="AE812" s="111"/>
      <c r="AF812" s="111"/>
      <c r="AG812" s="111"/>
    </row>
    <row r="813" ht="15.75" customHeight="1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11"/>
      <c r="AD813" s="111"/>
      <c r="AE813" s="111"/>
      <c r="AF813" s="111"/>
      <c r="AG813" s="111"/>
    </row>
    <row r="814" ht="15.75" customHeight="1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11"/>
      <c r="AD814" s="111"/>
      <c r="AE814" s="111"/>
      <c r="AF814" s="111"/>
      <c r="AG814" s="111"/>
    </row>
    <row r="815" ht="15.75" customHeight="1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11"/>
      <c r="AD815" s="111"/>
      <c r="AE815" s="111"/>
      <c r="AF815" s="111"/>
      <c r="AG815" s="111"/>
    </row>
    <row r="816" ht="15.75" customHeight="1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11"/>
      <c r="AD816" s="111"/>
      <c r="AE816" s="111"/>
      <c r="AF816" s="111"/>
      <c r="AG816" s="111"/>
    </row>
    <row r="817" ht="15.75" customHeight="1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11"/>
      <c r="AD817" s="111"/>
      <c r="AE817" s="111"/>
      <c r="AF817" s="111"/>
      <c r="AG817" s="111"/>
    </row>
    <row r="818" ht="15.75" customHeight="1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11"/>
      <c r="AD818" s="111"/>
      <c r="AE818" s="111"/>
      <c r="AF818" s="111"/>
      <c r="AG818" s="111"/>
    </row>
    <row r="819" ht="15.75" customHeight="1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11"/>
      <c r="AD819" s="111"/>
      <c r="AE819" s="111"/>
      <c r="AF819" s="111"/>
      <c r="AG819" s="111"/>
    </row>
    <row r="820" ht="15.75" customHeight="1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11"/>
      <c r="AD820" s="111"/>
      <c r="AE820" s="111"/>
      <c r="AF820" s="111"/>
      <c r="AG820" s="111"/>
    </row>
    <row r="821" ht="15.75" customHeight="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11"/>
      <c r="AD821" s="111"/>
      <c r="AE821" s="111"/>
      <c r="AF821" s="111"/>
      <c r="AG821" s="111"/>
    </row>
    <row r="822" ht="15.75" customHeight="1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11"/>
      <c r="AD822" s="111"/>
      <c r="AE822" s="111"/>
      <c r="AF822" s="111"/>
      <c r="AG822" s="111"/>
    </row>
    <row r="823" ht="15.75" customHeight="1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1"/>
      <c r="AD823" s="111"/>
      <c r="AE823" s="111"/>
      <c r="AF823" s="111"/>
      <c r="AG823" s="111"/>
    </row>
    <row r="824" ht="15.75" customHeight="1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1"/>
      <c r="AD824" s="111"/>
      <c r="AE824" s="111"/>
      <c r="AF824" s="111"/>
      <c r="AG824" s="111"/>
    </row>
    <row r="825" ht="15.75" customHeight="1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1"/>
      <c r="AD825" s="111"/>
      <c r="AE825" s="111"/>
      <c r="AF825" s="111"/>
      <c r="AG825" s="111"/>
    </row>
    <row r="826" ht="15.75" customHeight="1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1"/>
      <c r="AD826" s="111"/>
      <c r="AE826" s="111"/>
      <c r="AF826" s="111"/>
      <c r="AG826" s="111"/>
    </row>
    <row r="827" ht="15.75" customHeight="1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1"/>
      <c r="AD827" s="111"/>
      <c r="AE827" s="111"/>
      <c r="AF827" s="111"/>
      <c r="AG827" s="111"/>
    </row>
    <row r="828" ht="15.75" customHeight="1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  <c r="AD828" s="111"/>
      <c r="AE828" s="111"/>
      <c r="AF828" s="111"/>
      <c r="AG828" s="111"/>
    </row>
    <row r="829" ht="15.75" customHeight="1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  <c r="AD829" s="111"/>
      <c r="AE829" s="111"/>
      <c r="AF829" s="111"/>
      <c r="AG829" s="111"/>
    </row>
    <row r="830" ht="15.75" customHeight="1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1"/>
      <c r="AD830" s="111"/>
      <c r="AE830" s="111"/>
      <c r="AF830" s="111"/>
      <c r="AG830" s="111"/>
    </row>
    <row r="831" ht="15.75" customHeight="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  <c r="AD831" s="111"/>
      <c r="AE831" s="111"/>
      <c r="AF831" s="111"/>
      <c r="AG831" s="111"/>
    </row>
    <row r="832" ht="15.75" customHeight="1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  <c r="AD832" s="111"/>
      <c r="AE832" s="111"/>
      <c r="AF832" s="111"/>
      <c r="AG832" s="111"/>
    </row>
    <row r="833" ht="15.75" customHeight="1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  <c r="AD833" s="111"/>
      <c r="AE833" s="111"/>
      <c r="AF833" s="111"/>
      <c r="AG833" s="111"/>
    </row>
    <row r="834" ht="15.75" customHeight="1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1"/>
      <c r="AD834" s="111"/>
      <c r="AE834" s="111"/>
      <c r="AF834" s="111"/>
      <c r="AG834" s="111"/>
    </row>
    <row r="835" ht="15.75" customHeight="1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1"/>
      <c r="AD835" s="111"/>
      <c r="AE835" s="111"/>
      <c r="AF835" s="111"/>
      <c r="AG835" s="111"/>
    </row>
    <row r="836" ht="15.75" customHeight="1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1"/>
      <c r="AD836" s="111"/>
      <c r="AE836" s="111"/>
      <c r="AF836" s="111"/>
      <c r="AG836" s="111"/>
    </row>
    <row r="837" ht="15.75" customHeight="1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1"/>
      <c r="AD837" s="111"/>
      <c r="AE837" s="111"/>
      <c r="AF837" s="111"/>
      <c r="AG837" s="111"/>
    </row>
    <row r="838" ht="15.75" customHeight="1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1"/>
      <c r="AD838" s="111"/>
      <c r="AE838" s="111"/>
      <c r="AF838" s="111"/>
      <c r="AG838" s="111"/>
    </row>
    <row r="839" ht="15.75" customHeight="1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  <c r="AD839" s="111"/>
      <c r="AE839" s="111"/>
      <c r="AF839" s="111"/>
      <c r="AG839" s="111"/>
    </row>
    <row r="840" ht="15.75" customHeight="1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1"/>
      <c r="AD840" s="111"/>
      <c r="AE840" s="111"/>
      <c r="AF840" s="111"/>
      <c r="AG840" s="111"/>
    </row>
    <row r="841" ht="15.75" customHeight="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  <c r="AD841" s="111"/>
      <c r="AE841" s="111"/>
      <c r="AF841" s="111"/>
      <c r="AG841" s="111"/>
    </row>
    <row r="842" ht="15.75" customHeight="1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  <c r="AD842" s="111"/>
      <c r="AE842" s="111"/>
      <c r="AF842" s="111"/>
      <c r="AG842" s="111"/>
    </row>
    <row r="843" ht="15.75" customHeight="1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  <c r="AD843" s="111"/>
      <c r="AE843" s="111"/>
      <c r="AF843" s="111"/>
      <c r="AG843" s="111"/>
    </row>
    <row r="844" ht="15.75" customHeight="1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  <c r="AD844" s="111"/>
      <c r="AE844" s="111"/>
      <c r="AF844" s="111"/>
      <c r="AG844" s="111"/>
    </row>
    <row r="845" ht="15.75" customHeight="1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  <c r="AD845" s="111"/>
      <c r="AE845" s="111"/>
      <c r="AF845" s="111"/>
      <c r="AG845" s="111"/>
    </row>
    <row r="846" ht="15.75" customHeight="1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  <c r="AD846" s="111"/>
      <c r="AE846" s="111"/>
      <c r="AF846" s="111"/>
      <c r="AG846" s="111"/>
    </row>
    <row r="847" ht="15.75" customHeight="1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  <c r="AD847" s="111"/>
      <c r="AE847" s="111"/>
      <c r="AF847" s="111"/>
      <c r="AG847" s="111"/>
    </row>
    <row r="848" ht="15.75" customHeight="1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  <c r="AD848" s="111"/>
      <c r="AE848" s="111"/>
      <c r="AF848" s="111"/>
      <c r="AG848" s="111"/>
    </row>
    <row r="849" ht="15.75" customHeight="1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  <c r="AD849" s="111"/>
      <c r="AE849" s="111"/>
      <c r="AF849" s="111"/>
      <c r="AG849" s="111"/>
    </row>
    <row r="850" ht="15.75" customHeight="1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  <c r="AD850" s="111"/>
      <c r="AE850" s="111"/>
      <c r="AF850" s="111"/>
      <c r="AG850" s="111"/>
    </row>
    <row r="851" ht="15.75" customHeight="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  <c r="AD851" s="111"/>
      <c r="AE851" s="111"/>
      <c r="AF851" s="111"/>
      <c r="AG851" s="111"/>
    </row>
    <row r="852" ht="15.75" customHeight="1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  <c r="AD852" s="111"/>
      <c r="AE852" s="111"/>
      <c r="AF852" s="111"/>
      <c r="AG852" s="111"/>
    </row>
    <row r="853" ht="15.75" customHeight="1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  <c r="AD853" s="111"/>
      <c r="AE853" s="111"/>
      <c r="AF853" s="111"/>
      <c r="AG853" s="111"/>
    </row>
    <row r="854" ht="15.75" customHeight="1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  <c r="AD854" s="111"/>
      <c r="AE854" s="111"/>
      <c r="AF854" s="111"/>
      <c r="AG854" s="111"/>
    </row>
    <row r="855" ht="15.75" customHeight="1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  <c r="AD855" s="111"/>
      <c r="AE855" s="111"/>
      <c r="AF855" s="111"/>
      <c r="AG855" s="111"/>
    </row>
    <row r="856" ht="15.75" customHeight="1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  <c r="AD856" s="111"/>
      <c r="AE856" s="111"/>
      <c r="AF856" s="111"/>
      <c r="AG856" s="111"/>
    </row>
    <row r="857" ht="15.75" customHeight="1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  <c r="AD857" s="111"/>
      <c r="AE857" s="111"/>
      <c r="AF857" s="111"/>
      <c r="AG857" s="111"/>
    </row>
    <row r="858" ht="15.75" customHeight="1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  <c r="AD858" s="111"/>
      <c r="AE858" s="111"/>
      <c r="AF858" s="111"/>
      <c r="AG858" s="111"/>
    </row>
    <row r="859" ht="15.75" customHeight="1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  <c r="AD859" s="111"/>
      <c r="AE859" s="111"/>
      <c r="AF859" s="111"/>
      <c r="AG859" s="111"/>
    </row>
    <row r="860" ht="15.75" customHeight="1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  <c r="AD860" s="111"/>
      <c r="AE860" s="111"/>
      <c r="AF860" s="111"/>
      <c r="AG860" s="111"/>
    </row>
    <row r="861" ht="15.75" customHeight="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  <c r="AD861" s="111"/>
      <c r="AE861" s="111"/>
      <c r="AF861" s="111"/>
      <c r="AG861" s="111"/>
    </row>
    <row r="862" ht="15.75" customHeight="1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  <c r="AD862" s="111"/>
      <c r="AE862" s="111"/>
      <c r="AF862" s="111"/>
      <c r="AG862" s="111"/>
    </row>
    <row r="863" ht="15.75" customHeight="1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  <c r="AD863" s="111"/>
      <c r="AE863" s="111"/>
      <c r="AF863" s="111"/>
      <c r="AG863" s="111"/>
    </row>
    <row r="864" ht="15.75" customHeight="1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  <c r="AD864" s="111"/>
      <c r="AE864" s="111"/>
      <c r="AF864" s="111"/>
      <c r="AG864" s="111"/>
    </row>
    <row r="865" ht="15.75" customHeight="1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  <c r="AD865" s="111"/>
      <c r="AE865" s="111"/>
      <c r="AF865" s="111"/>
      <c r="AG865" s="111"/>
    </row>
    <row r="866" ht="15.75" customHeight="1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  <c r="AD866" s="111"/>
      <c r="AE866" s="111"/>
      <c r="AF866" s="111"/>
      <c r="AG866" s="111"/>
    </row>
    <row r="867" ht="15.75" customHeight="1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  <c r="AD867" s="111"/>
      <c r="AE867" s="111"/>
      <c r="AF867" s="111"/>
      <c r="AG867" s="111"/>
    </row>
    <row r="868" ht="15.75" customHeight="1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11"/>
      <c r="AD868" s="111"/>
      <c r="AE868" s="111"/>
      <c r="AF868" s="111"/>
      <c r="AG868" s="111"/>
    </row>
    <row r="869" ht="15.75" customHeight="1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  <c r="AD869" s="111"/>
      <c r="AE869" s="111"/>
      <c r="AF869" s="111"/>
      <c r="AG869" s="111"/>
    </row>
    <row r="870" ht="15.75" customHeight="1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  <c r="AD870" s="111"/>
      <c r="AE870" s="111"/>
      <c r="AF870" s="111"/>
      <c r="AG870" s="111"/>
    </row>
    <row r="871" ht="15.75" customHeight="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  <c r="AD871" s="111"/>
      <c r="AE871" s="111"/>
      <c r="AF871" s="111"/>
      <c r="AG871" s="111"/>
    </row>
    <row r="872" ht="15.75" customHeight="1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  <c r="AD872" s="111"/>
      <c r="AE872" s="111"/>
      <c r="AF872" s="111"/>
      <c r="AG872" s="111"/>
    </row>
    <row r="873" ht="15.75" customHeight="1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  <c r="AD873" s="111"/>
      <c r="AE873" s="111"/>
      <c r="AF873" s="111"/>
      <c r="AG873" s="111"/>
    </row>
    <row r="874" ht="15.75" customHeight="1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  <c r="AD874" s="111"/>
      <c r="AE874" s="111"/>
      <c r="AF874" s="111"/>
      <c r="AG874" s="111"/>
    </row>
    <row r="875" ht="15.75" customHeight="1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  <c r="AD875" s="111"/>
      <c r="AE875" s="111"/>
      <c r="AF875" s="111"/>
      <c r="AG875" s="111"/>
    </row>
    <row r="876" ht="15.75" customHeight="1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  <c r="AD876" s="111"/>
      <c r="AE876" s="111"/>
      <c r="AF876" s="111"/>
      <c r="AG876" s="111"/>
    </row>
    <row r="877" ht="15.75" customHeight="1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  <c r="AD877" s="111"/>
      <c r="AE877" s="111"/>
      <c r="AF877" s="111"/>
      <c r="AG877" s="111"/>
    </row>
    <row r="878" ht="15.75" customHeight="1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  <c r="AD878" s="111"/>
      <c r="AE878" s="111"/>
      <c r="AF878" s="111"/>
      <c r="AG878" s="111"/>
    </row>
    <row r="879" ht="15.75" customHeight="1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  <c r="AD879" s="111"/>
      <c r="AE879" s="111"/>
      <c r="AF879" s="111"/>
      <c r="AG879" s="111"/>
    </row>
    <row r="880" ht="15.75" customHeight="1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  <c r="AD880" s="111"/>
      <c r="AE880" s="111"/>
      <c r="AF880" s="111"/>
      <c r="AG880" s="111"/>
    </row>
    <row r="881" ht="15.75" customHeight="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11"/>
      <c r="AD881" s="111"/>
      <c r="AE881" s="111"/>
      <c r="AF881" s="111"/>
      <c r="AG881" s="111"/>
    </row>
    <row r="882" ht="15.75" customHeight="1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11"/>
      <c r="AD882" s="111"/>
      <c r="AE882" s="111"/>
      <c r="AF882" s="111"/>
      <c r="AG882" s="111"/>
    </row>
    <row r="883" ht="15.75" customHeight="1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11"/>
      <c r="AD883" s="111"/>
      <c r="AE883" s="111"/>
      <c r="AF883" s="111"/>
      <c r="AG883" s="111"/>
    </row>
    <row r="884" ht="15.75" customHeight="1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1"/>
      <c r="AD884" s="111"/>
      <c r="AE884" s="111"/>
      <c r="AF884" s="111"/>
      <c r="AG884" s="111"/>
    </row>
    <row r="885" ht="15.75" customHeight="1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1"/>
      <c r="AD885" s="111"/>
      <c r="AE885" s="111"/>
      <c r="AF885" s="111"/>
      <c r="AG885" s="111"/>
    </row>
    <row r="886" ht="15.75" customHeight="1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1"/>
      <c r="AD886" s="111"/>
      <c r="AE886" s="111"/>
      <c r="AF886" s="111"/>
      <c r="AG886" s="111"/>
    </row>
    <row r="887" ht="15.75" customHeight="1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  <c r="AG887" s="111"/>
    </row>
    <row r="888" ht="15.75" customHeight="1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11"/>
      <c r="AD888" s="111"/>
      <c r="AE888" s="111"/>
      <c r="AF888" s="111"/>
      <c r="AG888" s="111"/>
    </row>
    <row r="889" ht="15.75" customHeight="1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11"/>
      <c r="AD889" s="111"/>
      <c r="AE889" s="111"/>
      <c r="AF889" s="111"/>
      <c r="AG889" s="111"/>
    </row>
    <row r="890" ht="15.75" customHeight="1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11"/>
      <c r="AD890" s="111"/>
      <c r="AE890" s="111"/>
      <c r="AF890" s="111"/>
      <c r="AG890" s="111"/>
    </row>
    <row r="891" ht="15.75" customHeight="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11"/>
      <c r="AD891" s="111"/>
      <c r="AE891" s="111"/>
      <c r="AF891" s="111"/>
      <c r="AG891" s="111"/>
    </row>
    <row r="892" ht="15.75" customHeight="1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11"/>
      <c r="AD892" s="111"/>
      <c r="AE892" s="111"/>
      <c r="AF892" s="111"/>
      <c r="AG892" s="111"/>
    </row>
    <row r="893" ht="15.75" customHeight="1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11"/>
      <c r="AD893" s="111"/>
      <c r="AE893" s="111"/>
      <c r="AF893" s="111"/>
      <c r="AG893" s="111"/>
    </row>
    <row r="894" ht="15.75" customHeight="1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11"/>
      <c r="AD894" s="111"/>
      <c r="AE894" s="111"/>
      <c r="AF894" s="111"/>
      <c r="AG894" s="111"/>
    </row>
    <row r="895" ht="15.75" customHeight="1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11"/>
      <c r="AD895" s="111"/>
      <c r="AE895" s="111"/>
      <c r="AF895" s="111"/>
      <c r="AG895" s="111"/>
    </row>
    <row r="896" ht="15.75" customHeight="1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11"/>
      <c r="AD896" s="111"/>
      <c r="AE896" s="111"/>
      <c r="AF896" s="111"/>
      <c r="AG896" s="111"/>
    </row>
    <row r="897" ht="15.75" customHeight="1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11"/>
      <c r="AD897" s="111"/>
      <c r="AE897" s="111"/>
      <c r="AF897" s="111"/>
      <c r="AG897" s="111"/>
    </row>
    <row r="898" ht="15.75" customHeight="1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11"/>
      <c r="AD898" s="111"/>
      <c r="AE898" s="111"/>
      <c r="AF898" s="111"/>
      <c r="AG898" s="111"/>
    </row>
    <row r="899" ht="15.75" customHeight="1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11"/>
      <c r="AD899" s="111"/>
      <c r="AE899" s="111"/>
      <c r="AF899" s="111"/>
      <c r="AG899" s="111"/>
    </row>
    <row r="900" ht="15.75" customHeight="1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11"/>
      <c r="AD900" s="111"/>
      <c r="AE900" s="111"/>
      <c r="AF900" s="111"/>
      <c r="AG900" s="111"/>
    </row>
    <row r="901" ht="15.75" customHeight="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1"/>
      <c r="AD901" s="111"/>
      <c r="AE901" s="111"/>
      <c r="AF901" s="111"/>
      <c r="AG901" s="111"/>
    </row>
    <row r="902" ht="15.75" customHeight="1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11"/>
      <c r="AD902" s="111"/>
      <c r="AE902" s="111"/>
      <c r="AF902" s="111"/>
      <c r="AG902" s="111"/>
    </row>
    <row r="903" ht="15.75" customHeight="1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11"/>
      <c r="AD903" s="111"/>
      <c r="AE903" s="111"/>
      <c r="AF903" s="111"/>
      <c r="AG903" s="111"/>
    </row>
    <row r="904" ht="15.75" customHeight="1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11"/>
      <c r="AD904" s="111"/>
      <c r="AE904" s="111"/>
      <c r="AF904" s="111"/>
      <c r="AG904" s="111"/>
    </row>
    <row r="905" ht="15.75" customHeight="1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11"/>
      <c r="AD905" s="111"/>
      <c r="AE905" s="111"/>
      <c r="AF905" s="111"/>
      <c r="AG905" s="111"/>
    </row>
    <row r="906" ht="15.75" customHeight="1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11"/>
      <c r="AD906" s="111"/>
      <c r="AE906" s="111"/>
      <c r="AF906" s="111"/>
      <c r="AG906" s="111"/>
    </row>
    <row r="907" ht="15.75" customHeight="1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11"/>
      <c r="AD907" s="111"/>
      <c r="AE907" s="111"/>
      <c r="AF907" s="111"/>
      <c r="AG907" s="111"/>
    </row>
    <row r="908" ht="15.75" customHeight="1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11"/>
      <c r="AD908" s="111"/>
      <c r="AE908" s="111"/>
      <c r="AF908" s="111"/>
      <c r="AG908" s="111"/>
    </row>
    <row r="909" ht="15.75" customHeight="1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11"/>
      <c r="AD909" s="111"/>
      <c r="AE909" s="111"/>
      <c r="AF909" s="111"/>
      <c r="AG909" s="111"/>
    </row>
    <row r="910" ht="15.75" customHeight="1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1"/>
      <c r="AD910" s="111"/>
      <c r="AE910" s="111"/>
      <c r="AF910" s="111"/>
      <c r="AG910" s="111"/>
    </row>
    <row r="911" ht="15.75" customHeight="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  <c r="AG911" s="111"/>
    </row>
    <row r="912" ht="15.75" customHeight="1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11"/>
      <c r="AD912" s="111"/>
      <c r="AE912" s="111"/>
      <c r="AF912" s="111"/>
      <c r="AG912" s="111"/>
    </row>
    <row r="913" ht="15.75" customHeight="1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11"/>
      <c r="AD913" s="111"/>
      <c r="AE913" s="111"/>
      <c r="AF913" s="111"/>
      <c r="AG913" s="111"/>
    </row>
    <row r="914" ht="15.75" customHeight="1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11"/>
      <c r="AD914" s="111"/>
      <c r="AE914" s="111"/>
      <c r="AF914" s="111"/>
      <c r="AG914" s="111"/>
    </row>
    <row r="915" ht="15.75" customHeight="1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11"/>
      <c r="AD915" s="111"/>
      <c r="AE915" s="111"/>
      <c r="AF915" s="111"/>
      <c r="AG915" s="111"/>
    </row>
    <row r="916" ht="15.75" customHeight="1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11"/>
      <c r="AD916" s="111"/>
      <c r="AE916" s="111"/>
      <c r="AF916" s="111"/>
      <c r="AG916" s="111"/>
    </row>
    <row r="917" ht="15.75" customHeight="1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11"/>
      <c r="AD917" s="111"/>
      <c r="AE917" s="111"/>
      <c r="AF917" s="111"/>
      <c r="AG917" s="111"/>
    </row>
    <row r="918" ht="15.75" customHeight="1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11"/>
      <c r="AD918" s="111"/>
      <c r="AE918" s="111"/>
      <c r="AF918" s="111"/>
      <c r="AG918" s="111"/>
    </row>
    <row r="919" ht="15.75" customHeight="1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11"/>
      <c r="AD919" s="111"/>
      <c r="AE919" s="111"/>
      <c r="AF919" s="111"/>
      <c r="AG919" s="111"/>
    </row>
    <row r="920" ht="15.75" customHeight="1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  <c r="AC920" s="111"/>
      <c r="AD920" s="111"/>
      <c r="AE920" s="111"/>
      <c r="AF920" s="111"/>
      <c r="AG920" s="111"/>
    </row>
    <row r="921" ht="15.75" customHeight="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  <c r="AC921" s="111"/>
      <c r="AD921" s="111"/>
      <c r="AE921" s="111"/>
      <c r="AF921" s="111"/>
      <c r="AG921" s="111"/>
    </row>
    <row r="922" ht="15.75" customHeight="1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  <c r="AC922" s="111"/>
      <c r="AD922" s="111"/>
      <c r="AE922" s="111"/>
      <c r="AF922" s="111"/>
      <c r="AG922" s="111"/>
    </row>
    <row r="923" ht="15.75" customHeight="1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  <c r="AC923" s="111"/>
      <c r="AD923" s="111"/>
      <c r="AE923" s="111"/>
      <c r="AF923" s="111"/>
      <c r="AG923" s="111"/>
    </row>
    <row r="924" ht="15.75" customHeight="1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  <c r="AC924" s="111"/>
      <c r="AD924" s="111"/>
      <c r="AE924" s="111"/>
      <c r="AF924" s="111"/>
      <c r="AG924" s="111"/>
    </row>
    <row r="925" ht="15.75" customHeight="1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11"/>
      <c r="AD925" s="111"/>
      <c r="AE925" s="111"/>
      <c r="AF925" s="111"/>
      <c r="AG925" s="111"/>
    </row>
    <row r="926" ht="15.75" customHeight="1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  <c r="AC926" s="111"/>
      <c r="AD926" s="111"/>
      <c r="AE926" s="111"/>
      <c r="AF926" s="111"/>
      <c r="AG926" s="111"/>
    </row>
    <row r="927" ht="15.75" customHeight="1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  <c r="AC927" s="111"/>
      <c r="AD927" s="111"/>
      <c r="AE927" s="111"/>
      <c r="AF927" s="111"/>
      <c r="AG927" s="111"/>
    </row>
    <row r="928" ht="15.75" customHeight="1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  <c r="AC928" s="111"/>
      <c r="AD928" s="111"/>
      <c r="AE928" s="111"/>
      <c r="AF928" s="111"/>
      <c r="AG928" s="111"/>
    </row>
    <row r="929" ht="15.75" customHeight="1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11"/>
      <c r="AD929" s="111"/>
      <c r="AE929" s="111"/>
      <c r="AF929" s="111"/>
      <c r="AG929" s="111"/>
    </row>
    <row r="930" ht="15.75" customHeight="1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11"/>
      <c r="AD930" s="111"/>
      <c r="AE930" s="111"/>
      <c r="AF930" s="111"/>
      <c r="AG930" s="111"/>
    </row>
    <row r="931" ht="15.75" customHeight="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11"/>
      <c r="AD931" s="111"/>
      <c r="AE931" s="111"/>
      <c r="AF931" s="111"/>
      <c r="AG931" s="111"/>
    </row>
    <row r="932" ht="15.75" customHeight="1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11"/>
      <c r="AD932" s="111"/>
      <c r="AE932" s="111"/>
      <c r="AF932" s="111"/>
      <c r="AG932" s="111"/>
    </row>
    <row r="933" ht="15.75" customHeight="1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11"/>
      <c r="AD933" s="111"/>
      <c r="AE933" s="111"/>
      <c r="AF933" s="111"/>
      <c r="AG933" s="111"/>
    </row>
    <row r="934" ht="15.75" customHeight="1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11"/>
      <c r="AD934" s="111"/>
      <c r="AE934" s="111"/>
      <c r="AF934" s="111"/>
      <c r="AG934" s="111"/>
    </row>
    <row r="935" ht="15.75" customHeight="1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11"/>
      <c r="AD935" s="111"/>
      <c r="AE935" s="111"/>
      <c r="AF935" s="111"/>
      <c r="AG935" s="111"/>
    </row>
    <row r="936" ht="15.75" customHeight="1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11"/>
      <c r="AD936" s="111"/>
      <c r="AE936" s="111"/>
      <c r="AF936" s="111"/>
      <c r="AG936" s="111"/>
    </row>
    <row r="937" ht="15.75" customHeight="1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  <c r="AC937" s="111"/>
      <c r="AD937" s="111"/>
      <c r="AE937" s="111"/>
      <c r="AF937" s="111"/>
      <c r="AG937" s="111"/>
    </row>
    <row r="938" ht="15.75" customHeight="1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  <c r="AC938" s="111"/>
      <c r="AD938" s="111"/>
      <c r="AE938" s="111"/>
      <c r="AF938" s="111"/>
      <c r="AG938" s="111"/>
    </row>
    <row r="939" ht="15.75" customHeight="1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  <c r="AC939" s="111"/>
      <c r="AD939" s="111"/>
      <c r="AE939" s="111"/>
      <c r="AF939" s="111"/>
      <c r="AG939" s="111"/>
    </row>
    <row r="940" ht="15.75" customHeight="1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  <c r="AC940" s="111"/>
      <c r="AD940" s="111"/>
      <c r="AE940" s="111"/>
      <c r="AF940" s="111"/>
      <c r="AG940" s="111"/>
    </row>
    <row r="941" ht="15.75" customHeight="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  <c r="AC941" s="111"/>
      <c r="AD941" s="111"/>
      <c r="AE941" s="111"/>
      <c r="AF941" s="111"/>
      <c r="AG941" s="111"/>
    </row>
    <row r="942" ht="15.75" customHeight="1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  <c r="AC942" s="111"/>
      <c r="AD942" s="111"/>
      <c r="AE942" s="111"/>
      <c r="AF942" s="111"/>
      <c r="AG942" s="111"/>
    </row>
    <row r="943" ht="15.75" customHeight="1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  <c r="AC943" s="111"/>
      <c r="AD943" s="111"/>
      <c r="AE943" s="111"/>
      <c r="AF943" s="111"/>
      <c r="AG943" s="111"/>
    </row>
    <row r="944" ht="15.75" customHeight="1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  <c r="AC944" s="111"/>
      <c r="AD944" s="111"/>
      <c r="AE944" s="111"/>
      <c r="AF944" s="111"/>
      <c r="AG944" s="111"/>
    </row>
    <row r="945" ht="15.75" customHeight="1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  <c r="AC945" s="111"/>
      <c r="AD945" s="111"/>
      <c r="AE945" s="111"/>
      <c r="AF945" s="111"/>
      <c r="AG945" s="111"/>
    </row>
    <row r="946" ht="15.75" customHeight="1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  <c r="AC946" s="111"/>
      <c r="AD946" s="111"/>
      <c r="AE946" s="111"/>
      <c r="AF946" s="111"/>
      <c r="AG946" s="111"/>
    </row>
    <row r="947" ht="15.75" customHeight="1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  <c r="AC947" s="111"/>
      <c r="AD947" s="111"/>
      <c r="AE947" s="111"/>
      <c r="AF947" s="111"/>
      <c r="AG947" s="111"/>
    </row>
    <row r="948" ht="15.75" customHeight="1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  <c r="AC948" s="111"/>
      <c r="AD948" s="111"/>
      <c r="AE948" s="111"/>
      <c r="AF948" s="111"/>
      <c r="AG948" s="111"/>
    </row>
    <row r="949" ht="15.75" customHeight="1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  <c r="AC949" s="111"/>
      <c r="AD949" s="111"/>
      <c r="AE949" s="111"/>
      <c r="AF949" s="111"/>
      <c r="AG949" s="111"/>
    </row>
    <row r="950" ht="15.75" customHeight="1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  <c r="AC950" s="111"/>
      <c r="AD950" s="111"/>
      <c r="AE950" s="111"/>
      <c r="AF950" s="111"/>
      <c r="AG950" s="111"/>
    </row>
    <row r="951" ht="15.75" customHeight="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  <c r="AC951" s="111"/>
      <c r="AD951" s="111"/>
      <c r="AE951" s="111"/>
      <c r="AF951" s="111"/>
      <c r="AG951" s="111"/>
    </row>
    <row r="952" ht="15.75" customHeight="1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  <c r="AC952" s="111"/>
      <c r="AD952" s="111"/>
      <c r="AE952" s="111"/>
      <c r="AF952" s="111"/>
      <c r="AG952" s="111"/>
    </row>
    <row r="953" ht="15.75" customHeight="1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  <c r="AC953" s="111"/>
      <c r="AD953" s="111"/>
      <c r="AE953" s="111"/>
      <c r="AF953" s="111"/>
      <c r="AG953" s="111"/>
    </row>
    <row r="954" ht="15.75" customHeight="1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  <c r="AC954" s="111"/>
      <c r="AD954" s="111"/>
      <c r="AE954" s="111"/>
      <c r="AF954" s="111"/>
      <c r="AG954" s="111"/>
    </row>
    <row r="955" ht="15.75" customHeight="1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  <c r="AC955" s="111"/>
      <c r="AD955" s="111"/>
      <c r="AE955" s="111"/>
      <c r="AF955" s="111"/>
      <c r="AG955" s="111"/>
    </row>
    <row r="956" ht="15.75" customHeight="1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  <c r="AC956" s="111"/>
      <c r="AD956" s="111"/>
      <c r="AE956" s="111"/>
      <c r="AF956" s="111"/>
      <c r="AG956" s="111"/>
    </row>
    <row r="957" ht="15.75" customHeight="1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  <c r="AC957" s="111"/>
      <c r="AD957" s="111"/>
      <c r="AE957" s="111"/>
      <c r="AF957" s="111"/>
      <c r="AG957" s="111"/>
    </row>
    <row r="958" ht="15.75" customHeight="1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  <c r="AC958" s="111"/>
      <c r="AD958" s="111"/>
      <c r="AE958" s="111"/>
      <c r="AF958" s="111"/>
      <c r="AG958" s="111"/>
    </row>
    <row r="959" ht="15.75" customHeight="1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  <c r="AC959" s="111"/>
      <c r="AD959" s="111"/>
      <c r="AE959" s="111"/>
      <c r="AF959" s="111"/>
      <c r="AG959" s="111"/>
    </row>
    <row r="960" ht="15.75" customHeight="1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  <c r="AC960" s="111"/>
      <c r="AD960" s="111"/>
      <c r="AE960" s="111"/>
      <c r="AF960" s="111"/>
      <c r="AG960" s="111"/>
    </row>
    <row r="961" ht="15.75" customHeight="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  <c r="AC961" s="111"/>
      <c r="AD961" s="111"/>
      <c r="AE961" s="111"/>
      <c r="AF961" s="111"/>
      <c r="AG961" s="111"/>
    </row>
    <row r="962" ht="15.75" customHeight="1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  <c r="AC962" s="111"/>
      <c r="AD962" s="111"/>
      <c r="AE962" s="111"/>
      <c r="AF962" s="111"/>
      <c r="AG962" s="111"/>
    </row>
    <row r="963" ht="15.75" customHeight="1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  <c r="AC963" s="111"/>
      <c r="AD963" s="111"/>
      <c r="AE963" s="111"/>
      <c r="AF963" s="111"/>
      <c r="AG963" s="111"/>
    </row>
    <row r="964" ht="15.75" customHeight="1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  <c r="AC964" s="111"/>
      <c r="AD964" s="111"/>
      <c r="AE964" s="111"/>
      <c r="AF964" s="111"/>
      <c r="AG964" s="111"/>
    </row>
    <row r="965" ht="15.75" customHeight="1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  <c r="AC965" s="111"/>
      <c r="AD965" s="111"/>
      <c r="AE965" s="111"/>
      <c r="AF965" s="111"/>
      <c r="AG965" s="111"/>
    </row>
    <row r="966" ht="15.75" customHeight="1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  <c r="AC966" s="111"/>
      <c r="AD966" s="111"/>
      <c r="AE966" s="111"/>
      <c r="AF966" s="111"/>
      <c r="AG966" s="111"/>
    </row>
    <row r="967" ht="15.75" customHeight="1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  <c r="AC967" s="111"/>
      <c r="AD967" s="111"/>
      <c r="AE967" s="111"/>
      <c r="AF967" s="111"/>
      <c r="AG967" s="111"/>
    </row>
    <row r="968" ht="15.75" customHeight="1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  <c r="AC968" s="111"/>
      <c r="AD968" s="111"/>
      <c r="AE968" s="111"/>
      <c r="AF968" s="111"/>
      <c r="AG968" s="111"/>
    </row>
    <row r="969" ht="15.75" customHeight="1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  <c r="AC969" s="111"/>
      <c r="AD969" s="111"/>
      <c r="AE969" s="111"/>
      <c r="AF969" s="111"/>
      <c r="AG969" s="111"/>
    </row>
    <row r="970" ht="15.75" customHeight="1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  <c r="AC970" s="111"/>
      <c r="AD970" s="111"/>
      <c r="AE970" s="111"/>
      <c r="AF970" s="111"/>
      <c r="AG970" s="111"/>
    </row>
    <row r="971" ht="15.75" customHeight="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  <c r="AC971" s="111"/>
      <c r="AD971" s="111"/>
      <c r="AE971" s="111"/>
      <c r="AF971" s="111"/>
      <c r="AG971" s="111"/>
    </row>
    <row r="972" ht="15.75" customHeight="1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  <c r="AC972" s="111"/>
      <c r="AD972" s="111"/>
      <c r="AE972" s="111"/>
      <c r="AF972" s="111"/>
      <c r="AG972" s="111"/>
    </row>
    <row r="973" ht="15.75" customHeight="1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  <c r="AC973" s="111"/>
      <c r="AD973" s="111"/>
      <c r="AE973" s="111"/>
      <c r="AF973" s="111"/>
      <c r="AG973" s="111"/>
    </row>
    <row r="974" ht="15.75" customHeight="1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  <c r="AC974" s="111"/>
      <c r="AD974" s="111"/>
      <c r="AE974" s="111"/>
      <c r="AF974" s="111"/>
      <c r="AG974" s="111"/>
    </row>
    <row r="975" ht="15.75" customHeight="1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  <c r="AC975" s="111"/>
      <c r="AD975" s="111"/>
      <c r="AE975" s="111"/>
      <c r="AF975" s="111"/>
      <c r="AG975" s="111"/>
    </row>
    <row r="976" ht="15.75" customHeight="1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  <c r="AC976" s="111"/>
      <c r="AD976" s="111"/>
      <c r="AE976" s="111"/>
      <c r="AF976" s="111"/>
      <c r="AG976" s="111"/>
    </row>
    <row r="977" ht="15.75" customHeight="1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  <c r="AC977" s="111"/>
      <c r="AD977" s="111"/>
      <c r="AE977" s="111"/>
      <c r="AF977" s="111"/>
      <c r="AG977" s="111"/>
    </row>
    <row r="978" ht="15.75" customHeight="1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  <c r="AC978" s="111"/>
      <c r="AD978" s="111"/>
      <c r="AE978" s="111"/>
      <c r="AF978" s="111"/>
      <c r="AG978" s="111"/>
    </row>
    <row r="979" ht="15.75" customHeight="1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  <c r="AC979" s="111"/>
      <c r="AD979" s="111"/>
      <c r="AE979" s="111"/>
      <c r="AF979" s="111"/>
      <c r="AG979" s="111"/>
    </row>
    <row r="980" ht="15.75" customHeight="1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  <c r="AC980" s="111"/>
      <c r="AD980" s="111"/>
      <c r="AE980" s="111"/>
      <c r="AF980" s="111"/>
      <c r="AG980" s="111"/>
    </row>
    <row r="981" ht="15.75" customHeight="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  <c r="AC981" s="111"/>
      <c r="AD981" s="111"/>
      <c r="AE981" s="111"/>
      <c r="AF981" s="111"/>
      <c r="AG981" s="111"/>
    </row>
    <row r="982" ht="15.75" customHeight="1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  <c r="AC982" s="111"/>
      <c r="AD982" s="111"/>
      <c r="AE982" s="111"/>
      <c r="AF982" s="111"/>
      <c r="AG982" s="111"/>
    </row>
    <row r="983" ht="15.75" customHeight="1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  <c r="AC983" s="111"/>
      <c r="AD983" s="111"/>
      <c r="AE983" s="111"/>
      <c r="AF983" s="111"/>
      <c r="AG983" s="111"/>
    </row>
    <row r="984" ht="15.75" customHeight="1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  <c r="AC984" s="111"/>
      <c r="AD984" s="111"/>
      <c r="AE984" s="111"/>
      <c r="AF984" s="111"/>
      <c r="AG984" s="111"/>
    </row>
    <row r="985" ht="15.75" customHeight="1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  <c r="AC985" s="111"/>
      <c r="AD985" s="111"/>
      <c r="AE985" s="111"/>
      <c r="AF985" s="111"/>
      <c r="AG985" s="111"/>
    </row>
    <row r="986" ht="15.75" customHeight="1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  <c r="AC986" s="111"/>
      <c r="AD986" s="111"/>
      <c r="AE986" s="111"/>
      <c r="AF986" s="111"/>
      <c r="AG986" s="111"/>
    </row>
    <row r="987" ht="15.75" customHeight="1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  <c r="AC987" s="111"/>
      <c r="AD987" s="111"/>
      <c r="AE987" s="111"/>
      <c r="AF987" s="111"/>
      <c r="AG987" s="111"/>
    </row>
    <row r="988" ht="15.75" customHeight="1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  <c r="AC988" s="111"/>
      <c r="AD988" s="111"/>
      <c r="AE988" s="111"/>
      <c r="AF988" s="111"/>
      <c r="AG988" s="111"/>
    </row>
    <row r="989" ht="15.75" customHeight="1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  <c r="AC989" s="111"/>
      <c r="AD989" s="111"/>
      <c r="AE989" s="111"/>
      <c r="AF989" s="111"/>
      <c r="AG989" s="111"/>
    </row>
    <row r="990" ht="15.75" customHeight="1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  <c r="AC990" s="111"/>
      <c r="AD990" s="111"/>
      <c r="AE990" s="111"/>
      <c r="AF990" s="111"/>
      <c r="AG990" s="111"/>
    </row>
    <row r="991" ht="15.75" customHeight="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  <c r="AC991" s="111"/>
      <c r="AD991" s="111"/>
      <c r="AE991" s="111"/>
      <c r="AF991" s="111"/>
      <c r="AG991" s="111"/>
    </row>
    <row r="992" ht="15.75" customHeight="1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  <c r="AC992" s="111"/>
      <c r="AD992" s="111"/>
      <c r="AE992" s="111"/>
      <c r="AF992" s="111"/>
      <c r="AG992" s="111"/>
    </row>
    <row r="993" ht="15.75" customHeight="1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  <c r="AC993" s="111"/>
      <c r="AD993" s="111"/>
      <c r="AE993" s="111"/>
      <c r="AF993" s="111"/>
      <c r="AG993" s="111"/>
    </row>
    <row r="994" ht="15.75" customHeight="1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  <c r="AG994" s="111"/>
    </row>
    <row r="995" ht="15.75" customHeight="1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  <c r="AC995" s="111"/>
      <c r="AD995" s="111"/>
      <c r="AE995" s="111"/>
      <c r="AF995" s="111"/>
      <c r="AG995" s="111"/>
    </row>
    <row r="996" ht="15.75" customHeight="1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  <c r="AC996" s="111"/>
      <c r="AD996" s="111"/>
      <c r="AE996" s="111"/>
      <c r="AF996" s="111"/>
      <c r="AG996" s="111"/>
    </row>
    <row r="997" ht="15.75" customHeight="1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  <c r="AC997" s="111"/>
      <c r="AD997" s="111"/>
      <c r="AE997" s="111"/>
      <c r="AF997" s="111"/>
      <c r="AG997" s="111"/>
    </row>
    <row r="998" ht="15.75" customHeight="1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  <c r="AC998" s="111"/>
      <c r="AD998" s="111"/>
      <c r="AE998" s="111"/>
      <c r="AF998" s="111"/>
      <c r="AG998" s="111"/>
    </row>
    <row r="999" ht="15.75" customHeight="1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  <c r="AC999" s="111"/>
      <c r="AD999" s="111"/>
      <c r="AE999" s="111"/>
      <c r="AF999" s="111"/>
      <c r="AG999" s="111"/>
    </row>
    <row r="1000" ht="15.75" customHeight="1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  <c r="AC1000" s="111"/>
      <c r="AD1000" s="111"/>
      <c r="AE1000" s="111"/>
      <c r="AF1000" s="111"/>
      <c r="AG1000" s="111"/>
    </row>
    <row r="1001" ht="15.75" customHeight="1">
      <c r="A1001" s="111"/>
      <c r="B1001" s="111"/>
      <c r="C1001" s="111"/>
      <c r="D1001" s="111"/>
      <c r="E1001" s="111"/>
      <c r="F1001" s="111"/>
      <c r="G1001" s="111"/>
      <c r="H1001" s="111"/>
      <c r="I1001" s="111"/>
      <c r="J1001" s="111"/>
      <c r="K1001" s="111"/>
      <c r="L1001" s="111"/>
      <c r="M1001" s="111"/>
      <c r="N1001" s="111"/>
      <c r="O1001" s="111"/>
      <c r="P1001" s="111"/>
      <c r="Q1001" s="111"/>
      <c r="R1001" s="111"/>
      <c r="S1001" s="111"/>
      <c r="T1001" s="111"/>
      <c r="U1001" s="111"/>
      <c r="V1001" s="111"/>
      <c r="W1001" s="111"/>
      <c r="X1001" s="111"/>
      <c r="Y1001" s="111"/>
      <c r="Z1001" s="111"/>
      <c r="AA1001" s="111"/>
      <c r="AB1001" s="111"/>
      <c r="AC1001" s="111"/>
      <c r="AD1001" s="111"/>
      <c r="AE1001" s="111"/>
      <c r="AF1001" s="111"/>
      <c r="AG1001" s="111"/>
    </row>
    <row r="1002" ht="15.75" customHeight="1">
      <c r="A1002" s="111"/>
      <c r="B1002" s="111"/>
      <c r="C1002" s="111"/>
      <c r="D1002" s="111"/>
      <c r="E1002" s="111"/>
      <c r="F1002" s="111"/>
      <c r="G1002" s="111"/>
      <c r="H1002" s="111"/>
      <c r="I1002" s="111"/>
      <c r="J1002" s="111"/>
      <c r="K1002" s="111"/>
      <c r="L1002" s="111"/>
      <c r="M1002" s="111"/>
      <c r="N1002" s="111"/>
      <c r="O1002" s="111"/>
      <c r="P1002" s="111"/>
      <c r="Q1002" s="111"/>
      <c r="R1002" s="111"/>
      <c r="S1002" s="111"/>
      <c r="T1002" s="111"/>
      <c r="U1002" s="111"/>
      <c r="V1002" s="111"/>
      <c r="W1002" s="111"/>
      <c r="X1002" s="111"/>
      <c r="Y1002" s="111"/>
      <c r="Z1002" s="111"/>
      <c r="AA1002" s="111"/>
      <c r="AB1002" s="111"/>
      <c r="AC1002" s="111"/>
      <c r="AD1002" s="111"/>
      <c r="AE1002" s="111"/>
      <c r="AF1002" s="111"/>
      <c r="AG1002" s="111"/>
    </row>
    <row r="1003" ht="15.75" customHeight="1">
      <c r="A1003" s="111"/>
      <c r="B1003" s="111"/>
      <c r="C1003" s="111"/>
      <c r="D1003" s="111"/>
      <c r="E1003" s="111"/>
      <c r="F1003" s="111"/>
      <c r="G1003" s="111"/>
      <c r="H1003" s="111"/>
      <c r="I1003" s="111"/>
      <c r="J1003" s="111"/>
      <c r="K1003" s="111"/>
      <c r="L1003" s="111"/>
      <c r="M1003" s="111"/>
      <c r="N1003" s="111"/>
      <c r="O1003" s="111"/>
      <c r="P1003" s="111"/>
      <c r="Q1003" s="111"/>
      <c r="R1003" s="111"/>
      <c r="S1003" s="111"/>
      <c r="T1003" s="111"/>
      <c r="U1003" s="111"/>
      <c r="V1003" s="111"/>
      <c r="W1003" s="111"/>
      <c r="X1003" s="111"/>
      <c r="Y1003" s="111"/>
      <c r="Z1003" s="111"/>
      <c r="AA1003" s="111"/>
      <c r="AB1003" s="111"/>
      <c r="AC1003" s="111"/>
      <c r="AD1003" s="111"/>
      <c r="AE1003" s="111"/>
      <c r="AF1003" s="111"/>
      <c r="AG1003" s="111"/>
    </row>
    <row r="1004" ht="15.75" customHeight="1">
      <c r="A1004" s="111"/>
      <c r="B1004" s="111"/>
      <c r="C1004" s="111"/>
      <c r="D1004" s="111"/>
      <c r="E1004" s="111"/>
      <c r="F1004" s="111"/>
      <c r="G1004" s="111"/>
      <c r="H1004" s="111"/>
      <c r="I1004" s="111"/>
      <c r="J1004" s="111"/>
      <c r="K1004" s="111"/>
      <c r="L1004" s="111"/>
      <c r="M1004" s="111"/>
      <c r="N1004" s="111"/>
      <c r="O1004" s="111"/>
      <c r="P1004" s="111"/>
      <c r="Q1004" s="111"/>
      <c r="R1004" s="111"/>
      <c r="S1004" s="111"/>
      <c r="T1004" s="111"/>
      <c r="U1004" s="111"/>
      <c r="V1004" s="111"/>
      <c r="W1004" s="111"/>
      <c r="X1004" s="111"/>
      <c r="Y1004" s="111"/>
      <c r="Z1004" s="111"/>
      <c r="AA1004" s="111"/>
      <c r="AB1004" s="111"/>
      <c r="AC1004" s="111"/>
      <c r="AD1004" s="111"/>
      <c r="AE1004" s="111"/>
      <c r="AF1004" s="111"/>
      <c r="AG1004" s="111"/>
    </row>
    <row r="1005" ht="15.75" customHeight="1">
      <c r="A1005" s="111"/>
      <c r="B1005" s="111"/>
      <c r="C1005" s="111"/>
      <c r="D1005" s="111"/>
      <c r="E1005" s="111"/>
      <c r="F1005" s="111"/>
      <c r="G1005" s="111"/>
      <c r="H1005" s="111"/>
      <c r="I1005" s="111"/>
      <c r="J1005" s="111"/>
      <c r="K1005" s="111"/>
      <c r="L1005" s="111"/>
      <c r="M1005" s="111"/>
      <c r="N1005" s="111"/>
      <c r="O1005" s="111"/>
      <c r="P1005" s="111"/>
      <c r="Q1005" s="111"/>
      <c r="R1005" s="111"/>
      <c r="S1005" s="111"/>
      <c r="T1005" s="111"/>
      <c r="U1005" s="111"/>
      <c r="V1005" s="111"/>
      <c r="W1005" s="111"/>
      <c r="X1005" s="111"/>
      <c r="Y1005" s="111"/>
      <c r="Z1005" s="111"/>
      <c r="AA1005" s="111"/>
      <c r="AB1005" s="111"/>
      <c r="AC1005" s="111"/>
      <c r="AD1005" s="111"/>
      <c r="AE1005" s="111"/>
      <c r="AF1005" s="111"/>
      <c r="AG1005" s="111"/>
    </row>
    <row r="1006" ht="15.75" customHeight="1">
      <c r="A1006" s="111"/>
      <c r="B1006" s="111"/>
      <c r="C1006" s="111"/>
      <c r="D1006" s="111"/>
      <c r="E1006" s="111"/>
      <c r="F1006" s="111"/>
      <c r="G1006" s="111"/>
      <c r="H1006" s="111"/>
      <c r="I1006" s="111"/>
      <c r="J1006" s="111"/>
      <c r="K1006" s="111"/>
      <c r="L1006" s="111"/>
      <c r="M1006" s="111"/>
      <c r="N1006" s="111"/>
      <c r="O1006" s="111"/>
      <c r="P1006" s="111"/>
      <c r="Q1006" s="111"/>
      <c r="R1006" s="111"/>
      <c r="S1006" s="111"/>
      <c r="T1006" s="111"/>
      <c r="U1006" s="111"/>
      <c r="V1006" s="111"/>
      <c r="W1006" s="111"/>
      <c r="X1006" s="111"/>
      <c r="Y1006" s="111"/>
      <c r="Z1006" s="111"/>
      <c r="AA1006" s="111"/>
      <c r="AB1006" s="111"/>
      <c r="AC1006" s="111"/>
      <c r="AD1006" s="111"/>
      <c r="AE1006" s="111"/>
      <c r="AF1006" s="111"/>
      <c r="AG1006" s="111"/>
    </row>
    <row r="1007" ht="15.75" customHeight="1">
      <c r="A1007" s="111"/>
      <c r="B1007" s="111"/>
      <c r="C1007" s="111"/>
      <c r="D1007" s="111"/>
      <c r="E1007" s="111"/>
      <c r="F1007" s="111"/>
      <c r="G1007" s="111"/>
      <c r="H1007" s="111"/>
      <c r="I1007" s="111"/>
      <c r="J1007" s="111"/>
      <c r="K1007" s="111"/>
      <c r="L1007" s="111"/>
      <c r="M1007" s="111"/>
      <c r="N1007" s="111"/>
      <c r="O1007" s="111"/>
      <c r="P1007" s="111"/>
      <c r="Q1007" s="111"/>
      <c r="R1007" s="111"/>
      <c r="S1007" s="111"/>
      <c r="T1007" s="111"/>
      <c r="U1007" s="111"/>
      <c r="V1007" s="111"/>
      <c r="W1007" s="111"/>
      <c r="X1007" s="111"/>
      <c r="Y1007" s="111"/>
      <c r="Z1007" s="111"/>
      <c r="AA1007" s="111"/>
      <c r="AB1007" s="111"/>
      <c r="AC1007" s="111"/>
      <c r="AD1007" s="111"/>
      <c r="AE1007" s="111"/>
      <c r="AF1007" s="111"/>
      <c r="AG1007" s="111"/>
    </row>
  </sheetData>
  <autoFilter ref="$B$3:$AG$179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2019-09-24T17:03:46Z</dcterms:created>
  <dc:creator>Victor Valencia</dc:creator>
</cp:coreProperties>
</file>