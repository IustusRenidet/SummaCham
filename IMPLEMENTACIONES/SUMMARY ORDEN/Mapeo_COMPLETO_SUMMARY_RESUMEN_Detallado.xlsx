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ÍNDICE GENERAL" sheetId="1" state="visible" r:id="rId1"/>
    <sheet xmlns:r="http://schemas.openxmlformats.org/officeDocument/2006/relationships" name="1. INCOME - Detalle" sheetId="2" state="visible" r:id="rId2"/>
    <sheet xmlns:r="http://schemas.openxmlformats.org/officeDocument/2006/relationships" name="2. EXPENSE - Detalle" sheetId="3" state="visible" r:id="rId3"/>
    <sheet xmlns:r="http://schemas.openxmlformats.org/officeDocument/2006/relationships" name="3. RESULTADOS OPERATIVOS" sheetId="4" state="visible" r:id="rId4"/>
    <sheet xmlns:r="http://schemas.openxmlformats.org/officeDocument/2006/relationships" name="4. OTHER INCOME" sheetId="5" state="visible" r:id="rId5"/>
    <sheet xmlns:r="http://schemas.openxmlformats.org/officeDocument/2006/relationships" name="5. RESULTADOS NETOS" sheetId="6" state="visible" r:id="rId6"/>
    <sheet xmlns:r="http://schemas.openxmlformats.org/officeDocument/2006/relationships" name="8. CATÁLOGO DE CUEN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color rgb="00FFFFFF"/>
    </font>
    <font>
      <b val="1"/>
      <sz val="10"/>
    </font>
    <font>
      <sz val="9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8FAADC"/>
        <bgColor rgb="008FAADC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95A5A6"/>
        <bgColor rgb="0095A5A6"/>
      </patternFill>
    </fill>
    <fill>
      <patternFill patternType="solid">
        <fgColor rgb="00E67E22"/>
        <bgColor rgb="00E67E22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25" customWidth="1" min="4" max="4"/>
    <col width="25" customWidth="1" min="5" max="5"/>
  </cols>
  <sheetData>
    <row r="1" ht="35" customHeight="1">
      <c r="A1" s="1" t="inlineStr">
        <is>
          <t>MAPEO COMPLETO Y DETALLADO - VISTAS FINANCIERAS</t>
        </is>
      </c>
    </row>
    <row r="3">
      <c r="A3" s="2" t="inlineStr">
        <is>
          <t>CONTENIDO DEL DOCUMENTO</t>
        </is>
      </c>
    </row>
    <row r="5">
      <c r="A5" s="3" t="inlineStr">
        <is>
          <t>HOJA</t>
        </is>
      </c>
      <c r="B5" s="3" t="inlineStr">
        <is>
          <t>TÍTULO</t>
        </is>
      </c>
      <c r="C5" s="3" t="inlineStr">
        <is>
          <t>DESCRIPCIÓN</t>
        </is>
      </c>
    </row>
    <row r="6">
      <c r="A6" s="4" t="inlineStr">
        <is>
          <t>0</t>
        </is>
      </c>
      <c r="B6" s="4" t="inlineStr">
        <is>
          <t>ÍNDICE GENERAL</t>
        </is>
      </c>
      <c r="C6" s="4" t="inlineStr">
        <is>
          <t>Este índice y estructura general del documento</t>
        </is>
      </c>
    </row>
    <row r="7">
      <c r="A7" s="4" t="inlineStr">
        <is>
          <t>1</t>
        </is>
      </c>
      <c r="B7" s="4" t="inlineStr">
        <is>
          <t>INCOME - Detalle Completo</t>
        </is>
      </c>
      <c r="C7" s="4" t="inlineStr">
        <is>
          <t>Todos los ingresos con fórmulas y agregaciones</t>
        </is>
      </c>
    </row>
    <row r="8">
      <c r="A8" s="4" t="inlineStr">
        <is>
          <t>2</t>
        </is>
      </c>
      <c r="B8" s="4" t="inlineStr">
        <is>
          <t>EXPENSE - Detalle Completo</t>
        </is>
      </c>
      <c r="C8" s="4" t="inlineStr">
        <is>
          <t>Todos los gastos con fórmulas y agregaciones</t>
        </is>
      </c>
    </row>
    <row r="9">
      <c r="A9" s="4" t="inlineStr">
        <is>
          <t>3</t>
        </is>
      </c>
      <c r="B9" s="4" t="inlineStr">
        <is>
          <t>RESULTADOS OPERATIVOS</t>
        </is>
      </c>
      <c r="C9" s="4" t="inlineStr">
        <is>
          <t>Cálculos de resultados operativos por región</t>
        </is>
      </c>
    </row>
    <row r="10">
      <c r="A10" s="4" t="inlineStr">
        <is>
          <t>4</t>
        </is>
      </c>
      <c r="B10" s="4" t="inlineStr">
        <is>
          <t>OTHER INCOME</t>
        </is>
      </c>
      <c r="C10" s="4" t="inlineStr">
        <is>
          <t>Otros ingresos y productos financieros</t>
        </is>
      </c>
    </row>
    <row r="11">
      <c r="A11" s="4" t="inlineStr">
        <is>
          <t>5</t>
        </is>
      </c>
      <c r="B11" s="4" t="inlineStr">
        <is>
          <t>RESULTADOS NETOS</t>
        </is>
      </c>
      <c r="C11" s="4" t="inlineStr">
        <is>
          <t>Cálculos de resultados netos consolidados</t>
        </is>
      </c>
    </row>
    <row r="12">
      <c r="A12" s="4" t="inlineStr">
        <is>
          <t>6</t>
        </is>
      </c>
      <c r="B12" s="4" t="inlineStr">
        <is>
          <t>RESUMEN - Estructura</t>
        </is>
      </c>
      <c r="C12" s="4" t="inlineStr">
        <is>
          <t>Vista RESUMEN con mapeo completo</t>
        </is>
      </c>
    </row>
    <row r="13">
      <c r="A13" s="4" t="inlineStr">
        <is>
          <t>7</t>
        </is>
      </c>
      <c r="B13" s="4" t="inlineStr">
        <is>
          <t>COMPARACIÓN Detallada</t>
        </is>
      </c>
      <c r="C13" s="4" t="inlineStr">
        <is>
          <t>Diferencias entre SUMMARY y RESUMEN</t>
        </is>
      </c>
    </row>
    <row r="14">
      <c r="A14" s="4" t="inlineStr">
        <is>
          <t>8</t>
        </is>
      </c>
      <c r="B14" s="4" t="inlineStr">
        <is>
          <t>TABLAS DE REFERENCIA</t>
        </is>
      </c>
      <c r="C14" s="4" t="inlineStr">
        <is>
          <t>Catálogo de cuentas y operaciones</t>
        </is>
      </c>
    </row>
    <row r="15">
      <c r="A15" s="4" t="inlineStr">
        <is>
          <t>9</t>
        </is>
      </c>
      <c r="B15" s="4" t="inlineStr">
        <is>
          <t>DIAGRAMA DE FLUJO</t>
        </is>
      </c>
      <c r="C15" s="4" t="inlineStr">
        <is>
          <t>Flujo visual de agregaciones</t>
        </is>
      </c>
    </row>
    <row r="16">
      <c r="A16" s="4" t="inlineStr">
        <is>
          <t>10</t>
        </is>
      </c>
      <c r="B16" s="4" t="inlineStr">
        <is>
          <t>RECOMENDACIONES</t>
        </is>
      </c>
      <c r="C16" s="4" t="inlineStr">
        <is>
          <t>Guía de implementación y mejoras</t>
        </is>
      </c>
    </row>
    <row r="19">
      <c r="A19" s="5" t="inlineStr">
        <is>
          <t>LEYENDA DE NIVELES DE AGREGACIÓN</t>
        </is>
      </c>
    </row>
    <row r="20">
      <c r="A20" s="3" t="inlineStr">
        <is>
          <t>Nivel</t>
        </is>
      </c>
      <c r="B20" s="3" t="inlineStr">
        <is>
          <t>Nombre</t>
        </is>
      </c>
      <c r="C20" s="3" t="inlineStr">
        <is>
          <t>Color</t>
        </is>
      </c>
      <c r="D20" s="3" t="inlineStr">
        <is>
          <t>Ejemplo</t>
        </is>
      </c>
      <c r="E20" s="3" t="inlineStr">
        <is>
          <t>Tipo de Fórmula</t>
        </is>
      </c>
    </row>
    <row r="21">
      <c r="A21" s="4" t="inlineStr">
        <is>
          <t>0</t>
        </is>
      </c>
      <c r="B21" s="4" t="inlineStr">
        <is>
          <t>Consolidado Total</t>
        </is>
      </c>
      <c r="C21" s="4" t="inlineStr">
        <is>
          <t>Rojo Oscuro</t>
        </is>
      </c>
      <c r="D21" s="4" t="inlineStr">
        <is>
          <t>CONSOLIDATED INCOME</t>
        </is>
      </c>
      <c r="E21" s="4" t="inlineStr">
        <is>
          <t>Suma de regiones</t>
        </is>
      </c>
    </row>
    <row r="22">
      <c r="A22" s="4" t="inlineStr">
        <is>
          <t>1</t>
        </is>
      </c>
      <c r="B22" s="4" t="inlineStr">
        <is>
          <t>Consolidado Regional</t>
        </is>
      </c>
      <c r="C22" s="4" t="inlineStr">
        <is>
          <t>Azul Fuerte</t>
        </is>
      </c>
      <c r="D22" s="4" t="inlineStr">
        <is>
          <t>CDMX Income</t>
        </is>
      </c>
      <c r="E22" s="4" t="inlineStr">
        <is>
          <t>Suma de categorías</t>
        </is>
      </c>
    </row>
    <row r="23">
      <c r="A23" s="4" t="inlineStr">
        <is>
          <t>2</t>
        </is>
      </c>
      <c r="B23" s="4" t="inlineStr">
        <is>
          <t>Categorías</t>
        </is>
      </c>
      <c r="C23" s="4" t="inlineStr">
        <is>
          <t>Azul Claro</t>
        </is>
      </c>
      <c r="D23" s="4" t="inlineStr">
        <is>
          <t>Membership, Events</t>
        </is>
      </c>
      <c r="E23" s="4" t="inlineStr">
        <is>
          <t>Suma de cuentas</t>
        </is>
      </c>
    </row>
    <row r="24">
      <c r="A24" s="4" t="inlineStr">
        <is>
          <t>3</t>
        </is>
      </c>
      <c r="B24" s="4" t="inlineStr">
        <is>
          <t>Cuentas Individuales</t>
        </is>
      </c>
      <c r="C24" s="4" t="inlineStr">
        <is>
          <t>Amarillo</t>
        </is>
      </c>
      <c r="D24" s="4" t="inlineStr">
        <is>
          <t>401-xxx, 702-xxx</t>
        </is>
      </c>
      <c r="E24" s="4" t="inlineStr">
        <is>
          <t>VLOOKUP/SUMIF</t>
        </is>
      </c>
    </row>
  </sheetData>
  <mergeCells count="3">
    <mergeCell ref="A3:F3"/>
    <mergeCell ref="A19:F19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35" customWidth="1" min="4" max="4"/>
    <col width="18" customWidth="1" min="5" max="5"/>
    <col width="55" customWidth="1" min="6" max="6"/>
    <col width="45" customWidth="1" min="7" max="7"/>
    <col width="12" customWidth="1" min="8" max="8"/>
    <col width="20" customWidth="1" min="9" max="9"/>
  </cols>
  <sheetData>
    <row r="1">
      <c r="A1" s="6" t="inlineStr">
        <is>
          <t>Fila</t>
        </is>
      </c>
      <c r="B1" s="6" t="inlineStr">
        <is>
          <t>Nivel</t>
        </is>
      </c>
      <c r="C1" s="6" t="inlineStr">
        <is>
          <t>Cuenta</t>
        </is>
      </c>
      <c r="D1" s="6" t="inlineStr">
        <is>
          <t>Nombre Completo</t>
        </is>
      </c>
      <c r="E1" s="6" t="inlineStr">
        <is>
          <t>Tipo Operación</t>
        </is>
      </c>
      <c r="F1" s="6" t="inlineStr">
        <is>
          <t>Fórmula Excel</t>
        </is>
      </c>
      <c r="G1" s="6" t="inlineStr">
        <is>
          <t>Descripción Operación</t>
        </is>
      </c>
      <c r="H1" s="6" t="inlineStr">
        <is>
          <t>Columnas</t>
        </is>
      </c>
      <c r="I1" s="6" t="inlineStr">
        <is>
          <t>Fuente</t>
        </is>
      </c>
    </row>
    <row r="2" ht="30" customHeight="1">
      <c r="A2" s="7" t="inlineStr">
        <is>
          <t>8</t>
        </is>
      </c>
      <c r="B2" s="7" t="inlineStr">
        <is>
          <t>1</t>
        </is>
      </c>
      <c r="C2" s="7" t="inlineStr"/>
      <c r="D2" s="7" t="inlineStr">
        <is>
          <t>CDMX Income</t>
        </is>
      </c>
      <c r="E2" s="7" t="inlineStr">
        <is>
          <t>SUMA</t>
        </is>
      </c>
      <c r="F2" s="8">
        <f>SUM(B9,B13,B16,B19)</f>
        <v/>
      </c>
      <c r="G2" s="7" t="inlineStr">
        <is>
          <t>Suma de todas las categorías de ingresos de Ciudad de México</t>
        </is>
      </c>
      <c r="H2" s="7" t="inlineStr">
        <is>
          <t>B,C,D,E,F,H,I,J,K,L</t>
        </is>
      </c>
      <c r="I2" s="7" t="inlineStr">
        <is>
          <t>Filas 9+13+16+19</t>
        </is>
      </c>
    </row>
    <row r="3" ht="30" customHeight="1">
      <c r="A3" s="9" t="inlineStr">
        <is>
          <t>9</t>
        </is>
      </c>
      <c r="B3" s="9" t="inlineStr">
        <is>
          <t>2</t>
        </is>
      </c>
      <c r="C3" s="9" t="inlineStr"/>
      <c r="D3" s="9" t="inlineStr">
        <is>
          <t>Membership</t>
        </is>
      </c>
      <c r="E3" s="9" t="inlineStr">
        <is>
          <t>SUMA</t>
        </is>
      </c>
      <c r="F3" s="10">
        <f>SUM(B10:B12)</f>
        <v/>
      </c>
      <c r="G3" s="9" t="inlineStr">
        <is>
          <t>Suma de todas las cuentas de membresías</t>
        </is>
      </c>
      <c r="H3" s="9" t="inlineStr">
        <is>
          <t>B,C,D,E,F,H,I,J,K,L</t>
        </is>
      </c>
      <c r="I3" s="9" t="inlineStr">
        <is>
          <t>Filas 10-12</t>
        </is>
      </c>
    </row>
    <row r="4" ht="35" customHeight="1">
      <c r="A4" s="11" t="inlineStr">
        <is>
          <t>10</t>
        </is>
      </c>
      <c r="B4" s="11" t="inlineStr">
        <is>
          <t>3</t>
        </is>
      </c>
      <c r="C4" s="11" t="inlineStr">
        <is>
          <t>401000000000000000001</t>
        </is>
      </c>
      <c r="D4" s="11" t="inlineStr">
        <is>
          <t>Cuotas Netas</t>
        </is>
      </c>
      <c r="E4" s="12" t="inlineStr">
        <is>
          <t>VLOOKUP + RESTA</t>
        </is>
      </c>
      <c r="F4" s="13">
        <f>ABS(VLOOKUP(A10,INDIRECT($M$1),$P$1,FALSE)-VLOOKUP(A10,INDIRECT($M$1),$Q$1,FALSE))</f>
        <v/>
      </c>
      <c r="G4" s="12" t="inlineStr">
        <is>
          <t>Busca saldo actual en hoja SALDOS del mes (columna P), resta saldo acumulado anterior (columna Q), obtiene valor absoluto</t>
        </is>
      </c>
      <c r="H4" s="11" t="inlineStr">
        <is>
          <t>B,C,D,E,F,H,I,J,K,L</t>
        </is>
      </c>
      <c r="I4" s="11" t="inlineStr">
        <is>
          <t>SALDOSXX!Col P-Q</t>
        </is>
      </c>
    </row>
    <row r="5" ht="35" customHeight="1">
      <c r="A5" s="11" t="inlineStr">
        <is>
          <t>11</t>
        </is>
      </c>
      <c r="B5" s="11" t="inlineStr">
        <is>
          <t>3</t>
        </is>
      </c>
      <c r="C5" s="11" t="inlineStr">
        <is>
          <t>402000000000000000001</t>
        </is>
      </c>
      <c r="D5" s="11" t="inlineStr">
        <is>
          <t>Ingresos socios nuevos</t>
        </is>
      </c>
      <c r="E5" s="12" t="inlineStr">
        <is>
          <t>VLOOKUP + RESTA</t>
        </is>
      </c>
      <c r="F5" s="13">
        <f>ABS(VLOOKUP(A11,INDIRECT($M$1),$P$1,FALSE)-VLOOKUP(A11,INDIRECT($M$1),$Q$1,FALSE))</f>
        <v/>
      </c>
      <c r="G5" s="12" t="inlineStr">
        <is>
          <t>Busca saldo actual en hoja SALDOS del mes, resta saldo acumulado anterior para obtener el período</t>
        </is>
      </c>
      <c r="H5" s="11" t="inlineStr">
        <is>
          <t>B,C,D,E,F,H,I,J,K,L</t>
        </is>
      </c>
      <c r="I5" s="11" t="inlineStr">
        <is>
          <t>SALDOSXX!Col P-Q</t>
        </is>
      </c>
    </row>
    <row r="6" ht="35" customHeight="1">
      <c r="A6" s="11" t="inlineStr">
        <is>
          <t>12</t>
        </is>
      </c>
      <c r="B6" s="11" t="inlineStr">
        <is>
          <t>3</t>
        </is>
      </c>
      <c r="C6" s="11" t="inlineStr">
        <is>
          <t>412000000000000000001</t>
        </is>
      </c>
      <c r="D6" s="11" t="inlineStr">
        <is>
          <t>Economex</t>
        </is>
      </c>
      <c r="E6" s="12" t="inlineStr">
        <is>
          <t>VLOOKUP + RESTA</t>
        </is>
      </c>
      <c r="F6" s="13">
        <f>ABS(VLOOKUP(A12,INDIRECT($M$1),$P$1,FALSE)-VLOOKUP(A12,INDIRECT($M$1),$Q$1,FALSE))</f>
        <v/>
      </c>
      <c r="G6" s="12" t="inlineStr">
        <is>
          <t>Ingresos por programa Economex. Busca en SALDOS y obtiene diferencia del período</t>
        </is>
      </c>
      <c r="H6" s="11" t="inlineStr">
        <is>
          <t>B,C,D,E,F,H,I,J,K,L</t>
        </is>
      </c>
      <c r="I6" s="11" t="inlineStr">
        <is>
          <t>SALDOSXX!Col P-Q</t>
        </is>
      </c>
    </row>
    <row r="7" ht="30" customHeight="1">
      <c r="A7" s="9" t="inlineStr">
        <is>
          <t>13</t>
        </is>
      </c>
      <c r="B7" s="9" t="inlineStr">
        <is>
          <t>2</t>
        </is>
      </c>
      <c r="C7" s="9" t="inlineStr"/>
      <c r="D7" s="9" t="inlineStr">
        <is>
          <t>Events</t>
        </is>
      </c>
      <c r="E7" s="9" t="inlineStr">
        <is>
          <t>SUMA</t>
        </is>
      </c>
      <c r="F7" s="10">
        <f>SUM(B14:B15)</f>
        <v/>
      </c>
      <c r="G7" s="9" t="inlineStr">
        <is>
          <t>Suma de ingresos por eventos y patrocinios relacionados</t>
        </is>
      </c>
      <c r="H7" s="9" t="inlineStr">
        <is>
          <t>B,C,D,E,F,H,I,J,K,L</t>
        </is>
      </c>
      <c r="I7" s="9" t="inlineStr">
        <is>
          <t>Filas 14-15</t>
        </is>
      </c>
    </row>
    <row r="8" ht="35" customHeight="1">
      <c r="A8" s="11" t="inlineStr">
        <is>
          <t>14</t>
        </is>
      </c>
      <c r="B8" s="11" t="inlineStr">
        <is>
          <t>3</t>
        </is>
      </c>
      <c r="C8" s="11" t="inlineStr">
        <is>
          <t>407000000000000000001</t>
        </is>
      </c>
      <c r="D8" s="11" t="inlineStr">
        <is>
          <t>Eventos</t>
        </is>
      </c>
      <c r="E8" s="12" t="inlineStr">
        <is>
          <t>VLOOKUP + RESTA</t>
        </is>
      </c>
      <c r="F8" s="13">
        <f>ABS(VLOOKUP(A14,INDIRECT($M$1),$P$1,FALSE)-VLOOKUP(A14,INDIRECT($M$1),$Q$1,FALSE))</f>
        <v/>
      </c>
      <c r="G8" s="12" t="inlineStr">
        <is>
          <t>Ingresos por eventos organizados (conferencias, seminarios, networking)</t>
        </is>
      </c>
      <c r="H8" s="11" t="inlineStr">
        <is>
          <t>B,C,D,E,F,H,I,J,K,L</t>
        </is>
      </c>
      <c r="I8" s="11" t="inlineStr">
        <is>
          <t>SALDOSXX!Col P-Q</t>
        </is>
      </c>
    </row>
    <row r="9" ht="35" customHeight="1">
      <c r="A9" s="11" t="inlineStr">
        <is>
          <t>15</t>
        </is>
      </c>
      <c r="B9" s="11" t="inlineStr">
        <is>
          <t>3</t>
        </is>
      </c>
      <c r="C9" s="11" t="inlineStr">
        <is>
          <t>408000000000000000001</t>
        </is>
      </c>
      <c r="D9" s="11" t="inlineStr">
        <is>
          <t>Patrocinios</t>
        </is>
      </c>
      <c r="E9" s="12" t="inlineStr">
        <is>
          <t>VLOOKUP + RESTA</t>
        </is>
      </c>
      <c r="F9" s="13">
        <f>ABS(VLOOKUP(A15,INDIRECT($M$1),$P$1,FALSE)-VLOOKUP(A15,INDIRECT($M$1),$Q$1,FALSE))</f>
        <v/>
      </c>
      <c r="G9" s="12" t="inlineStr">
        <is>
          <t>Ingresos por patrocinios de empresas en eventos generales</t>
        </is>
      </c>
      <c r="H9" s="11" t="inlineStr">
        <is>
          <t>B,C,D,E,F,H,I,J,K,L</t>
        </is>
      </c>
      <c r="I9" s="11" t="inlineStr">
        <is>
          <t>SALDOSXX!Col P-Q</t>
        </is>
      </c>
    </row>
    <row r="10" ht="30" customHeight="1">
      <c r="A10" s="9" t="inlineStr">
        <is>
          <t>16</t>
        </is>
      </c>
      <c r="B10" s="9" t="inlineStr">
        <is>
          <t>2</t>
        </is>
      </c>
      <c r="C10" s="9" t="inlineStr"/>
      <c r="D10" s="9" t="inlineStr">
        <is>
          <t>Committees</t>
        </is>
      </c>
      <c r="E10" s="9" t="inlineStr">
        <is>
          <t>SUMA</t>
        </is>
      </c>
      <c r="F10" s="10">
        <f>SUM(B17:B18)</f>
        <v/>
      </c>
      <c r="G10" s="9" t="inlineStr">
        <is>
          <t>Suma de ingresos generados por comités y sus patrocinios</t>
        </is>
      </c>
      <c r="H10" s="9" t="inlineStr">
        <is>
          <t>B,C,D,E,F,H,I,J,K,L</t>
        </is>
      </c>
      <c r="I10" s="9" t="inlineStr">
        <is>
          <t>Filas 17-18</t>
        </is>
      </c>
    </row>
    <row r="11" ht="35" customHeight="1">
      <c r="A11" s="11" t="inlineStr">
        <is>
          <t>17</t>
        </is>
      </c>
      <c r="B11" s="11" t="inlineStr">
        <is>
          <t>3</t>
        </is>
      </c>
      <c r="C11" s="11" t="inlineStr">
        <is>
          <t>417000000000000000001</t>
        </is>
      </c>
      <c r="D11" s="11" t="inlineStr">
        <is>
          <t>Committees</t>
        </is>
      </c>
      <c r="E11" s="12" t="inlineStr">
        <is>
          <t>VLOOKUP + RESTA</t>
        </is>
      </c>
      <c r="F11" s="13">
        <f>ABS(VLOOKUP(A17,INDIRECT($M$1),$P$1,FALSE)-VLOOKUP(A17,INDIRECT($M$1),$Q$1,FALSE))</f>
        <v/>
      </c>
      <c r="G11" s="12" t="inlineStr">
        <is>
          <t>Ingresos directos por actividades de comités temáticos</t>
        </is>
      </c>
      <c r="H11" s="11" t="inlineStr">
        <is>
          <t>B,C,D,E,F,H,I,J,K,L</t>
        </is>
      </c>
      <c r="I11" s="11" t="inlineStr">
        <is>
          <t>SALDOSXX!Col P-Q</t>
        </is>
      </c>
    </row>
    <row r="12" ht="35" customHeight="1">
      <c r="A12" s="11" t="inlineStr">
        <is>
          <t>18</t>
        </is>
      </c>
      <c r="B12" s="11" t="inlineStr">
        <is>
          <t>3</t>
        </is>
      </c>
      <c r="C12" s="11" t="inlineStr">
        <is>
          <t>403000000000000000001</t>
        </is>
      </c>
      <c r="D12" s="11" t="inlineStr">
        <is>
          <t>Patrocinios por Comités</t>
        </is>
      </c>
      <c r="E12" s="12" t="inlineStr">
        <is>
          <t>VLOOKUP + RESTA</t>
        </is>
      </c>
      <c r="F12" s="13">
        <f>ABS(VLOOKUP(A18,INDIRECT($M$1),$P$1,FALSE)-VLOOKUP(A18,INDIRECT($M$1),$Q$1,FALSE))</f>
        <v/>
      </c>
      <c r="G12" s="12" t="inlineStr">
        <is>
          <t>Patrocinios específicos para eventos o actividades de comités</t>
        </is>
      </c>
      <c r="H12" s="11" t="inlineStr">
        <is>
          <t>B,C,D,E,F,H,I,J,K,L</t>
        </is>
      </c>
      <c r="I12" s="11" t="inlineStr">
        <is>
          <t>SALDOSXX!Col P-Q</t>
        </is>
      </c>
    </row>
    <row r="13" ht="30" customHeight="1">
      <c r="A13" s="9" t="inlineStr">
        <is>
          <t>19</t>
        </is>
      </c>
      <c r="B13" s="9" t="inlineStr">
        <is>
          <t>2</t>
        </is>
      </c>
      <c r="C13" s="9" t="inlineStr"/>
      <c r="D13" s="9" t="inlineStr">
        <is>
          <t>Services to Members</t>
        </is>
      </c>
      <c r="E13" s="9" t="inlineStr">
        <is>
          <t>SUMA</t>
        </is>
      </c>
      <c r="F13" s="10">
        <f>SUM(B20:B24)</f>
        <v/>
      </c>
      <c r="G13" s="9" t="inlineStr">
        <is>
          <t>Suma de todos los servicios proporcionados a miembros</t>
        </is>
      </c>
      <c r="H13" s="9" t="inlineStr">
        <is>
          <t>B,C,D,E,F,H,I,J,K,L</t>
        </is>
      </c>
      <c r="I13" s="9" t="inlineStr">
        <is>
          <t>Filas 20-24</t>
        </is>
      </c>
    </row>
    <row r="14" ht="35" customHeight="1">
      <c r="A14" s="11" t="inlineStr">
        <is>
          <t>20</t>
        </is>
      </c>
      <c r="B14" s="11" t="inlineStr">
        <is>
          <t>3</t>
        </is>
      </c>
      <c r="C14" s="11" t="inlineStr">
        <is>
          <t>409000000000000000001</t>
        </is>
      </c>
      <c r="D14" s="11" t="inlineStr">
        <is>
          <t>Venta Publicaciones</t>
        </is>
      </c>
      <c r="E14" s="12" t="inlineStr">
        <is>
          <t>VLOOKUP + RESTA</t>
        </is>
      </c>
      <c r="F14" s="13">
        <f>ABS(VLOOKUP(A20,INDIRECT($M$1),$P$1,FALSE)-VLOOKUP(A20,INDIRECT($M$1),$Q$1,FALSE))</f>
        <v/>
      </c>
      <c r="G14" s="12" t="inlineStr">
        <is>
          <t>Ingresos por venta de publicaciones (revistas, estudios, reportes)</t>
        </is>
      </c>
      <c r="H14" s="11" t="inlineStr">
        <is>
          <t>B,C,D,E,F,H,I,J,K,L</t>
        </is>
      </c>
      <c r="I14" s="11" t="inlineStr">
        <is>
          <t>SALDOSXX!Col P-Q</t>
        </is>
      </c>
    </row>
    <row r="15" ht="35" customHeight="1">
      <c r="A15" s="11" t="inlineStr">
        <is>
          <t>21</t>
        </is>
      </c>
      <c r="B15" s="11" t="inlineStr">
        <is>
          <t>3</t>
        </is>
      </c>
      <c r="C15" s="11" t="inlineStr">
        <is>
          <t>406000000000000000001</t>
        </is>
      </c>
      <c r="D15" s="11" t="inlineStr">
        <is>
          <t>Bolsa de Trabajo</t>
        </is>
      </c>
      <c r="E15" s="12" t="inlineStr">
        <is>
          <t>VLOOKUP + RESTA</t>
        </is>
      </c>
      <c r="F15" s="13">
        <f>ABS(VLOOKUP(A21,INDIRECT($M$1),$P$1,FALSE)-VLOOKUP(A21,INDIRECT($M$1),$Q$1,FALSE))</f>
        <v/>
      </c>
      <c r="G15" s="12" t="inlineStr">
        <is>
          <t>Ingresos por servicio de bolsa de trabajo para miembros</t>
        </is>
      </c>
      <c r="H15" s="11" t="inlineStr">
        <is>
          <t>B,C,D,E,F,H,I,J,K,L</t>
        </is>
      </c>
      <c r="I15" s="11" t="inlineStr">
        <is>
          <t>SALDOSXX!Col P-Q</t>
        </is>
      </c>
    </row>
    <row r="16" ht="35" customHeight="1">
      <c r="A16" s="11" t="inlineStr">
        <is>
          <t>22</t>
        </is>
      </c>
      <c r="B16" s="11" t="inlineStr">
        <is>
          <t>3</t>
        </is>
      </c>
      <c r="C16" s="11" t="inlineStr">
        <is>
          <t>N/A</t>
        </is>
      </c>
      <c r="D16" s="11" t="inlineStr">
        <is>
          <t>Publicidad</t>
        </is>
      </c>
      <c r="E16" s="12" t="inlineStr">
        <is>
          <t>VALOR FIJO</t>
        </is>
      </c>
      <c r="F16" s="11" t="inlineStr">
        <is>
          <t>0</t>
        </is>
      </c>
      <c r="G16" s="12" t="inlineStr">
        <is>
          <t>Ingresos por publicidad en medios de la cámara (actualmente sin uso)</t>
        </is>
      </c>
      <c r="H16" s="11" t="inlineStr">
        <is>
          <t>B,C,D,E,F,H,I,J,K,L</t>
        </is>
      </c>
      <c r="I16" s="11" t="inlineStr">
        <is>
          <t>Valor manual</t>
        </is>
      </c>
    </row>
    <row r="17" ht="35" customHeight="1">
      <c r="A17" s="11" t="inlineStr">
        <is>
          <t>23</t>
        </is>
      </c>
      <c r="B17" s="11" t="inlineStr">
        <is>
          <t>3</t>
        </is>
      </c>
      <c r="C17" s="11" t="inlineStr">
        <is>
          <t>N/A</t>
        </is>
      </c>
      <c r="D17" s="11" t="inlineStr">
        <is>
          <t>Visas</t>
        </is>
      </c>
      <c r="E17" s="12" t="inlineStr">
        <is>
          <t>VALOR FIJO</t>
        </is>
      </c>
      <c r="F17" s="11" t="inlineStr">
        <is>
          <t>0</t>
        </is>
      </c>
      <c r="G17" s="12" t="inlineStr">
        <is>
          <t>Ingresos por servicios de asesoría en visas (actualmente sin uso)</t>
        </is>
      </c>
      <c r="H17" s="11" t="inlineStr">
        <is>
          <t>B,C,D,E,F,H,I,J,K,L</t>
        </is>
      </c>
      <c r="I17" s="11" t="inlineStr">
        <is>
          <t>Valor manual</t>
        </is>
      </c>
    </row>
    <row r="18" ht="35" customHeight="1">
      <c r="A18" s="11" t="inlineStr">
        <is>
          <t>24</t>
        </is>
      </c>
      <c r="B18" s="11" t="inlineStr">
        <is>
          <t>3</t>
        </is>
      </c>
      <c r="C18" s="11" t="inlineStr">
        <is>
          <t>N/A</t>
        </is>
      </c>
      <c r="D18" s="11" t="inlineStr">
        <is>
          <t>Información comercial</t>
        </is>
      </c>
      <c r="E18" s="12" t="inlineStr">
        <is>
          <t>VALOR FIJO</t>
        </is>
      </c>
      <c r="F18" s="11" t="inlineStr">
        <is>
          <t>0</t>
        </is>
      </c>
      <c r="G18" s="12" t="inlineStr">
        <is>
          <t>Ingresos por servicios de información comercial (actualmente sin uso)</t>
        </is>
      </c>
      <c r="H18" s="11" t="inlineStr">
        <is>
          <t>B,C,D,E,F,H,I,J,K,L</t>
        </is>
      </c>
      <c r="I18" s="11" t="inlineStr">
        <is>
          <t>Valor manual</t>
        </is>
      </c>
    </row>
    <row r="19" ht="30" customHeight="1">
      <c r="A19" s="7" t="inlineStr">
        <is>
          <t>25</t>
        </is>
      </c>
      <c r="B19" s="7" t="inlineStr">
        <is>
          <t>1</t>
        </is>
      </c>
      <c r="C19" s="7" t="inlineStr"/>
      <c r="D19" s="7" t="inlineStr">
        <is>
          <t>Guadalajara Income</t>
        </is>
      </c>
      <c r="E19" s="7" t="inlineStr">
        <is>
          <t>SUMA</t>
        </is>
      </c>
      <c r="F19" s="8">
        <f>SUM(B26:B26)</f>
        <v/>
      </c>
      <c r="G19" s="7" t="inlineStr">
        <is>
          <t>Ingresos totales del capítulo Guadalajara</t>
        </is>
      </c>
      <c r="H19" s="7" t="inlineStr">
        <is>
          <t>B,C,D,E,F,H,I,J,K,L</t>
        </is>
      </c>
      <c r="I19" s="7" t="inlineStr">
        <is>
          <t>Fila 26</t>
        </is>
      </c>
    </row>
    <row r="20" ht="35" customHeight="1">
      <c r="A20" s="11" t="inlineStr">
        <is>
          <t>26</t>
        </is>
      </c>
      <c r="B20" s="11" t="inlineStr">
        <is>
          <t>3</t>
        </is>
      </c>
      <c r="C20" s="11" t="inlineStr">
        <is>
          <t>450001000000000000002</t>
        </is>
      </c>
      <c r="D20" s="11" t="inlineStr">
        <is>
          <t>Guadalajara Income</t>
        </is>
      </c>
      <c r="E20" s="12" t="inlineStr">
        <is>
          <t>VLOOKUP + RESTA</t>
        </is>
      </c>
      <c r="F20" s="13">
        <f>ABS(VLOOKUP(A26,INDIRECT($M$1),$P$1,FALSE)-VLOOKUP(A26,INDIRECT($M$1),$Q$1,FALSE))</f>
        <v/>
      </c>
      <c r="G20" s="12" t="inlineStr">
        <is>
          <t>Ingresos consolidados del capítulo Guadalajara (membresías + eventos + otros)</t>
        </is>
      </c>
      <c r="H20" s="11" t="inlineStr">
        <is>
          <t>B,C,D,E,F,H,I,J,K,L</t>
        </is>
      </c>
      <c r="I20" s="11" t="inlineStr">
        <is>
          <t>SALDOSXX!Col P-Q</t>
        </is>
      </c>
    </row>
    <row r="21" ht="30" customHeight="1">
      <c r="A21" s="7" t="inlineStr">
        <is>
          <t>27</t>
        </is>
      </c>
      <c r="B21" s="7" t="inlineStr">
        <is>
          <t>1</t>
        </is>
      </c>
      <c r="C21" s="7" t="inlineStr"/>
      <c r="D21" s="7" t="inlineStr">
        <is>
          <t>Monterrey Income</t>
        </is>
      </c>
      <c r="E21" s="7" t="inlineStr">
        <is>
          <t>SUMA</t>
        </is>
      </c>
      <c r="F21" s="8">
        <f>SUM(B28:B28)</f>
        <v/>
      </c>
      <c r="G21" s="7" t="inlineStr">
        <is>
          <t>Ingresos totales del capítulo Monterrey</t>
        </is>
      </c>
      <c r="H21" s="7" t="inlineStr">
        <is>
          <t>B,C,D,E,F,H,I,J,K,L</t>
        </is>
      </c>
      <c r="I21" s="7" t="inlineStr">
        <is>
          <t>Fila 28</t>
        </is>
      </c>
    </row>
    <row r="22" ht="35" customHeight="1">
      <c r="A22" s="11" t="inlineStr">
        <is>
          <t>28</t>
        </is>
      </c>
      <c r="B22" s="11" t="inlineStr">
        <is>
          <t>3</t>
        </is>
      </c>
      <c r="C22" s="11" t="inlineStr">
        <is>
          <t>450002000000000000002</t>
        </is>
      </c>
      <c r="D22" s="11" t="inlineStr">
        <is>
          <t>Monterrey Income</t>
        </is>
      </c>
      <c r="E22" s="12" t="inlineStr">
        <is>
          <t>VLOOKUP + RESTA</t>
        </is>
      </c>
      <c r="F22" s="13">
        <f>ABS(VLOOKUP(A28,INDIRECT($M$1),$P$1,FALSE)-VLOOKUP(A28,INDIRECT($M$1),$Q$1,FALSE))</f>
        <v/>
      </c>
      <c r="G22" s="12" t="inlineStr">
        <is>
          <t>Ingresos consolidados del capítulo Monterrey (membresías + eventos + otros)</t>
        </is>
      </c>
      <c r="H22" s="11" t="inlineStr">
        <is>
          <t>B,C,D,E,F,H,I,J,K,L</t>
        </is>
      </c>
      <c r="I22" s="11" t="inlineStr">
        <is>
          <t>SALDOSXX!Col P-Q</t>
        </is>
      </c>
    </row>
    <row r="23" ht="30" customHeight="1">
      <c r="A23" s="14" t="inlineStr">
        <is>
          <t>30</t>
        </is>
      </c>
      <c r="B23" s="14" t="inlineStr">
        <is>
          <t>0</t>
        </is>
      </c>
      <c r="C23" s="14" t="inlineStr"/>
      <c r="D23" s="14" t="inlineStr">
        <is>
          <t>CONSOLIDATED INCOME</t>
        </is>
      </c>
      <c r="E23" s="14" t="inlineStr">
        <is>
          <t>SUMA DIRECTA</t>
        </is>
      </c>
      <c r="F23" s="8">
        <f>+B8+B25+B27</f>
        <v/>
      </c>
      <c r="G23" s="14" t="inlineStr">
        <is>
          <t>INGRESO TOTAL CONSOLIDADO: Suma de CDMX + Guadalajara + Monterrey</t>
        </is>
      </c>
      <c r="H23" s="14" t="inlineStr">
        <is>
          <t>B,C,D,E,F,H,I,J,K,L</t>
        </is>
      </c>
      <c r="I23" s="14" t="inlineStr">
        <is>
          <t>Filas 8+25+27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35" customWidth="1" min="4" max="4"/>
    <col width="18" customWidth="1" min="5" max="5"/>
    <col width="55" customWidth="1" min="6" max="6"/>
    <col width="45" customWidth="1" min="7" max="7"/>
    <col width="12" customWidth="1" min="8" max="8"/>
    <col width="20" customWidth="1" min="9" max="9"/>
  </cols>
  <sheetData>
    <row r="1">
      <c r="A1" s="6" t="inlineStr">
        <is>
          <t>Fila</t>
        </is>
      </c>
      <c r="B1" s="6" t="inlineStr">
        <is>
          <t>Nivel</t>
        </is>
      </c>
      <c r="C1" s="6" t="inlineStr">
        <is>
          <t>Cuenta</t>
        </is>
      </c>
      <c r="D1" s="6" t="inlineStr">
        <is>
          <t>Nombre Completo</t>
        </is>
      </c>
      <c r="E1" s="6" t="inlineStr">
        <is>
          <t>Tipo Operación</t>
        </is>
      </c>
      <c r="F1" s="6" t="inlineStr">
        <is>
          <t>Fórmula Excel</t>
        </is>
      </c>
      <c r="G1" s="6" t="inlineStr">
        <is>
          <t>Descripción Operación</t>
        </is>
      </c>
      <c r="H1" s="6" t="inlineStr">
        <is>
          <t>Columnas</t>
        </is>
      </c>
      <c r="I1" s="6" t="inlineStr">
        <is>
          <t>Fuente</t>
        </is>
      </c>
    </row>
    <row r="2" ht="30" customHeight="1">
      <c r="A2" s="7" t="inlineStr">
        <is>
          <t>31</t>
        </is>
      </c>
      <c r="B2" s="7" t="inlineStr">
        <is>
          <t>1</t>
        </is>
      </c>
      <c r="C2" s="7" t="inlineStr"/>
      <c r="D2" s="7" t="inlineStr">
        <is>
          <t>CDMX Expense</t>
        </is>
      </c>
      <c r="E2" s="7" t="inlineStr">
        <is>
          <t>SUMA</t>
        </is>
      </c>
      <c r="F2" s="8">
        <f>SUM(B32,B35,B37,B40,B42,B56,B58)</f>
        <v/>
      </c>
      <c r="G2" s="7" t="inlineStr">
        <is>
          <t>Suma de todas las categorías de gastos de Ciudad de México</t>
        </is>
      </c>
      <c r="H2" s="7" t="inlineStr">
        <is>
          <t>B,C,D,E,F,H,I,J,K,L</t>
        </is>
      </c>
      <c r="I2" s="7" t="inlineStr">
        <is>
          <t>32+35+37+40+42+56+58</t>
        </is>
      </c>
    </row>
    <row r="3" ht="30" customHeight="1">
      <c r="A3" s="9" t="inlineStr">
        <is>
          <t>32</t>
        </is>
      </c>
      <c r="B3" s="9" t="inlineStr">
        <is>
          <t>2</t>
        </is>
      </c>
      <c r="C3" s="9" t="inlineStr"/>
      <c r="D3" s="9" t="inlineStr">
        <is>
          <t>Membership</t>
        </is>
      </c>
      <c r="E3" s="9" t="inlineStr">
        <is>
          <t>SUMA</t>
        </is>
      </c>
      <c r="F3" s="10">
        <f>SUM(B33:B34)</f>
        <v/>
      </c>
      <c r="G3" s="9" t="inlineStr">
        <is>
          <t>Gastos relacionados con membresías y promoción</t>
        </is>
      </c>
      <c r="H3" s="9" t="inlineStr">
        <is>
          <t>B,C,D,E,F,H,I,J,K,L</t>
        </is>
      </c>
      <c r="I3" s="9" t="inlineStr">
        <is>
          <t>Filas 33-34</t>
        </is>
      </c>
    </row>
    <row r="4" ht="35" customHeight="1">
      <c r="A4" s="11" t="inlineStr">
        <is>
          <t>33</t>
        </is>
      </c>
      <c r="B4" s="11" t="inlineStr">
        <is>
          <t>3</t>
        </is>
      </c>
      <c r="C4" s="11" t="inlineStr">
        <is>
          <t>N/A</t>
        </is>
      </c>
      <c r="D4" s="11" t="inlineStr">
        <is>
          <t>Portafolio Económico</t>
        </is>
      </c>
      <c r="E4" s="12" t="inlineStr">
        <is>
          <t>VALOR FIJO</t>
        </is>
      </c>
      <c r="F4" s="11" t="inlineStr">
        <is>
          <t>0</t>
        </is>
      </c>
      <c r="G4" s="12" t="inlineStr">
        <is>
          <t>Gastos del portafolio económico (sin cuenta asignada actualmente)</t>
        </is>
      </c>
      <c r="H4" s="11" t="inlineStr">
        <is>
          <t>B,C,D,E,F,H,I,J,K,L</t>
        </is>
      </c>
      <c r="I4" s="11" t="inlineStr">
        <is>
          <t>Valor manual</t>
        </is>
      </c>
    </row>
    <row r="5" ht="35" customHeight="1">
      <c r="A5" s="11" t="inlineStr">
        <is>
          <t>34</t>
        </is>
      </c>
      <c r="B5" s="11" t="inlineStr">
        <is>
          <t>3</t>
        </is>
      </c>
      <c r="C5" s="11" t="inlineStr">
        <is>
          <t>705000000000000000001</t>
        </is>
      </c>
      <c r="D5" s="11" t="inlineStr">
        <is>
          <t>Gastos Promoción</t>
        </is>
      </c>
      <c r="E5" s="12" t="inlineStr">
        <is>
          <t>VLOOKUP + RESTA</t>
        </is>
      </c>
      <c r="F5" s="13">
        <f>ABS(VLOOKUP(A34,INDIRECT($M$1),$P$1,FALSE)-VLOOKUP(A34,INDIRECT($M$1),$Q$1,FALSE))</f>
        <v/>
      </c>
      <c r="G5" s="12" t="inlineStr">
        <is>
          <t>Gastos de promoción y marketing para captación de nuevos miembros</t>
        </is>
      </c>
      <c r="H5" s="11" t="inlineStr">
        <is>
          <t>B,C,D,E,F,H,I,J,K,L</t>
        </is>
      </c>
      <c r="I5" s="11" t="inlineStr">
        <is>
          <t>SALDOSXX!Col P-Q</t>
        </is>
      </c>
    </row>
    <row r="6" ht="30" customHeight="1">
      <c r="A6" s="9" t="inlineStr">
        <is>
          <t>35</t>
        </is>
      </c>
      <c r="B6" s="9" t="inlineStr">
        <is>
          <t>2</t>
        </is>
      </c>
      <c r="C6" s="9" t="inlineStr"/>
      <c r="D6" s="9" t="inlineStr">
        <is>
          <t>Events</t>
        </is>
      </c>
      <c r="E6" s="9" t="inlineStr">
        <is>
          <t>SUMA</t>
        </is>
      </c>
      <c r="F6" s="10">
        <f>SUM(B36:B36)</f>
        <v/>
      </c>
      <c r="G6" s="9" t="inlineStr">
        <is>
          <t>Costos directos de eventos</t>
        </is>
      </c>
      <c r="H6" s="9" t="inlineStr">
        <is>
          <t>B,C,D,E,F,H,I,J,K,L</t>
        </is>
      </c>
      <c r="I6" s="9" t="inlineStr">
        <is>
          <t>Fila 36</t>
        </is>
      </c>
    </row>
    <row r="7" ht="35" customHeight="1">
      <c r="A7" s="11" t="inlineStr">
        <is>
          <t>36</t>
        </is>
      </c>
      <c r="B7" s="11" t="inlineStr">
        <is>
          <t>3</t>
        </is>
      </c>
      <c r="C7" s="11" t="inlineStr">
        <is>
          <t>701000000000000000001</t>
        </is>
      </c>
      <c r="D7" s="11" t="inlineStr">
        <is>
          <t>Costo Eventos</t>
        </is>
      </c>
      <c r="E7" s="12" t="inlineStr">
        <is>
          <t>VLOOKUP + RESTA</t>
        </is>
      </c>
      <c r="F7" s="13">
        <f>VLOOKUP(A36,INDIRECT($M$1),$P$1,FALSE)-VLOOKUP(A36,INDIRECT($M$1),$Q$1,FALSE)</f>
        <v/>
      </c>
      <c r="G7" s="12" t="inlineStr">
        <is>
          <t>Costos operativos de eventos (venue, catering, logística, materiales)</t>
        </is>
      </c>
      <c r="H7" s="11" t="inlineStr">
        <is>
          <t>B,C,D,E,F,H,I,J,K,L</t>
        </is>
      </c>
      <c r="I7" s="11" t="inlineStr">
        <is>
          <t>SALDOSXX!Col P-Q</t>
        </is>
      </c>
    </row>
    <row r="8" ht="30" customHeight="1">
      <c r="A8" s="9" t="inlineStr">
        <is>
          <t>37</t>
        </is>
      </c>
      <c r="B8" s="9" t="inlineStr">
        <is>
          <t>2</t>
        </is>
      </c>
      <c r="C8" s="9" t="inlineStr"/>
      <c r="D8" s="9" t="inlineStr">
        <is>
          <t>Committees</t>
        </is>
      </c>
      <c r="E8" s="9" t="inlineStr">
        <is>
          <t>SUMA</t>
        </is>
      </c>
      <c r="F8" s="10">
        <f>SUM(B38:B39)</f>
        <v/>
      </c>
      <c r="G8" s="9" t="inlineStr">
        <is>
          <t>Costos de operación de comités</t>
        </is>
      </c>
      <c r="H8" s="9" t="inlineStr">
        <is>
          <t>B,C,D,E,F,H,I,J,K,L</t>
        </is>
      </c>
      <c r="I8" s="9" t="inlineStr">
        <is>
          <t>Filas 38-39</t>
        </is>
      </c>
    </row>
    <row r="9" ht="35" customHeight="1">
      <c r="A9" s="11" t="inlineStr">
        <is>
          <t>38</t>
        </is>
      </c>
      <c r="B9" s="11" t="inlineStr">
        <is>
          <t>3</t>
        </is>
      </c>
      <c r="C9" s="11" t="inlineStr">
        <is>
          <t>702000000000000000001</t>
        </is>
      </c>
      <c r="D9" s="11" t="inlineStr">
        <is>
          <t>Servicio a la membresía</t>
        </is>
      </c>
      <c r="E9" s="12" t="inlineStr">
        <is>
          <t>VLOOKUP + RESTA</t>
        </is>
      </c>
      <c r="F9" s="13">
        <f>VLOOKUP(A38,INDIRECT($M$1),$P$1,FALSE)-VLOOKUP(A38,INDIRECT($M$1),$Q$1,FALSE)</f>
        <v/>
      </c>
      <c r="G9" s="12" t="inlineStr">
        <is>
          <t>Costos de servicios proporcionados a miembros a través de comités</t>
        </is>
      </c>
      <c r="H9" s="11" t="inlineStr">
        <is>
          <t>B,C,D,E,F,H,I,J,K,L</t>
        </is>
      </c>
      <c r="I9" s="11" t="inlineStr">
        <is>
          <t>SALDOSXX!Col P-Q</t>
        </is>
      </c>
    </row>
    <row r="10" ht="35" customHeight="1">
      <c r="A10" s="11" t="inlineStr">
        <is>
          <t>39</t>
        </is>
      </c>
      <c r="B10" s="11" t="inlineStr">
        <is>
          <t>3</t>
        </is>
      </c>
      <c r="C10" s="11" t="inlineStr">
        <is>
          <t>704000000000000000001</t>
        </is>
      </c>
      <c r="D10" s="11" t="inlineStr">
        <is>
          <t>Portafolio Económico</t>
        </is>
      </c>
      <c r="E10" s="12" t="inlineStr">
        <is>
          <t>VLOOKUP + RESTA</t>
        </is>
      </c>
      <c r="F10" s="13">
        <f>ABS(VLOOKUP(A39,INDIRECT($M$1),$P$1,FALSE)-VLOOKUP(A39,INDIRECT($M$1),$Q$1,FALSE))</f>
        <v/>
      </c>
      <c r="G10" s="12" t="inlineStr">
        <is>
          <t>Costos del comité de portafolio económico (análisis, estudios, reuniones)</t>
        </is>
      </c>
      <c r="H10" s="11" t="inlineStr">
        <is>
          <t>B,C,D,E,F,H,I,J,K,L</t>
        </is>
      </c>
      <c r="I10" s="11" t="inlineStr">
        <is>
          <t>SALDOSXX!Col P-Q</t>
        </is>
      </c>
    </row>
    <row r="11" ht="30" customHeight="1">
      <c r="A11" s="9" t="inlineStr">
        <is>
          <t>40</t>
        </is>
      </c>
      <c r="B11" s="9" t="inlineStr">
        <is>
          <t>2</t>
        </is>
      </c>
      <c r="C11" s="9" t="inlineStr"/>
      <c r="D11" s="9" t="inlineStr">
        <is>
          <t>Services to Members</t>
        </is>
      </c>
      <c r="E11" s="9" t="inlineStr">
        <is>
          <t>SUMA</t>
        </is>
      </c>
      <c r="F11" s="10">
        <f>SUM(B41:B41)</f>
        <v/>
      </c>
      <c r="G11" s="9" t="inlineStr">
        <is>
          <t>Costo directo de servicios a miembros</t>
        </is>
      </c>
      <c r="H11" s="9" t="inlineStr">
        <is>
          <t>B,C,D,E,F,H,I,J,K,L</t>
        </is>
      </c>
      <c r="I11" s="9" t="inlineStr">
        <is>
          <t>Fila 41</t>
        </is>
      </c>
    </row>
    <row r="12" ht="35" customHeight="1">
      <c r="A12" s="11" t="inlineStr">
        <is>
          <t>41</t>
        </is>
      </c>
      <c r="B12" s="11" t="inlineStr">
        <is>
          <t>3</t>
        </is>
      </c>
      <c r="C12" s="11" t="inlineStr">
        <is>
          <t>601000000000000000001</t>
        </is>
      </c>
      <c r="D12" s="11" t="inlineStr">
        <is>
          <t>Costo directo de publicaciones</t>
        </is>
      </c>
      <c r="E12" s="12" t="inlineStr">
        <is>
          <t>VLOOKUP + RESTA</t>
        </is>
      </c>
      <c r="F12" s="13">
        <f>VLOOKUP(A41,INDIRECT($M$1),$P$1,FALSE)-VLOOKUP(A41,INDIRECT($M$1),$Q$1,FALSE)</f>
        <v/>
      </c>
      <c r="G12" s="12" t="inlineStr">
        <is>
          <t>Costos de producción y distribución de publicaciones (impresión, diseño, envío)</t>
        </is>
      </c>
      <c r="H12" s="11" t="inlineStr">
        <is>
          <t>B,C,D,E,F,H,I,J,K,L</t>
        </is>
      </c>
      <c r="I12" s="11" t="inlineStr">
        <is>
          <t>SALDOSXX!Col P-Q</t>
        </is>
      </c>
    </row>
    <row r="13" ht="30" customHeight="1">
      <c r="A13" s="9" t="inlineStr">
        <is>
          <t>42</t>
        </is>
      </c>
      <c r="B13" s="9" t="inlineStr">
        <is>
          <t>2</t>
        </is>
      </c>
      <c r="C13" s="9" t="inlineStr"/>
      <c r="D13" s="9" t="inlineStr">
        <is>
          <t>Gastos administrativos</t>
        </is>
      </c>
      <c r="E13" s="9" t="inlineStr">
        <is>
          <t>SUMA</t>
        </is>
      </c>
      <c r="F13" s="10">
        <f>SUM(B43:B55)</f>
        <v/>
      </c>
      <c r="G13" s="9" t="inlineStr">
        <is>
          <t>Suma de gastos administrativos de todos los departamentos (13 departamentos)</t>
        </is>
      </c>
      <c r="H13" s="9" t="inlineStr">
        <is>
          <t>B,C,D,E,F,H,I,J,K,L</t>
        </is>
      </c>
      <c r="I13" s="9" t="inlineStr">
        <is>
          <t>Filas 43-55</t>
        </is>
      </c>
    </row>
    <row r="14" ht="35" customHeight="1">
      <c r="A14" s="11" t="inlineStr">
        <is>
          <t>43</t>
        </is>
      </c>
      <c r="B14" s="11" t="inlineStr">
        <is>
          <t>3</t>
        </is>
      </c>
      <c r="C14" s="11" t="inlineStr">
        <is>
          <t>801001000000000000002</t>
        </is>
      </c>
      <c r="D14" s="11" t="inlineStr">
        <is>
          <t>Desarrollo de Negocios</t>
        </is>
      </c>
      <c r="E14" s="12" t="inlineStr">
        <is>
          <t>VLOOKUP + RESTA</t>
        </is>
      </c>
      <c r="F14" s="13">
        <f>ABS(VLOOKUP(A43,INDIRECT($M$1),$P$1,FALSE)-VLOOKUP(A43,INDIRECT($M$1),$Q$1,FALSE))</f>
        <v/>
      </c>
      <c r="G14" s="12" t="inlineStr">
        <is>
          <t>Gastos del depto de Desarrollo de Negocios (viajes, materiales, software)</t>
        </is>
      </c>
      <c r="H14" s="11" t="inlineStr">
        <is>
          <t>B,C,D,E,F,H,I,J,K,L</t>
        </is>
      </c>
      <c r="I14" s="11" t="inlineStr">
        <is>
          <t>SALDOSXX!Col P-Q</t>
        </is>
      </c>
    </row>
    <row r="15" ht="35" customHeight="1">
      <c r="A15" s="11" t="inlineStr">
        <is>
          <t>44</t>
        </is>
      </c>
      <c r="B15" s="11" t="inlineStr">
        <is>
          <t>3</t>
        </is>
      </c>
      <c r="C15" s="11" t="inlineStr">
        <is>
          <t>801002000000000000002</t>
        </is>
      </c>
      <c r="D15" s="11" t="inlineStr">
        <is>
          <t>Relaciones Externas</t>
        </is>
      </c>
      <c r="E15" s="12" t="inlineStr">
        <is>
          <t>VLOOKUP + RESTA</t>
        </is>
      </c>
      <c r="F15" s="13">
        <f>ABS(VLOOKUP(A44,INDIRECT($M$1),$P$1,FALSE)-VLOOKUP(A44,INDIRECT($M$1),$Q$1,FALSE))</f>
        <v/>
      </c>
      <c r="G15" s="12" t="inlineStr">
        <is>
          <t>Gastos del depto de Relaciones Externas (representación, networking internacional)</t>
        </is>
      </c>
      <c r="H15" s="11" t="inlineStr">
        <is>
          <t>B,C,D,E,F,H,I,J,K,L</t>
        </is>
      </c>
      <c r="I15" s="11" t="inlineStr">
        <is>
          <t>SALDOSXX!Col P-Q</t>
        </is>
      </c>
    </row>
    <row r="16" ht="35" customHeight="1">
      <c r="A16" s="11" t="inlineStr">
        <is>
          <t>45</t>
        </is>
      </c>
      <c r="B16" s="11" t="inlineStr">
        <is>
          <t>3</t>
        </is>
      </c>
      <c r="C16" s="11" t="inlineStr">
        <is>
          <t>801003000000000000002</t>
        </is>
      </c>
      <c r="D16" s="11" t="inlineStr">
        <is>
          <t>Servicios a la membresía</t>
        </is>
      </c>
      <c r="E16" s="12" t="inlineStr">
        <is>
          <t>VLOOKUP + RESTA</t>
        </is>
      </c>
      <c r="F16" s="13">
        <f>ABS(VLOOKUP(A45,INDIRECT($M$1),$P$1,FALSE)-VLOOKUP(A45,INDIRECT($M$1),$Q$1,FALSE))</f>
        <v/>
      </c>
      <c r="G16" s="12" t="inlineStr">
        <is>
          <t>Gastos del depto de Servicios (atención a miembros, CRM, capacitaciones)</t>
        </is>
      </c>
      <c r="H16" s="11" t="inlineStr">
        <is>
          <t>B,C,D,E,F,H,I,J,K,L</t>
        </is>
      </c>
      <c r="I16" s="11" t="inlineStr">
        <is>
          <t>SALDOSXX!Col P-Q</t>
        </is>
      </c>
    </row>
    <row r="17" ht="35" customHeight="1">
      <c r="A17" s="11" t="inlineStr">
        <is>
          <t>46</t>
        </is>
      </c>
      <c r="B17" s="11" t="inlineStr">
        <is>
          <t>3</t>
        </is>
      </c>
      <c r="C17" s="11" t="inlineStr">
        <is>
          <t>801004000000000000002</t>
        </is>
      </c>
      <c r="D17" s="11" t="inlineStr">
        <is>
          <t>Vicepresidencia</t>
        </is>
      </c>
      <c r="E17" s="12" t="inlineStr">
        <is>
          <t>VLOOKUP + RESTA</t>
        </is>
      </c>
      <c r="F17" s="13">
        <f>ABS(VLOOKUP(A46,INDIRECT($M$1),$P$1,FALSE)-VLOOKUP(A46,INDIRECT($M$1),$Q$1,FALSE))</f>
        <v/>
      </c>
      <c r="G17" s="12" t="inlineStr">
        <is>
          <t>Gastos de la Vicepresidencia (representación, consejo, gobernanza)</t>
        </is>
      </c>
      <c r="H17" s="11" t="inlineStr">
        <is>
          <t>B,C,D,E,F,H,I,J,K,L</t>
        </is>
      </c>
      <c r="I17" s="11" t="inlineStr">
        <is>
          <t>SALDOSXX!Col P-Q</t>
        </is>
      </c>
    </row>
    <row r="18" ht="35" customHeight="1">
      <c r="A18" s="11" t="inlineStr">
        <is>
          <t>47</t>
        </is>
      </c>
      <c r="B18" s="11" t="inlineStr">
        <is>
          <t>3</t>
        </is>
      </c>
      <c r="C18" s="11" t="inlineStr">
        <is>
          <t>801005000000000000002</t>
        </is>
      </c>
      <c r="D18" s="11" t="inlineStr">
        <is>
          <t>Finanzas</t>
        </is>
      </c>
      <c r="E18" s="12" t="inlineStr">
        <is>
          <t>VLOOKUP + RESTA</t>
        </is>
      </c>
      <c r="F18" s="13">
        <f>ABS(VLOOKUP(A47,INDIRECT($M$1),$P$1,FALSE)-VLOOKUP(A47,INDIRECT($M$1),$Q$1,FALSE))</f>
        <v/>
      </c>
      <c r="G18" s="12" t="inlineStr">
        <is>
          <t>Gastos del depto de Finanzas (auditoría, software contable, asesoría fiscal)</t>
        </is>
      </c>
      <c r="H18" s="11" t="inlineStr">
        <is>
          <t>B,C,D,E,F,H,I,J,K,L</t>
        </is>
      </c>
      <c r="I18" s="11" t="inlineStr">
        <is>
          <t>SALDOSXX!Col P-Q</t>
        </is>
      </c>
    </row>
    <row r="19" ht="35" customHeight="1">
      <c r="A19" s="11" t="inlineStr">
        <is>
          <t>48</t>
        </is>
      </c>
      <c r="B19" s="11" t="inlineStr">
        <is>
          <t>3</t>
        </is>
      </c>
      <c r="C19" s="11" t="inlineStr">
        <is>
          <t>801006000000000000002</t>
        </is>
      </c>
      <c r="D19" s="11" t="inlineStr">
        <is>
          <t>Administración</t>
        </is>
      </c>
      <c r="E19" s="12" t="inlineStr">
        <is>
          <t>VLOOKUP + RESTA</t>
        </is>
      </c>
      <c r="F19" s="13">
        <f>ABS(VLOOKUP(A48,INDIRECT($M$1),$P$1,FALSE)-VLOOKUP(A48,INDIRECT($M$1),$Q$1,FALSE))</f>
        <v/>
      </c>
      <c r="G19" s="12" t="inlineStr">
        <is>
          <t>Gastos administrativos generales (suministros, seguros, legal, papelería)</t>
        </is>
      </c>
      <c r="H19" s="11" t="inlineStr">
        <is>
          <t>B,C,D,E,F,H,I,J,K,L</t>
        </is>
      </c>
      <c r="I19" s="11" t="inlineStr">
        <is>
          <t>SALDOSXX!Col P-Q</t>
        </is>
      </c>
    </row>
    <row r="20" ht="35" customHeight="1">
      <c r="A20" s="11" t="inlineStr">
        <is>
          <t>49</t>
        </is>
      </c>
      <c r="B20" s="11" t="inlineStr">
        <is>
          <t>3</t>
        </is>
      </c>
      <c r="C20" s="11" t="inlineStr">
        <is>
          <t>801007000000000000002</t>
        </is>
      </c>
      <c r="D20" s="11" t="inlineStr">
        <is>
          <t>Sistemas</t>
        </is>
      </c>
      <c r="E20" s="12" t="inlineStr">
        <is>
          <t>VLOOKUP + RESTA</t>
        </is>
      </c>
      <c r="F20" s="13">
        <f>ABS(VLOOKUP(A49,INDIRECT($M$1),$P$1,FALSE)-VLOOKUP(A49,INDIRECT($M$1),$Q$1,FALSE))</f>
        <v/>
      </c>
      <c r="G20" s="12" t="inlineStr">
        <is>
          <t>Gastos de TI (licencias software, mantenimiento, desarrollo, infraestructura)</t>
        </is>
      </c>
      <c r="H20" s="11" t="inlineStr">
        <is>
          <t>B,C,D,E,F,H,I,J,K,L</t>
        </is>
      </c>
      <c r="I20" s="11" t="inlineStr">
        <is>
          <t>SALDOSXX!Col P-Q</t>
        </is>
      </c>
    </row>
    <row r="21" ht="35" customHeight="1">
      <c r="A21" s="11" t="inlineStr">
        <is>
          <t>50</t>
        </is>
      </c>
      <c r="B21" s="11" t="inlineStr">
        <is>
          <t>3</t>
        </is>
      </c>
      <c r="C21" s="11" t="inlineStr">
        <is>
          <t>801008000000000000002</t>
        </is>
      </c>
      <c r="D21" s="11" t="inlineStr">
        <is>
          <t>Empleos</t>
        </is>
      </c>
      <c r="E21" s="12" t="inlineStr">
        <is>
          <t>VLOOKUP + RESTA</t>
        </is>
      </c>
      <c r="F21" s="13">
        <f>ABS(VLOOKUP(A50,INDIRECT($M$1),$P$1,FALSE)-VLOOKUP(A50,INDIRECT($M$1),$Q$1,FALSE))</f>
        <v/>
      </c>
      <c r="G21" s="12" t="inlineStr">
        <is>
          <t>Gastos del programa de bolsa de trabajo (plataforma, promoción)</t>
        </is>
      </c>
      <c r="H21" s="11" t="inlineStr">
        <is>
          <t>B,C,D,E,F,H,I,J,K,L</t>
        </is>
      </c>
      <c r="I21" s="11" t="inlineStr">
        <is>
          <t>SALDOSXX!Col P-Q</t>
        </is>
      </c>
    </row>
    <row r="22" ht="35" customHeight="1">
      <c r="A22" s="11" t="inlineStr">
        <is>
          <t>51</t>
        </is>
      </c>
      <c r="B22" s="11" t="inlineStr">
        <is>
          <t>3</t>
        </is>
      </c>
      <c r="C22" s="11" t="inlineStr">
        <is>
          <t>801009000000000000002</t>
        </is>
      </c>
      <c r="D22" s="11" t="inlineStr">
        <is>
          <t>Servicios Generales (Almacén)</t>
        </is>
      </c>
      <c r="E22" s="12" t="inlineStr">
        <is>
          <t>VLOOKUP + RESTA</t>
        </is>
      </c>
      <c r="F22" s="13">
        <f>ABS(VLOOKUP(A51,INDIRECT($M$1),$P$1,FALSE)-VLOOKUP(A51,INDIRECT($M$1),$Q$1,FALSE))</f>
        <v/>
      </c>
      <c r="G22" s="12" t="inlineStr">
        <is>
          <t>Gastos de servicios generales y almacén (limpieza, seguridad, mantenimiento)</t>
        </is>
      </c>
      <c r="H22" s="11" t="inlineStr">
        <is>
          <t>B,C,D,E,F,H,I,J,K,L</t>
        </is>
      </c>
      <c r="I22" s="11" t="inlineStr">
        <is>
          <t>SALDOSXX!Col P-Q</t>
        </is>
      </c>
    </row>
    <row r="23" ht="35" customHeight="1">
      <c r="A23" s="11" t="inlineStr">
        <is>
          <t>52</t>
        </is>
      </c>
      <c r="B23" s="11" t="inlineStr">
        <is>
          <t>3</t>
        </is>
      </c>
      <c r="C23" s="11" t="inlineStr">
        <is>
          <t>801010000000000000002</t>
        </is>
      </c>
      <c r="D23" s="11" t="inlineStr">
        <is>
          <t>Eventos</t>
        </is>
      </c>
      <c r="E23" s="12" t="inlineStr">
        <is>
          <t>VLOOKUP + RESTA</t>
        </is>
      </c>
      <c r="F23" s="13">
        <f>ABS(VLOOKUP(A52,INDIRECT($M$1),$P$1,FALSE)-VLOOKUP(A52,INDIRECT($M$1),$Q$1,FALSE))</f>
        <v/>
      </c>
      <c r="G23" s="12" t="inlineStr">
        <is>
          <t>Gastos administrativos del depto de eventos (no incluye costos directos)</t>
        </is>
      </c>
      <c r="H23" s="11" t="inlineStr">
        <is>
          <t>B,C,D,E,F,H,I,J,K,L</t>
        </is>
      </c>
      <c r="I23" s="11" t="inlineStr">
        <is>
          <t>SALDOSXX!Col P-Q</t>
        </is>
      </c>
    </row>
    <row r="24" ht="35" customHeight="1">
      <c r="A24" s="11" t="inlineStr">
        <is>
          <t>53</t>
        </is>
      </c>
      <c r="B24" s="11" t="inlineStr">
        <is>
          <t>3</t>
        </is>
      </c>
      <c r="C24" s="11" t="inlineStr">
        <is>
          <t>801011000000000000002</t>
        </is>
      </c>
      <c r="D24" s="11" t="inlineStr">
        <is>
          <t>Comités</t>
        </is>
      </c>
      <c r="E24" s="12" t="inlineStr">
        <is>
          <t>VLOOKUP + RESTA</t>
        </is>
      </c>
      <c r="F24" s="13">
        <f>ABS(VLOOKUP(A53,INDIRECT($M$1),$P$1,FALSE)-VLOOKUP(A53,INDIRECT($M$1),$Q$1,FALSE))</f>
        <v/>
      </c>
      <c r="G24" s="12" t="inlineStr">
        <is>
          <t>Gastos administrativos del depto de comités (coordinación, materiales)</t>
        </is>
      </c>
      <c r="H24" s="11" t="inlineStr">
        <is>
          <t>B,C,D,E,F,H,I,J,K,L</t>
        </is>
      </c>
      <c r="I24" s="11" t="inlineStr">
        <is>
          <t>SALDOSXX!Col P-Q</t>
        </is>
      </c>
    </row>
    <row r="25" ht="35" customHeight="1">
      <c r="A25" s="11" t="inlineStr">
        <is>
          <t>54</t>
        </is>
      </c>
      <c r="B25" s="11" t="inlineStr">
        <is>
          <t>3</t>
        </is>
      </c>
      <c r="C25" s="11" t="inlineStr">
        <is>
          <t>801012000000000000002</t>
        </is>
      </c>
      <c r="D25" s="11" t="inlineStr">
        <is>
          <t>Renta de Salas</t>
        </is>
      </c>
      <c r="E25" s="12" t="inlineStr">
        <is>
          <t>VLOOKUP + RESTA</t>
        </is>
      </c>
      <c r="F25" s="13">
        <f>ABS(VLOOKUP(A54,INDIRECT($M$1),$P$1,FALSE)-VLOOKUP(A54,INDIRECT($M$1),$Q$1,FALSE))</f>
        <v/>
      </c>
      <c r="G25" s="12" t="inlineStr">
        <is>
          <t>Gastos de renta y mantenimiento de salas de reuniones</t>
        </is>
      </c>
      <c r="H25" s="11" t="inlineStr">
        <is>
          <t>B,C,D,E,F,H,I,J,K,L</t>
        </is>
      </c>
      <c r="I25" s="11" t="inlineStr">
        <is>
          <t>SALDOSXX!Col P-Q</t>
        </is>
      </c>
    </row>
    <row r="26" ht="35" customHeight="1">
      <c r="A26" s="11" t="inlineStr">
        <is>
          <t>55</t>
        </is>
      </c>
      <c r="B26" s="11" t="inlineStr">
        <is>
          <t>3</t>
        </is>
      </c>
      <c r="C26" s="11" t="inlineStr">
        <is>
          <t>801013000000000000002</t>
        </is>
      </c>
      <c r="D26" s="11" t="inlineStr">
        <is>
          <t>Comunicación</t>
        </is>
      </c>
      <c r="E26" s="12" t="inlineStr">
        <is>
          <t>VLOOKUP + RESTA</t>
        </is>
      </c>
      <c r="F26" s="13">
        <f>ABS(VLOOKUP(A55,INDIRECT($M$1),$P$1,FALSE)-VLOOKUP(A55,INDIRECT($M$1),$Q$1,FALSE))</f>
        <v/>
      </c>
      <c r="G26" s="12" t="inlineStr">
        <is>
          <t>Gastos del depto de Comunicación (diseño, producción contenido, marketing digital)</t>
        </is>
      </c>
      <c r="H26" s="11" t="inlineStr">
        <is>
          <t>B,C,D,E,F,H,I,J,K,L</t>
        </is>
      </c>
      <c r="I26" s="11" t="inlineStr">
        <is>
          <t>SALDOSXX!Col P-Q</t>
        </is>
      </c>
    </row>
    <row r="27" ht="30" customHeight="1">
      <c r="A27" s="9" t="inlineStr">
        <is>
          <t>56</t>
        </is>
      </c>
      <c r="B27" s="9" t="inlineStr">
        <is>
          <t>2</t>
        </is>
      </c>
      <c r="C27" s="9" t="inlineStr"/>
      <c r="D27" s="9" t="inlineStr">
        <is>
          <t>Other</t>
        </is>
      </c>
      <c r="E27" s="9" t="inlineStr">
        <is>
          <t>SUMA</t>
        </is>
      </c>
      <c r="F27" s="10">
        <f>SUM(B57:B57)</f>
        <v/>
      </c>
      <c r="G27" s="9" t="inlineStr">
        <is>
          <t>Otros gastos no clasificados</t>
        </is>
      </c>
      <c r="H27" s="9" t="inlineStr">
        <is>
          <t>B,C,D,E,F,H,I,J,K,L</t>
        </is>
      </c>
      <c r="I27" s="9" t="inlineStr">
        <is>
          <t>Fila 57</t>
        </is>
      </c>
    </row>
    <row r="28" ht="35" customHeight="1">
      <c r="A28" s="11" t="inlineStr">
        <is>
          <t>57</t>
        </is>
      </c>
      <c r="B28" s="11" t="inlineStr">
        <is>
          <t>3</t>
        </is>
      </c>
      <c r="C28" s="11" t="inlineStr">
        <is>
          <t>901000000000000000001</t>
        </is>
      </c>
      <c r="D28" s="11" t="inlineStr">
        <is>
          <t>Gastos Generales</t>
        </is>
      </c>
      <c r="E28" s="12" t="inlineStr">
        <is>
          <t>VLOOKUP + RESTA</t>
        </is>
      </c>
      <c r="F28" s="13">
        <f>ABS(VLOOKUP(A57,INDIRECT($M$1),$P$1,FALSE)-VLOOKUP(A57,INDIRECT($M$1),$Q$1,FALSE))</f>
        <v/>
      </c>
      <c r="G28" s="12" t="inlineStr">
        <is>
          <t>Gastos generales no asignados a departamentos específicos</t>
        </is>
      </c>
      <c r="H28" s="11" t="inlineStr">
        <is>
          <t>B,C,D,E,F,H,I,J,K,L</t>
        </is>
      </c>
      <c r="I28" s="11" t="inlineStr">
        <is>
          <t>SALDOSXX!Col P-Q</t>
        </is>
      </c>
    </row>
    <row r="29" ht="30" customHeight="1">
      <c r="A29" s="9" t="inlineStr">
        <is>
          <t>58</t>
        </is>
      </c>
      <c r="B29" s="9" t="inlineStr">
        <is>
          <t>2</t>
        </is>
      </c>
      <c r="C29" s="9" t="inlineStr"/>
      <c r="D29" s="9" t="inlineStr">
        <is>
          <t>Gastos de Nómina</t>
        </is>
      </c>
      <c r="E29" s="9" t="inlineStr">
        <is>
          <t>SUMA</t>
        </is>
      </c>
      <c r="F29" s="10">
        <f>SUM(B59:B65)</f>
        <v/>
      </c>
      <c r="G29" s="9" t="inlineStr">
        <is>
          <t>Suma de nómina de todos los departamentos (7 categorías)</t>
        </is>
      </c>
      <c r="H29" s="9" t="inlineStr">
        <is>
          <t>B,C,D,E,F,H,I,J,K,L</t>
        </is>
      </c>
      <c r="I29" s="9" t="inlineStr">
        <is>
          <t>Filas 59-65</t>
        </is>
      </c>
    </row>
    <row r="30" ht="35" customHeight="1">
      <c r="A30" s="11" t="inlineStr">
        <is>
          <t>59</t>
        </is>
      </c>
      <c r="B30" s="11" t="inlineStr">
        <is>
          <t>3</t>
        </is>
      </c>
      <c r="C30" s="11" t="inlineStr">
        <is>
          <t>513000000000000000001</t>
        </is>
      </c>
      <c r="D30" s="11" t="inlineStr">
        <is>
          <t>Nómina Vicepresidencia</t>
        </is>
      </c>
      <c r="E30" s="12" t="inlineStr">
        <is>
          <t>VLOOKUP + RESTA</t>
        </is>
      </c>
      <c r="F30" s="13">
        <f>ABS(VLOOKUP(A59,INDIRECT($M$1),$P$1,FALSE)-VLOOKUP(A59,INDIRECT($M$1),$Q$1,FALSE))</f>
        <v/>
      </c>
      <c r="G30" s="12" t="inlineStr">
        <is>
          <t>Sueldos, prestaciones y cargas sociales del equipo de Vicepresidencia</t>
        </is>
      </c>
      <c r="H30" s="11" t="inlineStr">
        <is>
          <t>B,C,D,E,F,H,I,J,K,L</t>
        </is>
      </c>
      <c r="I30" s="11" t="inlineStr">
        <is>
          <t>SALDOSXX!Col P-Q</t>
        </is>
      </c>
    </row>
    <row r="31" ht="35" customHeight="1">
      <c r="A31" s="11" t="inlineStr">
        <is>
          <t>60</t>
        </is>
      </c>
      <c r="B31" s="11" t="inlineStr">
        <is>
          <t>3</t>
        </is>
      </c>
      <c r="C31" s="11" t="inlineStr">
        <is>
          <t>517000000000000000001</t>
        </is>
      </c>
      <c r="D31" s="11" t="inlineStr">
        <is>
          <t>Nómina Desarrollo de Negocios</t>
        </is>
      </c>
      <c r="E31" s="12" t="inlineStr">
        <is>
          <t>VLOOKUP + RESTA</t>
        </is>
      </c>
      <c r="F31" s="13">
        <f>ABS(VLOOKUP(A60,INDIRECT($M$1),$P$1,FALSE)-VLOOKUP(A60,INDIRECT($M$1),$Q$1,FALSE))</f>
        <v/>
      </c>
      <c r="G31" s="12" t="inlineStr">
        <is>
          <t>Sueldos y prestaciones del equipo de Desarrollo de Negocios</t>
        </is>
      </c>
      <c r="H31" s="11" t="inlineStr">
        <is>
          <t>B,C,D,E,F,H,I,J,K,L</t>
        </is>
      </c>
      <c r="I31" s="11" t="inlineStr">
        <is>
          <t>SALDOSXX!Col P-Q</t>
        </is>
      </c>
    </row>
    <row r="32" ht="35" customHeight="1">
      <c r="A32" s="11" t="inlineStr">
        <is>
          <t>61</t>
        </is>
      </c>
      <c r="B32" s="11" t="inlineStr">
        <is>
          <t>3</t>
        </is>
      </c>
      <c r="C32" s="11" t="inlineStr">
        <is>
          <t>516000000000000000001</t>
        </is>
      </c>
      <c r="D32" s="11" t="inlineStr">
        <is>
          <t>Nómina Comités y Relaciones Externas</t>
        </is>
      </c>
      <c r="E32" s="12" t="inlineStr">
        <is>
          <t>VLOOKUP + RESTA</t>
        </is>
      </c>
      <c r="F32" s="13">
        <f>ABS(VLOOKUP(A61,INDIRECT($M$1),$P$1,FALSE)-VLOOKUP(A61,INDIRECT($M$1),$Q$1,FALSE))</f>
        <v/>
      </c>
      <c r="G32" s="12" t="inlineStr">
        <is>
          <t>Sueldos y prestaciones del equipo de Comités y Relaciones Externas</t>
        </is>
      </c>
      <c r="H32" s="11" t="inlineStr">
        <is>
          <t>B,C,D,E,F,H,I,J,K,L</t>
        </is>
      </c>
      <c r="I32" s="11" t="inlineStr">
        <is>
          <t>SALDOSXX!Col P-Q</t>
        </is>
      </c>
    </row>
    <row r="33" ht="35" customHeight="1">
      <c r="A33" s="11" t="inlineStr">
        <is>
          <t>62</t>
        </is>
      </c>
      <c r="B33" s="11" t="inlineStr">
        <is>
          <t>3</t>
        </is>
      </c>
      <c r="C33" s="11" t="inlineStr">
        <is>
          <t>519000000000000000001</t>
        </is>
      </c>
      <c r="D33" s="11" t="inlineStr">
        <is>
          <t>Nómina Comunicación</t>
        </is>
      </c>
      <c r="E33" s="12" t="inlineStr">
        <is>
          <t>VLOOKUP + RESTA</t>
        </is>
      </c>
      <c r="F33" s="13">
        <f>ABS(VLOOKUP(A62,INDIRECT($M$1),$P$1,FALSE)-VLOOKUP(A62,INDIRECT($M$1),$Q$1,FALSE))</f>
        <v/>
      </c>
      <c r="G33" s="12" t="inlineStr">
        <is>
          <t>Sueldos y prestaciones del equipo de Comunicación</t>
        </is>
      </c>
      <c r="H33" s="11" t="inlineStr">
        <is>
          <t>B,C,D,E,F,H,I,J,K,L</t>
        </is>
      </c>
      <c r="I33" s="11" t="inlineStr">
        <is>
          <t>SALDOSXX!Col P-Q</t>
        </is>
      </c>
    </row>
    <row r="34" ht="35" customHeight="1">
      <c r="A34" s="11" t="inlineStr">
        <is>
          <t>63</t>
        </is>
      </c>
      <c r="B34" s="11" t="inlineStr">
        <is>
          <t>3</t>
        </is>
      </c>
      <c r="C34" s="11" t="inlineStr">
        <is>
          <t>515000000000000000001</t>
        </is>
      </c>
      <c r="D34" s="11" t="inlineStr">
        <is>
          <t>Nómina Servicios a la Membresía</t>
        </is>
      </c>
      <c r="E34" s="12" t="inlineStr">
        <is>
          <t>VLOOKUP + RESTA</t>
        </is>
      </c>
      <c r="F34" s="13">
        <f>ABS(VLOOKUP(A63,INDIRECT($M$1),$P$1,FALSE)-VLOOKUP(A63,INDIRECT($M$1),$Q$1,FALSE))</f>
        <v/>
      </c>
      <c r="G34" s="12" t="inlineStr">
        <is>
          <t>Sueldos y prestaciones del equipo de Servicios a Miembros</t>
        </is>
      </c>
      <c r="H34" s="11" t="inlineStr">
        <is>
          <t>B,C,D,E,F,H,I,J,K,L</t>
        </is>
      </c>
      <c r="I34" s="11" t="inlineStr">
        <is>
          <t>SALDOSXX!Col P-Q</t>
        </is>
      </c>
    </row>
    <row r="35" ht="35" customHeight="1">
      <c r="A35" s="11" t="inlineStr">
        <is>
          <t>64</t>
        </is>
      </c>
      <c r="B35" s="11" t="inlineStr">
        <is>
          <t>3</t>
        </is>
      </c>
      <c r="C35" s="11" t="inlineStr">
        <is>
          <t>518000000000000000001</t>
        </is>
      </c>
      <c r="D35" s="11" t="inlineStr">
        <is>
          <t>Nómina Eventos y Mercadotecnia</t>
        </is>
      </c>
      <c r="E35" s="12" t="inlineStr">
        <is>
          <t>VLOOKUP + RESTA</t>
        </is>
      </c>
      <c r="F35" s="13">
        <f>ABS(VLOOKUP(A64,INDIRECT($M$1),$P$1,FALSE)-VLOOKUP(A64,INDIRECT($M$1),$Q$1,FALSE))</f>
        <v/>
      </c>
      <c r="G35" s="12" t="inlineStr">
        <is>
          <t>Sueldos y prestaciones del equipo de Eventos y Marketing</t>
        </is>
      </c>
      <c r="H35" s="11" t="inlineStr">
        <is>
          <t>B,C,D,E,F,H,I,J,K,L</t>
        </is>
      </c>
      <c r="I35" s="11" t="inlineStr">
        <is>
          <t>SALDOSXX!Col P-Q</t>
        </is>
      </c>
    </row>
    <row r="36" ht="35" customHeight="1">
      <c r="A36" s="11" t="inlineStr">
        <is>
          <t>65</t>
        </is>
      </c>
      <c r="B36" s="11" t="inlineStr">
        <is>
          <t>3</t>
        </is>
      </c>
      <c r="C36" s="11" t="inlineStr">
        <is>
          <t>514000000000000000001</t>
        </is>
      </c>
      <c r="D36" s="11" t="inlineStr">
        <is>
          <t>Nómina Administración y Finanzas</t>
        </is>
      </c>
      <c r="E36" s="12" t="inlineStr">
        <is>
          <t>VLOOKUP + RESTA</t>
        </is>
      </c>
      <c r="F36" s="13">
        <f>ABS(VLOOKUP(A65,INDIRECT($M$1),$P$1,FALSE)-VLOOKUP(A65,INDIRECT($M$1),$Q$1,FALSE))</f>
        <v/>
      </c>
      <c r="G36" s="12" t="inlineStr">
        <is>
          <t>Sueldos y prestaciones del equipo de Administración y Finanzas</t>
        </is>
      </c>
      <c r="H36" s="11" t="inlineStr">
        <is>
          <t>B,C,D,E,F,H,I,J,K,L</t>
        </is>
      </c>
      <c r="I36" s="11" t="inlineStr">
        <is>
          <t>SALDOSXX!Col P-Q</t>
        </is>
      </c>
    </row>
    <row r="37" ht="30" customHeight="1">
      <c r="A37" s="7" t="inlineStr">
        <is>
          <t>66</t>
        </is>
      </c>
      <c r="B37" s="7" t="inlineStr">
        <is>
          <t>1</t>
        </is>
      </c>
      <c r="C37" s="7" t="inlineStr"/>
      <c r="D37" s="7" t="inlineStr">
        <is>
          <t>Guadalajara Expense</t>
        </is>
      </c>
      <c r="E37" s="7" t="inlineStr">
        <is>
          <t>SUMA</t>
        </is>
      </c>
      <c r="F37" s="8">
        <f>SUM(B67:B67)</f>
        <v/>
      </c>
      <c r="G37" s="7" t="inlineStr">
        <is>
          <t>Gastos totales del capítulo Guadalajara</t>
        </is>
      </c>
      <c r="H37" s="7" t="inlineStr">
        <is>
          <t>B,C,D,E,F,H,I,J,K,L</t>
        </is>
      </c>
      <c r="I37" s="7" t="inlineStr">
        <is>
          <t>Fila 67</t>
        </is>
      </c>
    </row>
    <row r="38" ht="35" customHeight="1">
      <c r="A38" s="11" t="inlineStr">
        <is>
          <t>67</t>
        </is>
      </c>
      <c r="B38" s="11" t="inlineStr">
        <is>
          <t>3</t>
        </is>
      </c>
      <c r="C38" s="11" t="inlineStr">
        <is>
          <t>950001002000000000003</t>
        </is>
      </c>
      <c r="D38" s="11" t="inlineStr">
        <is>
          <t>Gastos Guadalajara</t>
        </is>
      </c>
      <c r="E38" s="12" t="inlineStr">
        <is>
          <t>VLOOKUP + RESTA</t>
        </is>
      </c>
      <c r="F38" s="13">
        <f>ABS(VLOOKUP(A67,INDIRECT($M$1),$P$1,FALSE)-VLOOKUP(A67,INDIRECT($M$1),$Q$1,FALSE))</f>
        <v/>
      </c>
      <c r="G38" s="12" t="inlineStr">
        <is>
          <t>Gastos operativos consolidados del capítulo Guadalajara (staff, eventos, oficina)</t>
        </is>
      </c>
      <c r="H38" s="11" t="inlineStr">
        <is>
          <t>B,C,D,E,F,H,I,J,K,L</t>
        </is>
      </c>
      <c r="I38" s="11" t="inlineStr">
        <is>
          <t>SALDOSXX!Col P-Q</t>
        </is>
      </c>
    </row>
    <row r="39" ht="30" customHeight="1">
      <c r="A39" s="7" t="inlineStr">
        <is>
          <t>68</t>
        </is>
      </c>
      <c r="B39" s="7" t="inlineStr">
        <is>
          <t>1</t>
        </is>
      </c>
      <c r="C39" s="7" t="inlineStr"/>
      <c r="D39" s="7" t="inlineStr">
        <is>
          <t>Monterrey Expense</t>
        </is>
      </c>
      <c r="E39" s="7" t="inlineStr">
        <is>
          <t>SUMA</t>
        </is>
      </c>
      <c r="F39" s="8">
        <f>SUM(B69:B69)</f>
        <v/>
      </c>
      <c r="G39" s="7" t="inlineStr">
        <is>
          <t>Gastos totales del capítulo Monterrey</t>
        </is>
      </c>
      <c r="H39" s="7" t="inlineStr">
        <is>
          <t>B,C,D,E,F,H,I,J,K,L</t>
        </is>
      </c>
      <c r="I39" s="7" t="inlineStr">
        <is>
          <t>Fila 69</t>
        </is>
      </c>
    </row>
    <row r="40" ht="35" customHeight="1">
      <c r="A40" s="11" t="inlineStr">
        <is>
          <t>69</t>
        </is>
      </c>
      <c r="B40" s="11" t="inlineStr">
        <is>
          <t>3</t>
        </is>
      </c>
      <c r="C40" s="11" t="inlineStr">
        <is>
          <t>950002002000000000003</t>
        </is>
      </c>
      <c r="D40" s="11" t="inlineStr">
        <is>
          <t>Gastos Monterrey</t>
        </is>
      </c>
      <c r="E40" s="12" t="inlineStr">
        <is>
          <t>VLOOKUP + RESTA</t>
        </is>
      </c>
      <c r="F40" s="13">
        <f>ABS(VLOOKUP(A69,INDIRECT($M$1),$P$1,FALSE)-VLOOKUP(A69,INDIRECT($M$1),$Q$1,FALSE))</f>
        <v/>
      </c>
      <c r="G40" s="12" t="inlineStr">
        <is>
          <t>Gastos operativos consolidados del capítulo Monterrey (staff, eventos, oficina)</t>
        </is>
      </c>
      <c r="H40" s="11" t="inlineStr">
        <is>
          <t>B,C,D,E,F,H,I,J,K,L</t>
        </is>
      </c>
      <c r="I40" s="11" t="inlineStr">
        <is>
          <t>SALDOSXX!Col P-Q</t>
        </is>
      </c>
    </row>
    <row r="41" ht="30" customHeight="1">
      <c r="A41" s="15" t="inlineStr">
        <is>
          <t>70</t>
        </is>
      </c>
      <c r="B41" s="15" t="inlineStr">
        <is>
          <t>0</t>
        </is>
      </c>
      <c r="C41" s="15" t="inlineStr"/>
      <c r="D41" s="15" t="inlineStr">
        <is>
          <t>CONSOLIDATED EXPENSES</t>
        </is>
      </c>
      <c r="E41" s="15" t="inlineStr">
        <is>
          <t>SUMA DIRECTA</t>
        </is>
      </c>
      <c r="F41" s="8">
        <f>+B31+B66+B68</f>
        <v/>
      </c>
      <c r="G41" s="15" t="inlineStr">
        <is>
          <t>GASTO TOTAL CONSOLIDADO: Suma de CDMX + Guadalajara + Monterrey</t>
        </is>
      </c>
      <c r="H41" s="15" t="inlineStr">
        <is>
          <t>B,C,D,E,F,H,I,J,K,L</t>
        </is>
      </c>
      <c r="I41" s="15" t="inlineStr">
        <is>
          <t>Filas 31+66+68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0" customWidth="1" min="4" max="4"/>
    <col width="18" customWidth="1" min="5" max="5"/>
    <col width="50" customWidth="1" min="6" max="6"/>
    <col width="55" customWidth="1" min="7" max="7"/>
    <col width="15" customWidth="1" min="8" max="8"/>
  </cols>
  <sheetData>
    <row r="1">
      <c r="A1" s="6" t="inlineStr">
        <is>
          <t>Fila</t>
        </is>
      </c>
      <c r="B1" s="6" t="inlineStr">
        <is>
          <t>Nivel</t>
        </is>
      </c>
      <c r="C1" s="6" t="inlineStr">
        <is>
          <t>Cuenta</t>
        </is>
      </c>
      <c r="D1" s="6" t="inlineStr">
        <is>
          <t>Nombre Completo</t>
        </is>
      </c>
      <c r="E1" s="6" t="inlineStr">
        <is>
          <t>Tipo Operación</t>
        </is>
      </c>
      <c r="F1" s="6" t="inlineStr">
        <is>
          <t>Fórmula Excel</t>
        </is>
      </c>
      <c r="G1" s="6" t="inlineStr">
        <is>
          <t>Descripción</t>
        </is>
      </c>
      <c r="H1" s="6" t="inlineStr">
        <is>
          <t>Naturaleza</t>
        </is>
      </c>
    </row>
    <row r="2" ht="40" customHeight="1">
      <c r="A2" s="7" t="inlineStr">
        <is>
          <t>72</t>
        </is>
      </c>
      <c r="B2" s="7" t="inlineStr">
        <is>
          <t>1</t>
        </is>
      </c>
      <c r="C2" s="7" t="inlineStr"/>
      <c r="D2" s="7" t="inlineStr">
        <is>
          <t>OPERATING RESULTS MEXICO</t>
        </is>
      </c>
      <c r="E2" s="7" t="inlineStr">
        <is>
          <t>RESTA</t>
        </is>
      </c>
      <c r="F2" s="8">
        <f>+B8-B31</f>
        <v/>
      </c>
      <c r="G2" s="7" t="inlineStr">
        <is>
          <t>RESULTADO OPERATIVO CDMX: Ingresos menos Gastos Operativos de Ciudad de México. Refleja eficiencia operativa antes de otros ingresos</t>
        </is>
      </c>
      <c r="H2" s="7" t="inlineStr">
        <is>
          <t>Resultado</t>
        </is>
      </c>
    </row>
    <row r="3" ht="40" customHeight="1">
      <c r="A3" s="7" t="inlineStr">
        <is>
          <t>73</t>
        </is>
      </c>
      <c r="B3" s="7" t="inlineStr">
        <is>
          <t>1</t>
        </is>
      </c>
      <c r="C3" s="7" t="inlineStr"/>
      <c r="D3" s="7" t="inlineStr">
        <is>
          <t>OPERATING RESULTS GUADALAJARA</t>
        </is>
      </c>
      <c r="E3" s="7" t="inlineStr">
        <is>
          <t>RESTA</t>
        </is>
      </c>
      <c r="F3" s="8">
        <f>+B25-B66</f>
        <v/>
      </c>
      <c r="G3" s="7" t="inlineStr">
        <is>
          <t>RESULTADO OPERATIVO GUADALAJARA: Ingresos menos Gastos del capítulo Guadalajara</t>
        </is>
      </c>
      <c r="H3" s="7" t="inlineStr">
        <is>
          <t>Resultado</t>
        </is>
      </c>
    </row>
    <row r="4" ht="40" customHeight="1">
      <c r="A4" s="7" t="inlineStr">
        <is>
          <t>74</t>
        </is>
      </c>
      <c r="B4" s="7" t="inlineStr">
        <is>
          <t>1</t>
        </is>
      </c>
      <c r="C4" s="7" t="inlineStr"/>
      <c r="D4" s="7" t="inlineStr">
        <is>
          <t>OPERATING RESULTS MONTERREY</t>
        </is>
      </c>
      <c r="E4" s="7" t="inlineStr">
        <is>
          <t>RESTA</t>
        </is>
      </c>
      <c r="F4" s="8">
        <f>+B27-B68</f>
        <v/>
      </c>
      <c r="G4" s="7" t="inlineStr">
        <is>
          <t>RESULTADO OPERATIVO MONTERREY: Ingresos menos Gastos del capítulo Monterrey</t>
        </is>
      </c>
      <c r="H4" s="7" t="inlineStr">
        <is>
          <t>Resultado</t>
        </is>
      </c>
    </row>
    <row r="6" ht="40" customHeight="1">
      <c r="A6" s="16" t="inlineStr">
        <is>
          <t>76</t>
        </is>
      </c>
      <c r="B6" s="16" t="inlineStr">
        <is>
          <t>0</t>
        </is>
      </c>
      <c r="C6" s="16" t="inlineStr"/>
      <c r="D6" s="16" t="inlineStr">
        <is>
          <t>CONSOLIDATED OPERATING RESULTS</t>
        </is>
      </c>
      <c r="E6" s="16" t="inlineStr">
        <is>
          <t>SUMA</t>
        </is>
      </c>
      <c r="F6" s="17">
        <f>SUM(B72:B75)</f>
        <v/>
      </c>
      <c r="G6" s="16" t="inlineStr">
        <is>
          <t>RESULTADO OPERATIVO CONSOLIDADO: Suma de resultados operativos de todas las regiones. Indicador clave de desempeño operativo de la organización</t>
        </is>
      </c>
      <c r="H6" s="16" t="inlineStr">
        <is>
          <t>Resultado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0" customWidth="1" min="4" max="4"/>
    <col width="18" customWidth="1" min="5" max="5"/>
    <col width="50" customWidth="1" min="6" max="6"/>
    <col width="55" customWidth="1" min="7" max="7"/>
    <col width="15" customWidth="1" min="8" max="8"/>
  </cols>
  <sheetData>
    <row r="1">
      <c r="A1" s="6" t="inlineStr">
        <is>
          <t>Fila</t>
        </is>
      </c>
      <c r="B1" s="6" t="inlineStr">
        <is>
          <t>Nivel</t>
        </is>
      </c>
      <c r="C1" s="6" t="inlineStr">
        <is>
          <t>Cuenta</t>
        </is>
      </c>
      <c r="D1" s="6" t="inlineStr">
        <is>
          <t>Nombre Completo</t>
        </is>
      </c>
      <c r="E1" s="6" t="inlineStr">
        <is>
          <t>Tipo Operación</t>
        </is>
      </c>
      <c r="F1" s="6" t="inlineStr">
        <is>
          <t>Fórmula Excel</t>
        </is>
      </c>
      <c r="G1" s="6" t="inlineStr">
        <is>
          <t>Descripción</t>
        </is>
      </c>
      <c r="H1" s="6" t="inlineStr">
        <is>
          <t>Naturaleza</t>
        </is>
      </c>
    </row>
    <row r="2" ht="35" customHeight="1">
      <c r="A2" s="18" t="inlineStr">
        <is>
          <t>78</t>
        </is>
      </c>
      <c r="B2" s="18" t="inlineStr">
        <is>
          <t>1</t>
        </is>
      </c>
      <c r="C2" s="18" t="inlineStr"/>
      <c r="D2" s="18" t="inlineStr">
        <is>
          <t>México Other Income</t>
        </is>
      </c>
      <c r="E2" s="18" t="inlineStr">
        <is>
          <t>SUMA</t>
        </is>
      </c>
      <c r="F2" s="8">
        <f>SUM(B79:B83)</f>
        <v/>
      </c>
      <c r="G2" s="18" t="inlineStr">
        <is>
          <t>Suma de otros ingresos no operativos de Ciudad de México (productos financieros y otros)</t>
        </is>
      </c>
      <c r="H2" s="18" t="inlineStr">
        <is>
          <t>Otros Ingresos</t>
        </is>
      </c>
    </row>
    <row r="3" ht="40" customHeight="1">
      <c r="A3" s="11" t="inlineStr">
        <is>
          <t>79</t>
        </is>
      </c>
      <c r="B3" s="11" t="inlineStr">
        <is>
          <t>3</t>
        </is>
      </c>
      <c r="C3" s="11" t="inlineStr">
        <is>
          <t>413000000000000000001</t>
        </is>
      </c>
      <c r="D3" s="11" t="inlineStr">
        <is>
          <t>Otros Ingresos</t>
        </is>
      </c>
      <c r="E3" s="11" t="inlineStr">
        <is>
          <t>VLOOKUP + RESTA</t>
        </is>
      </c>
      <c r="F3" s="13">
        <f>ABS(VLOOKUP(A79,INDIRECT($M$1),$P$1,FALSE)-VLOOKUP(A79,INDIRECT($M$1),$Q$1,FALSE))</f>
        <v/>
      </c>
      <c r="G3" s="12" t="inlineStr">
        <is>
          <t>Ingresos diversos no clasificados en categorías principales (donaciones, venta de activos, etc.)</t>
        </is>
      </c>
      <c r="H3" s="11" t="inlineStr">
        <is>
          <t>Otros Ingresos</t>
        </is>
      </c>
    </row>
    <row r="4" ht="40" customHeight="1">
      <c r="A4" s="11" t="inlineStr">
        <is>
          <t>80</t>
        </is>
      </c>
      <c r="B4" s="11" t="inlineStr">
        <is>
          <t>3</t>
        </is>
      </c>
      <c r="C4" s="11" t="inlineStr">
        <is>
          <t>414000000000000000001</t>
        </is>
      </c>
      <c r="D4" s="11" t="inlineStr">
        <is>
          <t>Intereses Bancos</t>
        </is>
      </c>
      <c r="E4" s="11" t="inlineStr">
        <is>
          <t>VLOOKUP + RESTA</t>
        </is>
      </c>
      <c r="F4" s="13">
        <f>ABS(VLOOKUP(A80,INDIRECT($M$1),$P$1,FALSE)-VLOOKUP(A80,INDIRECT($M$1),$Q$1,FALSE))</f>
        <v/>
      </c>
      <c r="G4" s="12" t="inlineStr">
        <is>
          <t>Intereses ganados por depósitos bancarios y cuentas de ahorro</t>
        </is>
      </c>
      <c r="H4" s="11" t="inlineStr">
        <is>
          <t>Productos Financieros</t>
        </is>
      </c>
    </row>
    <row r="5" ht="40" customHeight="1">
      <c r="A5" s="11" t="inlineStr">
        <is>
          <t>81</t>
        </is>
      </c>
      <c r="B5" s="11" t="inlineStr">
        <is>
          <t>3</t>
        </is>
      </c>
      <c r="C5" s="11" t="inlineStr">
        <is>
          <t>416000000000000000001</t>
        </is>
      </c>
      <c r="D5" s="11" t="inlineStr">
        <is>
          <t>Utilidad Cambiaria Inversiones</t>
        </is>
      </c>
      <c r="E5" s="11" t="inlineStr">
        <is>
          <t>VLOOKUP + RESTA + NEG</t>
        </is>
      </c>
      <c r="F5" s="13">
        <f>-ABS(VLOOKUP(A81,INDIRECT($M$1),$P$1,FALSE)-VLOOKUP(A81,INDIRECT($M$1),$Q$1,FALSE))</f>
        <v/>
      </c>
      <c r="G5" s="12" t="inlineStr">
        <is>
          <t>Utilidad o pérdida por variación en tipo de cambio en inversiones en moneda extranjera (nota: fórmula con negativo)</t>
        </is>
      </c>
      <c r="H5" s="11" t="inlineStr">
        <is>
          <t>Productos Financieros</t>
        </is>
      </c>
    </row>
    <row r="6" ht="40" customHeight="1">
      <c r="A6" s="11" t="inlineStr">
        <is>
          <t>82</t>
        </is>
      </c>
      <c r="B6" s="11" t="inlineStr">
        <is>
          <t>3</t>
        </is>
      </c>
      <c r="C6" s="11" t="inlineStr">
        <is>
          <t>418000000000000000001</t>
        </is>
      </c>
      <c r="D6" s="11" t="inlineStr">
        <is>
          <t>Plusvalía/Minusvalía Portafolio Inversiones</t>
        </is>
      </c>
      <c r="E6" s="11" t="inlineStr">
        <is>
          <t>VLOOKUP + RESTA</t>
        </is>
      </c>
      <c r="F6" s="13">
        <f>ABS(VLOOKUP(A82,INDIRECT($M$1),$P$1,FALSE)-VLOOKUP(A82,INDIRECT($M$1),$Q$1,FALSE))</f>
        <v/>
      </c>
      <c r="G6" s="12" t="inlineStr">
        <is>
          <t>Ganancia o pérdida por revaluación del portafolio de inversiones (acciones, bonos, fondos)</t>
        </is>
      </c>
      <c r="H6" s="11" t="inlineStr">
        <is>
          <t>Productos Financieros</t>
        </is>
      </c>
    </row>
    <row r="8" ht="35" customHeight="1">
      <c r="A8" s="18" t="inlineStr">
        <is>
          <t>85</t>
        </is>
      </c>
      <c r="B8" s="18" t="inlineStr">
        <is>
          <t>1</t>
        </is>
      </c>
      <c r="C8" s="18" t="inlineStr"/>
      <c r="D8" s="18" t="inlineStr">
        <is>
          <t>Guadalajara Other Income</t>
        </is>
      </c>
      <c r="E8" s="18" t="inlineStr">
        <is>
          <t>SUMA</t>
        </is>
      </c>
      <c r="F8" s="8">
        <f>SUM(B86)</f>
        <v/>
      </c>
      <c r="G8" s="18" t="inlineStr">
        <is>
          <t>Otros ingresos del capítulo Guadalajara (actualmente sin cuentas específicas)</t>
        </is>
      </c>
      <c r="H8" s="18" t="inlineStr">
        <is>
          <t>Otros Ingresos</t>
        </is>
      </c>
    </row>
    <row r="9" ht="40" customHeight="1">
      <c r="A9" s="11" t="inlineStr">
        <is>
          <t>86</t>
        </is>
      </c>
      <c r="B9" s="11" t="inlineStr">
        <is>
          <t>3</t>
        </is>
      </c>
      <c r="C9" s="11" t="inlineStr">
        <is>
          <t>N/A</t>
        </is>
      </c>
      <c r="D9" s="11" t="inlineStr">
        <is>
          <t>Guadalajara Other Income</t>
        </is>
      </c>
      <c r="E9" s="11" t="inlineStr">
        <is>
          <t>VALOR</t>
        </is>
      </c>
      <c r="F9" s="11" t="inlineStr">
        <is>
          <t>N/A</t>
        </is>
      </c>
      <c r="G9" s="12" t="inlineStr">
        <is>
          <t>Cuenta genérica para otros ingresos de Guadalajara (no implementada con cuenta específica)</t>
        </is>
      </c>
      <c r="H9" s="11" t="inlineStr">
        <is>
          <t>Otros Ingresos</t>
        </is>
      </c>
    </row>
    <row r="11" ht="35" customHeight="1">
      <c r="A11" s="18" t="inlineStr">
        <is>
          <t>87</t>
        </is>
      </c>
      <c r="B11" s="18" t="inlineStr">
        <is>
          <t>1</t>
        </is>
      </c>
      <c r="C11" s="18" t="inlineStr"/>
      <c r="D11" s="18" t="inlineStr">
        <is>
          <t>Monterrey Other Income</t>
        </is>
      </c>
      <c r="E11" s="18" t="inlineStr">
        <is>
          <t>SUMA</t>
        </is>
      </c>
      <c r="F11" s="8">
        <f>+B88</f>
        <v/>
      </c>
      <c r="G11" s="18" t="inlineStr">
        <is>
          <t>Otros ingresos del capítulo Monterrey (actualmente sin cuentas específicas)</t>
        </is>
      </c>
      <c r="H11" s="18" t="inlineStr">
        <is>
          <t>Otros Ingresos</t>
        </is>
      </c>
    </row>
    <row r="12" ht="40" customHeight="1">
      <c r="A12" s="11" t="inlineStr">
        <is>
          <t>88</t>
        </is>
      </c>
      <c r="B12" s="11" t="inlineStr">
        <is>
          <t>3</t>
        </is>
      </c>
      <c r="C12" s="11" t="inlineStr">
        <is>
          <t>N/A</t>
        </is>
      </c>
      <c r="D12" s="11" t="inlineStr">
        <is>
          <t>Monterrey Other Income</t>
        </is>
      </c>
      <c r="E12" s="11" t="inlineStr">
        <is>
          <t>VALOR</t>
        </is>
      </c>
      <c r="F12" s="11" t="inlineStr">
        <is>
          <t>N/A</t>
        </is>
      </c>
      <c r="G12" s="12" t="inlineStr">
        <is>
          <t>Cuenta genérica para otros ingresos de Monterrey (no implementada con cuenta específica)</t>
        </is>
      </c>
      <c r="H12" s="11" t="inlineStr">
        <is>
          <t>Otros Ingresos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0" customWidth="1" min="4" max="4"/>
    <col width="18" customWidth="1" min="5" max="5"/>
    <col width="50" customWidth="1" min="6" max="6"/>
    <col width="60" customWidth="1" min="7" max="7"/>
    <col width="15" customWidth="1" min="8" max="8"/>
  </cols>
  <sheetData>
    <row r="1">
      <c r="A1" s="6" t="inlineStr">
        <is>
          <t>Fila</t>
        </is>
      </c>
      <c r="B1" s="6" t="inlineStr">
        <is>
          <t>Nivel</t>
        </is>
      </c>
      <c r="C1" s="6" t="inlineStr">
        <is>
          <t>Cuenta</t>
        </is>
      </c>
      <c r="D1" s="6" t="inlineStr">
        <is>
          <t>Nombre Completo</t>
        </is>
      </c>
      <c r="E1" s="6" t="inlineStr">
        <is>
          <t>Tipo Operación</t>
        </is>
      </c>
      <c r="F1" s="6" t="inlineStr">
        <is>
          <t>Fórmula Excel</t>
        </is>
      </c>
      <c r="G1" s="6" t="inlineStr">
        <is>
          <t>Descripción</t>
        </is>
      </c>
      <c r="H1" s="6" t="inlineStr">
        <is>
          <t>Naturaleza</t>
        </is>
      </c>
    </row>
    <row r="2" ht="40" customHeight="1">
      <c r="A2" s="7" t="inlineStr">
        <is>
          <t>90</t>
        </is>
      </c>
      <c r="B2" s="7" t="inlineStr">
        <is>
          <t>1</t>
        </is>
      </c>
      <c r="C2" s="7" t="inlineStr"/>
      <c r="D2" s="7" t="inlineStr">
        <is>
          <t>NET RESULTS MEXICO</t>
        </is>
      </c>
      <c r="E2" s="7" t="inlineStr">
        <is>
          <t>SUMA</t>
        </is>
      </c>
      <c r="F2" s="8">
        <f>+B72+B78</f>
        <v/>
      </c>
      <c r="G2" s="7" t="inlineStr">
        <is>
          <t>RESULTADO NETO CDMX: Resultado Operativo (fila 72) + Otros Ingresos (fila 78). Incluye operación + productos financieros</t>
        </is>
      </c>
      <c r="H2" s="7" t="inlineStr">
        <is>
          <t>Resultado Neto</t>
        </is>
      </c>
    </row>
    <row r="3" ht="40" customHeight="1">
      <c r="A3" s="7" t="inlineStr">
        <is>
          <t>91</t>
        </is>
      </c>
      <c r="B3" s="7" t="inlineStr">
        <is>
          <t>1</t>
        </is>
      </c>
      <c r="C3" s="7" t="inlineStr"/>
      <c r="D3" s="7" t="inlineStr">
        <is>
          <t>NET RESULTS GUADALAJARA</t>
        </is>
      </c>
      <c r="E3" s="7" t="inlineStr">
        <is>
          <t>SUMA</t>
        </is>
      </c>
      <c r="F3" s="8">
        <f>+B73+B85</f>
        <v/>
      </c>
      <c r="G3" s="7" t="inlineStr">
        <is>
          <t>RESULTADO NETO GUADALAJARA: Resultado Operativo + Otros Ingresos del capítulo</t>
        </is>
      </c>
      <c r="H3" s="7" t="inlineStr">
        <is>
          <t>Resultado Neto</t>
        </is>
      </c>
    </row>
    <row r="4" ht="40" customHeight="1">
      <c r="A4" s="7" t="inlineStr">
        <is>
          <t>92</t>
        </is>
      </c>
      <c r="B4" s="7" t="inlineStr">
        <is>
          <t>1</t>
        </is>
      </c>
      <c r="C4" s="7" t="inlineStr"/>
      <c r="D4" s="7" t="inlineStr">
        <is>
          <t>NET RESULTS MONTERREY</t>
        </is>
      </c>
      <c r="E4" s="7" t="inlineStr">
        <is>
          <t>SUMA</t>
        </is>
      </c>
      <c r="F4" s="8">
        <f>+B74+B87</f>
        <v/>
      </c>
      <c r="G4" s="7" t="inlineStr">
        <is>
          <t>RESULTADO NETO MONTERREY: Resultado Operativo + Otros Ingresos del capítulo</t>
        </is>
      </c>
      <c r="H4" s="7" t="inlineStr">
        <is>
          <t>Resultado Neto</t>
        </is>
      </c>
    </row>
    <row r="6" ht="40" customHeight="1">
      <c r="A6" s="19" t="inlineStr">
        <is>
          <t>94</t>
        </is>
      </c>
      <c r="B6" s="19" t="inlineStr">
        <is>
          <t>0</t>
        </is>
      </c>
      <c r="C6" s="19" t="inlineStr"/>
      <c r="D6" s="19" t="inlineStr">
        <is>
          <t>CONSOLIDATED NET RESULTS</t>
        </is>
      </c>
      <c r="E6" s="19" t="inlineStr">
        <is>
          <t>SUMA</t>
        </is>
      </c>
      <c r="F6" s="17">
        <f>SUM(B90:B93)</f>
        <v/>
      </c>
      <c r="G6" s="19" t="inlineStr">
        <is>
          <t>RESULTADO NETO CONSOLIDADO TOTAL: Suma de resultados netos de todas las regiones. Incluye TODA la actividad (operativa + financiera)</t>
        </is>
      </c>
      <c r="H6" s="19" t="inlineStr">
        <is>
          <t>Resultado Neto</t>
        </is>
      </c>
    </row>
    <row r="10" ht="35" customHeight="1">
      <c r="A10" s="20" t="inlineStr">
        <is>
          <t>96</t>
        </is>
      </c>
      <c r="B10" s="20" t="inlineStr">
        <is>
          <t>2</t>
        </is>
      </c>
      <c r="C10" s="20" t="inlineStr">
        <is>
          <t>Categoría</t>
        </is>
      </c>
      <c r="D10" s="20" t="inlineStr">
        <is>
          <t>Membership</t>
        </is>
      </c>
      <c r="E10" s="20" t="inlineStr">
        <is>
          <t>VALOR/CÁLCULO</t>
        </is>
      </c>
      <c r="F10" s="20" t="inlineStr">
        <is>
          <t>N/A</t>
        </is>
      </c>
      <c r="G10" s="20" t="inlineStr">
        <is>
          <t>Resultado neto de la categoría Membership (Income - Expense de esta categoría)</t>
        </is>
      </c>
      <c r="H10" s="20" t="inlineStr">
        <is>
          <t>Por Categoría</t>
        </is>
      </c>
    </row>
    <row r="11" ht="35" customHeight="1">
      <c r="A11" s="20" t="inlineStr">
        <is>
          <t>97</t>
        </is>
      </c>
      <c r="B11" s="20" t="inlineStr">
        <is>
          <t>2</t>
        </is>
      </c>
      <c r="C11" s="20" t="inlineStr">
        <is>
          <t>Categoría</t>
        </is>
      </c>
      <c r="D11" s="20" t="inlineStr">
        <is>
          <t>Events</t>
        </is>
      </c>
      <c r="E11" s="20" t="inlineStr">
        <is>
          <t>VALOR/CÁLCULO</t>
        </is>
      </c>
      <c r="F11" s="20" t="inlineStr">
        <is>
          <t>N/A</t>
        </is>
      </c>
      <c r="G11" s="20" t="inlineStr">
        <is>
          <t>Resultado neto de la categoría Events (Income - Expense de esta categoría)</t>
        </is>
      </c>
      <c r="H11" s="20" t="inlineStr">
        <is>
          <t>Por Categoría</t>
        </is>
      </c>
    </row>
    <row r="12" ht="35" customHeight="1">
      <c r="A12" s="20" t="inlineStr">
        <is>
          <t>98</t>
        </is>
      </c>
      <c r="B12" s="20" t="inlineStr">
        <is>
          <t>2</t>
        </is>
      </c>
      <c r="C12" s="20" t="inlineStr">
        <is>
          <t>Categoría</t>
        </is>
      </c>
      <c r="D12" s="20" t="inlineStr">
        <is>
          <t>Committees</t>
        </is>
      </c>
      <c r="E12" s="20" t="inlineStr">
        <is>
          <t>VALOR/CÁLCULO</t>
        </is>
      </c>
      <c r="F12" s="20" t="inlineStr">
        <is>
          <t>N/A</t>
        </is>
      </c>
      <c r="G12" s="20" t="inlineStr">
        <is>
          <t>Resultado neto de la categoría Committees (Income - Expense de esta categoría)</t>
        </is>
      </c>
      <c r="H12" s="20" t="inlineStr">
        <is>
          <t>Por Categoría</t>
        </is>
      </c>
    </row>
    <row r="13" ht="35" customHeight="1">
      <c r="A13" s="20" t="inlineStr">
        <is>
          <t>99</t>
        </is>
      </c>
      <c r="B13" s="20" t="inlineStr">
        <is>
          <t>2</t>
        </is>
      </c>
      <c r="C13" s="20" t="inlineStr">
        <is>
          <t>Categoría</t>
        </is>
      </c>
      <c r="D13" s="20" t="inlineStr">
        <is>
          <t>Services to members</t>
        </is>
      </c>
      <c r="E13" s="20" t="inlineStr">
        <is>
          <t>VALOR/CÁLCULO</t>
        </is>
      </c>
      <c r="F13" s="20" t="inlineStr">
        <is>
          <t>N/A</t>
        </is>
      </c>
      <c r="G13" s="20" t="inlineStr">
        <is>
          <t>Resultado neto de la categoría Services to Members (Income - Expense de esta categoría)</t>
        </is>
      </c>
      <c r="H13" s="20" t="inlineStr">
        <is>
          <t>Por Categoría</t>
        </is>
      </c>
    </row>
    <row r="14" ht="35" customHeight="1">
      <c r="A14" s="20" t="inlineStr">
        <is>
          <t>100</t>
        </is>
      </c>
      <c r="B14" s="20" t="inlineStr">
        <is>
          <t>2</t>
        </is>
      </c>
      <c r="C14" s="20" t="inlineStr">
        <is>
          <t>Categoría</t>
        </is>
      </c>
      <c r="D14" s="20" t="inlineStr">
        <is>
          <t>Communication</t>
        </is>
      </c>
      <c r="E14" s="20" t="inlineStr">
        <is>
          <t>VALOR/CÁLCULO</t>
        </is>
      </c>
      <c r="F14" s="20" t="inlineStr">
        <is>
          <t>N/A</t>
        </is>
      </c>
      <c r="G14" s="20" t="inlineStr">
        <is>
          <t>Resultado neto de la categoría Communication</t>
        </is>
      </c>
      <c r="H14" s="20" t="inlineStr">
        <is>
          <t>Por Categoría</t>
        </is>
      </c>
    </row>
    <row r="15" ht="35" customHeight="1">
      <c r="A15" s="20" t="inlineStr">
        <is>
          <t>101</t>
        </is>
      </c>
      <c r="B15" s="20" t="inlineStr">
        <is>
          <t>2</t>
        </is>
      </c>
      <c r="C15" s="20" t="inlineStr">
        <is>
          <t>Categoría</t>
        </is>
      </c>
      <c r="D15" s="20" t="inlineStr">
        <is>
          <t>Other</t>
        </is>
      </c>
      <c r="E15" s="20" t="inlineStr">
        <is>
          <t>VALOR/CÁLCULO</t>
        </is>
      </c>
      <c r="F15" s="20" t="inlineStr">
        <is>
          <t>N/A</t>
        </is>
      </c>
      <c r="G15" s="20" t="inlineStr">
        <is>
          <t>Resultado neto de otros conceptos</t>
        </is>
      </c>
      <c r="H15" s="20" t="inlineStr">
        <is>
          <t>Por Categoría</t>
        </is>
      </c>
    </row>
    <row r="16" ht="35" customHeight="1">
      <c r="A16" s="20" t="inlineStr">
        <is>
          <t>102</t>
        </is>
      </c>
      <c r="B16" s="20" t="inlineStr">
        <is>
          <t>2</t>
        </is>
      </c>
      <c r="C16" s="20" t="inlineStr">
        <is>
          <t>Categoría</t>
        </is>
      </c>
      <c r="D16" s="20" t="inlineStr">
        <is>
          <t>G &amp; A</t>
        </is>
      </c>
      <c r="E16" s="20" t="inlineStr">
        <is>
          <t>VALOR/CÁLCULO</t>
        </is>
      </c>
      <c r="F16" s="20" t="inlineStr">
        <is>
          <t>N/A</t>
        </is>
      </c>
      <c r="G16" s="20" t="inlineStr">
        <is>
          <t>Resultado neto de Gastos Administrativos (General &amp; Administrative)</t>
        </is>
      </c>
      <c r="H16" s="20" t="inlineStr">
        <is>
          <t>Por Categoría</t>
        </is>
      </c>
    </row>
    <row r="18" ht="40" customHeight="1">
      <c r="A18" s="19" t="inlineStr">
        <is>
          <t>104</t>
        </is>
      </c>
      <c r="B18" s="19" t="inlineStr">
        <is>
          <t>0</t>
        </is>
      </c>
      <c r="C18" s="19" t="inlineStr"/>
      <c r="D18" s="19" t="inlineStr">
        <is>
          <t>CONSOLIDATED NET RESULTS (Alternativo)</t>
        </is>
      </c>
      <c r="E18" s="19" t="inlineStr">
        <is>
          <t>SUMA</t>
        </is>
      </c>
      <c r="F18" s="17">
        <f>SUM(B96:B103)</f>
        <v/>
      </c>
      <c r="G18" s="19" t="inlineStr">
        <is>
          <t>RESULTADO NETO CONSOLIDADO ALTERNATIVO: Suma de resultados netos por categoría. Debe coincidir con fila 94</t>
        </is>
      </c>
      <c r="H18" s="19" t="inlineStr">
        <is>
          <t>Resultado Neto</t>
        </is>
      </c>
    </row>
    <row r="22" ht="35" customHeight="1">
      <c r="A22" s="21" t="inlineStr">
        <is>
          <t>107</t>
        </is>
      </c>
      <c r="B22" s="21" t="inlineStr">
        <is>
          <t>Ajuste</t>
        </is>
      </c>
      <c r="C22" s="21" t="inlineStr">
        <is>
          <t>ER</t>
        </is>
      </c>
      <c r="D22" s="21" t="inlineStr">
        <is>
          <t>Exchange Rate Adjustment</t>
        </is>
      </c>
      <c r="E22" s="21" t="inlineStr">
        <is>
          <t>VALOR MANUAL</t>
        </is>
      </c>
      <c r="F22" s="21" t="inlineStr">
        <is>
          <t>2000539.36</t>
        </is>
      </c>
      <c r="G22" s="21" t="inlineStr">
        <is>
          <t>Ajuste por tipo de cambio (Exchange Rate). Valor manual ingresado para ajustar resultados por efecto cambiario</t>
        </is>
      </c>
      <c r="H22" s="21" t="inlineStr">
        <is>
          <t>Ajuste</t>
        </is>
      </c>
    </row>
    <row r="23" ht="40" customHeight="1">
      <c r="A23" s="19" t="inlineStr">
        <is>
          <t>108</t>
        </is>
      </c>
      <c r="B23" s="19" t="inlineStr">
        <is>
          <t>0</t>
        </is>
      </c>
      <c r="C23" s="19" t="inlineStr"/>
      <c r="D23" s="19" t="inlineStr">
        <is>
          <t>RESULTADO FINAL AJUSTADO</t>
        </is>
      </c>
      <c r="E23" s="19" t="inlineStr">
        <is>
          <t>RESTA</t>
        </is>
      </c>
      <c r="F23" s="17">
        <f>+B94-B107</f>
        <v/>
      </c>
      <c r="G23" s="19" t="inlineStr">
        <is>
          <t>RESULTADO NETO FINAL: Resultado Neto Consolidado (fila 94) menos Ajuste ER (fila 107). Este es el resultado final de la organización</t>
        </is>
      </c>
      <c r="H23" s="19" t="inlineStr">
        <is>
          <t>Resultado Final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5" customWidth="1" min="4" max="4"/>
    <col width="60" customWidth="1" min="5" max="5"/>
  </cols>
  <sheetData>
    <row r="1">
      <c r="A1" s="6" t="inlineStr">
        <is>
          <t>Cuenta</t>
        </is>
      </c>
      <c r="B1" s="6" t="inlineStr">
        <is>
          <t>Nombre</t>
        </is>
      </c>
      <c r="C1" s="6" t="inlineStr">
        <is>
          <t>Categoría</t>
        </is>
      </c>
      <c r="D1" s="6" t="inlineStr">
        <is>
          <t>Tipo</t>
        </is>
      </c>
      <c r="E1" s="6" t="inlineStr">
        <is>
          <t>Descripción Completa</t>
        </is>
      </c>
    </row>
    <row r="2">
      <c r="A2" s="22" t="inlineStr">
        <is>
          <t>401000000000000000001</t>
        </is>
      </c>
      <c r="B2" s="22" t="inlineStr">
        <is>
          <t>Cuotas Netas</t>
        </is>
      </c>
      <c r="C2" s="22" t="inlineStr">
        <is>
          <t>Membership</t>
        </is>
      </c>
      <c r="D2" s="22" t="inlineStr">
        <is>
          <t>INCOME</t>
        </is>
      </c>
      <c r="E2" s="22" t="inlineStr">
        <is>
          <t>Ingresos por cuotas de membresía de socios activos</t>
        </is>
      </c>
    </row>
    <row r="3">
      <c r="A3" s="22" t="inlineStr">
        <is>
          <t>402000000000000000001</t>
        </is>
      </c>
      <c r="B3" s="22" t="inlineStr">
        <is>
          <t>Ingresos socios nuevos</t>
        </is>
      </c>
      <c r="C3" s="22" t="inlineStr">
        <is>
          <t>Membership</t>
        </is>
      </c>
      <c r="D3" s="22" t="inlineStr">
        <is>
          <t>INCOME</t>
        </is>
      </c>
      <c r="E3" s="22" t="inlineStr">
        <is>
          <t>Ingresos por cuotas de inicio de nuevos socios</t>
        </is>
      </c>
    </row>
    <row r="4">
      <c r="A4" s="22" t="inlineStr">
        <is>
          <t>412000000000000000001</t>
        </is>
      </c>
      <c r="B4" s="22" t="inlineStr">
        <is>
          <t>Economex</t>
        </is>
      </c>
      <c r="C4" s="22" t="inlineStr">
        <is>
          <t>Membership</t>
        </is>
      </c>
      <c r="D4" s="22" t="inlineStr">
        <is>
          <t>INCOME</t>
        </is>
      </c>
      <c r="E4" s="22" t="inlineStr">
        <is>
          <t>Ingresos del programa Economex</t>
        </is>
      </c>
    </row>
    <row r="5">
      <c r="A5" s="22" t="inlineStr">
        <is>
          <t>407000000000000000001</t>
        </is>
      </c>
      <c r="B5" s="22" t="inlineStr">
        <is>
          <t>Eventos</t>
        </is>
      </c>
      <c r="C5" s="22" t="inlineStr">
        <is>
          <t>Events</t>
        </is>
      </c>
      <c r="D5" s="22" t="inlineStr">
        <is>
          <t>INCOME</t>
        </is>
      </c>
      <c r="E5" s="22" t="inlineStr">
        <is>
          <t>Ingresos por venta de boletos y registro en eventos</t>
        </is>
      </c>
    </row>
    <row r="6">
      <c r="A6" s="22" t="inlineStr">
        <is>
          <t>408000000000000000001</t>
        </is>
      </c>
      <c r="B6" s="22" t="inlineStr">
        <is>
          <t>Patrocinios</t>
        </is>
      </c>
      <c r="C6" s="22" t="inlineStr">
        <is>
          <t>Events</t>
        </is>
      </c>
      <c r="D6" s="22" t="inlineStr">
        <is>
          <t>INCOME</t>
        </is>
      </c>
      <c r="E6" s="22" t="inlineStr">
        <is>
          <t>Ingresos por patrocinios de empresas en eventos generales</t>
        </is>
      </c>
    </row>
    <row r="7">
      <c r="A7" s="22" t="inlineStr">
        <is>
          <t>417000000000000000001</t>
        </is>
      </c>
      <c r="B7" s="22" t="inlineStr">
        <is>
          <t>Committees</t>
        </is>
      </c>
      <c r="C7" s="22" t="inlineStr">
        <is>
          <t>Committees</t>
        </is>
      </c>
      <c r="D7" s="22" t="inlineStr">
        <is>
          <t>INCOME</t>
        </is>
      </c>
      <c r="E7" s="22" t="inlineStr">
        <is>
          <t>Ingresos directos por actividades de comités</t>
        </is>
      </c>
    </row>
    <row r="8">
      <c r="A8" s="22" t="inlineStr">
        <is>
          <t>403000000000000000001</t>
        </is>
      </c>
      <c r="B8" s="22" t="inlineStr">
        <is>
          <t>Patrocinios por Comités</t>
        </is>
      </c>
      <c r="C8" s="22" t="inlineStr">
        <is>
          <t>Committees</t>
        </is>
      </c>
      <c r="D8" s="22" t="inlineStr">
        <is>
          <t>INCOME</t>
        </is>
      </c>
      <c r="E8" s="22" t="inlineStr">
        <is>
          <t>Patrocinios específicos para eventos de comités</t>
        </is>
      </c>
    </row>
    <row r="9">
      <c r="A9" s="22" t="inlineStr">
        <is>
          <t>409000000000000000001</t>
        </is>
      </c>
      <c r="B9" s="22" t="inlineStr">
        <is>
          <t>Venta Publicaciones</t>
        </is>
      </c>
      <c r="C9" s="22" t="inlineStr">
        <is>
          <t>Services</t>
        </is>
      </c>
      <c r="D9" s="22" t="inlineStr">
        <is>
          <t>INCOME</t>
        </is>
      </c>
      <c r="E9" s="22" t="inlineStr">
        <is>
          <t>Ingresos por venta de publicaciones y estudios</t>
        </is>
      </c>
    </row>
    <row r="10">
      <c r="A10" s="22" t="inlineStr">
        <is>
          <t>406000000000000000001</t>
        </is>
      </c>
      <c r="B10" s="22" t="inlineStr">
        <is>
          <t>Bolsa de Trabajo</t>
        </is>
      </c>
      <c r="C10" s="22" t="inlineStr">
        <is>
          <t>Services</t>
        </is>
      </c>
      <c r="D10" s="22" t="inlineStr">
        <is>
          <t>INCOME</t>
        </is>
      </c>
      <c r="E10" s="22" t="inlineStr">
        <is>
          <t>Ingresos por servicio de bolsa de trabajo</t>
        </is>
      </c>
    </row>
    <row r="11">
      <c r="A11" s="22" t="inlineStr">
        <is>
          <t>450001000000000000002</t>
        </is>
      </c>
      <c r="B11" s="22" t="inlineStr">
        <is>
          <t>Guadalajara Income</t>
        </is>
      </c>
      <c r="C11" s="22" t="inlineStr">
        <is>
          <t>Regional</t>
        </is>
      </c>
      <c r="D11" s="22" t="inlineStr">
        <is>
          <t>INCOME</t>
        </is>
      </c>
      <c r="E11" s="22" t="inlineStr">
        <is>
          <t>Ingresos consolidados del capítulo Guadalajara</t>
        </is>
      </c>
    </row>
    <row r="12">
      <c r="A12" s="22" t="inlineStr">
        <is>
          <t>450002000000000000002</t>
        </is>
      </c>
      <c r="B12" s="22" t="inlineStr">
        <is>
          <t>Monterrey Income</t>
        </is>
      </c>
      <c r="C12" s="22" t="inlineStr">
        <is>
          <t>Regional</t>
        </is>
      </c>
      <c r="D12" s="22" t="inlineStr">
        <is>
          <t>INCOME</t>
        </is>
      </c>
      <c r="E12" s="22" t="inlineStr">
        <is>
          <t>Ingresos consolidados del capítulo Monterrey</t>
        </is>
      </c>
    </row>
    <row r="13">
      <c r="A13" s="23" t="inlineStr">
        <is>
          <t>705000000000000000001</t>
        </is>
      </c>
      <c r="B13" s="23" t="inlineStr">
        <is>
          <t>Gastos Promoción</t>
        </is>
      </c>
      <c r="C13" s="23" t="inlineStr">
        <is>
          <t>Membership</t>
        </is>
      </c>
      <c r="D13" s="23" t="inlineStr">
        <is>
          <t>EXPENSE</t>
        </is>
      </c>
      <c r="E13" s="23" t="inlineStr">
        <is>
          <t>Gastos de marketing y promoción para captación de miembros</t>
        </is>
      </c>
    </row>
    <row r="14">
      <c r="A14" s="23" t="inlineStr">
        <is>
          <t>701000000000000000001</t>
        </is>
      </c>
      <c r="B14" s="23" t="inlineStr">
        <is>
          <t>Costo Eventos</t>
        </is>
      </c>
      <c r="C14" s="23" t="inlineStr">
        <is>
          <t>Events</t>
        </is>
      </c>
      <c r="D14" s="23" t="inlineStr">
        <is>
          <t>EXPENSE</t>
        </is>
      </c>
      <c r="E14" s="23" t="inlineStr">
        <is>
          <t>Costos directos de producción de eventos</t>
        </is>
      </c>
    </row>
    <row r="15">
      <c r="A15" s="23" t="inlineStr">
        <is>
          <t>702000000000000000001</t>
        </is>
      </c>
      <c r="B15" s="23" t="inlineStr">
        <is>
          <t>Servicio a la membresía</t>
        </is>
      </c>
      <c r="C15" s="23" t="inlineStr">
        <is>
          <t>Committees</t>
        </is>
      </c>
      <c r="D15" s="23" t="inlineStr">
        <is>
          <t>EXPENSE</t>
        </is>
      </c>
      <c r="E15" s="23" t="inlineStr">
        <is>
          <t>Costos de servicios a miembros vía comités</t>
        </is>
      </c>
    </row>
    <row r="16">
      <c r="A16" s="23" t="inlineStr">
        <is>
          <t>704000000000000000001</t>
        </is>
      </c>
      <c r="B16" s="23" t="inlineStr">
        <is>
          <t>Portafolio Económico</t>
        </is>
      </c>
      <c r="C16" s="23" t="inlineStr">
        <is>
          <t>Committees</t>
        </is>
      </c>
      <c r="D16" s="23" t="inlineStr">
        <is>
          <t>EXPENSE</t>
        </is>
      </c>
      <c r="E16" s="23" t="inlineStr">
        <is>
          <t>Costos del comité de portafolio económico</t>
        </is>
      </c>
    </row>
    <row r="17">
      <c r="A17" s="23" t="inlineStr">
        <is>
          <t>601000000000000000001</t>
        </is>
      </c>
      <c r="B17" s="23" t="inlineStr">
        <is>
          <t>Costo directo publicaciones</t>
        </is>
      </c>
      <c r="C17" s="23" t="inlineStr">
        <is>
          <t>Services</t>
        </is>
      </c>
      <c r="D17" s="23" t="inlineStr">
        <is>
          <t>EXPENSE</t>
        </is>
      </c>
      <c r="E17" s="23" t="inlineStr">
        <is>
          <t>Costos de producción de publicaciones</t>
        </is>
      </c>
    </row>
    <row r="18">
      <c r="A18" s="23" t="inlineStr">
        <is>
          <t>801001000000000000002</t>
        </is>
      </c>
      <c r="B18" s="23" t="inlineStr">
        <is>
          <t>Desarrollo de Negocios</t>
        </is>
      </c>
      <c r="C18" s="23" t="inlineStr">
        <is>
          <t>G&amp;A</t>
        </is>
      </c>
      <c r="D18" s="23" t="inlineStr">
        <is>
          <t>EXPENSE</t>
        </is>
      </c>
      <c r="E18" s="23" t="inlineStr">
        <is>
          <t>Gastos del departamento de Desarrollo de Negocios</t>
        </is>
      </c>
    </row>
    <row r="19">
      <c r="A19" s="23" t="inlineStr">
        <is>
          <t>801002000000000000002</t>
        </is>
      </c>
      <c r="B19" s="23" t="inlineStr">
        <is>
          <t>Relaciones Externas</t>
        </is>
      </c>
      <c r="C19" s="23" t="inlineStr">
        <is>
          <t>G&amp;A</t>
        </is>
      </c>
      <c r="D19" s="23" t="inlineStr">
        <is>
          <t>EXPENSE</t>
        </is>
      </c>
      <c r="E19" s="23" t="inlineStr">
        <is>
          <t>Gastos del departamento de Relaciones Externas</t>
        </is>
      </c>
    </row>
    <row r="20">
      <c r="A20" s="23" t="inlineStr">
        <is>
          <t>801003000000000000002</t>
        </is>
      </c>
      <c r="B20" s="23" t="inlineStr">
        <is>
          <t>Servicios a la membresía</t>
        </is>
      </c>
      <c r="C20" s="23" t="inlineStr">
        <is>
          <t>G&amp;A</t>
        </is>
      </c>
      <c r="D20" s="23" t="inlineStr">
        <is>
          <t>EXPENSE</t>
        </is>
      </c>
      <c r="E20" s="23" t="inlineStr">
        <is>
          <t>Gastos del departamento de Servicios</t>
        </is>
      </c>
    </row>
    <row r="21">
      <c r="A21" s="23" t="inlineStr">
        <is>
          <t>801004000000000000002</t>
        </is>
      </c>
      <c r="B21" s="23" t="inlineStr">
        <is>
          <t>Vicepresidencia</t>
        </is>
      </c>
      <c r="C21" s="23" t="inlineStr">
        <is>
          <t>G&amp;A</t>
        </is>
      </c>
      <c r="D21" s="23" t="inlineStr">
        <is>
          <t>EXPENSE</t>
        </is>
      </c>
      <c r="E21" s="23" t="inlineStr">
        <is>
          <t>Gastos de la Vicepresidencia</t>
        </is>
      </c>
    </row>
    <row r="22">
      <c r="A22" s="23" t="inlineStr">
        <is>
          <t>801005000000000000002</t>
        </is>
      </c>
      <c r="B22" s="23" t="inlineStr">
        <is>
          <t>Finanzas</t>
        </is>
      </c>
      <c r="C22" s="23" t="inlineStr">
        <is>
          <t>G&amp;A</t>
        </is>
      </c>
      <c r="D22" s="23" t="inlineStr">
        <is>
          <t>EXPENSE</t>
        </is>
      </c>
      <c r="E22" s="23" t="inlineStr">
        <is>
          <t>Gastos del departamento de Finanzas</t>
        </is>
      </c>
    </row>
    <row r="23">
      <c r="A23" s="23" t="inlineStr">
        <is>
          <t>801006000000000000002</t>
        </is>
      </c>
      <c r="B23" s="23" t="inlineStr">
        <is>
          <t>Administración</t>
        </is>
      </c>
      <c r="C23" s="23" t="inlineStr">
        <is>
          <t>G&amp;A</t>
        </is>
      </c>
      <c r="D23" s="23" t="inlineStr">
        <is>
          <t>EXPENSE</t>
        </is>
      </c>
      <c r="E23" s="23" t="inlineStr">
        <is>
          <t>Gastos administrativos generales</t>
        </is>
      </c>
    </row>
    <row r="24">
      <c r="A24" s="23" t="inlineStr">
        <is>
          <t>801007000000000000002</t>
        </is>
      </c>
      <c r="B24" s="23" t="inlineStr">
        <is>
          <t>Sistemas</t>
        </is>
      </c>
      <c r="C24" s="23" t="inlineStr">
        <is>
          <t>G&amp;A</t>
        </is>
      </c>
      <c r="D24" s="23" t="inlineStr">
        <is>
          <t>EXPENSE</t>
        </is>
      </c>
      <c r="E24" s="23" t="inlineStr">
        <is>
          <t>Gastos de TI y sistemas</t>
        </is>
      </c>
    </row>
    <row r="25">
      <c r="A25" s="23" t="inlineStr">
        <is>
          <t>801008000000000000002</t>
        </is>
      </c>
      <c r="B25" s="23" t="inlineStr">
        <is>
          <t>Empleos</t>
        </is>
      </c>
      <c r="C25" s="23" t="inlineStr">
        <is>
          <t>G&amp;A</t>
        </is>
      </c>
      <c r="D25" s="23" t="inlineStr">
        <is>
          <t>EXPENSE</t>
        </is>
      </c>
      <c r="E25" s="23" t="inlineStr">
        <is>
          <t>Gastos del programa de bolsa de trabajo</t>
        </is>
      </c>
    </row>
    <row r="26">
      <c r="A26" s="23" t="inlineStr">
        <is>
          <t>801009000000000000002</t>
        </is>
      </c>
      <c r="B26" s="23" t="inlineStr">
        <is>
          <t>Servicios Generales</t>
        </is>
      </c>
      <c r="C26" s="23" t="inlineStr">
        <is>
          <t>G&amp;A</t>
        </is>
      </c>
      <c r="D26" s="23" t="inlineStr">
        <is>
          <t>EXPENSE</t>
        </is>
      </c>
      <c r="E26" s="23" t="inlineStr">
        <is>
          <t>Gastos de servicios generales y almacén</t>
        </is>
      </c>
    </row>
    <row r="27">
      <c r="A27" s="23" t="inlineStr">
        <is>
          <t>801010000000000000002</t>
        </is>
      </c>
      <c r="B27" s="23" t="inlineStr">
        <is>
          <t>Eventos (Admin)</t>
        </is>
      </c>
      <c r="C27" s="23" t="inlineStr">
        <is>
          <t>G&amp;A</t>
        </is>
      </c>
      <c r="D27" s="23" t="inlineStr">
        <is>
          <t>EXPENSE</t>
        </is>
      </c>
      <c r="E27" s="23" t="inlineStr">
        <is>
          <t>Gastos administrativos del depto de eventos</t>
        </is>
      </c>
    </row>
    <row r="28">
      <c r="A28" s="23" t="inlineStr">
        <is>
          <t>801011000000000000002</t>
        </is>
      </c>
      <c r="B28" s="23" t="inlineStr">
        <is>
          <t>Comités (Admin)</t>
        </is>
      </c>
      <c r="C28" s="23" t="inlineStr">
        <is>
          <t>G&amp;A</t>
        </is>
      </c>
      <c r="D28" s="23" t="inlineStr">
        <is>
          <t>EXPENSE</t>
        </is>
      </c>
      <c r="E28" s="23" t="inlineStr">
        <is>
          <t>Gastos administrativos del depto de comités</t>
        </is>
      </c>
    </row>
    <row r="29">
      <c r="A29" s="23" t="inlineStr">
        <is>
          <t>801012000000000000002</t>
        </is>
      </c>
      <c r="B29" s="23" t="inlineStr">
        <is>
          <t>Renta de Salas</t>
        </is>
      </c>
      <c r="C29" s="23" t="inlineStr">
        <is>
          <t>G&amp;A</t>
        </is>
      </c>
      <c r="D29" s="23" t="inlineStr">
        <is>
          <t>EXPENSE</t>
        </is>
      </c>
      <c r="E29" s="23" t="inlineStr">
        <is>
          <t>Gastos de renta de salas</t>
        </is>
      </c>
    </row>
    <row r="30">
      <c r="A30" s="23" t="inlineStr">
        <is>
          <t>801013000000000000002</t>
        </is>
      </c>
      <c r="B30" s="23" t="inlineStr">
        <is>
          <t>Comunicación</t>
        </is>
      </c>
      <c r="C30" s="23" t="inlineStr">
        <is>
          <t>G&amp;A</t>
        </is>
      </c>
      <c r="D30" s="23" t="inlineStr">
        <is>
          <t>EXPENSE</t>
        </is>
      </c>
      <c r="E30" s="23" t="inlineStr">
        <is>
          <t>Gastos del departamento de Comunicación</t>
        </is>
      </c>
    </row>
    <row r="31">
      <c r="A31" s="23" t="inlineStr">
        <is>
          <t>901000000000000000001</t>
        </is>
      </c>
      <c r="B31" s="23" t="inlineStr">
        <is>
          <t>Gastos Generales</t>
        </is>
      </c>
      <c r="C31" s="23" t="inlineStr">
        <is>
          <t>Other</t>
        </is>
      </c>
      <c r="D31" s="23" t="inlineStr">
        <is>
          <t>EXPENSE</t>
        </is>
      </c>
      <c r="E31" s="23" t="inlineStr">
        <is>
          <t>Gastos generales no clasificados</t>
        </is>
      </c>
    </row>
    <row r="32">
      <c r="A32" s="23" t="inlineStr">
        <is>
          <t>513000000000000000001</t>
        </is>
      </c>
      <c r="B32" s="23" t="inlineStr">
        <is>
          <t>Nómina Vicepresidencia</t>
        </is>
      </c>
      <c r="C32" s="23" t="inlineStr">
        <is>
          <t>Payroll</t>
        </is>
      </c>
      <c r="D32" s="23" t="inlineStr">
        <is>
          <t>EXPENSE</t>
        </is>
      </c>
      <c r="E32" s="23" t="inlineStr">
        <is>
          <t>Sueldos equipo de Vicepresidencia</t>
        </is>
      </c>
    </row>
    <row r="33">
      <c r="A33" s="23" t="inlineStr">
        <is>
          <t>517000000000000000001</t>
        </is>
      </c>
      <c r="B33" s="23" t="inlineStr">
        <is>
          <t>Nómina Desarrollo Negocios</t>
        </is>
      </c>
      <c r="C33" s="23" t="inlineStr">
        <is>
          <t>Payroll</t>
        </is>
      </c>
      <c r="D33" s="23" t="inlineStr">
        <is>
          <t>EXPENSE</t>
        </is>
      </c>
      <c r="E33" s="23" t="inlineStr">
        <is>
          <t>Sueldos equipo de Desarrollo de Negocios</t>
        </is>
      </c>
    </row>
    <row r="34">
      <c r="A34" s="23" t="inlineStr">
        <is>
          <t>516000000000000000001</t>
        </is>
      </c>
      <c r="B34" s="23" t="inlineStr">
        <is>
          <t>Nómina Comités y RREE</t>
        </is>
      </c>
      <c r="C34" s="23" t="inlineStr">
        <is>
          <t>Payroll</t>
        </is>
      </c>
      <c r="D34" s="23" t="inlineStr">
        <is>
          <t>EXPENSE</t>
        </is>
      </c>
      <c r="E34" s="23" t="inlineStr">
        <is>
          <t>Sueldos equipo de Comités y Relaciones Externas</t>
        </is>
      </c>
    </row>
    <row r="35">
      <c r="A35" s="23" t="inlineStr">
        <is>
          <t>519000000000000000001</t>
        </is>
      </c>
      <c r="B35" s="23" t="inlineStr">
        <is>
          <t>Nómina Comunicación</t>
        </is>
      </c>
      <c r="C35" s="23" t="inlineStr">
        <is>
          <t>Payroll</t>
        </is>
      </c>
      <c r="D35" s="23" t="inlineStr">
        <is>
          <t>EXPENSE</t>
        </is>
      </c>
      <c r="E35" s="23" t="inlineStr">
        <is>
          <t>Sueldos equipo de Comunicación</t>
        </is>
      </c>
    </row>
    <row r="36">
      <c r="A36" s="23" t="inlineStr">
        <is>
          <t>515000000000000000001</t>
        </is>
      </c>
      <c r="B36" s="23" t="inlineStr">
        <is>
          <t>Nómina Servicios Membresía</t>
        </is>
      </c>
      <c r="C36" s="23" t="inlineStr">
        <is>
          <t>Payroll</t>
        </is>
      </c>
      <c r="D36" s="23" t="inlineStr">
        <is>
          <t>EXPENSE</t>
        </is>
      </c>
      <c r="E36" s="23" t="inlineStr">
        <is>
          <t>Sueldos equipo de Servicios a Miembros</t>
        </is>
      </c>
    </row>
    <row r="37">
      <c r="A37" s="23" t="inlineStr">
        <is>
          <t>518000000000000000001</t>
        </is>
      </c>
      <c r="B37" s="23" t="inlineStr">
        <is>
          <t>Nómina Eventos y Marketing</t>
        </is>
      </c>
      <c r="C37" s="23" t="inlineStr">
        <is>
          <t>Payroll</t>
        </is>
      </c>
      <c r="D37" s="23" t="inlineStr">
        <is>
          <t>EXPENSE</t>
        </is>
      </c>
      <c r="E37" s="23" t="inlineStr">
        <is>
          <t>Sueldos equipo de Eventos y Marketing</t>
        </is>
      </c>
    </row>
    <row r="38">
      <c r="A38" s="23" t="inlineStr">
        <is>
          <t>514000000000000000001</t>
        </is>
      </c>
      <c r="B38" s="23" t="inlineStr">
        <is>
          <t>Nómina Admin y Finanzas</t>
        </is>
      </c>
      <c r="C38" s="23" t="inlineStr">
        <is>
          <t>Payroll</t>
        </is>
      </c>
      <c r="D38" s="23" t="inlineStr">
        <is>
          <t>EXPENSE</t>
        </is>
      </c>
      <c r="E38" s="23" t="inlineStr">
        <is>
          <t>Sueldos equipo de Administración y Finanzas</t>
        </is>
      </c>
    </row>
    <row r="39">
      <c r="A39" s="23" t="inlineStr">
        <is>
          <t>950001002000000000003</t>
        </is>
      </c>
      <c r="B39" s="23" t="inlineStr">
        <is>
          <t>Gastos Guadalajara</t>
        </is>
      </c>
      <c r="C39" s="23" t="inlineStr">
        <is>
          <t>Regional</t>
        </is>
      </c>
      <c r="D39" s="23" t="inlineStr">
        <is>
          <t>EXPENSE</t>
        </is>
      </c>
      <c r="E39" s="23" t="inlineStr">
        <is>
          <t>Gastos consolidados del capítulo Guadalajara</t>
        </is>
      </c>
    </row>
    <row r="40">
      <c r="A40" s="23" t="inlineStr">
        <is>
          <t>950002002000000000003</t>
        </is>
      </c>
      <c r="B40" s="23" t="inlineStr">
        <is>
          <t>Gastos Monterrey</t>
        </is>
      </c>
      <c r="C40" s="23" t="inlineStr">
        <is>
          <t>Regional</t>
        </is>
      </c>
      <c r="D40" s="23" t="inlineStr">
        <is>
          <t>EXPENSE</t>
        </is>
      </c>
      <c r="E40" s="23" t="inlineStr">
        <is>
          <t>Gastos consolidados del capítulo Monterrey</t>
        </is>
      </c>
    </row>
    <row r="41">
      <c r="A41" s="22" t="inlineStr">
        <is>
          <t>413000000000000000001</t>
        </is>
      </c>
      <c r="B41" s="22" t="inlineStr">
        <is>
          <t>Otros Ingresos</t>
        </is>
      </c>
      <c r="C41" s="22" t="inlineStr">
        <is>
          <t>Other Income</t>
        </is>
      </c>
      <c r="D41" s="22" t="inlineStr">
        <is>
          <t>INCOME</t>
        </is>
      </c>
      <c r="E41" s="22" t="inlineStr">
        <is>
          <t>Ingresos diversos no clasificados</t>
        </is>
      </c>
    </row>
    <row r="42">
      <c r="A42" s="22" t="inlineStr">
        <is>
          <t>414000000000000000001</t>
        </is>
      </c>
      <c r="B42" s="22" t="inlineStr">
        <is>
          <t>Intereses Bancos</t>
        </is>
      </c>
      <c r="C42" s="22" t="inlineStr">
        <is>
          <t>Financial</t>
        </is>
      </c>
      <c r="D42" s="22" t="inlineStr">
        <is>
          <t>INCOME</t>
        </is>
      </c>
      <c r="E42" s="22" t="inlineStr">
        <is>
          <t>Intereses ganados por depósitos bancarios</t>
        </is>
      </c>
    </row>
    <row r="43">
      <c r="A43" s="22" t="inlineStr">
        <is>
          <t>416000000000000000001</t>
        </is>
      </c>
      <c r="B43" s="22" t="inlineStr">
        <is>
          <t>Utilidad Cambiaria</t>
        </is>
      </c>
      <c r="C43" s="22" t="inlineStr">
        <is>
          <t>Financial</t>
        </is>
      </c>
      <c r="D43" s="22" t="inlineStr">
        <is>
          <t>INCOME</t>
        </is>
      </c>
      <c r="E43" s="22" t="inlineStr">
        <is>
          <t>Utilidad/pérdida por tipo de cambio en inversiones</t>
        </is>
      </c>
    </row>
    <row r="44">
      <c r="A44" s="22" t="inlineStr">
        <is>
          <t>418000000000000000001</t>
        </is>
      </c>
      <c r="B44" s="22" t="inlineStr">
        <is>
          <t>Plusvalía/Minusvalía Inversiones</t>
        </is>
      </c>
      <c r="C44" s="22" t="inlineStr">
        <is>
          <t>Financial</t>
        </is>
      </c>
      <c r="D44" s="22" t="inlineStr">
        <is>
          <t>INCOME</t>
        </is>
      </c>
      <c r="E44" s="22" t="inlineStr">
        <is>
          <t>Ganancia/pérdida por revaluación de inversiones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2025-12-04T03:41:37Z</dcterms:created>
  <dcterms:modified xmlns:dcterms="http://purl.org/dc/terms/" xmlns:xsi="http://www.w3.org/2001/XMLSchema-instance" xsi:type="dcterms:W3CDTF">2025-12-04T03:44:25Z</dcterms:modified>
</cp:coreProperties>
</file>