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5. Diagrama Visual" sheetId="1" state="visible" r:id="rId1"/>
    <sheet xmlns:r="http://schemas.openxmlformats.org/officeDocument/2006/relationships" name="1. SUMMARY - Estructura" sheetId="2" state="visible" r:id="rId2"/>
    <sheet xmlns:r="http://schemas.openxmlformats.org/officeDocument/2006/relationships" name="2. RESUMEN - Estructura" sheetId="3" state="visible" r:id="rId3"/>
    <sheet xmlns:r="http://schemas.openxmlformats.org/officeDocument/2006/relationships" name="3. Diferencias SUMMARY vs RESUM" sheetId="4" state="visible" r:id="rId4"/>
    <sheet xmlns:r="http://schemas.openxmlformats.org/officeDocument/2006/relationships" name="4. Resumen Ejecutivo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0"/>
    </font>
    <font>
      <name val="Cambria"/>
      <charset val="1"/>
      <family val="0"/>
      <sz val="9"/>
    </font>
    <font>
      <name val="Cambria"/>
      <charset val="1"/>
      <family val="0"/>
      <b val="1"/>
      <sz val="14"/>
    </font>
    <font>
      <b val="1"/>
      <color rgb="00FFFFFF"/>
      <sz val="14"/>
    </font>
    <font>
      <b val="1"/>
      <sz val="11"/>
    </font>
    <font>
      <b val="1"/>
      <color rgb="00FFFFFF"/>
    </font>
    <font>
      <b val="1"/>
    </font>
    <font>
      <b val="1"/>
      <sz val="12"/>
    </font>
    <font>
      <b val="1"/>
      <sz val="9"/>
    </font>
    <font>
      <sz val="9"/>
    </font>
  </fonts>
  <fills count="12">
    <fill>
      <patternFill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FF6B6B"/>
        <bgColor rgb="00FF6B6B"/>
      </patternFill>
    </fill>
    <fill>
      <patternFill patternType="solid">
        <fgColor rgb="004ECDC4"/>
        <bgColor rgb="004ECDC4"/>
      </patternFill>
    </fill>
    <fill>
      <patternFill patternType="solid">
        <fgColor rgb="0095E1D3"/>
        <bgColor rgb="0095E1D3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8" fillId="5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6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0" fillId="6" borderId="2" applyAlignment="1" pivotButton="0" quotePrefix="0" xfId="0">
      <alignment horizontal="center"/>
    </xf>
    <xf numFmtId="0" fontId="10" fillId="7" borderId="2" applyAlignment="1" pivotButton="0" quotePrefix="0" xfId="0">
      <alignment horizontal="center"/>
    </xf>
    <xf numFmtId="0" fontId="13" fillId="8" borderId="2" applyAlignment="1" pivotButton="0" quotePrefix="0" xfId="0">
      <alignment horizontal="center" wrapText="1"/>
    </xf>
    <xf numFmtId="0" fontId="13" fillId="0" borderId="0" pivotButton="0" quotePrefix="0" xfId="0"/>
    <xf numFmtId="0" fontId="14" fillId="9" borderId="2" applyAlignment="1" pivotButton="0" quotePrefix="0" xfId="0">
      <alignment indent="2"/>
    </xf>
    <xf numFmtId="0" fontId="10" fillId="10" borderId="0" applyAlignment="1" pivotButton="0" quotePrefix="0" xfId="0">
      <alignment horizontal="center"/>
    </xf>
    <xf numFmtId="0" fontId="11" fillId="11" borderId="2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5" customWidth="1" style="15" min="1" max="1"/>
    <col width="15" customWidth="1" style="15" min="2" max="2"/>
    <col width="15" customWidth="1" style="15" min="3" max="3"/>
    <col width="15" customWidth="1" style="15" min="4" max="4"/>
    <col width="15" customWidth="1" style="15" min="5" max="5"/>
    <col width="15" customWidth="1" style="15" min="6" max="6"/>
    <col width="15" customWidth="1" style="15" min="7" max="7"/>
    <col width="15" customWidth="1" style="15" min="8" max="8"/>
    <col width="15" customWidth="1" style="15" min="9" max="9"/>
    <col width="15" customWidth="1" style="15" min="10" max="10"/>
  </cols>
  <sheetData>
    <row r="1" ht="30" customHeight="1" s="15">
      <c r="A1" s="16" t="inlineStr">
        <is>
          <t>ESTRUCTURA JERÁRQUICA DE AGREGACIÓN - VISTA SUMMARY</t>
        </is>
      </c>
    </row>
    <row r="3">
      <c r="A3" s="17" t="inlineStr">
        <is>
          <t>LEYENDA DE NIVELES:</t>
        </is>
      </c>
    </row>
    <row r="4" ht="25" customHeight="1" s="15">
      <c r="A4" s="18" t="inlineStr">
        <is>
          <t>Nivel 0: Consolidado Total</t>
        </is>
      </c>
    </row>
    <row r="5" ht="25" customHeight="1" s="15">
      <c r="A5" s="19" t="inlineStr">
        <is>
          <t>Nivel 1: Consolidado Regional</t>
        </is>
      </c>
    </row>
    <row r="6" ht="25" customHeight="1" s="15">
      <c r="A6" s="20" t="inlineStr">
        <is>
          <t>Nivel 2: Categorías Principales</t>
        </is>
      </c>
    </row>
    <row r="7" ht="25" customHeight="1" s="15">
      <c r="A7" s="21" t="inlineStr">
        <is>
          <t>Nivel 3: Cuentas Individuales</t>
        </is>
      </c>
    </row>
    <row r="9">
      <c r="A9" s="22" t="inlineStr">
        <is>
          <t>══════════════ INCOME ══════════════</t>
        </is>
      </c>
    </row>
    <row r="10" ht="30" customHeight="1" s="15">
      <c r="A10" s="23" t="inlineStr">
        <is>
          <t>CONSOLIDATED INCOME</t>
        </is>
      </c>
    </row>
    <row r="11" ht="25" customHeight="1" s="15">
      <c r="A11" s="24" t="inlineStr">
        <is>
          <t>CDMX Income</t>
        </is>
      </c>
      <c r="D11" s="24" t="inlineStr">
        <is>
          <t>Guadalajara Income</t>
        </is>
      </c>
      <c r="G11" s="24" t="inlineStr">
        <is>
          <t>Monterrey Income</t>
        </is>
      </c>
    </row>
    <row r="12" ht="30" customHeight="1" s="15">
      <c r="A12" s="25" t="inlineStr">
        <is>
          <t>Membership</t>
        </is>
      </c>
      <c r="C12" s="25" t="inlineStr">
        <is>
          <t>Events</t>
        </is>
      </c>
      <c r="E12" s="25" t="inlineStr">
        <is>
          <t>Committees</t>
        </is>
      </c>
      <c r="G12" s="25" t="inlineStr">
        <is>
          <t>Services to Members</t>
        </is>
      </c>
    </row>
    <row r="14">
      <c r="A14" s="26" t="inlineStr">
        <is>
          <t>Ejemplo Membership:</t>
        </is>
      </c>
    </row>
    <row r="15">
      <c r="A15" s="27" t="inlineStr">
        <is>
          <t>401... Cuotas Netas</t>
        </is>
      </c>
    </row>
    <row r="16">
      <c r="A16" s="27" t="inlineStr">
        <is>
          <t>402... Ingresos socios nuevos</t>
        </is>
      </c>
    </row>
    <row r="17">
      <c r="A17" s="27" t="inlineStr">
        <is>
          <t>412... Economex</t>
        </is>
      </c>
    </row>
    <row r="21">
      <c r="F21" s="28" t="inlineStr">
        <is>
          <t>OPERACIONES CLAVE</t>
        </is>
      </c>
    </row>
    <row r="22">
      <c r="F22" s="29" t="inlineStr">
        <is>
          <t>Tipo</t>
        </is>
      </c>
      <c r="G22" s="29" t="inlineStr">
        <is>
          <t>Operación</t>
        </is>
      </c>
      <c r="I22" s="29" t="inlineStr">
        <is>
          <t>Ejemplo</t>
        </is>
      </c>
    </row>
    <row r="23">
      <c r="F23" s="30" t="inlineStr">
        <is>
          <t>SUMA</t>
        </is>
      </c>
      <c r="G23" s="30" t="inlineStr">
        <is>
          <t>Agrega filas hijas</t>
        </is>
      </c>
      <c r="I23" s="30">
        <f>SUM(B10:B12)</f>
        <v/>
      </c>
    </row>
    <row r="24">
      <c r="F24" s="30" t="inlineStr">
        <is>
          <t>VLOOKUP</t>
        </is>
      </c>
      <c r="G24" s="30" t="inlineStr">
        <is>
          <t>Busca en SALDOS</t>
        </is>
      </c>
      <c r="I24" s="30">
        <f>VLOOKUP(A10,SALDOS!...)</f>
        <v/>
      </c>
    </row>
    <row r="25">
      <c r="F25" s="30" t="inlineStr">
        <is>
          <t>SUMIF</t>
        </is>
      </c>
      <c r="G25" s="30" t="inlineStr">
        <is>
          <t>Suma por criterio</t>
        </is>
      </c>
      <c r="I25" s="30">
        <f>SUMIF(...)</f>
        <v/>
      </c>
    </row>
    <row r="26">
      <c r="F26" s="30" t="inlineStr">
        <is>
          <t>Consolidado</t>
        </is>
      </c>
      <c r="G26" s="30" t="inlineStr">
        <is>
          <t>Suma regionales</t>
        </is>
      </c>
      <c r="I26" s="30">
        <f>B8+B25+B27</f>
        <v/>
      </c>
    </row>
  </sheetData>
  <mergeCells count="29">
    <mergeCell ref="E12:F12"/>
    <mergeCell ref="D11:F11"/>
    <mergeCell ref="G23:H23"/>
    <mergeCell ref="A10:J10"/>
    <mergeCell ref="I26:J26"/>
    <mergeCell ref="A6:B6"/>
    <mergeCell ref="F21:J21"/>
    <mergeCell ref="A7:B7"/>
    <mergeCell ref="A9:J9"/>
    <mergeCell ref="I25:J25"/>
    <mergeCell ref="A17:C17"/>
    <mergeCell ref="I22:J22"/>
    <mergeCell ref="A12:B12"/>
    <mergeCell ref="A1:J1"/>
    <mergeCell ref="C12:D12"/>
    <mergeCell ref="G24:H24"/>
    <mergeCell ref="I24:J24"/>
    <mergeCell ref="A5:B5"/>
    <mergeCell ref="A14:B14"/>
    <mergeCell ref="I23:J23"/>
    <mergeCell ref="G12:I12"/>
    <mergeCell ref="A15:C15"/>
    <mergeCell ref="G26:H26"/>
    <mergeCell ref="G11:I11"/>
    <mergeCell ref="A4:B4"/>
    <mergeCell ref="A11:C11"/>
    <mergeCell ref="G25:H25"/>
    <mergeCell ref="G22:H22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6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8" customWidth="1" style="31" min="2" max="2"/>
    <col width="22" customWidth="1" style="31" min="3" max="3"/>
    <col width="35" customWidth="1" style="31" min="4" max="4"/>
    <col width="15" customWidth="1" style="31" min="5" max="5"/>
    <col width="50" customWidth="1" style="31" min="6" max="6"/>
    <col width="40" customWidth="1" style="31" min="7" max="7"/>
    <col width="25" customWidth="1" style="31" min="8" max="8"/>
  </cols>
  <sheetData>
    <row r="1" ht="15" customHeight="1" s="15">
      <c r="A1" s="32" t="inlineStr">
        <is>
          <t>Nivel</t>
        </is>
      </c>
      <c r="B1" s="32" t="inlineStr">
        <is>
          <t>Fila</t>
        </is>
      </c>
      <c r="C1" s="32" t="inlineStr">
        <is>
          <t>Cuenta</t>
        </is>
      </c>
      <c r="D1" s="32" t="inlineStr">
        <is>
          <t>Nombre</t>
        </is>
      </c>
      <c r="E1" s="32" t="inlineStr">
        <is>
          <t>Tipo</t>
        </is>
      </c>
      <c r="F1" s="32" t="inlineStr">
        <is>
          <t>Fórmula/Operación</t>
        </is>
      </c>
      <c r="G1" s="32" t="inlineStr">
        <is>
          <t>Descripción</t>
        </is>
      </c>
      <c r="H1" s="32" t="inlineStr">
        <is>
          <t>Fuente de Datos</t>
        </is>
      </c>
    </row>
    <row r="2" ht="15" customHeight="1" s="15">
      <c r="A2" s="33" t="inlineStr">
        <is>
          <t>CONSOLIDADO</t>
        </is>
      </c>
    </row>
    <row r="3" ht="15" customHeight="1" s="15">
      <c r="A3" s="34" t="inlineStr">
        <is>
          <t>Nivel 1</t>
        </is>
      </c>
      <c r="B3" s="34" t="inlineStr">
        <is>
          <t>8</t>
        </is>
      </c>
      <c r="C3" s="34" t="n"/>
      <c r="D3" s="34" t="inlineStr">
        <is>
          <t>CDMX Income</t>
        </is>
      </c>
      <c r="E3" s="34" t="inlineStr">
        <is>
          <t>SUMA</t>
        </is>
      </c>
      <c r="F3" s="35">
        <f>SUM(B9,B13,B16,B19)</f>
        <v/>
      </c>
      <c r="G3" s="34" t="inlineStr">
        <is>
          <t>Suma de todas las secciones de ingresos de CDMX</t>
        </is>
      </c>
      <c r="H3" s="34" t="inlineStr">
        <is>
          <t>Sumas de niveles inferiores</t>
        </is>
      </c>
    </row>
    <row r="4" ht="15" customHeight="1" s="15">
      <c r="A4" s="34" t="inlineStr">
        <is>
          <t>Nivel 2</t>
        </is>
      </c>
      <c r="B4" s="34" t="inlineStr">
        <is>
          <t>9</t>
        </is>
      </c>
      <c r="C4" s="34" t="n"/>
      <c r="D4" s="34" t="inlineStr">
        <is>
          <t>Membership</t>
        </is>
      </c>
      <c r="E4" s="34" t="inlineStr">
        <is>
          <t>SUMA</t>
        </is>
      </c>
      <c r="F4" s="35">
        <f>SUM(B10:B12)</f>
        <v/>
      </c>
      <c r="G4" s="34" t="inlineStr">
        <is>
          <t>Suma de cuentas de membresías</t>
        </is>
      </c>
      <c r="H4" s="34" t="n"/>
    </row>
    <row r="5" ht="15" customHeight="1" s="15">
      <c r="A5" s="36" t="inlineStr">
        <is>
          <t>Nivel 3</t>
        </is>
      </c>
      <c r="B5" s="36" t="inlineStr">
        <is>
          <t>10</t>
        </is>
      </c>
      <c r="C5" s="36" t="inlineStr">
        <is>
          <t>401000000000000000001</t>
        </is>
      </c>
      <c r="D5" s="36" t="inlineStr">
        <is>
          <t>Cuotas Netas</t>
        </is>
      </c>
      <c r="E5" s="36" t="inlineStr">
        <is>
          <t>VLOOKUP</t>
        </is>
      </c>
      <c r="F5" s="37">
        <f>ABS(VLOOKUP(A10,INDIRECT($M$1),$P$1,FALSE())-vlookup...)</f>
        <v/>
      </c>
      <c r="G5" s="36" t="inlineStr">
        <is>
          <t>Busca en hoja SALDOS y resta acumulados</t>
        </is>
      </c>
      <c r="H5" s="36" t="inlineStr">
        <is>
          <t>Hoja SALDOSXX</t>
        </is>
      </c>
    </row>
    <row r="6" ht="15" customHeight="1" s="15">
      <c r="A6" s="36" t="inlineStr">
        <is>
          <t>Nivel 3</t>
        </is>
      </c>
      <c r="B6" s="36" t="inlineStr">
        <is>
          <t>11</t>
        </is>
      </c>
      <c r="C6" s="36" t="inlineStr">
        <is>
          <t>402000000000000000001</t>
        </is>
      </c>
      <c r="D6" s="36" t="inlineStr">
        <is>
          <t>Ingresos socios nuevos</t>
        </is>
      </c>
      <c r="E6" s="36" t="inlineStr">
        <is>
          <t>VLOOKUP</t>
        </is>
      </c>
      <c r="F6" s="37">
        <f>ABS(VLOOKUP(A11,INDIRECT($M$1),$P$1,FALSE())-vlookup...)</f>
        <v/>
      </c>
      <c r="G6" s="36" t="inlineStr">
        <is>
          <t>Busca en hoja SALDOS y resta acumulados</t>
        </is>
      </c>
      <c r="H6" s="36" t="inlineStr">
        <is>
          <t>Hoja SALDOSXX</t>
        </is>
      </c>
    </row>
    <row r="7" ht="15" customHeight="1" s="15">
      <c r="A7" s="36" t="inlineStr">
        <is>
          <t>Nivel 3</t>
        </is>
      </c>
      <c r="B7" s="36" t="inlineStr">
        <is>
          <t>12</t>
        </is>
      </c>
      <c r="C7" s="36" t="inlineStr">
        <is>
          <t>412000000000000000001</t>
        </is>
      </c>
      <c r="D7" s="36" t="inlineStr">
        <is>
          <t>Economex</t>
        </is>
      </c>
      <c r="E7" s="36" t="inlineStr">
        <is>
          <t>VLOOKUP</t>
        </is>
      </c>
      <c r="F7" s="37">
        <f>ABS(VLOOKUP(A12,INDIRECT($M$1),$P$1,FALSE())-vlookup...)</f>
        <v/>
      </c>
      <c r="G7" s="36" t="inlineStr">
        <is>
          <t>Busca en hoja SALDOS y resta acumulados</t>
        </is>
      </c>
      <c r="H7" s="36" t="inlineStr">
        <is>
          <t>Hoja SALDOSXX</t>
        </is>
      </c>
    </row>
    <row r="8" ht="15" customHeight="1" s="15">
      <c r="A8" s="34" t="inlineStr">
        <is>
          <t>Nivel 2</t>
        </is>
      </c>
      <c r="B8" s="34" t="inlineStr">
        <is>
          <t>13</t>
        </is>
      </c>
      <c r="C8" s="34" t="n"/>
      <c r="D8" s="34" t="inlineStr">
        <is>
          <t>Events</t>
        </is>
      </c>
      <c r="E8" s="34" t="inlineStr">
        <is>
          <t>SUMA</t>
        </is>
      </c>
      <c r="F8" s="35">
        <f>SUM(B14:B15)</f>
        <v/>
      </c>
      <c r="G8" s="34" t="inlineStr">
        <is>
          <t>Suma de cuentas de eventos</t>
        </is>
      </c>
      <c r="H8" s="34" t="n"/>
    </row>
    <row r="9" ht="15" customHeight="1" s="15">
      <c r="A9" s="36" t="inlineStr">
        <is>
          <t>Nivel 3</t>
        </is>
      </c>
      <c r="B9" s="36" t="inlineStr">
        <is>
          <t>14</t>
        </is>
      </c>
      <c r="C9" s="36" t="inlineStr">
        <is>
          <t>407000000000000000001</t>
        </is>
      </c>
      <c r="D9" s="36" t="inlineStr">
        <is>
          <t>Eventos</t>
        </is>
      </c>
      <c r="E9" s="36" t="inlineStr">
        <is>
          <t>VLOOKUP</t>
        </is>
      </c>
      <c r="F9" s="37">
        <f>ABS(VLOOKUP(A14,INDIRECT($M$1),$P$1,FALSE())-vlookup...)</f>
        <v/>
      </c>
      <c r="G9" s="36" t="inlineStr">
        <is>
          <t>Busca en hoja SALDOS y resta acumulados</t>
        </is>
      </c>
      <c r="H9" s="36" t="inlineStr">
        <is>
          <t>Hoja SALDOSXX</t>
        </is>
      </c>
    </row>
    <row r="10" ht="15" customHeight="1" s="15">
      <c r="A10" s="36" t="inlineStr">
        <is>
          <t>Nivel 3</t>
        </is>
      </c>
      <c r="B10" s="36" t="inlineStr">
        <is>
          <t>15</t>
        </is>
      </c>
      <c r="C10" s="36" t="inlineStr">
        <is>
          <t>408000000000000000001</t>
        </is>
      </c>
      <c r="D10" s="36" t="inlineStr">
        <is>
          <t>Patrocinios</t>
        </is>
      </c>
      <c r="E10" s="36" t="inlineStr">
        <is>
          <t>VLOOKUP</t>
        </is>
      </c>
      <c r="F10" s="37">
        <f>ABS(VLOOKUP(A15,INDIRECT($M$1),$P$1,FALSE())-vlookup...)</f>
        <v/>
      </c>
      <c r="G10" s="36" t="inlineStr">
        <is>
          <t>Busca en hoja SALDOS y resta acumulados</t>
        </is>
      </c>
      <c r="H10" s="36" t="inlineStr">
        <is>
          <t>Hoja SALDOSXX</t>
        </is>
      </c>
    </row>
    <row r="11" ht="15" customHeight="1" s="15">
      <c r="A11" s="34" t="inlineStr">
        <is>
          <t>Nivel 2</t>
        </is>
      </c>
      <c r="B11" s="34" t="inlineStr">
        <is>
          <t>16</t>
        </is>
      </c>
      <c r="C11" s="34" t="n"/>
      <c r="D11" s="34" t="inlineStr">
        <is>
          <t>Committees</t>
        </is>
      </c>
      <c r="E11" s="34" t="inlineStr">
        <is>
          <t>SUMA</t>
        </is>
      </c>
      <c r="F11" s="35">
        <f>SUM(B17:B18)</f>
        <v/>
      </c>
      <c r="G11" s="34" t="inlineStr">
        <is>
          <t>Suma de cuentas de comités</t>
        </is>
      </c>
      <c r="H11" s="34" t="n"/>
    </row>
    <row r="12" ht="15" customHeight="1" s="15">
      <c r="A12" s="36" t="inlineStr">
        <is>
          <t>Nivel 3</t>
        </is>
      </c>
      <c r="B12" s="36" t="inlineStr">
        <is>
          <t>17</t>
        </is>
      </c>
      <c r="C12" s="36" t="inlineStr">
        <is>
          <t>417000000000000000001</t>
        </is>
      </c>
      <c r="D12" s="36" t="inlineStr">
        <is>
          <t>Committees</t>
        </is>
      </c>
      <c r="E12" s="36" t="inlineStr">
        <is>
          <t>VLOOKUP</t>
        </is>
      </c>
      <c r="F12" s="37">
        <f>ABS(VLOOKUP(A17,INDIRECT($M$1),$P$1,FALSE())-vlookup...)</f>
        <v/>
      </c>
      <c r="G12" s="36" t="inlineStr">
        <is>
          <t>Busca en hoja SALDOS y resta acumulados</t>
        </is>
      </c>
      <c r="H12" s="36" t="inlineStr">
        <is>
          <t>Hoja SALDOSXX</t>
        </is>
      </c>
    </row>
    <row r="13" ht="15" customHeight="1" s="15">
      <c r="A13" s="36" t="inlineStr">
        <is>
          <t>Nivel 3</t>
        </is>
      </c>
      <c r="B13" s="36" t="inlineStr">
        <is>
          <t>18</t>
        </is>
      </c>
      <c r="C13" s="36" t="inlineStr">
        <is>
          <t>403000000000000000001</t>
        </is>
      </c>
      <c r="D13" s="36" t="inlineStr">
        <is>
          <t>Patrocinios por Comites</t>
        </is>
      </c>
      <c r="E13" s="36" t="inlineStr">
        <is>
          <t>VLOOKUP</t>
        </is>
      </c>
      <c r="F13" s="37">
        <f>ABS(VLOOKUP(A18,INDIRECT($M$1),$P$1,FALSE())-vlookup...)</f>
        <v/>
      </c>
      <c r="G13" s="36" t="inlineStr">
        <is>
          <t>Busca en hoja SALDOS y resta acumulados</t>
        </is>
      </c>
      <c r="H13" s="36" t="inlineStr">
        <is>
          <t>Hoja SALDOSXX</t>
        </is>
      </c>
    </row>
    <row r="14" ht="15" customHeight="1" s="15">
      <c r="A14" s="34" t="inlineStr">
        <is>
          <t>Nivel 2</t>
        </is>
      </c>
      <c r="B14" s="34" t="inlineStr">
        <is>
          <t>19</t>
        </is>
      </c>
      <c r="C14" s="34" t="n"/>
      <c r="D14" s="34" t="inlineStr">
        <is>
          <t>Services to Members</t>
        </is>
      </c>
      <c r="E14" s="34" t="inlineStr">
        <is>
          <t>SUMA</t>
        </is>
      </c>
      <c r="F14" s="35">
        <f>SUM(B20:B24)</f>
        <v/>
      </c>
      <c r="G14" s="34" t="inlineStr">
        <is>
          <t>Suma de cuentas de servicios a miembros</t>
        </is>
      </c>
      <c r="H14" s="34" t="n"/>
    </row>
    <row r="15" ht="15" customHeight="1" s="15">
      <c r="A15" s="36" t="inlineStr">
        <is>
          <t>Nivel 3</t>
        </is>
      </c>
      <c r="B15" s="36" t="inlineStr">
        <is>
          <t>20</t>
        </is>
      </c>
      <c r="C15" s="36" t="inlineStr">
        <is>
          <t>409000000000000000001</t>
        </is>
      </c>
      <c r="D15" s="36" t="inlineStr">
        <is>
          <t>Venta Publicaciones</t>
        </is>
      </c>
      <c r="E15" s="36" t="inlineStr">
        <is>
          <t>VLOOKUP</t>
        </is>
      </c>
      <c r="F15" s="37">
        <f>ABS(VLOOKUP(A20,INDIRECT($M$1),$P$1,FALSE())-vlookup...)</f>
        <v/>
      </c>
      <c r="G15" s="36" t="inlineStr">
        <is>
          <t>Busca en hoja SALDOS y resta acumulados</t>
        </is>
      </c>
      <c r="H15" s="36" t="inlineStr">
        <is>
          <t>Hoja SALDOSXX</t>
        </is>
      </c>
    </row>
    <row r="16" ht="15" customHeight="1" s="15">
      <c r="A16" s="36" t="inlineStr">
        <is>
          <t>Nivel 3</t>
        </is>
      </c>
      <c r="B16" s="36" t="inlineStr">
        <is>
          <t>21</t>
        </is>
      </c>
      <c r="C16" s="36" t="inlineStr">
        <is>
          <t>406000000000000000001</t>
        </is>
      </c>
      <c r="D16" s="36" t="inlineStr">
        <is>
          <t>Bolsa de Trabajo</t>
        </is>
      </c>
      <c r="E16" s="36" t="inlineStr">
        <is>
          <t>VLOOKUP</t>
        </is>
      </c>
      <c r="F16" s="37">
        <f>ABS(VLOOKUP(A21,INDIRECT($M$1),$P$1,FALSE())-vlookup...)</f>
        <v/>
      </c>
      <c r="G16" s="36" t="inlineStr">
        <is>
          <t>Busca en hoja SALDOS y resta acumulados</t>
        </is>
      </c>
      <c r="H16" s="36" t="inlineStr">
        <is>
          <t>Hoja SALDOSXX</t>
        </is>
      </c>
    </row>
    <row r="17" ht="15" customHeight="1" s="15">
      <c r="A17" s="36" t="inlineStr">
        <is>
          <t>Nivel 3</t>
        </is>
      </c>
      <c r="B17" s="36" t="inlineStr">
        <is>
          <t>22</t>
        </is>
      </c>
      <c r="C17" s="36" t="inlineStr">
        <is>
          <t>0</t>
        </is>
      </c>
      <c r="D17" s="36" t="inlineStr">
        <is>
          <t>Publicidad</t>
        </is>
      </c>
      <c r="E17" s="36" t="inlineStr">
        <is>
          <t>VALOR</t>
        </is>
      </c>
      <c r="F17" s="36" t="inlineStr">
        <is>
          <t>0</t>
        </is>
      </c>
      <c r="G17" s="36" t="inlineStr">
        <is>
          <t>Valor fijo en 0</t>
        </is>
      </c>
      <c r="H17" s="36" t="n"/>
    </row>
    <row r="18" ht="15" customHeight="1" s="15">
      <c r="A18" s="36" t="inlineStr">
        <is>
          <t>Nivel 3</t>
        </is>
      </c>
      <c r="B18" s="36" t="inlineStr">
        <is>
          <t>23</t>
        </is>
      </c>
      <c r="C18" s="36" t="inlineStr">
        <is>
          <t>0</t>
        </is>
      </c>
      <c r="D18" s="36" t="inlineStr">
        <is>
          <t>Visas</t>
        </is>
      </c>
      <c r="E18" s="36" t="inlineStr">
        <is>
          <t>VALOR</t>
        </is>
      </c>
      <c r="F18" s="36" t="inlineStr">
        <is>
          <t>0</t>
        </is>
      </c>
      <c r="G18" s="36" t="inlineStr">
        <is>
          <t>Valor fijo en 0</t>
        </is>
      </c>
      <c r="H18" s="36" t="n"/>
    </row>
    <row r="19" ht="15" customHeight="1" s="15">
      <c r="A19" s="36" t="inlineStr">
        <is>
          <t>Nivel 3</t>
        </is>
      </c>
      <c r="B19" s="36" t="inlineStr">
        <is>
          <t>24</t>
        </is>
      </c>
      <c r="C19" s="36" t="inlineStr">
        <is>
          <t>0</t>
        </is>
      </c>
      <c r="D19" s="36" t="inlineStr">
        <is>
          <t>Información comercial</t>
        </is>
      </c>
      <c r="E19" s="36" t="inlineStr">
        <is>
          <t>VALOR</t>
        </is>
      </c>
      <c r="F19" s="36" t="inlineStr">
        <is>
          <t>0</t>
        </is>
      </c>
      <c r="G19" s="36" t="inlineStr">
        <is>
          <t>Valor fijo en 0</t>
        </is>
      </c>
      <c r="H19" s="36" t="n"/>
    </row>
    <row r="20" ht="15" customHeight="1" s="15">
      <c r="A20" s="34" t="inlineStr">
        <is>
          <t>Nivel 2</t>
        </is>
      </c>
      <c r="B20" s="34" t="inlineStr">
        <is>
          <t>25</t>
        </is>
      </c>
      <c r="C20" s="34" t="n"/>
      <c r="D20" s="34" t="inlineStr">
        <is>
          <t>Guadalajara Income</t>
        </is>
      </c>
      <c r="E20" s="34" t="inlineStr">
        <is>
          <t>SUMA</t>
        </is>
      </c>
      <c r="F20" s="35">
        <f>SUM(B26:B26)</f>
        <v/>
      </c>
      <c r="G20" s="34" t="inlineStr">
        <is>
          <t>Suma de ingresos regionales</t>
        </is>
      </c>
      <c r="H20" s="34" t="n"/>
    </row>
    <row r="21" ht="15" customHeight="1" s="15">
      <c r="A21" s="36" t="inlineStr">
        <is>
          <t>Nivel 3</t>
        </is>
      </c>
      <c r="B21" s="34" t="inlineStr">
        <is>
          <t>26</t>
        </is>
      </c>
      <c r="C21" s="34" t="inlineStr">
        <is>
          <t>450001000000000000002</t>
        </is>
      </c>
      <c r="D21" s="34" t="inlineStr">
        <is>
          <t>Guadalajara Income</t>
        </is>
      </c>
      <c r="E21" s="34" t="inlineStr">
        <is>
          <t>VLOOKUP</t>
        </is>
      </c>
      <c r="F21" s="35">
        <f>VLOOKUP(...)</f>
        <v/>
      </c>
      <c r="G21" s="34" t="inlineStr">
        <is>
          <t>Busca en hoja SALDOS</t>
        </is>
      </c>
      <c r="H21" s="34" t="inlineStr">
        <is>
          <t>Hoja SALDOSXX</t>
        </is>
      </c>
    </row>
    <row r="22" ht="15" customHeight="1" s="15">
      <c r="A22" s="34" t="inlineStr">
        <is>
          <t>Nivel 2</t>
        </is>
      </c>
      <c r="B22" s="34" t="inlineStr">
        <is>
          <t>27</t>
        </is>
      </c>
      <c r="C22" s="34" t="n"/>
      <c r="D22" s="34" t="inlineStr">
        <is>
          <t>Monterrey Income</t>
        </is>
      </c>
      <c r="E22" s="34" t="inlineStr">
        <is>
          <t>SUMA</t>
        </is>
      </c>
      <c r="F22" s="35">
        <f>SUM(B28:B28)</f>
        <v/>
      </c>
      <c r="G22" s="34" t="inlineStr">
        <is>
          <t>Suma de ingresos regionales</t>
        </is>
      </c>
      <c r="H22" s="34" t="n"/>
    </row>
    <row r="23" ht="15" customHeight="1" s="15">
      <c r="A23" s="36" t="inlineStr">
        <is>
          <t>Nivel 3</t>
        </is>
      </c>
      <c r="B23" s="34" t="inlineStr">
        <is>
          <t>28</t>
        </is>
      </c>
      <c r="C23" s="34" t="inlineStr">
        <is>
          <t>450002000000000000002</t>
        </is>
      </c>
      <c r="D23" s="34" t="inlineStr">
        <is>
          <t>Monterrey Income</t>
        </is>
      </c>
      <c r="E23" s="34" t="inlineStr">
        <is>
          <t>VLOOKUP</t>
        </is>
      </c>
      <c r="F23" s="35">
        <f>VLOOKUP(...)</f>
        <v/>
      </c>
      <c r="G23" s="34" t="inlineStr">
        <is>
          <t>Busca en hoja SALDOS</t>
        </is>
      </c>
      <c r="H23" s="34" t="inlineStr">
        <is>
          <t>Hoja SALDOSXX</t>
        </is>
      </c>
    </row>
    <row r="25" ht="15" customHeight="1" s="15">
      <c r="A25" s="38" t="inlineStr">
        <is>
          <t>Nivel 0</t>
        </is>
      </c>
      <c r="B25" s="38" t="inlineStr">
        <is>
          <t>30</t>
        </is>
      </c>
      <c r="C25" s="38" t="n"/>
      <c r="D25" s="38" t="inlineStr">
        <is>
          <t>CONSOLIDATED INCOME</t>
        </is>
      </c>
      <c r="E25" s="38" t="inlineStr">
        <is>
          <t>SUMA</t>
        </is>
      </c>
      <c r="F25" s="38">
        <f>+B8+B25+B27</f>
        <v/>
      </c>
      <c r="G25" s="38" t="inlineStr">
        <is>
          <t>Total consolidado de ingresos (CDMX + Guadalajara + Monterrey)</t>
        </is>
      </c>
      <c r="H25" s="38" t="inlineStr">
        <is>
          <t>Suma de Nivel 1</t>
        </is>
      </c>
    </row>
    <row r="26" ht="15" customHeight="1" s="15">
      <c r="A26" s="33" t="inlineStr">
        <is>
          <t>CONSOLIDADO</t>
        </is>
      </c>
    </row>
    <row r="27" ht="15" customHeight="1" s="15">
      <c r="A27" s="34" t="inlineStr">
        <is>
          <t>Nivel 1</t>
        </is>
      </c>
      <c r="B27" s="34" t="inlineStr">
        <is>
          <t>31</t>
        </is>
      </c>
      <c r="C27" s="34" t="n"/>
      <c r="D27" s="34" t="inlineStr">
        <is>
          <t>CDMX Expense</t>
        </is>
      </c>
      <c r="E27" s="34" t="inlineStr">
        <is>
          <t>SUMA</t>
        </is>
      </c>
      <c r="F27" s="35">
        <f>SUM(B32,B35,B37,B40,B42,B56,B58)</f>
        <v/>
      </c>
      <c r="G27" s="34" t="inlineStr">
        <is>
          <t>Suma de todas las secciones de gastos de CDMX</t>
        </is>
      </c>
      <c r="H27" s="34" t="inlineStr">
        <is>
          <t>Sumas de niveles inferiores</t>
        </is>
      </c>
    </row>
    <row r="28" ht="15" customHeight="1" s="15">
      <c r="A28" s="34" t="inlineStr">
        <is>
          <t>Nivel 2</t>
        </is>
      </c>
      <c r="B28" s="34" t="inlineStr">
        <is>
          <t>32</t>
        </is>
      </c>
      <c r="C28" s="34" t="n"/>
      <c r="D28" s="34" t="inlineStr">
        <is>
          <t>Membership</t>
        </is>
      </c>
      <c r="E28" s="34" t="inlineStr">
        <is>
          <t>SUMA</t>
        </is>
      </c>
      <c r="F28" s="35">
        <f>SUM(B33:B34)</f>
        <v/>
      </c>
      <c r="G28" s="34" t="inlineStr">
        <is>
          <t>Suma de gastos de membresías</t>
        </is>
      </c>
      <c r="H28" s="34" t="n"/>
    </row>
    <row r="29" ht="15" customHeight="1" s="15">
      <c r="A29" s="36" t="inlineStr">
        <is>
          <t>Nivel 3</t>
        </is>
      </c>
      <c r="B29" s="36" t="inlineStr">
        <is>
          <t>33</t>
        </is>
      </c>
      <c r="C29" s="36" t="inlineStr">
        <is>
          <t>0</t>
        </is>
      </c>
      <c r="D29" s="36" t="inlineStr">
        <is>
          <t>Portafolio Económico</t>
        </is>
      </c>
      <c r="E29" s="36" t="inlineStr">
        <is>
          <t>VALOR</t>
        </is>
      </c>
      <c r="F29" s="36" t="inlineStr">
        <is>
          <t>0</t>
        </is>
      </c>
      <c r="G29" s="36" t="inlineStr">
        <is>
          <t>Sin cuenta asignada</t>
        </is>
      </c>
      <c r="H29" s="36" t="n"/>
    </row>
    <row r="30" ht="15" customHeight="1" s="15">
      <c r="A30" s="36" t="inlineStr">
        <is>
          <t>Nivel 3</t>
        </is>
      </c>
      <c r="B30" s="36" t="inlineStr">
        <is>
          <t>34</t>
        </is>
      </c>
      <c r="C30" s="36" t="inlineStr">
        <is>
          <t>705000000000000000001</t>
        </is>
      </c>
      <c r="D30" s="36" t="inlineStr">
        <is>
          <t>Gastos Promoción</t>
        </is>
      </c>
      <c r="E30" s="36" t="inlineStr">
        <is>
          <t>VLOOKUP</t>
        </is>
      </c>
      <c r="F30" s="37">
        <f>ABS(VLOOKUP(A34,INDIRECT($M$1),$P$1,FALSE())-vlookup...)</f>
        <v/>
      </c>
      <c r="G30" s="36" t="inlineStr">
        <is>
          <t>Busca en hoja SALDOS y resta acumulados</t>
        </is>
      </c>
      <c r="H30" s="36" t="inlineStr">
        <is>
          <t>Hoja SALDOSXX</t>
        </is>
      </c>
    </row>
    <row r="31" ht="15" customHeight="1" s="15">
      <c r="A31" s="34" t="inlineStr">
        <is>
          <t>Nivel 2</t>
        </is>
      </c>
      <c r="B31" s="34" t="inlineStr">
        <is>
          <t>35</t>
        </is>
      </c>
      <c r="C31" s="34" t="n"/>
      <c r="D31" s="34" t="inlineStr">
        <is>
          <t>Events</t>
        </is>
      </c>
      <c r="E31" s="34" t="inlineStr">
        <is>
          <t>SUMA</t>
        </is>
      </c>
      <c r="F31" s="35">
        <f>SUM(B36:B36)</f>
        <v/>
      </c>
      <c r="G31" s="34" t="inlineStr">
        <is>
          <t>Suma de gastos de eventos</t>
        </is>
      </c>
      <c r="H31" s="34" t="n"/>
    </row>
    <row r="32" ht="15" customHeight="1" s="15">
      <c r="A32" s="36" t="inlineStr">
        <is>
          <t>Nivel 3</t>
        </is>
      </c>
      <c r="B32" s="36" t="inlineStr">
        <is>
          <t>36</t>
        </is>
      </c>
      <c r="C32" s="36" t="inlineStr">
        <is>
          <t>701000000000000000001</t>
        </is>
      </c>
      <c r="D32" s="36" t="inlineStr">
        <is>
          <t>Costo Eventos</t>
        </is>
      </c>
      <c r="E32" s="36" t="inlineStr">
        <is>
          <t>VLOOKUP</t>
        </is>
      </c>
      <c r="F32" s="37">
        <f>VLOOKUP(A36,INDIRECT($M$1),$P$1,FALSE())-VLOOKUP(A36,INDIRECT($M$1),$Q$1,FALSE())</f>
        <v/>
      </c>
      <c r="G32" s="36" t="inlineStr">
        <is>
          <t>Busca en hoja SALDOS y resta acumulados</t>
        </is>
      </c>
      <c r="H32" s="36" t="inlineStr">
        <is>
          <t>Hoja SALDOSXX</t>
        </is>
      </c>
    </row>
    <row r="33" ht="15" customHeight="1" s="15">
      <c r="A33" s="34" t="inlineStr">
        <is>
          <t>Nivel 2</t>
        </is>
      </c>
      <c r="B33" s="34" t="inlineStr">
        <is>
          <t>37</t>
        </is>
      </c>
      <c r="C33" s="34" t="n"/>
      <c r="D33" s="34" t="inlineStr">
        <is>
          <t>Committees</t>
        </is>
      </c>
      <c r="E33" s="34" t="inlineStr">
        <is>
          <t>SUMA</t>
        </is>
      </c>
      <c r="F33" s="35">
        <f>SUM(B38:B39)</f>
        <v/>
      </c>
      <c r="G33" s="34" t="inlineStr">
        <is>
          <t>Suma de gastos de comités</t>
        </is>
      </c>
      <c r="H33" s="34" t="n"/>
    </row>
    <row r="34" ht="15" customHeight="1" s="15">
      <c r="A34" s="36" t="inlineStr">
        <is>
          <t>Nivel 3</t>
        </is>
      </c>
      <c r="B34" s="36" t="inlineStr">
        <is>
          <t>38</t>
        </is>
      </c>
      <c r="C34" s="36" t="inlineStr">
        <is>
          <t>702000000000000000001</t>
        </is>
      </c>
      <c r="D34" s="36" t="inlineStr">
        <is>
          <t>Servicio a la membresia</t>
        </is>
      </c>
      <c r="E34" s="36" t="inlineStr">
        <is>
          <t>VLOOKUP</t>
        </is>
      </c>
      <c r="F34" s="37">
        <f>VLOOKUP(...)</f>
        <v/>
      </c>
      <c r="G34" s="36" t="inlineStr">
        <is>
          <t>Busca en hoja SALDOS</t>
        </is>
      </c>
      <c r="H34" s="36" t="inlineStr">
        <is>
          <t>Hoja SALDOSXX</t>
        </is>
      </c>
    </row>
    <row r="35" ht="15" customHeight="1" s="15">
      <c r="A35" s="36" t="inlineStr">
        <is>
          <t>Nivel 3</t>
        </is>
      </c>
      <c r="B35" s="36" t="inlineStr">
        <is>
          <t>39</t>
        </is>
      </c>
      <c r="C35" s="36" t="inlineStr">
        <is>
          <t>704000000000000000001</t>
        </is>
      </c>
      <c r="D35" s="36" t="inlineStr">
        <is>
          <t>Portafolio Económico</t>
        </is>
      </c>
      <c r="E35" s="36" t="inlineStr">
        <is>
          <t>VLOOKUP</t>
        </is>
      </c>
      <c r="F35" s="37">
        <f>ABS(VLOOKUP(...))</f>
        <v/>
      </c>
      <c r="G35" s="36" t="inlineStr">
        <is>
          <t>Busca en hoja SALDOS</t>
        </is>
      </c>
      <c r="H35" s="36" t="inlineStr">
        <is>
          <t>Hoja SALDOSXX</t>
        </is>
      </c>
    </row>
    <row r="36" ht="15" customHeight="1" s="15">
      <c r="A36" s="34" t="inlineStr">
        <is>
          <t>Nivel 2</t>
        </is>
      </c>
      <c r="B36" s="34" t="inlineStr">
        <is>
          <t>40</t>
        </is>
      </c>
      <c r="C36" s="34" t="n"/>
      <c r="D36" s="34" t="inlineStr">
        <is>
          <t>Services to Members</t>
        </is>
      </c>
      <c r="E36" s="34" t="inlineStr">
        <is>
          <t>SUMA</t>
        </is>
      </c>
      <c r="F36" s="35">
        <f>SUM(B41:B41)</f>
        <v/>
      </c>
      <c r="G36" s="34" t="inlineStr">
        <is>
          <t>Suma de gastos de servicios a miembros</t>
        </is>
      </c>
      <c r="H36" s="34" t="n"/>
    </row>
    <row r="37" ht="15" customHeight="1" s="15">
      <c r="A37" s="36" t="inlineStr">
        <is>
          <t>Nivel 3</t>
        </is>
      </c>
      <c r="B37" s="36" t="inlineStr">
        <is>
          <t>41</t>
        </is>
      </c>
      <c r="C37" s="36" t="inlineStr">
        <is>
          <t>601000000000000000001</t>
        </is>
      </c>
      <c r="D37" s="36" t="inlineStr">
        <is>
          <t>Costo directo de publicaciones</t>
        </is>
      </c>
      <c r="E37" s="36" t="inlineStr">
        <is>
          <t>VLOOKUP</t>
        </is>
      </c>
      <c r="F37" s="37">
        <f>VLOOKUP(...)</f>
        <v/>
      </c>
      <c r="G37" s="36" t="inlineStr">
        <is>
          <t>Busca en hoja SALDOS</t>
        </is>
      </c>
      <c r="H37" s="36" t="inlineStr">
        <is>
          <t>Hoja SALDOSXX</t>
        </is>
      </c>
    </row>
    <row r="38" ht="15" customHeight="1" s="15">
      <c r="A38" s="34" t="inlineStr">
        <is>
          <t>Nivel 2</t>
        </is>
      </c>
      <c r="B38" s="34" t="inlineStr">
        <is>
          <t>42</t>
        </is>
      </c>
      <c r="C38" s="34" t="n"/>
      <c r="D38" s="34" t="inlineStr">
        <is>
          <t>Gastos administrativos</t>
        </is>
      </c>
      <c r="E38" s="34" t="inlineStr">
        <is>
          <t>SUMA</t>
        </is>
      </c>
      <c r="F38" s="35">
        <f>SUM(B43:B55)</f>
        <v/>
      </c>
      <c r="G38" s="34" t="inlineStr">
        <is>
          <t>Suma de todos los gastos administrativos</t>
        </is>
      </c>
      <c r="H38" s="34" t="n"/>
    </row>
    <row r="39" ht="15" customHeight="1" s="15">
      <c r="A39" s="36" t="inlineStr">
        <is>
          <t>Nivel 3</t>
        </is>
      </c>
      <c r="B39" s="36" t="inlineStr">
        <is>
          <t>43</t>
        </is>
      </c>
      <c r="C39" s="36" t="inlineStr">
        <is>
          <t>801001000000000000002</t>
        </is>
      </c>
      <c r="D39" s="36" t="inlineStr">
        <is>
          <t>Desarrollo de Negocios</t>
        </is>
      </c>
      <c r="E39" s="36" t="inlineStr">
        <is>
          <t>VLOOKUP</t>
        </is>
      </c>
      <c r="F39" s="37">
        <f>ABS(VLOOKUP(...))</f>
        <v/>
      </c>
      <c r="G39" s="36" t="inlineStr">
        <is>
          <t>Busca en hoja SALDOS</t>
        </is>
      </c>
      <c r="H39" s="36" t="inlineStr">
        <is>
          <t>Hoja SALDOSXX</t>
        </is>
      </c>
    </row>
    <row r="40" ht="15" customHeight="1" s="15">
      <c r="A40" s="36" t="inlineStr">
        <is>
          <t>Nivel 3</t>
        </is>
      </c>
      <c r="B40" s="36" t="inlineStr">
        <is>
          <t>44</t>
        </is>
      </c>
      <c r="C40" s="36" t="inlineStr">
        <is>
          <t>801002000000000000002</t>
        </is>
      </c>
      <c r="D40" s="36" t="inlineStr">
        <is>
          <t>Relaciones Externas</t>
        </is>
      </c>
      <c r="E40" s="36" t="inlineStr">
        <is>
          <t>VLOOKUP</t>
        </is>
      </c>
      <c r="F40" s="37">
        <f>ABS(VLOOKUP(...))</f>
        <v/>
      </c>
      <c r="G40" s="36" t="inlineStr">
        <is>
          <t>Busca en hoja SALDOS</t>
        </is>
      </c>
      <c r="H40" s="36" t="inlineStr">
        <is>
          <t>Hoja SALDOSXX</t>
        </is>
      </c>
    </row>
    <row r="41" ht="15" customHeight="1" s="15">
      <c r="A41" s="36" t="inlineStr">
        <is>
          <t>Nivel 3</t>
        </is>
      </c>
      <c r="B41" s="36" t="inlineStr">
        <is>
          <t>45</t>
        </is>
      </c>
      <c r="C41" s="36" t="inlineStr">
        <is>
          <t>801003000000000000002</t>
        </is>
      </c>
      <c r="D41" s="36" t="inlineStr">
        <is>
          <t>Servicios a las membresia</t>
        </is>
      </c>
      <c r="E41" s="36" t="inlineStr">
        <is>
          <t>VLOOKUP</t>
        </is>
      </c>
      <c r="F41" s="37">
        <f>ABS(VLOOKUP(...))</f>
        <v/>
      </c>
      <c r="G41" s="36" t="inlineStr">
        <is>
          <t>Busca en hoja SALDOS</t>
        </is>
      </c>
      <c r="H41" s="36" t="inlineStr">
        <is>
          <t>Hoja SALDOSXX</t>
        </is>
      </c>
    </row>
    <row r="42" ht="15" customHeight="1" s="15">
      <c r="A42" s="36" t="inlineStr">
        <is>
          <t>Nivel 3</t>
        </is>
      </c>
      <c r="B42" s="36" t="inlineStr">
        <is>
          <t>46</t>
        </is>
      </c>
      <c r="C42" s="36" t="inlineStr">
        <is>
          <t>801004000000000000002</t>
        </is>
      </c>
      <c r="D42" s="36" t="inlineStr">
        <is>
          <t>Vicepresidencia</t>
        </is>
      </c>
      <c r="E42" s="36" t="inlineStr">
        <is>
          <t>VLOOKUP</t>
        </is>
      </c>
      <c r="F42" s="37">
        <f>ABS(VLOOKUP(...))</f>
        <v/>
      </c>
      <c r="G42" s="36" t="inlineStr">
        <is>
          <t>Busca en hoja SALDOS</t>
        </is>
      </c>
      <c r="H42" s="36" t="inlineStr">
        <is>
          <t>Hoja SALDOSXX</t>
        </is>
      </c>
    </row>
    <row r="43" ht="15" customHeight="1" s="15">
      <c r="A43" s="36" t="inlineStr">
        <is>
          <t>Nivel 3</t>
        </is>
      </c>
      <c r="B43" s="36" t="inlineStr">
        <is>
          <t>47</t>
        </is>
      </c>
      <c r="C43" s="36" t="inlineStr">
        <is>
          <t>801005000000000000002</t>
        </is>
      </c>
      <c r="D43" s="36" t="inlineStr">
        <is>
          <t>Finanzas</t>
        </is>
      </c>
      <c r="E43" s="36" t="inlineStr">
        <is>
          <t>VLOOKUP</t>
        </is>
      </c>
      <c r="F43" s="37">
        <f>ABS(VLOOKUP(...))</f>
        <v/>
      </c>
      <c r="G43" s="36" t="inlineStr">
        <is>
          <t>Busca en hoja SALDOS</t>
        </is>
      </c>
      <c r="H43" s="36" t="inlineStr">
        <is>
          <t>Hoja SALDOSXX</t>
        </is>
      </c>
    </row>
    <row r="44" ht="15" customHeight="1" s="15">
      <c r="A44" s="36" t="inlineStr">
        <is>
          <t>Nivel 3</t>
        </is>
      </c>
      <c r="B44" s="36" t="inlineStr">
        <is>
          <t>48</t>
        </is>
      </c>
      <c r="C44" s="36" t="inlineStr">
        <is>
          <t>801006000000000000002</t>
        </is>
      </c>
      <c r="D44" s="36" t="inlineStr">
        <is>
          <t>Administración</t>
        </is>
      </c>
      <c r="E44" s="36" t="inlineStr">
        <is>
          <t>VLOOKUP</t>
        </is>
      </c>
      <c r="F44" s="37">
        <f>ABS(VLOOKUP(...))</f>
        <v/>
      </c>
      <c r="G44" s="36" t="inlineStr">
        <is>
          <t>Busca en hoja SALDOS</t>
        </is>
      </c>
      <c r="H44" s="36" t="inlineStr">
        <is>
          <t>Hoja SALDOSXX</t>
        </is>
      </c>
    </row>
    <row r="45" ht="15" customHeight="1" s="15">
      <c r="A45" s="36" t="inlineStr">
        <is>
          <t>Nivel 3</t>
        </is>
      </c>
      <c r="B45" s="36" t="inlineStr">
        <is>
          <t>49</t>
        </is>
      </c>
      <c r="C45" s="36" t="inlineStr">
        <is>
          <t>801007000000000000002</t>
        </is>
      </c>
      <c r="D45" s="36" t="inlineStr">
        <is>
          <t>Sistemas</t>
        </is>
      </c>
      <c r="E45" s="36" t="inlineStr">
        <is>
          <t>VLOOKUP</t>
        </is>
      </c>
      <c r="F45" s="37">
        <f>ABS(VLOOKUP(...))</f>
        <v/>
      </c>
      <c r="G45" s="36" t="inlineStr">
        <is>
          <t>Busca en hoja SALDOS</t>
        </is>
      </c>
      <c r="H45" s="36" t="inlineStr">
        <is>
          <t>Hoja SALDOSXX</t>
        </is>
      </c>
    </row>
    <row r="46" ht="15" customHeight="1" s="15">
      <c r="A46" s="36" t="inlineStr">
        <is>
          <t>Nivel 3</t>
        </is>
      </c>
      <c r="B46" s="36" t="inlineStr">
        <is>
          <t>50</t>
        </is>
      </c>
      <c r="C46" s="36" t="inlineStr">
        <is>
          <t>801008000000000000002</t>
        </is>
      </c>
      <c r="D46" s="36" t="inlineStr">
        <is>
          <t>Empleos</t>
        </is>
      </c>
      <c r="E46" s="36" t="inlineStr">
        <is>
          <t>VLOOKUP</t>
        </is>
      </c>
      <c r="F46" s="37">
        <f>ABS(VLOOKUP(...))</f>
        <v/>
      </c>
      <c r="G46" s="36" t="inlineStr">
        <is>
          <t>Busca en hoja SALDOS</t>
        </is>
      </c>
      <c r="H46" s="36" t="inlineStr">
        <is>
          <t>Hoja SALDOSXX</t>
        </is>
      </c>
    </row>
    <row r="47" ht="15" customHeight="1" s="15">
      <c r="A47" s="36" t="inlineStr">
        <is>
          <t>Nivel 3</t>
        </is>
      </c>
      <c r="B47" s="36" t="inlineStr">
        <is>
          <t>51</t>
        </is>
      </c>
      <c r="C47" s="36" t="inlineStr">
        <is>
          <t>801009000000000000002</t>
        </is>
      </c>
      <c r="D47" s="36" t="inlineStr">
        <is>
          <t>Servicios Generales (Almacén)</t>
        </is>
      </c>
      <c r="E47" s="36" t="inlineStr">
        <is>
          <t>VLOOKUP</t>
        </is>
      </c>
      <c r="F47" s="37">
        <f>ABS(VLOOKUP(...))</f>
        <v/>
      </c>
      <c r="G47" s="36" t="inlineStr">
        <is>
          <t>Busca en hoja SALDOS</t>
        </is>
      </c>
      <c r="H47" s="36" t="inlineStr">
        <is>
          <t>Hoja SALDOSXX</t>
        </is>
      </c>
    </row>
    <row r="48" ht="15" customHeight="1" s="15">
      <c r="A48" s="36" t="inlineStr">
        <is>
          <t>Nivel 3</t>
        </is>
      </c>
      <c r="B48" s="36" t="inlineStr">
        <is>
          <t>52</t>
        </is>
      </c>
      <c r="C48" s="36" t="inlineStr">
        <is>
          <t>801010000000000000002</t>
        </is>
      </c>
      <c r="D48" s="36" t="inlineStr">
        <is>
          <t>Eventos</t>
        </is>
      </c>
      <c r="E48" s="36" t="inlineStr">
        <is>
          <t>VLOOKUP</t>
        </is>
      </c>
      <c r="F48" s="37">
        <f>ABS(VLOOKUP(...))</f>
        <v/>
      </c>
      <c r="G48" s="36" t="inlineStr">
        <is>
          <t>Busca en hoja SALDOS</t>
        </is>
      </c>
      <c r="H48" s="36" t="inlineStr">
        <is>
          <t>Hoja SALDOSXX</t>
        </is>
      </c>
    </row>
    <row r="49" ht="15" customHeight="1" s="15">
      <c r="A49" s="36" t="inlineStr">
        <is>
          <t>Nivel 3</t>
        </is>
      </c>
      <c r="B49" s="36" t="inlineStr">
        <is>
          <t>53</t>
        </is>
      </c>
      <c r="C49" s="36" t="inlineStr">
        <is>
          <t>801011000000000000002</t>
        </is>
      </c>
      <c r="D49" s="36" t="inlineStr">
        <is>
          <t>Comites</t>
        </is>
      </c>
      <c r="E49" s="36" t="inlineStr">
        <is>
          <t>VLOOKUP</t>
        </is>
      </c>
      <c r="F49" s="37">
        <f>ABS(VLOOKUP(...))</f>
        <v/>
      </c>
      <c r="G49" s="36" t="inlineStr">
        <is>
          <t>Busca en hoja SALDOS</t>
        </is>
      </c>
      <c r="H49" s="36" t="inlineStr">
        <is>
          <t>Hoja SALDOSXX</t>
        </is>
      </c>
    </row>
    <row r="50" ht="15" customHeight="1" s="15">
      <c r="A50" s="36" t="inlineStr">
        <is>
          <t>Nivel 3</t>
        </is>
      </c>
      <c r="B50" s="36" t="inlineStr">
        <is>
          <t>54</t>
        </is>
      </c>
      <c r="C50" s="36" t="inlineStr">
        <is>
          <t>801012000000000000002</t>
        </is>
      </c>
      <c r="D50" s="36" t="inlineStr">
        <is>
          <t>Renta de Salas</t>
        </is>
      </c>
      <c r="E50" s="36" t="inlineStr">
        <is>
          <t>VLOOKUP</t>
        </is>
      </c>
      <c r="F50" s="37">
        <f>ABS(VLOOKUP(...))</f>
        <v/>
      </c>
      <c r="G50" s="36" t="inlineStr">
        <is>
          <t>Busca en hoja SALDOS</t>
        </is>
      </c>
      <c r="H50" s="36" t="inlineStr">
        <is>
          <t>Hoja SALDOSXX</t>
        </is>
      </c>
    </row>
    <row r="51" ht="15" customHeight="1" s="15">
      <c r="A51" s="36" t="inlineStr">
        <is>
          <t>Nivel 3</t>
        </is>
      </c>
      <c r="B51" s="36" t="inlineStr">
        <is>
          <t>55</t>
        </is>
      </c>
      <c r="C51" s="36" t="inlineStr">
        <is>
          <t>801013000000000000002</t>
        </is>
      </c>
      <c r="D51" s="36" t="inlineStr">
        <is>
          <t>Comunicación</t>
        </is>
      </c>
      <c r="E51" s="36" t="inlineStr">
        <is>
          <t>VLOOKUP</t>
        </is>
      </c>
      <c r="F51" s="37">
        <f>ABS(VLOOKUP(...))</f>
        <v/>
      </c>
      <c r="G51" s="36" t="inlineStr">
        <is>
          <t>Busca en hoja SALDOS</t>
        </is>
      </c>
      <c r="H51" s="36" t="inlineStr">
        <is>
          <t>Hoja SALDOSXX</t>
        </is>
      </c>
    </row>
    <row r="52" ht="15" customHeight="1" s="15">
      <c r="A52" s="34" t="inlineStr">
        <is>
          <t>Nivel 2</t>
        </is>
      </c>
      <c r="B52" s="34" t="inlineStr">
        <is>
          <t>56</t>
        </is>
      </c>
      <c r="C52" s="34" t="n"/>
      <c r="D52" s="34" t="inlineStr">
        <is>
          <t>Other</t>
        </is>
      </c>
      <c r="E52" s="34" t="inlineStr">
        <is>
          <t>SUMA</t>
        </is>
      </c>
      <c r="F52" s="35">
        <f>SUM(B57:B57)</f>
        <v/>
      </c>
      <c r="G52" s="34" t="inlineStr">
        <is>
          <t>Otros gastos</t>
        </is>
      </c>
      <c r="H52" s="34" t="n"/>
    </row>
    <row r="53" ht="15" customHeight="1" s="15">
      <c r="A53" s="36" t="inlineStr">
        <is>
          <t>Nivel 3</t>
        </is>
      </c>
      <c r="B53" s="36" t="inlineStr">
        <is>
          <t>57</t>
        </is>
      </c>
      <c r="C53" s="36" t="inlineStr">
        <is>
          <t>901000000000000000001</t>
        </is>
      </c>
      <c r="D53" s="36" t="inlineStr">
        <is>
          <t>Gastos Generales</t>
        </is>
      </c>
      <c r="E53" s="36" t="inlineStr">
        <is>
          <t>VLOOKUP</t>
        </is>
      </c>
      <c r="F53" s="37">
        <f>ABS(VLOOKUP(...))</f>
        <v/>
      </c>
      <c r="G53" s="36" t="inlineStr">
        <is>
          <t>Busca en hoja SALDOS</t>
        </is>
      </c>
      <c r="H53" s="36" t="inlineStr">
        <is>
          <t>Hoja SALDOSXX</t>
        </is>
      </c>
    </row>
    <row r="54" ht="15" customHeight="1" s="15">
      <c r="A54" s="34" t="inlineStr">
        <is>
          <t>Nivel 2</t>
        </is>
      </c>
      <c r="B54" s="34" t="inlineStr">
        <is>
          <t>58</t>
        </is>
      </c>
      <c r="C54" s="34" t="n"/>
      <c r="D54" s="34" t="inlineStr">
        <is>
          <t>Gastos de Nomina</t>
        </is>
      </c>
      <c r="E54" s="34" t="inlineStr">
        <is>
          <t>SUMA</t>
        </is>
      </c>
      <c r="F54" s="35">
        <f>SUM(B59:B65)</f>
        <v/>
      </c>
      <c r="G54" s="34" t="inlineStr">
        <is>
          <t>Suma de todos los gastos de nómina</t>
        </is>
      </c>
      <c r="H54" s="34" t="n"/>
    </row>
    <row r="55" ht="15" customHeight="1" s="15">
      <c r="A55" s="36" t="inlineStr">
        <is>
          <t>Nivel 3</t>
        </is>
      </c>
      <c r="B55" s="36" t="inlineStr">
        <is>
          <t>59</t>
        </is>
      </c>
      <c r="C55" s="36" t="inlineStr">
        <is>
          <t>513000000000000000001</t>
        </is>
      </c>
      <c r="D55" s="36" t="inlineStr">
        <is>
          <t>Nomina Vicepresidencia</t>
        </is>
      </c>
      <c r="E55" s="36" t="inlineStr">
        <is>
          <t>VLOOKUP</t>
        </is>
      </c>
      <c r="F55" s="37">
        <f>ABS(VLOOKUP(...))</f>
        <v/>
      </c>
      <c r="G55" s="36" t="inlineStr">
        <is>
          <t>Busca en hoja SALDOS</t>
        </is>
      </c>
      <c r="H55" s="36" t="inlineStr">
        <is>
          <t>Hoja SALDOSXX</t>
        </is>
      </c>
    </row>
    <row r="56" ht="15" customHeight="1" s="15">
      <c r="A56" s="36" t="inlineStr">
        <is>
          <t>Nivel 3</t>
        </is>
      </c>
      <c r="B56" s="36" t="inlineStr">
        <is>
          <t>60</t>
        </is>
      </c>
      <c r="C56" s="36" t="inlineStr">
        <is>
          <t>517000000000000000001</t>
        </is>
      </c>
      <c r="D56" s="36" t="inlineStr">
        <is>
          <t>Nomina Desarrollo de Negocios</t>
        </is>
      </c>
      <c r="E56" s="36" t="inlineStr">
        <is>
          <t>VLOOKUP</t>
        </is>
      </c>
      <c r="F56" s="37">
        <f>ABS(VLOOKUP(...))</f>
        <v/>
      </c>
      <c r="G56" s="36" t="inlineStr">
        <is>
          <t>Busca en hoja SALDOS</t>
        </is>
      </c>
      <c r="H56" s="36" t="inlineStr">
        <is>
          <t>Hoja SALDOSXX</t>
        </is>
      </c>
    </row>
    <row r="57" ht="15" customHeight="1" s="15">
      <c r="A57" s="36" t="inlineStr">
        <is>
          <t>Nivel 3</t>
        </is>
      </c>
      <c r="B57" s="36" t="inlineStr">
        <is>
          <t>61</t>
        </is>
      </c>
      <c r="C57" s="36" t="inlineStr">
        <is>
          <t>516000000000000000001</t>
        </is>
      </c>
      <c r="D57" s="36" t="inlineStr">
        <is>
          <t>Nomina Comites y Relaciones Externas</t>
        </is>
      </c>
      <c r="E57" s="36" t="inlineStr">
        <is>
          <t>VLOOKUP</t>
        </is>
      </c>
      <c r="F57" s="37">
        <f>ABS(VLOOKUP(...))</f>
        <v/>
      </c>
      <c r="G57" s="36" t="inlineStr">
        <is>
          <t>Busca en hoja SALDOS</t>
        </is>
      </c>
      <c r="H57" s="36" t="inlineStr">
        <is>
          <t>Hoja SALDOSXX</t>
        </is>
      </c>
    </row>
    <row r="58" ht="15" customHeight="1" s="15">
      <c r="A58" s="36" t="inlineStr">
        <is>
          <t>Nivel 3</t>
        </is>
      </c>
      <c r="B58" s="36" t="inlineStr">
        <is>
          <t>62</t>
        </is>
      </c>
      <c r="C58" s="36" t="inlineStr">
        <is>
          <t>519000000000000000001</t>
        </is>
      </c>
      <c r="D58" s="36" t="inlineStr">
        <is>
          <t>Nomina Comunicación</t>
        </is>
      </c>
      <c r="E58" s="36" t="inlineStr">
        <is>
          <t>VLOOKUP</t>
        </is>
      </c>
      <c r="F58" s="37">
        <f>ABS(VLOOKUP(...))</f>
        <v/>
      </c>
      <c r="G58" s="36" t="inlineStr">
        <is>
          <t>Busca en hoja SALDOS</t>
        </is>
      </c>
      <c r="H58" s="36" t="inlineStr">
        <is>
          <t>Hoja SALDOSXX</t>
        </is>
      </c>
    </row>
    <row r="59" ht="15" customHeight="1" s="15">
      <c r="A59" s="36" t="inlineStr">
        <is>
          <t>Nivel 3</t>
        </is>
      </c>
      <c r="B59" s="36" t="inlineStr">
        <is>
          <t>63</t>
        </is>
      </c>
      <c r="C59" s="36" t="inlineStr">
        <is>
          <t>515000000000000000001</t>
        </is>
      </c>
      <c r="D59" s="36" t="inlineStr">
        <is>
          <t>Nomina Servicios a la Membresia</t>
        </is>
      </c>
      <c r="E59" s="36" t="inlineStr">
        <is>
          <t>VLOOKUP</t>
        </is>
      </c>
      <c r="F59" s="37">
        <f>ABS(VLOOKUP(...))</f>
        <v/>
      </c>
      <c r="G59" s="36" t="inlineStr">
        <is>
          <t>Busca en hoja SALDOS</t>
        </is>
      </c>
      <c r="H59" s="36" t="inlineStr">
        <is>
          <t>Hoja SALDOSXX</t>
        </is>
      </c>
    </row>
    <row r="60" ht="15" customHeight="1" s="15">
      <c r="A60" s="36" t="inlineStr">
        <is>
          <t>Nivel 3</t>
        </is>
      </c>
      <c r="B60" s="36" t="inlineStr">
        <is>
          <t>64</t>
        </is>
      </c>
      <c r="C60" s="36" t="inlineStr">
        <is>
          <t>518000000000000000001</t>
        </is>
      </c>
      <c r="D60" s="36" t="inlineStr">
        <is>
          <t>Nomina Eventos y Mercadotecnia</t>
        </is>
      </c>
      <c r="E60" s="36" t="inlineStr">
        <is>
          <t>VLOOKUP</t>
        </is>
      </c>
      <c r="F60" s="37">
        <f>ABS(VLOOKUP(...))</f>
        <v/>
      </c>
      <c r="G60" s="36" t="inlineStr">
        <is>
          <t>Busca en hoja SALDOS</t>
        </is>
      </c>
      <c r="H60" s="36" t="inlineStr">
        <is>
          <t>Hoja SALDOSXX</t>
        </is>
      </c>
    </row>
    <row r="61" ht="15" customHeight="1" s="15">
      <c r="A61" s="36" t="inlineStr">
        <is>
          <t>Nivel 3</t>
        </is>
      </c>
      <c r="B61" s="36" t="inlineStr">
        <is>
          <t>65</t>
        </is>
      </c>
      <c r="C61" s="36" t="inlineStr">
        <is>
          <t>514000000000000000001</t>
        </is>
      </c>
      <c r="D61" s="36" t="inlineStr">
        <is>
          <t>Nomina Administración y Finanzas</t>
        </is>
      </c>
      <c r="E61" s="36" t="inlineStr">
        <is>
          <t>VLOOKUP</t>
        </is>
      </c>
      <c r="F61" s="37">
        <f>ABS(VLOOKUP(...))</f>
        <v/>
      </c>
      <c r="G61" s="36" t="inlineStr">
        <is>
          <t>Busca en hoja SALDOS</t>
        </is>
      </c>
      <c r="H61" s="36" t="inlineStr">
        <is>
          <t>Hoja SALDOSXX</t>
        </is>
      </c>
    </row>
    <row r="62" ht="15" customHeight="1" s="15">
      <c r="A62" s="34" t="inlineStr">
        <is>
          <t>Nivel 2</t>
        </is>
      </c>
      <c r="B62" s="34" t="inlineStr">
        <is>
          <t>66</t>
        </is>
      </c>
      <c r="C62" s="34" t="n"/>
      <c r="D62" s="34" t="inlineStr">
        <is>
          <t>Guadalajara Expense</t>
        </is>
      </c>
      <c r="E62" s="34" t="inlineStr">
        <is>
          <t>SUMA</t>
        </is>
      </c>
      <c r="F62" s="35">
        <f>SUM(B67:B67)</f>
        <v/>
      </c>
      <c r="G62" s="34" t="inlineStr">
        <is>
          <t>Gastos de Guadalajara</t>
        </is>
      </c>
      <c r="H62" s="34" t="n"/>
    </row>
    <row r="63" ht="15" customHeight="1" s="15">
      <c r="A63" s="36" t="inlineStr">
        <is>
          <t>Nivel 3</t>
        </is>
      </c>
      <c r="B63" s="36" t="inlineStr">
        <is>
          <t>67</t>
        </is>
      </c>
      <c r="C63" s="36" t="inlineStr">
        <is>
          <t>950001002000000000003</t>
        </is>
      </c>
      <c r="D63" s="36" t="inlineStr">
        <is>
          <t>Gastos Guadalajara</t>
        </is>
      </c>
      <c r="E63" s="36" t="inlineStr">
        <is>
          <t>VLOOKUP</t>
        </is>
      </c>
      <c r="F63" s="37">
        <f>ABS(VLOOKUP(...))</f>
        <v/>
      </c>
      <c r="G63" s="36" t="inlineStr">
        <is>
          <t>Busca en hoja SALDOS</t>
        </is>
      </c>
      <c r="H63" s="36" t="inlineStr">
        <is>
          <t>Hoja SALDOSXX</t>
        </is>
      </c>
    </row>
    <row r="64" ht="15" customHeight="1" s="15">
      <c r="A64" s="34" t="inlineStr">
        <is>
          <t>Nivel 2</t>
        </is>
      </c>
      <c r="B64" s="34" t="inlineStr">
        <is>
          <t>68</t>
        </is>
      </c>
      <c r="C64" s="34" t="n"/>
      <c r="D64" s="34" t="inlineStr">
        <is>
          <t>Monterrey Expense</t>
        </is>
      </c>
      <c r="E64" s="34" t="inlineStr">
        <is>
          <t>SUMA</t>
        </is>
      </c>
      <c r="F64" s="35">
        <f>SUM(B69:B69)</f>
        <v/>
      </c>
      <c r="G64" s="34" t="inlineStr">
        <is>
          <t>Gastos de Monterrey</t>
        </is>
      </c>
      <c r="H64" s="34" t="n"/>
    </row>
    <row r="65" ht="15" customHeight="1" s="15">
      <c r="A65" s="36" t="inlineStr">
        <is>
          <t>Nivel 3</t>
        </is>
      </c>
      <c r="B65" s="36" t="inlineStr">
        <is>
          <t>69</t>
        </is>
      </c>
      <c r="C65" s="36" t="inlineStr">
        <is>
          <t>950002002000000000003</t>
        </is>
      </c>
      <c r="D65" s="36" t="inlineStr">
        <is>
          <t>Gastos Monterrey</t>
        </is>
      </c>
      <c r="E65" s="36" t="inlineStr">
        <is>
          <t>VLOOKUP</t>
        </is>
      </c>
      <c r="F65" s="37">
        <f>ABS(VLOOKUP(...))</f>
        <v/>
      </c>
      <c r="G65" s="36" t="inlineStr">
        <is>
          <t>Busca en hoja SALDOS</t>
        </is>
      </c>
      <c r="H65" s="36" t="inlineStr">
        <is>
          <t>Hoja SALDOSXX</t>
        </is>
      </c>
    </row>
    <row r="67" ht="15" customHeight="1" s="15">
      <c r="A67" s="38" t="inlineStr">
        <is>
          <t>Nivel 0</t>
        </is>
      </c>
      <c r="B67" s="38" t="inlineStr">
        <is>
          <t>70</t>
        </is>
      </c>
      <c r="C67" s="38" t="n"/>
      <c r="D67" s="38" t="inlineStr">
        <is>
          <t>CONSOLIDATED EXPENSES</t>
        </is>
      </c>
      <c r="E67" s="38" t="inlineStr">
        <is>
          <t>SUMA</t>
        </is>
      </c>
      <c r="F67" s="38">
        <f>+B31+B66+B68</f>
        <v/>
      </c>
      <c r="G67" s="38" t="inlineStr">
        <is>
          <t>Total consolidado de gastos (CDMX + Guadalajara + Monterrey)</t>
        </is>
      </c>
      <c r="H67" s="38" t="inlineStr">
        <is>
          <t>Suma de Nivel 1</t>
        </is>
      </c>
    </row>
  </sheetData>
  <mergeCells count="2">
    <mergeCell ref="A26:H26"/>
    <mergeCell ref="A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8" customWidth="1" style="31" min="2" max="2"/>
    <col width="22" customWidth="1" style="31" min="3" max="3"/>
    <col width="35" customWidth="1" style="31" min="4" max="4"/>
    <col width="15" customWidth="1" style="31" min="5" max="5"/>
    <col width="50" customWidth="1" style="31" min="6" max="6"/>
    <col width="40" customWidth="1" style="31" min="7" max="7"/>
    <col width="25" customWidth="1" style="31" min="8" max="8"/>
  </cols>
  <sheetData>
    <row r="1" ht="15" customHeight="1" s="15">
      <c r="A1" s="32" t="inlineStr">
        <is>
          <t>Nivel</t>
        </is>
      </c>
      <c r="B1" s="32" t="inlineStr">
        <is>
          <t>Fila</t>
        </is>
      </c>
      <c r="C1" s="32" t="inlineStr">
        <is>
          <t>Cuenta</t>
        </is>
      </c>
      <c r="D1" s="32" t="inlineStr">
        <is>
          <t>Nombre</t>
        </is>
      </c>
      <c r="E1" s="32" t="inlineStr">
        <is>
          <t>Tipo</t>
        </is>
      </c>
      <c r="F1" s="32" t="inlineStr">
        <is>
          <t>Fórmula/Operación</t>
        </is>
      </c>
      <c r="G1" s="32" t="inlineStr">
        <is>
          <t>Descripción</t>
        </is>
      </c>
      <c r="H1" s="32" t="inlineStr">
        <is>
          <t>Fuente de Datos</t>
        </is>
      </c>
    </row>
    <row r="2" ht="15" customHeight="1" s="15">
      <c r="A2" s="39" t="inlineStr">
        <is>
          <t>INCOME</t>
        </is>
      </c>
    </row>
    <row r="3" ht="15" customHeight="1" s="15">
      <c r="A3" s="34" t="inlineStr">
        <is>
          <t>Nivel 1</t>
        </is>
      </c>
      <c r="B3" s="34" t="inlineStr">
        <is>
          <t>Total</t>
        </is>
      </c>
      <c r="C3" s="34" t="n"/>
      <c r="D3" s="34" t="inlineStr">
        <is>
          <t>INCOME (Total)</t>
        </is>
      </c>
      <c r="E3" s="34" t="inlineStr">
        <is>
          <t>SUMA</t>
        </is>
      </c>
      <c r="F3" s="35">
        <f>SUM(membership, events, committees, t&amp;ic, services, guadalajara, monterrey, northwest)</f>
        <v/>
      </c>
      <c r="G3" s="34" t="inlineStr">
        <is>
          <t>Suma de todas las categorías de ingresos</t>
        </is>
      </c>
      <c r="H3" s="34" t="n"/>
    </row>
    <row r="4" ht="15" customHeight="1" s="15">
      <c r="A4" s="34" t="inlineStr">
        <is>
          <t>Nivel 2</t>
        </is>
      </c>
      <c r="B4" s="34" t="inlineStr">
        <is>
          <t>-</t>
        </is>
      </c>
      <c r="C4" s="34" t="n"/>
      <c r="D4" s="34" t="inlineStr">
        <is>
          <t>Membership</t>
        </is>
      </c>
      <c r="E4" s="34" t="inlineStr">
        <is>
          <t>SUMA</t>
        </is>
      </c>
      <c r="F4" s="35">
        <f>suma de cuentas 401, 402</f>
        <v/>
      </c>
      <c r="G4" s="34" t="inlineStr">
        <is>
          <t>Cuotas Netas + Ingresos socios nuevos</t>
        </is>
      </c>
      <c r="H4" s="34" t="n"/>
    </row>
    <row r="5" ht="15" customHeight="1" s="15">
      <c r="A5" s="36" t="inlineStr">
        <is>
          <t>Nivel 3</t>
        </is>
      </c>
      <c r="B5" s="36" t="inlineStr">
        <is>
          <t>-</t>
        </is>
      </c>
      <c r="C5" s="36" t="inlineStr">
        <is>
          <t>401-000-000-00</t>
        </is>
      </c>
      <c r="D5" s="36" t="inlineStr">
        <is>
          <t>Cuotas Netas</t>
        </is>
      </c>
      <c r="E5" s="36" t="inlineStr">
        <is>
          <t>SUMIF</t>
        </is>
      </c>
      <c r="F5" s="37">
        <f>SUMIF('ppvsreal summary'!$c:$c, cuenta, 'ppvsreal summary'!d:ac)</f>
        <v/>
      </c>
      <c r="G5" s="36" t="inlineStr">
        <is>
          <t>Suma todos los meses de la cuenta 401</t>
        </is>
      </c>
      <c r="H5" s="36" t="inlineStr">
        <is>
          <t>PPvsREal Summary</t>
        </is>
      </c>
    </row>
    <row r="6" ht="15" customHeight="1" s="15">
      <c r="A6" s="36" t="inlineStr">
        <is>
          <t>Nivel 3</t>
        </is>
      </c>
      <c r="B6" s="36" t="inlineStr">
        <is>
          <t>-</t>
        </is>
      </c>
      <c r="C6" s="36" t="inlineStr">
        <is>
          <t>402-000-000-00</t>
        </is>
      </c>
      <c r="D6" s="36" t="inlineStr">
        <is>
          <t>Ingresos socios nuevos</t>
        </is>
      </c>
      <c r="E6" s="36" t="inlineStr">
        <is>
          <t>SUMIF</t>
        </is>
      </c>
      <c r="F6" s="37">
        <f>SUMIF('ppvsreal summary'!$c:$c, cuenta, 'ppvsreal summary'!d:ac)</f>
        <v/>
      </c>
      <c r="G6" s="36" t="inlineStr">
        <is>
          <t>Suma todos los meses de la cuenta 402</t>
        </is>
      </c>
      <c r="H6" s="36" t="inlineStr">
        <is>
          <t>PPvsREal Summary</t>
        </is>
      </c>
    </row>
    <row r="7" ht="15" customHeight="1" s="15">
      <c r="A7" s="34" t="inlineStr">
        <is>
          <t>Nivel 2</t>
        </is>
      </c>
      <c r="B7" s="34" t="inlineStr">
        <is>
          <t>-</t>
        </is>
      </c>
      <c r="C7" s="34" t="n"/>
      <c r="D7" s="34" t="inlineStr">
        <is>
          <t>Events</t>
        </is>
      </c>
      <c r="E7" s="34" t="inlineStr">
        <is>
          <t>SUMA</t>
        </is>
      </c>
      <c r="F7" s="35">
        <f>suma de cuentas 407, 408</f>
        <v/>
      </c>
      <c r="G7" s="34" t="inlineStr">
        <is>
          <t>Eventos + Patrocinios</t>
        </is>
      </c>
      <c r="H7" s="34" t="n"/>
    </row>
    <row r="8" ht="15" customHeight="1" s="15">
      <c r="A8" s="36" t="inlineStr">
        <is>
          <t>Nivel 3</t>
        </is>
      </c>
      <c r="B8" s="36" t="inlineStr">
        <is>
          <t>-</t>
        </is>
      </c>
      <c r="C8" s="36" t="inlineStr">
        <is>
          <t>407-000-000-00</t>
        </is>
      </c>
      <c r="D8" s="36" t="inlineStr">
        <is>
          <t>Eventos</t>
        </is>
      </c>
      <c r="E8" s="36" t="inlineStr">
        <is>
          <t>SUMIF</t>
        </is>
      </c>
      <c r="F8" s="37">
        <f>SUMIF(...)</f>
        <v/>
      </c>
      <c r="G8" s="36" t="inlineStr">
        <is>
          <t>Suma todos los meses</t>
        </is>
      </c>
      <c r="H8" s="36" t="inlineStr">
        <is>
          <t>PPvsREal Summary</t>
        </is>
      </c>
    </row>
    <row r="9" ht="15" customHeight="1" s="15">
      <c r="A9" s="36" t="inlineStr">
        <is>
          <t>Nivel 3</t>
        </is>
      </c>
      <c r="B9" s="36" t="inlineStr">
        <is>
          <t>-</t>
        </is>
      </c>
      <c r="C9" s="36" t="inlineStr">
        <is>
          <t>408-000-000-00</t>
        </is>
      </c>
      <c r="D9" s="36" t="inlineStr">
        <is>
          <t>Patrocinios</t>
        </is>
      </c>
      <c r="E9" s="36" t="inlineStr">
        <is>
          <t>SUMIF</t>
        </is>
      </c>
      <c r="F9" s="37">
        <f>SUMIF(...)</f>
        <v/>
      </c>
      <c r="G9" s="36" t="inlineStr">
        <is>
          <t>Suma todos los meses</t>
        </is>
      </c>
      <c r="H9" s="36" t="inlineStr">
        <is>
          <t>PPvsREal Summary</t>
        </is>
      </c>
    </row>
    <row r="10" ht="15" customHeight="1" s="15">
      <c r="A10" s="34" t="inlineStr">
        <is>
          <t>Nivel 2</t>
        </is>
      </c>
      <c r="B10" s="34" t="inlineStr">
        <is>
          <t>-</t>
        </is>
      </c>
      <c r="C10" s="34" t="n"/>
      <c r="D10" s="34" t="inlineStr">
        <is>
          <t>Committees</t>
        </is>
      </c>
      <c r="E10" s="34" t="inlineStr">
        <is>
          <t>SUMA</t>
        </is>
      </c>
      <c r="F10" s="35">
        <f>suma de cuentas 417, 412</f>
        <v/>
      </c>
      <c r="G10" s="34" t="inlineStr">
        <is>
          <t>Comités + Economex</t>
        </is>
      </c>
      <c r="H10" s="34" t="n"/>
    </row>
    <row r="11" ht="15" customHeight="1" s="15">
      <c r="A11" s="36" t="inlineStr">
        <is>
          <t>Nivel 3</t>
        </is>
      </c>
      <c r="B11" s="36" t="inlineStr">
        <is>
          <t>-</t>
        </is>
      </c>
      <c r="C11" s="36" t="inlineStr">
        <is>
          <t>417-000-000-00</t>
        </is>
      </c>
      <c r="D11" s="36" t="inlineStr">
        <is>
          <t>Comités</t>
        </is>
      </c>
      <c r="E11" s="36" t="inlineStr">
        <is>
          <t>SUMIF</t>
        </is>
      </c>
      <c r="F11" s="37">
        <f>SUMIF(...)</f>
        <v/>
      </c>
      <c r="G11" s="36" t="inlineStr">
        <is>
          <t>Suma todos los meses</t>
        </is>
      </c>
      <c r="H11" s="36" t="inlineStr">
        <is>
          <t>PPvsREal Summary</t>
        </is>
      </c>
    </row>
    <row r="12" ht="15" customHeight="1" s="15">
      <c r="A12" s="36" t="inlineStr">
        <is>
          <t>Nivel 3</t>
        </is>
      </c>
      <c r="B12" s="36" t="inlineStr">
        <is>
          <t>-</t>
        </is>
      </c>
      <c r="C12" s="36" t="inlineStr">
        <is>
          <t>412-000-000-00</t>
        </is>
      </c>
      <c r="D12" s="36" t="inlineStr">
        <is>
          <t>Economex</t>
        </is>
      </c>
      <c r="E12" s="36" t="inlineStr">
        <is>
          <t>SUMIF</t>
        </is>
      </c>
      <c r="F12" s="37">
        <f>SUMIF(...)</f>
        <v/>
      </c>
      <c r="G12" s="36" t="inlineStr">
        <is>
          <t>Suma todos los meses</t>
        </is>
      </c>
      <c r="H12" s="36" t="inlineStr">
        <is>
          <t>PPvsREal Summary</t>
        </is>
      </c>
    </row>
    <row r="13" ht="15" customHeight="1" s="15">
      <c r="A13" s="34" t="inlineStr">
        <is>
          <t>Nivel 2</t>
        </is>
      </c>
      <c r="B13" s="34" t="inlineStr">
        <is>
          <t>-</t>
        </is>
      </c>
      <c r="C13" s="34" t="n"/>
      <c r="D13" s="34" t="inlineStr">
        <is>
          <t>T&amp;IC</t>
        </is>
      </c>
      <c r="E13" s="34" t="inlineStr">
        <is>
          <t>CUENTA ÚNICA</t>
        </is>
      </c>
      <c r="F13" s="35">
        <f>SUMIF(...)</f>
        <v/>
      </c>
      <c r="G13" s="34" t="inlineStr">
        <is>
          <t>Trade &amp; Investment Center</t>
        </is>
      </c>
      <c r="H13" s="34" t="n"/>
    </row>
    <row r="14" ht="15" customHeight="1" s="15">
      <c r="A14" s="36" t="inlineStr">
        <is>
          <t>Nivel 3</t>
        </is>
      </c>
      <c r="B14" s="36" t="inlineStr">
        <is>
          <t>-</t>
        </is>
      </c>
      <c r="C14" s="36" t="inlineStr">
        <is>
          <t>405-000-000-00</t>
        </is>
      </c>
      <c r="D14" s="36" t="inlineStr">
        <is>
          <t>Trade &amp; Investment Center</t>
        </is>
      </c>
      <c r="E14" s="36" t="inlineStr">
        <is>
          <t>SUMIF</t>
        </is>
      </c>
      <c r="F14" s="37">
        <f>SUMIF(...)</f>
        <v/>
      </c>
      <c r="G14" s="36" t="inlineStr">
        <is>
          <t>Suma todos los meses</t>
        </is>
      </c>
      <c r="H14" s="36" t="inlineStr">
        <is>
          <t>PPvsREal Summary</t>
        </is>
      </c>
    </row>
    <row r="15" ht="15" customHeight="1" s="15">
      <c r="A15" s="34" t="inlineStr">
        <is>
          <t>Nivel 2</t>
        </is>
      </c>
      <c r="B15" s="34" t="inlineStr">
        <is>
          <t>-</t>
        </is>
      </c>
      <c r="C15" s="34" t="n"/>
      <c r="D15" s="34" t="inlineStr">
        <is>
          <t>Services to Members</t>
        </is>
      </c>
      <c r="E15" s="34" t="inlineStr">
        <is>
          <t>SUMA</t>
        </is>
      </c>
      <c r="F15" s="35">
        <f>suma de cuentas 406-1, 406-2, 409</f>
        <v/>
      </c>
      <c r="G15" s="34" t="inlineStr">
        <is>
          <t>Venta Publicaciones + Digital Training + Visas</t>
        </is>
      </c>
      <c r="H15" s="34" t="n"/>
    </row>
    <row r="16" ht="15" customHeight="1" s="15">
      <c r="A16" s="36" t="inlineStr">
        <is>
          <t>Nivel 3</t>
        </is>
      </c>
      <c r="B16" s="36" t="inlineStr">
        <is>
          <t>-</t>
        </is>
      </c>
      <c r="C16" s="36" t="inlineStr">
        <is>
          <t>406-001-000-00</t>
        </is>
      </c>
      <c r="D16" s="36" t="inlineStr">
        <is>
          <t>Venta Publicaciones</t>
        </is>
      </c>
      <c r="E16" s="36" t="inlineStr">
        <is>
          <t>SUMIF</t>
        </is>
      </c>
      <c r="F16" s="37">
        <f>SUMIF(...)</f>
        <v/>
      </c>
      <c r="G16" s="36" t="inlineStr">
        <is>
          <t>Suma todos los meses</t>
        </is>
      </c>
      <c r="H16" s="36" t="inlineStr">
        <is>
          <t>PPvsREal Summary</t>
        </is>
      </c>
    </row>
    <row r="17" ht="15" customHeight="1" s="15">
      <c r="A17" s="36" t="inlineStr">
        <is>
          <t>Nivel 3</t>
        </is>
      </c>
      <c r="B17" s="36" t="inlineStr">
        <is>
          <t>-</t>
        </is>
      </c>
      <c r="C17" s="36" t="inlineStr">
        <is>
          <t>406-002-000-00</t>
        </is>
      </c>
      <c r="D17" s="36" t="inlineStr">
        <is>
          <t>Digital Training</t>
        </is>
      </c>
      <c r="E17" s="36" t="inlineStr">
        <is>
          <t>SUMIF</t>
        </is>
      </c>
      <c r="F17" s="37">
        <f>SUMIF(...)</f>
        <v/>
      </c>
      <c r="G17" s="36" t="inlineStr">
        <is>
          <t>Suma todos los meses</t>
        </is>
      </c>
      <c r="H17" s="36" t="inlineStr">
        <is>
          <t>PPvsREal Summary</t>
        </is>
      </c>
    </row>
    <row r="18" ht="15" customHeight="1" s="15">
      <c r="A18" s="36" t="inlineStr">
        <is>
          <t>Nivel 3</t>
        </is>
      </c>
      <c r="B18" s="36" t="inlineStr">
        <is>
          <t>-</t>
        </is>
      </c>
      <c r="C18" s="36" t="inlineStr">
        <is>
          <t>409-000-000-00</t>
        </is>
      </c>
      <c r="D18" s="36" t="inlineStr">
        <is>
          <t>Visas</t>
        </is>
      </c>
      <c r="E18" s="36" t="inlineStr">
        <is>
          <t>SUMIF</t>
        </is>
      </c>
      <c r="F18" s="37">
        <f>SUMIF(...)</f>
        <v/>
      </c>
      <c r="G18" s="36" t="inlineStr">
        <is>
          <t>Suma todos los meses</t>
        </is>
      </c>
      <c r="H18" s="36" t="inlineStr">
        <is>
          <t>PPvsREal Summary</t>
        </is>
      </c>
    </row>
    <row r="19" ht="15" customHeight="1" s="15">
      <c r="A19" s="34" t="inlineStr">
        <is>
          <t>Nivel 2</t>
        </is>
      </c>
      <c r="B19" s="34" t="inlineStr">
        <is>
          <t>-</t>
        </is>
      </c>
      <c r="C19" s="34" t="inlineStr">
        <is>
          <t>450-001-000-00</t>
        </is>
      </c>
      <c r="D19" s="34" t="inlineStr">
        <is>
          <t>Guadalajara Income</t>
        </is>
      </c>
      <c r="E19" s="34" t="inlineStr">
        <is>
          <t>SUMIF</t>
        </is>
      </c>
      <c r="F19" s="35">
        <f>SUMIF(...)</f>
        <v/>
      </c>
      <c r="G19" s="34" t="inlineStr">
        <is>
          <t>Ingresos de Guadalajara</t>
        </is>
      </c>
      <c r="H19" s="34" t="inlineStr">
        <is>
          <t>PPvsREal Summary</t>
        </is>
      </c>
    </row>
    <row r="20" ht="15" customHeight="1" s="15">
      <c r="A20" s="34" t="inlineStr">
        <is>
          <t>Nivel 2</t>
        </is>
      </c>
      <c r="B20" s="34" t="inlineStr">
        <is>
          <t>-</t>
        </is>
      </c>
      <c r="C20" s="34" t="inlineStr">
        <is>
          <t>450-002-000-00</t>
        </is>
      </c>
      <c r="D20" s="34" t="inlineStr">
        <is>
          <t>Monterrey Income</t>
        </is>
      </c>
      <c r="E20" s="34" t="inlineStr">
        <is>
          <t>SUMIF</t>
        </is>
      </c>
      <c r="F20" s="35">
        <f>SUMIF(...)</f>
        <v/>
      </c>
      <c r="G20" s="34" t="inlineStr">
        <is>
          <t>Ingresos de Monterrey</t>
        </is>
      </c>
      <c r="H20" s="34" t="inlineStr">
        <is>
          <t>PPvsREal Summary</t>
        </is>
      </c>
    </row>
    <row r="21" ht="15" customHeight="1" s="15">
      <c r="A21" s="34" t="inlineStr">
        <is>
          <t>Nivel 2</t>
        </is>
      </c>
      <c r="B21" s="34" t="inlineStr">
        <is>
          <t>-</t>
        </is>
      </c>
      <c r="C21" s="34" t="inlineStr">
        <is>
          <t>450-003-000-00</t>
        </is>
      </c>
      <c r="D21" s="34" t="inlineStr">
        <is>
          <t>Northwest Income</t>
        </is>
      </c>
      <c r="E21" s="34" t="inlineStr">
        <is>
          <t>SUMIF</t>
        </is>
      </c>
      <c r="F21" s="35">
        <f>SUMIF(...)</f>
        <v/>
      </c>
      <c r="G21" s="34" t="inlineStr">
        <is>
          <t>Ingresos de Northwest</t>
        </is>
      </c>
      <c r="H21" s="34" t="inlineStr">
        <is>
          <t>PPvsREal Summary</t>
        </is>
      </c>
    </row>
    <row r="23" ht="15" customHeight="1" s="15">
      <c r="A23" s="39" t="inlineStr">
        <is>
          <t>EXPENSE</t>
        </is>
      </c>
    </row>
    <row r="24" ht="15" customHeight="1" s="15">
      <c r="A24" s="34" t="inlineStr">
        <is>
          <t>Nivel 1</t>
        </is>
      </c>
      <c r="B24" s="34" t="inlineStr">
        <is>
          <t>Total</t>
        </is>
      </c>
      <c r="C24" s="34" t="n"/>
      <c r="D24" s="34" t="inlineStr">
        <is>
          <t>EXPENSE (Total)</t>
        </is>
      </c>
      <c r="E24" s="34" t="inlineStr">
        <is>
          <t>SUMA</t>
        </is>
      </c>
      <c r="F24" s="35">
        <f>SUM(membership, events, committees, t&amp;ic, services, gastos admin)</f>
        <v/>
      </c>
      <c r="G24" s="34" t="inlineStr">
        <is>
          <t>Suma de todas las categorías de gastos</t>
        </is>
      </c>
      <c r="H24" s="34" t="n"/>
    </row>
    <row r="25" ht="15" customHeight="1" s="15">
      <c r="A25" s="34" t="inlineStr">
        <is>
          <t>Nivel 2</t>
        </is>
      </c>
      <c r="B25" s="34" t="inlineStr">
        <is>
          <t>-</t>
        </is>
      </c>
      <c r="C25" s="34" t="n"/>
      <c r="D25" s="34" t="inlineStr">
        <is>
          <t>Membership</t>
        </is>
      </c>
      <c r="E25" s="34" t="inlineStr">
        <is>
          <t>SUMA</t>
        </is>
      </c>
      <c r="F25" s="35">
        <f>suma de cuentas 705, 520</f>
        <v/>
      </c>
      <c r="G25" s="34" t="inlineStr">
        <is>
          <t>Gastos Promoción + Comisiones membresía</t>
        </is>
      </c>
      <c r="H25" s="34" t="n"/>
    </row>
    <row r="26" ht="15" customHeight="1" s="15">
      <c r="A26" s="36" t="inlineStr">
        <is>
          <t>Nivel 3</t>
        </is>
      </c>
      <c r="B26" s="36" t="inlineStr">
        <is>
          <t>-</t>
        </is>
      </c>
      <c r="C26" s="36" t="inlineStr">
        <is>
          <t>705-000-000-00</t>
        </is>
      </c>
      <c r="D26" s="36" t="inlineStr">
        <is>
          <t>Gastos Promoción</t>
        </is>
      </c>
      <c r="E26" s="36" t="inlineStr">
        <is>
          <t>SUMIF</t>
        </is>
      </c>
      <c r="F26" s="37">
        <f>SUMIF(...)</f>
        <v/>
      </c>
      <c r="G26" s="36" t="inlineStr">
        <is>
          <t>Suma todos los meses</t>
        </is>
      </c>
      <c r="H26" s="36" t="inlineStr">
        <is>
          <t>PPvsREal Summary</t>
        </is>
      </c>
    </row>
    <row r="27" ht="15" customHeight="1" s="15">
      <c r="A27" s="36" t="inlineStr">
        <is>
          <t>Nivel 3</t>
        </is>
      </c>
      <c r="B27" s="36" t="inlineStr">
        <is>
          <t>-</t>
        </is>
      </c>
      <c r="C27" s="36" t="inlineStr">
        <is>
          <t>520-000-000-00</t>
        </is>
      </c>
      <c r="D27" s="36" t="inlineStr">
        <is>
          <t>Comisiones por venta de membresía</t>
        </is>
      </c>
      <c r="E27" s="36" t="inlineStr">
        <is>
          <t>SUMIF</t>
        </is>
      </c>
      <c r="F27" s="37">
        <f>SUMIF(...)</f>
        <v/>
      </c>
      <c r="G27" s="36" t="inlineStr">
        <is>
          <t>Suma todos los meses</t>
        </is>
      </c>
      <c r="H27" s="36" t="inlineStr">
        <is>
          <t>PPvsREal Summary</t>
        </is>
      </c>
    </row>
    <row r="28" ht="15" customHeight="1" s="15">
      <c r="A28" s="34" t="inlineStr">
        <is>
          <t>Nivel 2</t>
        </is>
      </c>
      <c r="B28" s="34" t="inlineStr">
        <is>
          <t>-</t>
        </is>
      </c>
      <c r="C28" s="34" t="n"/>
      <c r="D28" s="34" t="inlineStr">
        <is>
          <t>Events</t>
        </is>
      </c>
      <c r="E28" s="34" t="inlineStr">
        <is>
          <t>CUENTA ÚNICA</t>
        </is>
      </c>
      <c r="F28" s="35">
        <f>SUMIF(...)</f>
        <v/>
      </c>
      <c r="G28" s="34" t="inlineStr">
        <is>
          <t>Costo Eventos</t>
        </is>
      </c>
      <c r="H28" s="34" t="n"/>
    </row>
    <row r="29" ht="15" customHeight="1" s="15">
      <c r="A29" s="36" t="inlineStr">
        <is>
          <t>Nivel 3</t>
        </is>
      </c>
      <c r="B29" s="36" t="inlineStr">
        <is>
          <t>-</t>
        </is>
      </c>
      <c r="C29" s="36" t="inlineStr">
        <is>
          <t>701-000-000-00</t>
        </is>
      </c>
      <c r="D29" s="36" t="inlineStr">
        <is>
          <t>Costo Eventos</t>
        </is>
      </c>
      <c r="E29" s="36" t="inlineStr">
        <is>
          <t>SUMIF</t>
        </is>
      </c>
      <c r="F29" s="37">
        <f>SUMIF(...)</f>
        <v/>
      </c>
      <c r="G29" s="36" t="inlineStr">
        <is>
          <t>Suma todos los meses</t>
        </is>
      </c>
      <c r="H29" s="36" t="inlineStr">
        <is>
          <t>PPvsREal Summary</t>
        </is>
      </c>
    </row>
    <row r="30" ht="15" customHeight="1" s="15">
      <c r="A30" s="34" t="inlineStr">
        <is>
          <t>Nivel 2</t>
        </is>
      </c>
      <c r="B30" s="34" t="inlineStr">
        <is>
          <t>-</t>
        </is>
      </c>
      <c r="C30" s="34" t="n"/>
      <c r="D30" s="34" t="inlineStr">
        <is>
          <t>Committees</t>
        </is>
      </c>
      <c r="E30" s="34" t="inlineStr">
        <is>
          <t>SUMA</t>
        </is>
      </c>
      <c r="F30" s="35">
        <f>suma de cuentas 702, 704, 521</f>
        <v/>
      </c>
      <c r="G30" s="34" t="inlineStr">
        <is>
          <t>Costo Comités + Costo Economex + Comisiones</t>
        </is>
      </c>
      <c r="H30" s="34" t="n"/>
    </row>
    <row r="31" ht="15" customHeight="1" s="15">
      <c r="A31" s="36" t="inlineStr">
        <is>
          <t>Nivel 3</t>
        </is>
      </c>
      <c r="B31" s="36" t="inlineStr">
        <is>
          <t>-</t>
        </is>
      </c>
      <c r="C31" s="36" t="inlineStr">
        <is>
          <t>702-000-000-00</t>
        </is>
      </c>
      <c r="D31" s="36" t="inlineStr">
        <is>
          <t>Costo Comités</t>
        </is>
      </c>
      <c r="E31" s="36" t="inlineStr">
        <is>
          <t>SUMIF</t>
        </is>
      </c>
      <c r="F31" s="37">
        <f>SUMIF(...)</f>
        <v/>
      </c>
      <c r="G31" s="36" t="inlineStr">
        <is>
          <t>Suma todos los meses</t>
        </is>
      </c>
      <c r="H31" s="36" t="inlineStr">
        <is>
          <t>PPvsREal Summary</t>
        </is>
      </c>
    </row>
    <row r="32" ht="15" customHeight="1" s="15">
      <c r="A32" s="36" t="inlineStr">
        <is>
          <t>Nivel 3</t>
        </is>
      </c>
      <c r="B32" s="36" t="inlineStr">
        <is>
          <t>-</t>
        </is>
      </c>
      <c r="C32" s="36" t="inlineStr">
        <is>
          <t>704-000-000-00</t>
        </is>
      </c>
      <c r="D32" s="36" t="inlineStr">
        <is>
          <t>Costo Economex</t>
        </is>
      </c>
      <c r="E32" s="36" t="inlineStr">
        <is>
          <t>SUMIF</t>
        </is>
      </c>
      <c r="F32" s="37">
        <f>SUMIF(...)</f>
        <v/>
      </c>
      <c r="G32" s="36" t="inlineStr">
        <is>
          <t>Suma todos los meses</t>
        </is>
      </c>
      <c r="H32" s="36" t="inlineStr">
        <is>
          <t>PPvsREal Summary</t>
        </is>
      </c>
    </row>
    <row r="33" ht="15" customHeight="1" s="15">
      <c r="A33" s="36" t="inlineStr">
        <is>
          <t>Nivel 3</t>
        </is>
      </c>
      <c r="B33" s="36" t="inlineStr">
        <is>
          <t>-</t>
        </is>
      </c>
      <c r="C33" s="36" t="inlineStr">
        <is>
          <t>521-000-000-00</t>
        </is>
      </c>
      <c r="D33" s="36" t="inlineStr">
        <is>
          <t>Comisiones EWDP y Economex</t>
        </is>
      </c>
      <c r="E33" s="36" t="inlineStr">
        <is>
          <t>SUMIF</t>
        </is>
      </c>
      <c r="F33" s="37">
        <f>SUMIF(...)</f>
        <v/>
      </c>
      <c r="G33" s="36" t="inlineStr">
        <is>
          <t>Suma todos los meses</t>
        </is>
      </c>
      <c r="H33" s="36" t="inlineStr">
        <is>
          <t>PPvsREal Summary</t>
        </is>
      </c>
    </row>
    <row r="34" ht="15" customHeight="1" s="15">
      <c r="A34" s="34" t="inlineStr">
        <is>
          <t>Nivel 2</t>
        </is>
      </c>
      <c r="B34" s="34" t="inlineStr">
        <is>
          <t>-</t>
        </is>
      </c>
      <c r="C34" s="34" t="n"/>
      <c r="D34" s="34" t="inlineStr">
        <is>
          <t>T&amp;IC</t>
        </is>
      </c>
      <c r="E34" s="34" t="inlineStr">
        <is>
          <t>CUENTA ÚNICA</t>
        </is>
      </c>
      <c r="F34" s="35">
        <f>SUMIF(...)</f>
        <v/>
      </c>
      <c r="G34" s="34" t="inlineStr">
        <is>
          <t>Costo Trade &amp; Investment Center</t>
        </is>
      </c>
      <c r="H34" s="34" t="n"/>
    </row>
    <row r="35" ht="15" customHeight="1" s="15">
      <c r="A35" s="36" t="inlineStr">
        <is>
          <t>Nivel 3</t>
        </is>
      </c>
      <c r="B35" s="36" t="inlineStr">
        <is>
          <t>-</t>
        </is>
      </c>
      <c r="C35" s="36" t="inlineStr">
        <is>
          <t>703-000-000-00</t>
        </is>
      </c>
      <c r="D35" s="36" t="inlineStr">
        <is>
          <t>Costo Trade &amp; Investment Center</t>
        </is>
      </c>
      <c r="E35" s="36" t="inlineStr">
        <is>
          <t>SUMIF</t>
        </is>
      </c>
      <c r="F35" s="37">
        <f>SUMIF(...)</f>
        <v/>
      </c>
      <c r="G35" s="36" t="inlineStr">
        <is>
          <t>Suma todos los meses</t>
        </is>
      </c>
      <c r="H35" s="36" t="inlineStr">
        <is>
          <t>PPvsREal Summary</t>
        </is>
      </c>
    </row>
    <row r="36" ht="15" customHeight="1" s="15">
      <c r="A36" s="34" t="inlineStr">
        <is>
          <t>Nivel 2</t>
        </is>
      </c>
      <c r="B36" s="34" t="inlineStr">
        <is>
          <t>-</t>
        </is>
      </c>
      <c r="C36" s="34" t="n"/>
      <c r="D36" s="34" t="inlineStr">
        <is>
          <t>Services to Members</t>
        </is>
      </c>
      <c r="E36" s="34" t="inlineStr">
        <is>
          <t>SUMA</t>
        </is>
      </c>
      <c r="F36" s="35">
        <f>suma de cuentas 601-2-3, 601-3-1</f>
        <v/>
      </c>
      <c r="G36" s="34" t="inlineStr">
        <is>
          <t>Costo Venta Publicaciones + Costo Digital Training</t>
        </is>
      </c>
      <c r="H36" s="34" t="n"/>
    </row>
    <row r="37" ht="15" customHeight="1" s="15">
      <c r="A37" s="36" t="inlineStr">
        <is>
          <t>Nivel 3</t>
        </is>
      </c>
      <c r="B37" s="36" t="inlineStr">
        <is>
          <t>-</t>
        </is>
      </c>
      <c r="C37" s="36" t="inlineStr">
        <is>
          <t>601-002-003-00</t>
        </is>
      </c>
      <c r="D37" s="36" t="inlineStr">
        <is>
          <t>Costo Venta Publicaciones</t>
        </is>
      </c>
      <c r="E37" s="36" t="inlineStr">
        <is>
          <t>SUMIF</t>
        </is>
      </c>
      <c r="F37" s="37">
        <f>SUMIF(...)</f>
        <v/>
      </c>
      <c r="G37" s="36" t="inlineStr">
        <is>
          <t>Suma todos los meses</t>
        </is>
      </c>
      <c r="H37" s="36" t="inlineStr">
        <is>
          <t>PPvsREal Summary</t>
        </is>
      </c>
    </row>
    <row r="38" ht="15" customHeight="1" s="15">
      <c r="A38" s="36" t="inlineStr">
        <is>
          <t>Nivel 3</t>
        </is>
      </c>
      <c r="B38" s="36" t="inlineStr">
        <is>
          <t>-</t>
        </is>
      </c>
      <c r="C38" s="36" t="inlineStr">
        <is>
          <t>601-003-001-00</t>
        </is>
      </c>
      <c r="D38" s="36" t="inlineStr">
        <is>
          <t>Costo Digital Training</t>
        </is>
      </c>
      <c r="E38" s="36" t="inlineStr">
        <is>
          <t>SUMIF</t>
        </is>
      </c>
      <c r="F38" s="37">
        <f>SUMIF(...)</f>
        <v/>
      </c>
      <c r="G38" s="36" t="inlineStr">
        <is>
          <t>Suma todos los meses</t>
        </is>
      </c>
      <c r="H38" s="36" t="inlineStr">
        <is>
          <t>PPvsREal Summary</t>
        </is>
      </c>
    </row>
    <row r="39" ht="15" customHeight="1" s="15">
      <c r="A39" s="34" t="inlineStr">
        <is>
          <t>Nivel 2</t>
        </is>
      </c>
      <c r="B39" s="34" t="inlineStr">
        <is>
          <t>-</t>
        </is>
      </c>
      <c r="C39" s="34" t="n"/>
      <c r="D39" s="34" t="inlineStr">
        <is>
          <t>Gastos Administrativos</t>
        </is>
      </c>
      <c r="E39" s="34" t="inlineStr">
        <is>
          <t>SUMA</t>
        </is>
      </c>
      <c r="F39" s="35">
        <f>suma de cuentas 801-1 a 801-13</f>
        <v/>
      </c>
      <c r="G39" s="34" t="inlineStr">
        <is>
          <t>Todos los departamentos administrativos</t>
        </is>
      </c>
      <c r="H39" s="34" t="n"/>
    </row>
    <row r="40" ht="15" customHeight="1" s="15">
      <c r="A40" s="36" t="inlineStr">
        <is>
          <t>Nivel 3</t>
        </is>
      </c>
      <c r="B40" s="36" t="inlineStr">
        <is>
          <t>-</t>
        </is>
      </c>
      <c r="C40" s="36" t="inlineStr">
        <is>
          <t>801-001-000-00</t>
        </is>
      </c>
      <c r="D40" s="36" t="inlineStr">
        <is>
          <t>Desarrollo de Negocios</t>
        </is>
      </c>
      <c r="E40" s="36" t="inlineStr">
        <is>
          <t>SUMIF</t>
        </is>
      </c>
      <c r="F40" s="37">
        <f>SUMIF(...)</f>
        <v/>
      </c>
      <c r="G40" s="36" t="inlineStr">
        <is>
          <t>Suma todos los meses del departamento</t>
        </is>
      </c>
      <c r="H40" s="36" t="inlineStr">
        <is>
          <t>PPvsREal Summary</t>
        </is>
      </c>
    </row>
    <row r="41" ht="15" customHeight="1" s="15">
      <c r="A41" s="36" t="inlineStr">
        <is>
          <t>Nivel 3</t>
        </is>
      </c>
      <c r="B41" s="36" t="inlineStr">
        <is>
          <t>-</t>
        </is>
      </c>
      <c r="C41" s="36" t="inlineStr">
        <is>
          <t>801-002-000-00</t>
        </is>
      </c>
      <c r="D41" s="36" t="inlineStr">
        <is>
          <t>Relaciones Externas</t>
        </is>
      </c>
      <c r="E41" s="36" t="inlineStr">
        <is>
          <t>SUMIF</t>
        </is>
      </c>
      <c r="F41" s="37">
        <f>SUMIF(...)</f>
        <v/>
      </c>
      <c r="G41" s="36" t="inlineStr">
        <is>
          <t>Suma todos los meses del departamento</t>
        </is>
      </c>
      <c r="H41" s="36" t="inlineStr">
        <is>
          <t>PPvsREal Summary</t>
        </is>
      </c>
    </row>
    <row r="42" ht="15" customHeight="1" s="15">
      <c r="A42" s="36" t="inlineStr">
        <is>
          <t>Nivel 3</t>
        </is>
      </c>
      <c r="B42" s="36" t="inlineStr">
        <is>
          <t>-</t>
        </is>
      </c>
      <c r="C42" s="36" t="inlineStr">
        <is>
          <t>801-003-000-00</t>
        </is>
      </c>
      <c r="D42" s="36" t="inlineStr">
        <is>
          <t>Servicios a las membresía</t>
        </is>
      </c>
      <c r="E42" s="36" t="inlineStr">
        <is>
          <t>SUMIF</t>
        </is>
      </c>
      <c r="F42" s="37">
        <f>SUMIF(...)</f>
        <v/>
      </c>
      <c r="G42" s="36" t="inlineStr">
        <is>
          <t>Suma todos los meses del departamento</t>
        </is>
      </c>
      <c r="H42" s="36" t="inlineStr">
        <is>
          <t>PPvsREal Summary</t>
        </is>
      </c>
    </row>
    <row r="43" ht="15" customHeight="1" s="15">
      <c r="A43" s="36" t="inlineStr">
        <is>
          <t>Nivel 3</t>
        </is>
      </c>
      <c r="B43" s="36" t="inlineStr">
        <is>
          <t>-</t>
        </is>
      </c>
      <c r="C43" s="36" t="inlineStr">
        <is>
          <t>801-004-000-00</t>
        </is>
      </c>
      <c r="D43" s="36" t="inlineStr">
        <is>
          <t>Vicepresidencia</t>
        </is>
      </c>
      <c r="E43" s="36" t="inlineStr">
        <is>
          <t>SUMIF</t>
        </is>
      </c>
      <c r="F43" s="37">
        <f>SUMIF(...)</f>
        <v/>
      </c>
      <c r="G43" s="36" t="inlineStr">
        <is>
          <t>Suma todos los meses del departamento</t>
        </is>
      </c>
      <c r="H43" s="36" t="inlineStr">
        <is>
          <t>PPvsREal Summary</t>
        </is>
      </c>
    </row>
    <row r="44" ht="15" customHeight="1" s="15">
      <c r="A44" s="36" t="inlineStr">
        <is>
          <t>Nivel 3</t>
        </is>
      </c>
      <c r="B44" s="36" t="inlineStr">
        <is>
          <t>-</t>
        </is>
      </c>
      <c r="C44" s="36" t="inlineStr">
        <is>
          <t>801-005-000-00</t>
        </is>
      </c>
      <c r="D44" s="36" t="inlineStr">
        <is>
          <t>Finanzas</t>
        </is>
      </c>
      <c r="E44" s="36" t="inlineStr">
        <is>
          <t>SUMIF</t>
        </is>
      </c>
      <c r="F44" s="37">
        <f>SUMIF(...)</f>
        <v/>
      </c>
      <c r="G44" s="36" t="inlineStr">
        <is>
          <t>Suma todos los meses del departamento</t>
        </is>
      </c>
      <c r="H44" s="36" t="inlineStr">
        <is>
          <t>PPvsREal Summary</t>
        </is>
      </c>
    </row>
    <row r="45" ht="15" customHeight="1" s="15">
      <c r="A45" s="36" t="inlineStr">
        <is>
          <t>Nivel 3</t>
        </is>
      </c>
      <c r="B45" s="36" t="inlineStr">
        <is>
          <t>-</t>
        </is>
      </c>
      <c r="C45" s="36" t="inlineStr">
        <is>
          <t>801-006-000-00</t>
        </is>
      </c>
      <c r="D45" s="36" t="inlineStr">
        <is>
          <t>Administración</t>
        </is>
      </c>
      <c r="E45" s="36" t="inlineStr">
        <is>
          <t>SUMIF</t>
        </is>
      </c>
      <c r="F45" s="37">
        <f>SUMIF(...)</f>
        <v/>
      </c>
      <c r="G45" s="36" t="inlineStr">
        <is>
          <t>Suma todos los meses del departamento</t>
        </is>
      </c>
      <c r="H45" s="36" t="inlineStr">
        <is>
          <t>PPvsREal Summary</t>
        </is>
      </c>
    </row>
    <row r="46" ht="15" customHeight="1" s="15">
      <c r="A46" s="36" t="inlineStr">
        <is>
          <t>Nivel 3</t>
        </is>
      </c>
      <c r="B46" s="36" t="inlineStr">
        <is>
          <t>-</t>
        </is>
      </c>
      <c r="C46" s="36" t="inlineStr">
        <is>
          <t>801-007-000-00</t>
        </is>
      </c>
      <c r="D46" s="36" t="inlineStr">
        <is>
          <t>Sistemas</t>
        </is>
      </c>
      <c r="E46" s="36" t="inlineStr">
        <is>
          <t>SUMIF</t>
        </is>
      </c>
      <c r="F46" s="37">
        <f>SUMIF(...)</f>
        <v/>
      </c>
      <c r="G46" s="36" t="inlineStr">
        <is>
          <t>Suma todos los meses del departamento</t>
        </is>
      </c>
      <c r="H46" s="36" t="inlineStr">
        <is>
          <t>PPvsREal Summary</t>
        </is>
      </c>
    </row>
    <row r="47" ht="15" customHeight="1" s="15">
      <c r="A47" s="36" t="inlineStr">
        <is>
          <t>Nivel 3</t>
        </is>
      </c>
      <c r="B47" s="36" t="inlineStr">
        <is>
          <t>-</t>
        </is>
      </c>
      <c r="C47" s="36" t="inlineStr">
        <is>
          <t>801-008-000-00</t>
        </is>
      </c>
      <c r="D47" s="36" t="inlineStr">
        <is>
          <t>Recursos Humanos</t>
        </is>
      </c>
      <c r="E47" s="36" t="inlineStr">
        <is>
          <t>SUMIF</t>
        </is>
      </c>
      <c r="F47" s="37">
        <f>SUMIF(...)</f>
        <v/>
      </c>
      <c r="G47" s="36" t="inlineStr">
        <is>
          <t>Suma todos los meses del departamento</t>
        </is>
      </c>
      <c r="H47" s="36" t="inlineStr">
        <is>
          <t>PPvsREal Summary</t>
        </is>
      </c>
    </row>
    <row r="48" ht="15" customHeight="1" s="15">
      <c r="A48" s="36" t="inlineStr">
        <is>
          <t>Nivel 3</t>
        </is>
      </c>
      <c r="B48" s="36" t="inlineStr">
        <is>
          <t>-</t>
        </is>
      </c>
      <c r="C48" s="36" t="inlineStr">
        <is>
          <t>801-009-000-00</t>
        </is>
      </c>
      <c r="D48" s="36" t="inlineStr">
        <is>
          <t>Servicios Generales</t>
        </is>
      </c>
      <c r="E48" s="36" t="inlineStr">
        <is>
          <t>SUMIF</t>
        </is>
      </c>
      <c r="F48" s="37">
        <f>SUMIF(...)</f>
        <v/>
      </c>
      <c r="G48" s="36" t="inlineStr">
        <is>
          <t>Suma todos los meses del departamento</t>
        </is>
      </c>
      <c r="H48" s="36" t="inlineStr">
        <is>
          <t>PPvsREal Summary</t>
        </is>
      </c>
    </row>
    <row r="49" ht="15" customHeight="1" s="15">
      <c r="A49" s="36" t="inlineStr">
        <is>
          <t>Nivel 3</t>
        </is>
      </c>
      <c r="B49" s="36" t="inlineStr">
        <is>
          <t>-</t>
        </is>
      </c>
      <c r="C49" s="36" t="inlineStr">
        <is>
          <t>801-010-000-00</t>
        </is>
      </c>
      <c r="D49" s="36" t="inlineStr">
        <is>
          <t>Eventos</t>
        </is>
      </c>
      <c r="E49" s="36" t="inlineStr">
        <is>
          <t>SUMIF</t>
        </is>
      </c>
      <c r="F49" s="37">
        <f>SUMIF(...)</f>
        <v/>
      </c>
      <c r="G49" s="36" t="inlineStr">
        <is>
          <t>Suma todos los meses del departamento</t>
        </is>
      </c>
      <c r="H49" s="36" t="inlineStr">
        <is>
          <t>PPvsREal Summary</t>
        </is>
      </c>
    </row>
    <row r="50" ht="15" customHeight="1" s="15">
      <c r="A50" s="36" t="inlineStr">
        <is>
          <t>Nivel 3</t>
        </is>
      </c>
      <c r="B50" s="36" t="inlineStr">
        <is>
          <t>-</t>
        </is>
      </c>
      <c r="C50" s="36" t="inlineStr">
        <is>
          <t>801-011-000-00</t>
        </is>
      </c>
      <c r="D50" s="36" t="inlineStr">
        <is>
          <t>Comités</t>
        </is>
      </c>
      <c r="E50" s="36" t="inlineStr">
        <is>
          <t>SUMIF</t>
        </is>
      </c>
      <c r="F50" s="37">
        <f>SUMIF(...)</f>
        <v/>
      </c>
      <c r="G50" s="36" t="inlineStr">
        <is>
          <t>Suma todos los meses del departamento</t>
        </is>
      </c>
      <c r="H50" s="36" t="inlineStr">
        <is>
          <t>PPvsREal Summary</t>
        </is>
      </c>
    </row>
    <row r="51" ht="15" customHeight="1" s="15">
      <c r="A51" s="36" t="inlineStr">
        <is>
          <t>Nivel 3</t>
        </is>
      </c>
      <c r="B51" s="36" t="inlineStr">
        <is>
          <t>-</t>
        </is>
      </c>
      <c r="C51" s="36" t="inlineStr">
        <is>
          <t>801-012-000-00</t>
        </is>
      </c>
      <c r="D51" s="36" t="inlineStr">
        <is>
          <t>Comunicación</t>
        </is>
      </c>
      <c r="E51" s="36" t="inlineStr">
        <is>
          <t>SUMIF</t>
        </is>
      </c>
      <c r="F51" s="37">
        <f>SUMIF(...)</f>
        <v/>
      </c>
      <c r="G51" s="36" t="inlineStr">
        <is>
          <t>Suma todos los meses del departamento</t>
        </is>
      </c>
      <c r="H51" s="36" t="inlineStr">
        <is>
          <t>PPvsREal Summary</t>
        </is>
      </c>
    </row>
    <row r="52" ht="15" customHeight="1" s="15">
      <c r="A52" s="36" t="inlineStr">
        <is>
          <t>Nivel 3</t>
        </is>
      </c>
      <c r="B52" s="36" t="inlineStr">
        <is>
          <t>-</t>
        </is>
      </c>
      <c r="C52" s="36" t="inlineStr">
        <is>
          <t>801-013-000-00</t>
        </is>
      </c>
      <c r="D52" s="36" t="inlineStr">
        <is>
          <t>Trade &amp; Investment Center</t>
        </is>
      </c>
      <c r="E52" s="36" t="inlineStr">
        <is>
          <t>SUMIF</t>
        </is>
      </c>
      <c r="F52" s="37">
        <f>SUMIF(...)</f>
        <v/>
      </c>
      <c r="G52" s="36" t="inlineStr">
        <is>
          <t>Suma todos los meses del departamento</t>
        </is>
      </c>
      <c r="H52" s="36" t="inlineStr">
        <is>
          <t>PPvsREal Summary</t>
        </is>
      </c>
    </row>
  </sheetData>
  <mergeCells count="2">
    <mergeCell ref="A23:H23"/>
    <mergeCell ref="A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31" min="1" max="1"/>
    <col width="35" customWidth="1" style="31" min="2" max="3"/>
    <col width="40" customWidth="1" style="31" min="4" max="5"/>
  </cols>
  <sheetData>
    <row r="1" ht="15" customHeight="1" s="15">
      <c r="A1" s="32" t="inlineStr">
        <is>
          <t>Aspecto</t>
        </is>
      </c>
      <c r="B1" s="32" t="inlineStr">
        <is>
          <t>SUMMARY</t>
        </is>
      </c>
      <c r="C1" s="32" t="inlineStr">
        <is>
          <t>RESUMEN</t>
        </is>
      </c>
      <c r="D1" s="32" t="inlineStr">
        <is>
          <t>Diferencia Clave</t>
        </is>
      </c>
      <c r="E1" s="32" t="inlineStr">
        <is>
          <t>Recomendación</t>
        </is>
      </c>
    </row>
    <row r="2" ht="45" customHeight="1" s="15">
      <c r="A2" s="40" t="inlineStr">
        <is>
          <t>Fuente de Datos</t>
        </is>
      </c>
      <c r="B2" s="40" t="inlineStr">
        <is>
          <t>Usa hojas SALDOSXX y ACUMXX con VLOOKUP</t>
        </is>
      </c>
      <c r="C2" s="40" t="inlineStr">
        <is>
          <t>Usa hoja 'PPvsREal Summary' con SUMIF</t>
        </is>
      </c>
      <c r="D2" s="40" t="inlineStr">
        <is>
          <t>SUMMARY busca por cuenta en saldos acumulados, RESUMEN suma meses</t>
        </is>
      </c>
      <c r="E2" s="40" t="inlineStr">
        <is>
          <t>Unificar fuente de datos o documentar claramente la diferencia</t>
        </is>
      </c>
    </row>
    <row r="3" ht="45" customHeight="1" s="15">
      <c r="A3" s="40" t="inlineStr">
        <is>
          <t>Formato de Cuentas</t>
        </is>
      </c>
      <c r="B3" s="40" t="inlineStr">
        <is>
          <t>Cuentas numéricas largas (ej: 401000000000000000001)</t>
        </is>
      </c>
      <c r="C3" s="40" t="inlineStr">
        <is>
          <t>Cuentas con guiones (ej: 401-000-000-00)</t>
        </is>
      </c>
      <c r="D3" s="40" t="inlineStr">
        <is>
          <t>Diferente formato de identificación de cuentas</t>
        </is>
      </c>
      <c r="E3" s="40" t="inlineStr">
        <is>
          <t>Crear tabla de mapeo de cuentas entre ambos formatos</t>
        </is>
      </c>
    </row>
    <row r="4" ht="45" customHeight="1" s="15">
      <c r="A4" s="40" t="inlineStr">
        <is>
          <t>Nivel de Detalle</t>
        </is>
      </c>
      <c r="B4" s="40" t="inlineStr">
        <is>
          <t>Muestra período individual (mensual) vs año anterior</t>
        </is>
      </c>
      <c r="C4" s="40" t="inlineStr">
        <is>
          <t>Muestra consolidado anual vs presupuesto</t>
        </is>
      </c>
      <c r="D4" s="40" t="inlineStr">
        <is>
          <t>SUMMARY es para análisis mensual, RESUMEN es resumen anual</t>
        </is>
      </c>
      <c r="E4" s="40" t="inlineStr">
        <is>
          <t>Mantener ambos para diferentes propósitos de análisis</t>
        </is>
      </c>
    </row>
    <row r="5" ht="45" customHeight="1" s="15">
      <c r="A5" s="40" t="inlineStr">
        <is>
          <t>Categorías Income</t>
        </is>
      </c>
      <c r="B5" s="40" t="inlineStr">
        <is>
          <t>4 categorías: Membership, Events, Committees, Services</t>
        </is>
      </c>
      <c r="C5" s="40" t="inlineStr">
        <is>
          <t>6 categorías: + T&amp;IC, + detalle en Services</t>
        </is>
      </c>
      <c r="D5" s="40" t="inlineStr">
        <is>
          <t>RESUMEN tiene más granularidad en servicios</t>
        </is>
      </c>
      <c r="E5" s="40" t="inlineStr">
        <is>
          <t>Adoptar estructura de RESUMEN por ser más detallada</t>
        </is>
      </c>
    </row>
    <row r="6" ht="45" customHeight="1" s="15">
      <c r="A6" s="40" t="inlineStr">
        <is>
          <t>Categorías Expense</t>
        </is>
      </c>
      <c r="B6" s="40" t="inlineStr">
        <is>
          <t>Agrupa Gastos Admin en un solo nivel</t>
        </is>
      </c>
      <c r="C6" s="40" t="inlineStr">
        <is>
          <t>Detalla 13 departamentos administrativos</t>
        </is>
      </c>
      <c r="D6" s="40" t="inlineStr">
        <is>
          <t>RESUMEN tiene mejor desglose departamental</t>
        </is>
      </c>
      <c r="E6" s="40" t="inlineStr">
        <is>
          <t>Usar estructura de RESUMEN para mejor seguimiento</t>
        </is>
      </c>
    </row>
    <row r="7" ht="45" customHeight="1" s="15">
      <c r="A7" s="40" t="inlineStr">
        <is>
          <t>Cálculos YTD</t>
        </is>
      </c>
      <c r="B7" s="40" t="inlineStr">
        <is>
          <t>Columnas separadas para mensual y YTD</t>
        </is>
      </c>
      <c r="C7" s="40" t="inlineStr">
        <is>
          <t>Solo muestra acumulado anual</t>
        </is>
      </c>
      <c r="D7" s="40" t="inlineStr">
        <is>
          <t>SUMMARY permite análisis mes a mes</t>
        </is>
      </c>
      <c r="E7" s="40" t="inlineStr">
        <is>
          <t>Mantener ambas vistas según necesidad</t>
        </is>
      </c>
    </row>
    <row r="8" ht="45" customHeight="1" s="15">
      <c r="A8" s="40" t="inlineStr">
        <is>
          <t>Comparaciones</t>
        </is>
      </c>
      <c r="B8" s="40" t="inlineStr">
        <is>
          <t>vs Plan y vs Año Anterior</t>
        </is>
      </c>
      <c r="C8" s="40" t="inlineStr">
        <is>
          <t>vs Ppto y vs Real Año Anterior</t>
        </is>
      </c>
      <c r="D8" s="40" t="inlineStr">
        <is>
          <t>Nomenclatura diferente, mismo concepto</t>
        </is>
      </c>
      <c r="E8" s="40" t="inlineStr">
        <is>
          <t>Estandarizar términos: usar 'Presupuesto' y 'Real'</t>
        </is>
      </c>
    </row>
    <row r="9" ht="45" customHeight="1" s="15">
      <c r="A9" s="40" t="inlineStr">
        <is>
          <t>Fórmulas de Agregación</t>
        </is>
      </c>
      <c r="B9" s="40" t="inlineStr">
        <is>
          <t>Usa referencias de celdas directas (B8, B25, etc)</t>
        </is>
      </c>
      <c r="C9" s="40" t="inlineStr">
        <is>
          <t>Usa SUMIF para sumar por cuenta en múltiples meses</t>
        </is>
      </c>
      <c r="D9" s="40" t="inlineStr">
        <is>
          <t>SUMMARY depende de estructura fija, RESUMEN más flexible</t>
        </is>
      </c>
      <c r="E9" s="40" t="inlineStr">
        <is>
          <t>RESUMEN es más robusto ante cambios en datos fuente</t>
        </is>
      </c>
    </row>
    <row r="10" ht="45" customHeight="1" s="15">
      <c r="A10" s="40" t="inlineStr">
        <is>
          <t>Regionales</t>
        </is>
      </c>
      <c r="B10" s="40" t="inlineStr">
        <is>
          <t>2 capítulos: Guadalajara, Monterrey</t>
        </is>
      </c>
      <c r="C10" s="40" t="inlineStr">
        <is>
          <t>3 capítulos: + Northwest</t>
        </is>
      </c>
      <c r="D10" s="40" t="inlineStr">
        <is>
          <t>RESUMEN incluye capítulo adicional</t>
        </is>
      </c>
      <c r="E10" s="40" t="inlineStr">
        <is>
          <t>Verificar si Northwest aplica al modelo SUMMARY</t>
        </is>
      </c>
    </row>
    <row r="11" ht="45" customHeight="1" s="15">
      <c r="A11" s="40" t="inlineStr">
        <is>
          <t>Nómina</t>
        </is>
      </c>
      <c r="B11" s="40" t="inlineStr">
        <is>
          <t>Categoría separada 'Gastos de Nomina' con 7 cuentas</t>
        </is>
      </c>
      <c r="C11" s="40" t="inlineStr">
        <is>
          <t>Incluida dentro de Gastos Administrativos</t>
        </is>
      </c>
      <c r="D11" s="40" t="inlineStr">
        <is>
          <t>SUMMARY separa nómina explícitamente</t>
        </is>
      </c>
      <c r="E11" s="40" t="inlineStr">
        <is>
          <t>Considerar si separar nómina facilita análisis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25" customWidth="1" style="31" min="2" max="2"/>
    <col width="40" customWidth="1" style="31" min="3" max="3"/>
    <col width="18" customWidth="1" style="31" min="4" max="4"/>
  </cols>
  <sheetData>
    <row r="1" ht="17.35" customHeight="1" s="15">
      <c r="A1" s="41" t="inlineStr">
        <is>
          <t>MAPEO Y ESTANDARIZACIÓN DE VISTAS FINANCIERAS</t>
        </is>
      </c>
    </row>
    <row r="3" ht="15" customHeight="1" s="15">
      <c r="A3" s="42" t="inlineStr">
        <is>
          <t>1. OBJETIVO DEL DOCUMENTO</t>
        </is>
      </c>
    </row>
    <row r="4" ht="79.5" customHeight="1" s="15">
      <c r="A4" s="43" t="inlineStr">
        <is>
          <t>Este documento mapea detalladamente las estructuras de agregación de las vistas SUMMARY y RESUMEN, documentando:
• Jerarquía de niveles de agregación
• Fórmulas y operaciones por fila
• Fuentes de datos y dependencias
• Diferencias entre ambas vistas
• Recomendaciones de estandarización</t>
        </is>
      </c>
    </row>
    <row r="5" ht="15" customHeight="1" s="15"/>
    <row r="6" ht="15" customHeight="1" s="15"/>
    <row r="7" ht="15" customHeight="1" s="15"/>
    <row r="9" ht="15" customHeight="1" s="15">
      <c r="A9" s="42" t="inlineStr">
        <is>
          <t>2. ESTRUCTURA DE NIVELES</t>
        </is>
      </c>
    </row>
    <row r="10" ht="15" customHeight="1" s="15">
      <c r="A10" s="44" t="inlineStr">
        <is>
          <t>Nivel</t>
        </is>
      </c>
      <c r="B10" s="44" t="inlineStr">
        <is>
          <t>Nombre</t>
        </is>
      </c>
      <c r="C10" s="44" t="inlineStr">
        <is>
          <t>Descripción</t>
        </is>
      </c>
      <c r="D10" s="44" t="inlineStr">
        <is>
          <t>Cantidad Típica</t>
        </is>
      </c>
    </row>
    <row r="11" ht="15" customHeight="1" s="15">
      <c r="A11" s="34" t="inlineStr">
        <is>
          <t>Nivel 0</t>
        </is>
      </c>
      <c r="B11" s="34" t="inlineStr">
        <is>
          <t>Consolidado Total</t>
        </is>
      </c>
      <c r="C11" s="34" t="inlineStr">
        <is>
          <t>INCOME / EXPENSE consolidado</t>
        </is>
      </c>
      <c r="D11" s="34" t="inlineStr">
        <is>
          <t>1-2 filas</t>
        </is>
      </c>
    </row>
    <row r="12" ht="15" customHeight="1" s="15">
      <c r="A12" s="34" t="inlineStr">
        <is>
          <t>Nivel 1</t>
        </is>
      </c>
      <c r="B12" s="34" t="inlineStr">
        <is>
          <t>Consolidado Regional</t>
        </is>
      </c>
      <c r="C12" s="34" t="inlineStr">
        <is>
          <t>CDMX + Guadalajara + Monterrey</t>
        </is>
      </c>
      <c r="D12" s="34" t="inlineStr">
        <is>
          <t>3-5 filas</t>
        </is>
      </c>
    </row>
    <row r="13" ht="15" customHeight="1" s="15">
      <c r="A13" s="34" t="inlineStr">
        <is>
          <t>Nivel 2</t>
        </is>
      </c>
      <c r="B13" s="34" t="inlineStr">
        <is>
          <t>Categorías Principales</t>
        </is>
      </c>
      <c r="C13" s="34" t="inlineStr">
        <is>
          <t>Membership, Events, Committees, etc</t>
        </is>
      </c>
      <c r="D13" s="34" t="inlineStr">
        <is>
          <t>10-15 filas</t>
        </is>
      </c>
    </row>
    <row r="14" ht="15" customHeight="1" s="15">
      <c r="A14" s="34" t="inlineStr">
        <is>
          <t>Nivel 3</t>
        </is>
      </c>
      <c r="B14" s="34" t="inlineStr">
        <is>
          <t>Cuentas Individuales</t>
        </is>
      </c>
      <c r="C14" s="34" t="inlineStr">
        <is>
          <t>Cuentas contables específicas</t>
        </is>
      </c>
      <c r="D14" s="34" t="inlineStr">
        <is>
          <t>50-100 filas</t>
        </is>
      </c>
    </row>
    <row r="17" ht="15" customHeight="1" s="15">
      <c r="A17" s="42" t="inlineStr">
        <is>
          <t>3. RECOMENDACIONES CLAVE</t>
        </is>
      </c>
    </row>
    <row r="18" ht="30" customHeight="1" s="15">
      <c r="A18" s="45" t="inlineStr">
        <is>
          <t>1. Estandarizar formato de cuentas entre SUMMARY y RESUMEN</t>
        </is>
      </c>
    </row>
    <row r="19" ht="30" customHeight="1" s="15">
      <c r="A19" s="45" t="inlineStr">
        <is>
          <t>2. Documentar tabla de mapeo de cuentas numéricas ↔ con guiones</t>
        </is>
      </c>
    </row>
    <row r="20" ht="30" customHeight="1" s="15">
      <c r="A20" s="45" t="inlineStr">
        <is>
          <t>3. Unificar nomenclatura: 'Presupuesto' y 'Real' en lugar de 'Plan' y 'Actual'</t>
        </is>
      </c>
    </row>
    <row r="21" ht="30" customHeight="1" s="15">
      <c r="A21" s="45" t="inlineStr">
        <is>
          <t>4. Adoptar estructura de categorías de RESUMEN por ser más granular</t>
        </is>
      </c>
    </row>
    <row r="22" ht="30" customHeight="1" s="15">
      <c r="A22" s="45" t="inlineStr">
        <is>
          <t>5. Mantener ambas vistas para análisis mensual (SUMMARY) y anual (RESUMEN)</t>
        </is>
      </c>
    </row>
    <row r="23" ht="30" customHeight="1" s="15">
      <c r="A23" s="45" t="inlineStr">
        <is>
          <t>6. Implementar validaciones para asegurar que ambas vistas sumen igual</t>
        </is>
      </c>
    </row>
    <row r="24" ht="30" customHeight="1" s="15">
      <c r="A24" s="45" t="inlineStr">
        <is>
          <t>7. Crear documentación de fórmulas clave y dependencias críticas</t>
        </is>
      </c>
    </row>
    <row r="25" ht="30" customHeight="1" s="15">
      <c r="A25" s="45" t="inlineStr">
        <is>
          <t>8. Establecer proceso de actualización sincronizada entre vistas</t>
        </is>
      </c>
    </row>
    <row r="26" ht="30" customHeight="1" s="15">
      <c r="A26" s="45" t="inlineStr">
        <is>
          <t>9. Validar si capítulo Northwest debe incluirse en SUMMARY</t>
        </is>
      </c>
    </row>
    <row r="27" ht="30" customHeight="1" s="15">
      <c r="A27" s="45" t="inlineStr">
        <is>
          <t>10. Considerar separar Nómina como categoría independiente en RESUMEN</t>
        </is>
      </c>
    </row>
  </sheetData>
  <mergeCells count="15">
    <mergeCell ref="A24:F24"/>
    <mergeCell ref="A19:F19"/>
    <mergeCell ref="A3:F3"/>
    <mergeCell ref="A1:F1"/>
    <mergeCell ref="A23:F23"/>
    <mergeCell ref="A9:F9"/>
    <mergeCell ref="A27:F27"/>
    <mergeCell ref="A4:F7"/>
    <mergeCell ref="A22:F22"/>
    <mergeCell ref="A17:F17"/>
    <mergeCell ref="A18:F18"/>
    <mergeCell ref="A26:F26"/>
    <mergeCell ref="A21:F21"/>
    <mergeCell ref="A20:F20"/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2025-12-04T03:13:12Z</dcterms:created>
  <dcterms:modified xmlns:dcterms="http://purl.org/dc/terms/" xmlns:xsi="http://www.w3.org/2001/XMLSchema-instance" xsi:type="dcterms:W3CDTF">2025-12-04T03:17:30Z</dcterms:modified>
  <cp:revision>0</cp:revision>
</cp:coreProperties>
</file>