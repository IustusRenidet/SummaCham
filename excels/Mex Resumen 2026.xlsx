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opez_amcham\Desktop\Ppto. 2026 Preparación\Plantillas Iconet\Mex\"/>
    </mc:Choice>
  </mc:AlternateContent>
  <xr:revisionPtr revIDLastSave="0" documentId="13_ncr:1_{FBA8FC8C-A982-4B28-9AEA-4F2DFAD3CE7D}" xr6:coauthVersionLast="47" xr6:coauthVersionMax="47" xr10:uidLastSave="{00000000-0000-0000-0000-000000000000}"/>
  <bookViews>
    <workbookView xWindow="-120" yWindow="-120" windowWidth="20730" windowHeight="11040" xr2:uid="{C1089530-B9EB-47A0-8BC1-409ACC03E309}"/>
  </bookViews>
  <sheets>
    <sheet name="Resumen" sheetId="1" r:id="rId1"/>
  </sheets>
  <definedNames>
    <definedName name="Payment_Needed">"Pago necesario"</definedName>
    <definedName name="Reimbursement">"Reembolso"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J5" i="1"/>
  <c r="I5" i="1"/>
  <c r="E5" i="1"/>
  <c r="D5" i="1"/>
  <c r="C5" i="1"/>
  <c r="C35" i="1"/>
  <c r="K15" i="1"/>
  <c r="J15" i="1"/>
  <c r="L15" i="1" s="1"/>
  <c r="I15" i="1"/>
  <c r="E15" i="1"/>
  <c r="D15" i="1"/>
  <c r="C15" i="1"/>
  <c r="Q15" i="1"/>
  <c r="P15" i="1"/>
  <c r="O15" i="1"/>
  <c r="M16" i="1"/>
  <c r="L16" i="1"/>
  <c r="G16" i="1"/>
  <c r="F16" i="1"/>
  <c r="G15" i="1"/>
  <c r="Q35" i="1"/>
  <c r="P35" i="1"/>
  <c r="M36" i="1"/>
  <c r="L36" i="1"/>
  <c r="G36" i="1"/>
  <c r="F36" i="1"/>
  <c r="K35" i="1"/>
  <c r="J35" i="1"/>
  <c r="I35" i="1"/>
  <c r="E35" i="1"/>
  <c r="D35" i="1"/>
  <c r="K37" i="1"/>
  <c r="J37" i="1"/>
  <c r="I37" i="1"/>
  <c r="E37" i="1"/>
  <c r="D37" i="1"/>
  <c r="C37" i="1"/>
  <c r="M39" i="1"/>
  <c r="L39" i="1"/>
  <c r="G39" i="1"/>
  <c r="F39" i="1"/>
  <c r="E70" i="1"/>
  <c r="E89" i="1" s="1"/>
  <c r="E71" i="1"/>
  <c r="E90" i="1" s="1"/>
  <c r="F23" i="1"/>
  <c r="E72" i="1"/>
  <c r="E91" i="1" s="1"/>
  <c r="I17" i="1"/>
  <c r="S86" i="1"/>
  <c r="R86" i="1"/>
  <c r="M86" i="1"/>
  <c r="L86" i="1"/>
  <c r="G86" i="1"/>
  <c r="F86" i="1"/>
  <c r="S85" i="1"/>
  <c r="R85" i="1"/>
  <c r="M85" i="1"/>
  <c r="L85" i="1"/>
  <c r="G85" i="1"/>
  <c r="F85" i="1"/>
  <c r="S84" i="1"/>
  <c r="R84" i="1"/>
  <c r="M84" i="1"/>
  <c r="L84" i="1"/>
  <c r="G84" i="1"/>
  <c r="F84" i="1"/>
  <c r="R82" i="1"/>
  <c r="F82" i="1"/>
  <c r="G82" i="1"/>
  <c r="S81" i="1"/>
  <c r="R81" i="1"/>
  <c r="M81" i="1"/>
  <c r="L81" i="1"/>
  <c r="G81" i="1"/>
  <c r="F81" i="1"/>
  <c r="L80" i="1"/>
  <c r="M80" i="1"/>
  <c r="F80" i="1"/>
  <c r="G80" i="1"/>
  <c r="K78" i="1"/>
  <c r="L79" i="1"/>
  <c r="F79" i="1"/>
  <c r="J78" i="1"/>
  <c r="D78" i="1"/>
  <c r="C78" i="1"/>
  <c r="R76" i="1"/>
  <c r="L76" i="1"/>
  <c r="M76" i="1"/>
  <c r="J72" i="1"/>
  <c r="J91" i="1" s="1"/>
  <c r="I71" i="1"/>
  <c r="S66" i="1"/>
  <c r="R66" i="1"/>
  <c r="M66" i="1"/>
  <c r="L66" i="1"/>
  <c r="L65" i="1"/>
  <c r="M65" i="1"/>
  <c r="G64" i="1"/>
  <c r="F64" i="1"/>
  <c r="L63" i="1"/>
  <c r="M63" i="1"/>
  <c r="G63" i="1"/>
  <c r="F63" i="1"/>
  <c r="G62" i="1"/>
  <c r="F62" i="1"/>
  <c r="M61" i="1"/>
  <c r="L61" i="1"/>
  <c r="F61" i="1"/>
  <c r="G61" i="1"/>
  <c r="M60" i="1"/>
  <c r="L60" i="1"/>
  <c r="F60" i="1"/>
  <c r="G60" i="1"/>
  <c r="M59" i="1"/>
  <c r="L59" i="1"/>
  <c r="S58" i="1"/>
  <c r="M58" i="1"/>
  <c r="L58" i="1"/>
  <c r="G58" i="1"/>
  <c r="R57" i="1"/>
  <c r="L57" i="1"/>
  <c r="J55" i="1"/>
  <c r="M57" i="1"/>
  <c r="K55" i="1"/>
  <c r="G56" i="1"/>
  <c r="F56" i="1"/>
  <c r="G54" i="1"/>
  <c r="F54" i="1"/>
  <c r="M53" i="1"/>
  <c r="L53" i="1"/>
  <c r="G53" i="1"/>
  <c r="F53" i="1"/>
  <c r="M52" i="1"/>
  <c r="L52" i="1"/>
  <c r="F52" i="1"/>
  <c r="G52" i="1"/>
  <c r="M51" i="1"/>
  <c r="L51" i="1"/>
  <c r="L50" i="1"/>
  <c r="M50" i="1"/>
  <c r="G50" i="1"/>
  <c r="L49" i="1"/>
  <c r="M49" i="1"/>
  <c r="G48" i="1"/>
  <c r="F48" i="1"/>
  <c r="M47" i="1"/>
  <c r="G47" i="1"/>
  <c r="F47" i="1"/>
  <c r="G46" i="1"/>
  <c r="F46" i="1"/>
  <c r="M45" i="1"/>
  <c r="L45" i="1"/>
  <c r="G45" i="1"/>
  <c r="F45" i="1"/>
  <c r="M44" i="1"/>
  <c r="L44" i="1"/>
  <c r="D40" i="1"/>
  <c r="G44" i="1"/>
  <c r="M43" i="1"/>
  <c r="L43" i="1"/>
  <c r="M42" i="1"/>
  <c r="L42" i="1"/>
  <c r="G42" i="1"/>
  <c r="L41" i="1"/>
  <c r="K40" i="1"/>
  <c r="M41" i="1"/>
  <c r="J40" i="1"/>
  <c r="P37" i="1"/>
  <c r="L38" i="1"/>
  <c r="M38" i="1"/>
  <c r="G38" i="1"/>
  <c r="M34" i="1"/>
  <c r="L34" i="1"/>
  <c r="F34" i="1"/>
  <c r="G34" i="1"/>
  <c r="M33" i="1"/>
  <c r="L33" i="1"/>
  <c r="F33" i="1"/>
  <c r="M32" i="1"/>
  <c r="L32" i="1"/>
  <c r="J31" i="1"/>
  <c r="G32" i="1"/>
  <c r="E31" i="1"/>
  <c r="D31" i="1"/>
  <c r="K31" i="1"/>
  <c r="I31" i="1"/>
  <c r="C31" i="1"/>
  <c r="Q29" i="1"/>
  <c r="P29" i="1"/>
  <c r="L30" i="1"/>
  <c r="K29" i="1"/>
  <c r="E29" i="1"/>
  <c r="G30" i="1"/>
  <c r="J29" i="1"/>
  <c r="I29" i="1"/>
  <c r="D29" i="1"/>
  <c r="M28" i="1"/>
  <c r="F28" i="1"/>
  <c r="K26" i="1"/>
  <c r="G27" i="1"/>
  <c r="F27" i="1"/>
  <c r="D26" i="1"/>
  <c r="J26" i="1"/>
  <c r="E26" i="1"/>
  <c r="Q72" i="1"/>
  <c r="Q91" i="1" s="1"/>
  <c r="O72" i="1"/>
  <c r="L23" i="1"/>
  <c r="M23" i="1"/>
  <c r="Q71" i="1"/>
  <c r="Q90" i="1" s="1"/>
  <c r="L22" i="1"/>
  <c r="K71" i="1"/>
  <c r="K90" i="1" s="1"/>
  <c r="D71" i="1"/>
  <c r="D90" i="1" s="1"/>
  <c r="P70" i="1"/>
  <c r="P89" i="1" s="1"/>
  <c r="O70" i="1"/>
  <c r="K70" i="1"/>
  <c r="K89" i="1" s="1"/>
  <c r="J70" i="1"/>
  <c r="J89" i="1" s="1"/>
  <c r="M21" i="1"/>
  <c r="D70" i="1"/>
  <c r="D89" i="1" s="1"/>
  <c r="C70" i="1"/>
  <c r="J17" i="1"/>
  <c r="M20" i="1"/>
  <c r="G20" i="1"/>
  <c r="F20" i="1"/>
  <c r="S19" i="1"/>
  <c r="R19" i="1"/>
  <c r="M19" i="1"/>
  <c r="L19" i="1"/>
  <c r="G19" i="1"/>
  <c r="F19" i="1"/>
  <c r="K17" i="1"/>
  <c r="L18" i="1"/>
  <c r="E17" i="1"/>
  <c r="F18" i="1"/>
  <c r="D17" i="1"/>
  <c r="L14" i="1"/>
  <c r="M14" i="1"/>
  <c r="G14" i="1"/>
  <c r="F14" i="1"/>
  <c r="K12" i="1"/>
  <c r="L13" i="1"/>
  <c r="G13" i="1"/>
  <c r="D12" i="1"/>
  <c r="L11" i="1"/>
  <c r="M11" i="1"/>
  <c r="G11" i="1"/>
  <c r="L10" i="1"/>
  <c r="I9" i="1"/>
  <c r="G10" i="1"/>
  <c r="E9" i="1"/>
  <c r="F10" i="1"/>
  <c r="K9" i="1"/>
  <c r="D9" i="1"/>
  <c r="M8" i="1"/>
  <c r="L8" i="1"/>
  <c r="F8" i="1"/>
  <c r="G8" i="1"/>
  <c r="J6" i="1"/>
  <c r="M7" i="1"/>
  <c r="G7" i="1"/>
  <c r="E6" i="1"/>
  <c r="D6" i="1"/>
  <c r="K6" i="1"/>
  <c r="I6" i="1"/>
  <c r="M6" i="1" s="1"/>
  <c r="C6" i="1"/>
  <c r="S16" i="1" l="1"/>
  <c r="F15" i="1"/>
  <c r="M15" i="1"/>
  <c r="R16" i="1"/>
  <c r="M9" i="1"/>
  <c r="R11" i="1"/>
  <c r="R33" i="1"/>
  <c r="M35" i="1"/>
  <c r="R49" i="1"/>
  <c r="G35" i="1"/>
  <c r="R64" i="1"/>
  <c r="L35" i="1"/>
  <c r="R62" i="1"/>
  <c r="F31" i="1"/>
  <c r="F35" i="1"/>
  <c r="S13" i="1"/>
  <c r="S36" i="1"/>
  <c r="R47" i="1"/>
  <c r="O35" i="1"/>
  <c r="R36" i="1"/>
  <c r="S63" i="1"/>
  <c r="P12" i="1"/>
  <c r="S50" i="1"/>
  <c r="R48" i="1"/>
  <c r="S42" i="1"/>
  <c r="R14" i="1"/>
  <c r="S44" i="1"/>
  <c r="S57" i="1"/>
  <c r="P78" i="1"/>
  <c r="R65" i="1"/>
  <c r="R23" i="1"/>
  <c r="S65" i="1"/>
  <c r="S28" i="1"/>
  <c r="P55" i="1"/>
  <c r="R27" i="1"/>
  <c r="P6" i="1"/>
  <c r="P5" i="1" s="1"/>
  <c r="O9" i="1"/>
  <c r="Q12" i="1"/>
  <c r="Q26" i="1"/>
  <c r="P31" i="1"/>
  <c r="S48" i="1"/>
  <c r="S7" i="1"/>
  <c r="P9" i="1"/>
  <c r="P71" i="1"/>
  <c r="P90" i="1" s="1"/>
  <c r="S47" i="1"/>
  <c r="S56" i="1"/>
  <c r="R20" i="1"/>
  <c r="R42" i="1"/>
  <c r="R46" i="1"/>
  <c r="R63" i="1"/>
  <c r="S64" i="1"/>
  <c r="R38" i="1"/>
  <c r="R58" i="1"/>
  <c r="O37" i="1"/>
  <c r="R37" i="1" s="1"/>
  <c r="Q37" i="1"/>
  <c r="S39" i="1"/>
  <c r="R39" i="1"/>
  <c r="Q6" i="1"/>
  <c r="Q5" i="1" s="1"/>
  <c r="S11" i="1"/>
  <c r="Q17" i="1"/>
  <c r="Q70" i="1"/>
  <c r="Q89" i="1" s="1"/>
  <c r="P26" i="1"/>
  <c r="S49" i="1"/>
  <c r="S14" i="1"/>
  <c r="S18" i="1"/>
  <c r="R21" i="1"/>
  <c r="L31" i="1"/>
  <c r="S34" i="1"/>
  <c r="O12" i="1"/>
  <c r="R13" i="1"/>
  <c r="P17" i="1"/>
  <c r="R28" i="1"/>
  <c r="S8" i="1"/>
  <c r="O17" i="1"/>
  <c r="K24" i="1"/>
  <c r="R50" i="1"/>
  <c r="R54" i="1"/>
  <c r="R56" i="1"/>
  <c r="M31" i="1"/>
  <c r="G31" i="1"/>
  <c r="S60" i="1"/>
  <c r="S76" i="1"/>
  <c r="S80" i="1"/>
  <c r="S54" i="1"/>
  <c r="Q9" i="1"/>
  <c r="S20" i="1"/>
  <c r="S22" i="1"/>
  <c r="S21" i="1"/>
  <c r="S46" i="1"/>
  <c r="S72" i="1"/>
  <c r="Q31" i="1"/>
  <c r="S52" i="1"/>
  <c r="S33" i="1"/>
  <c r="Q55" i="1"/>
  <c r="S62" i="1"/>
  <c r="S82" i="1"/>
  <c r="Q40" i="1"/>
  <c r="G22" i="1"/>
  <c r="G6" i="1"/>
  <c r="M18" i="1"/>
  <c r="F6" i="1"/>
  <c r="K25" i="1"/>
  <c r="M29" i="1"/>
  <c r="L7" i="1"/>
  <c r="G59" i="1"/>
  <c r="F59" i="1"/>
  <c r="S59" i="1"/>
  <c r="R59" i="1"/>
  <c r="M82" i="1"/>
  <c r="I78" i="1"/>
  <c r="L82" i="1"/>
  <c r="F7" i="1"/>
  <c r="M13" i="1"/>
  <c r="C17" i="1"/>
  <c r="C89" i="1"/>
  <c r="F70" i="1"/>
  <c r="K72" i="1"/>
  <c r="K91" i="1" s="1"/>
  <c r="O26" i="1"/>
  <c r="L28" i="1"/>
  <c r="L29" i="1"/>
  <c r="G33" i="1"/>
  <c r="F38" i="1"/>
  <c r="M71" i="1"/>
  <c r="I90" i="1"/>
  <c r="R30" i="1"/>
  <c r="O29" i="1"/>
  <c r="M48" i="1"/>
  <c r="L48" i="1"/>
  <c r="L20" i="1"/>
  <c r="L27" i="1"/>
  <c r="I26" i="1"/>
  <c r="F44" i="1"/>
  <c r="S45" i="1"/>
  <c r="R45" i="1"/>
  <c r="M46" i="1"/>
  <c r="L46" i="1"/>
  <c r="M56" i="1"/>
  <c r="L56" i="1"/>
  <c r="I55" i="1"/>
  <c r="G57" i="1"/>
  <c r="F57" i="1"/>
  <c r="C55" i="1"/>
  <c r="O6" i="1"/>
  <c r="O5" i="1" s="1"/>
  <c r="J9" i="1"/>
  <c r="L9" i="1" s="1"/>
  <c r="R18" i="1"/>
  <c r="O89" i="1"/>
  <c r="R70" i="1"/>
  <c r="L6" i="1"/>
  <c r="R8" i="1"/>
  <c r="M10" i="1"/>
  <c r="F11" i="1"/>
  <c r="I12" i="1"/>
  <c r="M22" i="1"/>
  <c r="G23" i="1"/>
  <c r="C72" i="1"/>
  <c r="C26" i="1"/>
  <c r="S30" i="1"/>
  <c r="F42" i="1"/>
  <c r="S79" i="1"/>
  <c r="R79" i="1"/>
  <c r="O78" i="1"/>
  <c r="E12" i="1"/>
  <c r="F30" i="1"/>
  <c r="C29" i="1"/>
  <c r="J12" i="1"/>
  <c r="F21" i="1"/>
  <c r="M30" i="1"/>
  <c r="M37" i="1"/>
  <c r="L37" i="1"/>
  <c r="R41" i="1"/>
  <c r="O40" i="1"/>
  <c r="G43" i="1"/>
  <c r="F43" i="1"/>
  <c r="S43" i="1"/>
  <c r="R43" i="1"/>
  <c r="S53" i="1"/>
  <c r="R53" i="1"/>
  <c r="M54" i="1"/>
  <c r="L54" i="1"/>
  <c r="E55" i="1"/>
  <c r="M64" i="1"/>
  <c r="L64" i="1"/>
  <c r="G65" i="1"/>
  <c r="F65" i="1"/>
  <c r="G49" i="1"/>
  <c r="F49" i="1"/>
  <c r="S10" i="1"/>
  <c r="C12" i="1"/>
  <c r="J71" i="1"/>
  <c r="J90" i="1" s="1"/>
  <c r="D72" i="1"/>
  <c r="D91" i="1" s="1"/>
  <c r="O91" i="1"/>
  <c r="R7" i="1"/>
  <c r="C9" i="1"/>
  <c r="G21" i="1"/>
  <c r="P72" i="1"/>
  <c r="P91" i="1" s="1"/>
  <c r="M27" i="1"/>
  <c r="G28" i="1"/>
  <c r="F32" i="1"/>
  <c r="R34" i="1"/>
  <c r="S38" i="1"/>
  <c r="G41" i="1"/>
  <c r="F41" i="1"/>
  <c r="C40" i="1"/>
  <c r="Q78" i="1"/>
  <c r="G18" i="1"/>
  <c r="I70" i="1"/>
  <c r="L21" i="1"/>
  <c r="S32" i="1"/>
  <c r="R32" i="1"/>
  <c r="O31" i="1"/>
  <c r="G51" i="1"/>
  <c r="F51" i="1"/>
  <c r="S51" i="1"/>
  <c r="R51" i="1"/>
  <c r="S61" i="1"/>
  <c r="R61" i="1"/>
  <c r="M62" i="1"/>
  <c r="L62" i="1"/>
  <c r="G76" i="1"/>
  <c r="F76" i="1"/>
  <c r="S27" i="1"/>
  <c r="R10" i="1"/>
  <c r="F13" i="1"/>
  <c r="C71" i="1"/>
  <c r="F22" i="1"/>
  <c r="O71" i="1"/>
  <c r="R22" i="1"/>
  <c r="I72" i="1"/>
  <c r="J25" i="1"/>
  <c r="J67" i="1" s="1"/>
  <c r="I40" i="1"/>
  <c r="E40" i="1"/>
  <c r="S41" i="1"/>
  <c r="G70" i="1"/>
  <c r="G79" i="1"/>
  <c r="E78" i="1"/>
  <c r="G78" i="1" s="1"/>
  <c r="M79" i="1"/>
  <c r="R44" i="1"/>
  <c r="L47" i="1"/>
  <c r="F50" i="1"/>
  <c r="R52" i="1"/>
  <c r="F58" i="1"/>
  <c r="R60" i="1"/>
  <c r="F66" i="1"/>
  <c r="F78" i="1"/>
  <c r="R80" i="1"/>
  <c r="D55" i="1"/>
  <c r="D25" i="1" s="1"/>
  <c r="D67" i="1" s="1"/>
  <c r="G66" i="1"/>
  <c r="P40" i="1"/>
  <c r="O55" i="1"/>
  <c r="S23" i="1"/>
  <c r="S15" i="1" l="1"/>
  <c r="R15" i="1"/>
  <c r="S12" i="1"/>
  <c r="R9" i="1"/>
  <c r="S70" i="1"/>
  <c r="P24" i="1"/>
  <c r="R72" i="1"/>
  <c r="S35" i="1"/>
  <c r="R35" i="1"/>
  <c r="R12" i="1"/>
  <c r="K69" i="1"/>
  <c r="K74" i="1" s="1"/>
  <c r="S37" i="1"/>
  <c r="S17" i="1"/>
  <c r="R17" i="1"/>
  <c r="Q25" i="1"/>
  <c r="Q67" i="1" s="1"/>
  <c r="P25" i="1"/>
  <c r="E25" i="1"/>
  <c r="E67" i="1" s="1"/>
  <c r="K67" i="1"/>
  <c r="S9" i="1"/>
  <c r="L40" i="1"/>
  <c r="M40" i="1"/>
  <c r="F71" i="1"/>
  <c r="C90" i="1"/>
  <c r="G71" i="1"/>
  <c r="L12" i="1"/>
  <c r="M12" i="1"/>
  <c r="S89" i="1"/>
  <c r="R89" i="1"/>
  <c r="M55" i="1"/>
  <c r="L55" i="1"/>
  <c r="M26" i="1"/>
  <c r="I25" i="1"/>
  <c r="L26" i="1"/>
  <c r="M90" i="1"/>
  <c r="L90" i="1"/>
  <c r="E24" i="1"/>
  <c r="L17" i="1"/>
  <c r="M17" i="1"/>
  <c r="L71" i="1"/>
  <c r="R26" i="1"/>
  <c r="S26" i="1"/>
  <c r="O25" i="1"/>
  <c r="F9" i="1"/>
  <c r="G9" i="1"/>
  <c r="D69" i="1"/>
  <c r="I91" i="1"/>
  <c r="M72" i="1"/>
  <c r="L72" i="1"/>
  <c r="G29" i="1"/>
  <c r="F29" i="1"/>
  <c r="L78" i="1"/>
  <c r="M78" i="1"/>
  <c r="S40" i="1"/>
  <c r="R40" i="1"/>
  <c r="C25" i="1"/>
  <c r="G26" i="1"/>
  <c r="F26" i="1"/>
  <c r="G37" i="1"/>
  <c r="F37" i="1"/>
  <c r="G12" i="1"/>
  <c r="F12" i="1"/>
  <c r="R55" i="1"/>
  <c r="S55" i="1"/>
  <c r="M70" i="1"/>
  <c r="L70" i="1"/>
  <c r="I89" i="1"/>
  <c r="R6" i="1"/>
  <c r="S6" i="1"/>
  <c r="D24" i="1"/>
  <c r="G72" i="1"/>
  <c r="F72" i="1"/>
  <c r="C91" i="1"/>
  <c r="F55" i="1"/>
  <c r="G55" i="1"/>
  <c r="S29" i="1"/>
  <c r="R29" i="1"/>
  <c r="F89" i="1"/>
  <c r="G89" i="1"/>
  <c r="O90" i="1"/>
  <c r="S71" i="1"/>
  <c r="R71" i="1"/>
  <c r="G40" i="1"/>
  <c r="F40" i="1"/>
  <c r="R91" i="1"/>
  <c r="S91" i="1"/>
  <c r="S78" i="1"/>
  <c r="R78" i="1"/>
  <c r="F17" i="1"/>
  <c r="G17" i="1"/>
  <c r="Q24" i="1"/>
  <c r="S31" i="1"/>
  <c r="R31" i="1"/>
  <c r="P69" i="1" l="1"/>
  <c r="P88" i="1" s="1"/>
  <c r="P93" i="1" s="1"/>
  <c r="K88" i="1"/>
  <c r="K93" i="1" s="1"/>
  <c r="Q69" i="1"/>
  <c r="Q74" i="1" s="1"/>
  <c r="P67" i="1"/>
  <c r="E69" i="1"/>
  <c r="E88" i="1" s="1"/>
  <c r="E93" i="1" s="1"/>
  <c r="O69" i="1"/>
  <c r="S5" i="1"/>
  <c r="R5" i="1"/>
  <c r="O24" i="1"/>
  <c r="M91" i="1"/>
  <c r="L91" i="1"/>
  <c r="I69" i="1"/>
  <c r="M5" i="1"/>
  <c r="L5" i="1"/>
  <c r="I24" i="1"/>
  <c r="D88" i="1"/>
  <c r="D93" i="1" s="1"/>
  <c r="D74" i="1"/>
  <c r="G90" i="1"/>
  <c r="F90" i="1"/>
  <c r="R90" i="1"/>
  <c r="S90" i="1"/>
  <c r="M89" i="1"/>
  <c r="L89" i="1"/>
  <c r="J69" i="1"/>
  <c r="J24" i="1"/>
  <c r="G91" i="1"/>
  <c r="F91" i="1"/>
  <c r="L25" i="1"/>
  <c r="M25" i="1"/>
  <c r="I67" i="1"/>
  <c r="C69" i="1"/>
  <c r="G5" i="1"/>
  <c r="C24" i="1"/>
  <c r="F5" i="1"/>
  <c r="S25" i="1"/>
  <c r="O67" i="1"/>
  <c r="R25" i="1"/>
  <c r="G25" i="1"/>
  <c r="F25" i="1"/>
  <c r="C67" i="1"/>
  <c r="P74" i="1" l="1"/>
  <c r="Q88" i="1"/>
  <c r="Q93" i="1" s="1"/>
  <c r="E74" i="1"/>
  <c r="I74" i="1"/>
  <c r="M69" i="1"/>
  <c r="L69" i="1"/>
  <c r="I88" i="1"/>
  <c r="O88" i="1"/>
  <c r="O74" i="1"/>
  <c r="S69" i="1"/>
  <c r="R69" i="1"/>
  <c r="F24" i="1"/>
  <c r="G24" i="1"/>
  <c r="C88" i="1"/>
  <c r="C74" i="1"/>
  <c r="G69" i="1"/>
  <c r="F69" i="1"/>
  <c r="M24" i="1"/>
  <c r="L24" i="1"/>
  <c r="R24" i="1"/>
  <c r="S24" i="1"/>
  <c r="G67" i="1"/>
  <c r="F67" i="1"/>
  <c r="J88" i="1"/>
  <c r="J93" i="1" s="1"/>
  <c r="J74" i="1"/>
  <c r="S67" i="1"/>
  <c r="R67" i="1"/>
  <c r="L67" i="1"/>
  <c r="M67" i="1"/>
  <c r="M74" i="1" l="1"/>
  <c r="L74" i="1"/>
  <c r="G74" i="1"/>
  <c r="F74" i="1"/>
  <c r="I93" i="1"/>
  <c r="M88" i="1"/>
  <c r="L88" i="1"/>
  <c r="R74" i="1"/>
  <c r="S74" i="1"/>
  <c r="O93" i="1"/>
  <c r="S88" i="1"/>
  <c r="R88" i="1"/>
  <c r="C93" i="1"/>
  <c r="F88" i="1"/>
  <c r="G88" i="1"/>
  <c r="M93" i="1" l="1"/>
  <c r="L93" i="1"/>
  <c r="G93" i="1"/>
  <c r="F93" i="1"/>
  <c r="S93" i="1"/>
  <c r="R93" i="1"/>
</calcChain>
</file>

<file path=xl/sharedStrings.xml><?xml version="1.0" encoding="utf-8"?>
<sst xmlns="http://schemas.openxmlformats.org/spreadsheetml/2006/main" count="150" uniqueCount="136">
  <si>
    <t>Real 2025</t>
  </si>
  <si>
    <t>Sep 24</t>
  </si>
  <si>
    <t>INCOME</t>
  </si>
  <si>
    <t>Membership</t>
  </si>
  <si>
    <t>401-000-000-00</t>
  </si>
  <si>
    <t>Cuotas Netas</t>
  </si>
  <si>
    <t>402-000-000-00</t>
  </si>
  <si>
    <t>Ingresos socios nuevos</t>
  </si>
  <si>
    <t xml:space="preserve">Events </t>
  </si>
  <si>
    <t>407-000-000-00</t>
  </si>
  <si>
    <t xml:space="preserve">Eventos </t>
  </si>
  <si>
    <t>408-000-000-00</t>
  </si>
  <si>
    <t>Patrocinios</t>
  </si>
  <si>
    <t>Committees</t>
  </si>
  <si>
    <t>417-000-000-00</t>
  </si>
  <si>
    <t>Comités</t>
  </si>
  <si>
    <t>412-000-000-00</t>
  </si>
  <si>
    <t>Economex</t>
  </si>
  <si>
    <t>Services to Members</t>
  </si>
  <si>
    <t>Venta Publicaciones</t>
  </si>
  <si>
    <t>405-000-000-00</t>
  </si>
  <si>
    <t>Digital Training</t>
  </si>
  <si>
    <t>409-000-000-00</t>
  </si>
  <si>
    <t>Visas</t>
  </si>
  <si>
    <t>450-001-000-00</t>
  </si>
  <si>
    <t>Guadalajara Income</t>
  </si>
  <si>
    <t>450-002-000-00</t>
  </si>
  <si>
    <t>Monterrey Income</t>
  </si>
  <si>
    <t>450-003-000-00</t>
  </si>
  <si>
    <t>Northwest Income</t>
  </si>
  <si>
    <t xml:space="preserve">CONSOLIDATED INCOME </t>
  </si>
  <si>
    <t>EXPENSE</t>
  </si>
  <si>
    <t>705-000-000-00</t>
  </si>
  <si>
    <t>Gastos Promoción</t>
  </si>
  <si>
    <t>Comsiones por venta de membresía</t>
  </si>
  <si>
    <t>701-000-000-00</t>
  </si>
  <si>
    <t>Costo Eventos</t>
  </si>
  <si>
    <t>702-000-000-00</t>
  </si>
  <si>
    <t>704-000-000-00</t>
  </si>
  <si>
    <t>Gastos Administrativos</t>
  </si>
  <si>
    <t>801-001-000-00</t>
  </si>
  <si>
    <t>Desarrollo de Negocios</t>
  </si>
  <si>
    <t>801-002-000-00</t>
  </si>
  <si>
    <t>Relaciones Externas</t>
  </si>
  <si>
    <t>801-003-000-00</t>
  </si>
  <si>
    <t>Servicios a las membresia</t>
  </si>
  <si>
    <t>801-004-000-00</t>
  </si>
  <si>
    <t>Vicepresidencia</t>
  </si>
  <si>
    <t>801-005-000-00</t>
  </si>
  <si>
    <t>Finanzas</t>
  </si>
  <si>
    <t>801-006-000-00</t>
  </si>
  <si>
    <t>Administración</t>
  </si>
  <si>
    <t>801-007-000-00</t>
  </si>
  <si>
    <t>Sistemas</t>
  </si>
  <si>
    <t>801-008-000-00</t>
  </si>
  <si>
    <t>Empleos</t>
  </si>
  <si>
    <t>801-009-000-00</t>
  </si>
  <si>
    <t>Servicios Generales (Almacén)</t>
  </si>
  <si>
    <t>801-010-000-00</t>
  </si>
  <si>
    <t>Eventos</t>
  </si>
  <si>
    <t>801-011-000-00</t>
  </si>
  <si>
    <t>Comites</t>
  </si>
  <si>
    <t>801-012-000-00</t>
  </si>
  <si>
    <t>Renta de Salas</t>
  </si>
  <si>
    <t>801-013-000-00</t>
  </si>
  <si>
    <t>Comunicación</t>
  </si>
  <si>
    <t>901-000-000-00</t>
  </si>
  <si>
    <t>Gastos Generales</t>
  </si>
  <si>
    <t>Nómina</t>
  </si>
  <si>
    <t>513-000-000-00</t>
  </si>
  <si>
    <t>Nomina Vicepresidencia</t>
  </si>
  <si>
    <t>517-000-000-00</t>
  </si>
  <si>
    <t>Nomina Desarrollo de Negocios</t>
  </si>
  <si>
    <t>516-000-000-00</t>
  </si>
  <si>
    <t>Nomina Comites y Relaciones Externas</t>
  </si>
  <si>
    <t>519-000-000-00</t>
  </si>
  <si>
    <t>Nomina Comunicación</t>
  </si>
  <si>
    <t>515-000-000-00</t>
  </si>
  <si>
    <t>Nomina Servicios a la Membresia</t>
  </si>
  <si>
    <t>518-000-000-00</t>
  </si>
  <si>
    <t>Nomina Eventos y Mercadotecnia</t>
  </si>
  <si>
    <t>514-000-000-00</t>
  </si>
  <si>
    <t>Nomina Administración y Fiananzas</t>
  </si>
  <si>
    <t>Gastos Corporativos</t>
  </si>
  <si>
    <t>950-001-000-00</t>
  </si>
  <si>
    <t>Guadalajara Expense</t>
  </si>
  <si>
    <t>950-002-000-00</t>
  </si>
  <si>
    <t>Monterrey Expense</t>
  </si>
  <si>
    <t>950-003-000-00</t>
  </si>
  <si>
    <t>Northwest Expense</t>
  </si>
  <si>
    <t>CONSOLIDATED EXPENSES</t>
  </si>
  <si>
    <t>OPERATING RESULTS  MEXICO</t>
  </si>
  <si>
    <t>OPERATING RESULTS GUADALAJARA</t>
  </si>
  <si>
    <t>OPERATING RESULTS MONTERREY</t>
  </si>
  <si>
    <t>OPERATING RESULTS NORTHWEST</t>
  </si>
  <si>
    <t xml:space="preserve">CONSOLIDATED OPERATING RESULTS </t>
  </si>
  <si>
    <t>902-000-000-00</t>
  </si>
  <si>
    <t>Member Centricity</t>
  </si>
  <si>
    <t>Other</t>
  </si>
  <si>
    <t>413-000-000-00</t>
  </si>
  <si>
    <t>Otros Ingresos</t>
  </si>
  <si>
    <t>414-000-000-00</t>
  </si>
  <si>
    <t>Intereses Bancos</t>
  </si>
  <si>
    <t>416-000-000-00</t>
  </si>
  <si>
    <t>Utilidad Cambiaria Inversiones</t>
  </si>
  <si>
    <t>418-000-000-00</t>
  </si>
  <si>
    <t xml:space="preserve">Plusvalia/Minusvalia Portafolio Inversiones </t>
  </si>
  <si>
    <t>Guadalajara Other Income</t>
  </si>
  <si>
    <t>Monterrey Other Income</t>
  </si>
  <si>
    <t>Northwest Other Income</t>
  </si>
  <si>
    <t>NET RESULTS  MEXICO</t>
  </si>
  <si>
    <t>NET RESULTS GUADALAJARA</t>
  </si>
  <si>
    <t>NET RESULTS MONTERREY</t>
  </si>
  <si>
    <t>NET RESULTS NORTHWEST</t>
  </si>
  <si>
    <t xml:space="preserve">CONSOLIDATED NET RESULTS </t>
  </si>
  <si>
    <t>406-001-000-00</t>
  </si>
  <si>
    <t>406-002-000-00</t>
  </si>
  <si>
    <t>Real 2026</t>
  </si>
  <si>
    <t>Ppto. 2026</t>
  </si>
  <si>
    <t>Variación Ppto. 2026 vs Real  2026</t>
  </si>
  <si>
    <t>Variación Real 2025 vs Real 2026</t>
  </si>
  <si>
    <t>Forecast      2026</t>
  </si>
  <si>
    <t>903-000-000-00</t>
  </si>
  <si>
    <t>Costo Digital Training</t>
  </si>
  <si>
    <t>Costo Venta Publicaciones</t>
  </si>
  <si>
    <t>601-002-003-00</t>
  </si>
  <si>
    <t>601-003-001-00</t>
  </si>
  <si>
    <t>T&amp;IC</t>
  </si>
  <si>
    <t>Trade &amp; Investment Center</t>
  </si>
  <si>
    <t>Costo Trade &amp; Investment Center</t>
  </si>
  <si>
    <t>703-000-000-00</t>
  </si>
  <si>
    <t>Costo Economex</t>
  </si>
  <si>
    <t>Costo Comités</t>
  </si>
  <si>
    <t>Comisiones EWDP y Economex</t>
  </si>
  <si>
    <t>520-000-000-00</t>
  </si>
  <si>
    <t>521-000-000-00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</si>
</sst>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"/>
    <numFmt numFmtId="165" formatCode="_(* #,##0_);_(* \(#,##0\);_(* &quot;-&quot;??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9"/>
      <color rgb="FFFFFFFF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i/>
      <sz val="10"/>
      <color rgb="FF333399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62">
    <xf numFmtId="0" fontId="0" fillId="0" borderId="0" xfId="0"/>
    <xf numFmtId="0" fontId="2" fillId="0" borderId="0" xfId="3" applyFont="1"/>
    <xf numFmtId="0" fontId="3" fillId="0" borderId="0" xfId="3" applyFont="1"/>
    <xf numFmtId="1" fontId="2" fillId="0" borderId="0" xfId="0" applyNumberFormat="1" applyFont="1" applyAlignment="1">
      <alignment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4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9" fontId="6" fillId="2" borderId="4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7" fillId="0" borderId="0" xfId="0" applyNumberFormat="1" applyFont="1"/>
    <xf numFmtId="164" fontId="8" fillId="0" borderId="0" xfId="0" applyNumberFormat="1" applyFont="1"/>
    <xf numFmtId="164" fontId="8" fillId="0" borderId="0" xfId="0" applyNumberFormat="1" applyFont="1" applyAlignment="1">
      <alignment horizontal="center"/>
    </xf>
    <xf numFmtId="164" fontId="8" fillId="0" borderId="6" xfId="0" applyNumberFormat="1" applyFont="1" applyBorder="1" applyAlignment="1">
      <alignment horizontal="center"/>
    </xf>
    <xf numFmtId="164" fontId="8" fillId="0" borderId="7" xfId="0" applyNumberFormat="1" applyFont="1" applyBorder="1"/>
    <xf numFmtId="9" fontId="8" fillId="0" borderId="7" xfId="0" applyNumberFormat="1" applyFont="1" applyBorder="1"/>
    <xf numFmtId="164" fontId="4" fillId="2" borderId="8" xfId="3" applyNumberFormat="1" applyFont="1" applyFill="1" applyBorder="1"/>
    <xf numFmtId="9" fontId="4" fillId="2" borderId="8" xfId="2" applyFont="1" applyFill="1" applyBorder="1"/>
    <xf numFmtId="165" fontId="4" fillId="2" borderId="8" xfId="3" applyNumberFormat="1" applyFont="1" applyFill="1" applyBorder="1" applyAlignment="1">
      <alignment horizontal="center"/>
    </xf>
    <xf numFmtId="9" fontId="4" fillId="0" borderId="0" xfId="2" applyFont="1" applyFill="1" applyBorder="1"/>
    <xf numFmtId="43" fontId="2" fillId="3" borderId="0" xfId="1" applyFont="1" applyFill="1"/>
    <xf numFmtId="164" fontId="9" fillId="4" borderId="8" xfId="3" applyNumberFormat="1" applyFont="1" applyFill="1" applyBorder="1"/>
    <xf numFmtId="9" fontId="9" fillId="4" borderId="8" xfId="2" applyFont="1" applyFill="1" applyBorder="1"/>
    <xf numFmtId="165" fontId="10" fillId="4" borderId="8" xfId="3" applyNumberFormat="1" applyFont="1" applyFill="1" applyBorder="1" applyAlignment="1">
      <alignment horizontal="center" vertical="center"/>
    </xf>
    <xf numFmtId="9" fontId="9" fillId="0" borderId="0" xfId="2" applyFont="1" applyFill="1" applyBorder="1"/>
    <xf numFmtId="9" fontId="2" fillId="3" borderId="0" xfId="3" applyNumberFormat="1" applyFont="1" applyFill="1"/>
    <xf numFmtId="164" fontId="3" fillId="0" borderId="8" xfId="3" applyNumberFormat="1" applyFont="1" applyBorder="1"/>
    <xf numFmtId="9" fontId="3" fillId="0" borderId="8" xfId="2" applyFont="1" applyFill="1" applyBorder="1"/>
    <xf numFmtId="165" fontId="3" fillId="0" borderId="8" xfId="3" applyNumberFormat="1" applyFont="1" applyBorder="1" applyAlignment="1">
      <alignment horizontal="center" vertical="center"/>
    </xf>
    <xf numFmtId="9" fontId="3" fillId="0" borderId="0" xfId="2" applyFont="1" applyFill="1" applyBorder="1"/>
    <xf numFmtId="9" fontId="3" fillId="0" borderId="0" xfId="3" applyNumberFormat="1" applyFont="1"/>
    <xf numFmtId="9" fontId="11" fillId="0" borderId="0" xfId="3" applyNumberFormat="1" applyFont="1"/>
    <xf numFmtId="165" fontId="10" fillId="4" borderId="9" xfId="3" applyNumberFormat="1" applyFont="1" applyFill="1" applyBorder="1" applyAlignment="1">
      <alignment horizontal="center" vertical="center"/>
    </xf>
    <xf numFmtId="9" fontId="11" fillId="3" borderId="0" xfId="3" applyNumberFormat="1" applyFont="1" applyFill="1"/>
    <xf numFmtId="43" fontId="2" fillId="0" borderId="0" xfId="3" applyNumberFormat="1" applyFont="1"/>
    <xf numFmtId="165" fontId="10" fillId="4" borderId="10" xfId="3" applyNumberFormat="1" applyFont="1" applyFill="1" applyBorder="1" applyAlignment="1">
      <alignment horizontal="center" vertical="center"/>
    </xf>
    <xf numFmtId="9" fontId="4" fillId="2" borderId="11" xfId="2" applyFont="1" applyFill="1" applyBorder="1"/>
    <xf numFmtId="165" fontId="4" fillId="2" borderId="12" xfId="3" applyNumberFormat="1" applyFont="1" applyFill="1" applyBorder="1" applyAlignment="1">
      <alignment horizontal="center" vertical="center" wrapText="1"/>
    </xf>
    <xf numFmtId="164" fontId="4" fillId="2" borderId="13" xfId="3" applyNumberFormat="1" applyFont="1" applyFill="1" applyBorder="1"/>
    <xf numFmtId="165" fontId="10" fillId="4" borderId="4" xfId="3" applyNumberFormat="1" applyFont="1" applyFill="1" applyBorder="1" applyAlignment="1">
      <alignment horizontal="center" vertical="center"/>
    </xf>
    <xf numFmtId="164" fontId="12" fillId="0" borderId="8" xfId="3" applyNumberFormat="1" applyFont="1" applyBorder="1"/>
    <xf numFmtId="165" fontId="3" fillId="0" borderId="10" xfId="3" applyNumberFormat="1" applyFont="1" applyBorder="1" applyAlignment="1">
      <alignment horizontal="center" vertical="center"/>
    </xf>
    <xf numFmtId="9" fontId="9" fillId="4" borderId="11" xfId="3" applyNumberFormat="1" applyFont="1" applyFill="1" applyBorder="1"/>
    <xf numFmtId="165" fontId="10" fillId="4" borderId="12" xfId="3" applyNumberFormat="1" applyFont="1" applyFill="1" applyBorder="1" applyAlignment="1">
      <alignment horizontal="center" vertical="center"/>
    </xf>
    <xf numFmtId="164" fontId="9" fillId="4" borderId="13" xfId="3" applyNumberFormat="1" applyFont="1" applyFill="1" applyBorder="1"/>
    <xf numFmtId="9" fontId="9" fillId="4" borderId="8" xfId="3" applyNumberFormat="1" applyFont="1" applyFill="1" applyBorder="1"/>
    <xf numFmtId="9" fontId="9" fillId="0" borderId="0" xfId="3" applyNumberFormat="1" applyFont="1"/>
    <xf numFmtId="164" fontId="2" fillId="3" borderId="0" xfId="3" applyNumberFormat="1" applyFont="1" applyFill="1"/>
    <xf numFmtId="165" fontId="3" fillId="0" borderId="4" xfId="3" applyNumberFormat="1" applyFont="1" applyBorder="1" applyAlignment="1">
      <alignment horizontal="center" vertical="center"/>
    </xf>
    <xf numFmtId="164" fontId="11" fillId="3" borderId="0" xfId="3" applyNumberFormat="1" applyFont="1" applyFill="1"/>
    <xf numFmtId="164" fontId="11" fillId="4" borderId="8" xfId="3" applyNumberFormat="1" applyFont="1" applyFill="1" applyBorder="1"/>
    <xf numFmtId="164" fontId="9" fillId="4" borderId="4" xfId="3" applyNumberFormat="1" applyFont="1" applyFill="1" applyBorder="1"/>
    <xf numFmtId="9" fontId="9" fillId="4" borderId="4" xfId="2" applyFont="1" applyFill="1" applyBorder="1"/>
    <xf numFmtId="9" fontId="9" fillId="4" borderId="4" xfId="3" applyNumberFormat="1" applyFont="1" applyFill="1" applyBorder="1"/>
    <xf numFmtId="43" fontId="2" fillId="0" borderId="0" xfId="1" applyFont="1"/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4">
    <cellStyle name="Millares" xfId="1" builtinId="3"/>
    <cellStyle name="Normal" xfId="0" builtinId="0"/>
    <cellStyle name="Normal 7" xfId="3" xr:uid="{BD1B835D-8453-44F6-B290-5FF8B3CAF013}"/>
    <cellStyle name="Porcentaje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60614</xdr:colOff>
      <xdr:row>1</xdr:row>
      <xdr:rowOff>171450</xdr:rowOff>
    </xdr:from>
    <xdr:to>
      <xdr:col>26</xdr:col>
      <xdr:colOff>194282</xdr:colOff>
      <xdr:row>2</xdr:row>
      <xdr:rowOff>456400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EE10E51-892E-4EB7-8F76-0ACC91774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72539" y="361950"/>
          <a:ext cx="2276793" cy="475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DD70C-D17F-42D6-9FB2-55E5068580B6}">
  <dimension ref="B1:V96"/>
  <sheetViews>
    <sheetView showGridLines="0" tabSelected="1" topLeftCell="A49" zoomScaleNormal="100" workbookViewId="0">
      <selection activeCell="B35" sqref="B35"/>
    </sheetView>
  </sheetViews>
  <sheetFormatPr baseColWidth="10" defaultColWidth="14.42578125" defaultRowHeight="15" customHeight="1" outlineLevelRow="1" x14ac:dyDescent="0.2"/>
  <cols>
    <col min="1" max="1" width="2" style="1" customWidth="1"/>
    <col min="2" max="2" width="15.140625" style="1" customWidth="1"/>
    <col min="3" max="5" width="12.140625" style="1" customWidth="1"/>
    <col min="6" max="7" width="11.42578125" style="1" customWidth="1"/>
    <col min="8" max="8" width="37.28515625" style="1" bestFit="1" customWidth="1"/>
    <col min="9" max="11" width="12.140625" style="1" customWidth="1"/>
    <col min="12" max="13" width="11.42578125" style="1" customWidth="1"/>
    <col min="14" max="14" width="2.140625" style="1" customWidth="1"/>
    <col min="15" max="17" width="12.140625" style="1" customWidth="1"/>
    <col min="18" max="19" width="11.42578125" style="1" customWidth="1"/>
    <col min="20" max="20" width="13.7109375" style="1" customWidth="1"/>
    <col min="21" max="21" width="14.140625" style="1" bestFit="1" customWidth="1"/>
    <col min="22" max="22" width="13.42578125" style="1" customWidth="1"/>
    <col min="23" max="24" width="12.42578125" style="1" customWidth="1"/>
    <col min="25" max="25" width="8.7109375" style="1" customWidth="1"/>
    <col min="26" max="26" width="11" style="1" bestFit="1" customWidth="1"/>
    <col min="27" max="38" width="8.7109375" style="1" customWidth="1"/>
    <col min="39" max="16384" width="14.42578125" style="1"/>
  </cols>
  <sheetData>
    <row r="1" spans="2:21" ht="15" customHeight="1" thickBot="1" x14ac:dyDescent="0.25">
      <c r="H1" s="2"/>
    </row>
    <row r="2" spans="2:21" s="6" customFormat="1" ht="15" customHeight="1" thickBot="1" x14ac:dyDescent="0.25">
      <c r="B2" s="3"/>
      <c r="C2" s="56"/>
      <c r="D2" s="57"/>
      <c r="E2" s="57"/>
      <c r="F2" s="57"/>
      <c r="G2" s="58"/>
      <c r="H2" s="4"/>
      <c r="I2" s="59"/>
      <c r="J2" s="60"/>
      <c r="K2" s="60"/>
      <c r="L2" s="60"/>
      <c r="M2" s="61"/>
      <c r="N2" s="5"/>
      <c r="O2" s="59"/>
      <c r="P2" s="60"/>
      <c r="Q2" s="60"/>
      <c r="R2" s="60"/>
      <c r="S2" s="61"/>
    </row>
    <row r="3" spans="2:21" s="6" customFormat="1" ht="39" customHeight="1" thickBot="1" x14ac:dyDescent="0.25">
      <c r="B3" s="3"/>
      <c r="C3" s="7" t="s">
        <v>117</v>
      </c>
      <c r="D3" s="7" t="s">
        <v>118</v>
      </c>
      <c r="E3" s="7" t="s">
        <v>0</v>
      </c>
      <c r="F3" s="8" t="s">
        <v>119</v>
      </c>
      <c r="G3" s="9" t="s">
        <v>120</v>
      </c>
      <c r="H3" s="4" t="s">
        <v>1</v>
      </c>
      <c r="I3" s="7" t="s">
        <v>117</v>
      </c>
      <c r="J3" s="7" t="s">
        <v>118</v>
      </c>
      <c r="K3" s="7" t="s">
        <v>0</v>
      </c>
      <c r="L3" s="8" t="s">
        <v>119</v>
      </c>
      <c r="M3" s="9" t="s">
        <v>120</v>
      </c>
      <c r="N3" s="10"/>
      <c r="O3" s="7" t="s">
        <v>121</v>
      </c>
      <c r="P3" s="7" t="s">
        <v>118</v>
      </c>
      <c r="Q3" s="7" t="s">
        <v>0</v>
      </c>
      <c r="R3" s="8" t="s">
        <v>119</v>
      </c>
      <c r="S3" s="9" t="s">
        <v>120</v>
      </c>
    </row>
    <row r="4" spans="2:21" customFormat="1" ht="6.75" customHeight="1" thickBot="1" x14ac:dyDescent="0.3">
      <c r="B4" s="11"/>
      <c r="C4" s="12"/>
      <c r="D4" s="13"/>
      <c r="E4" s="14"/>
      <c r="F4" s="15"/>
      <c r="G4" s="16"/>
      <c r="H4" s="13"/>
      <c r="I4" s="12"/>
      <c r="J4" s="13"/>
      <c r="K4" s="14"/>
      <c r="L4" s="15"/>
      <c r="M4" s="16"/>
      <c r="N4" s="12"/>
    </row>
    <row r="5" spans="2:21" ht="13.5" thickBot="1" x14ac:dyDescent="0.25">
      <c r="C5" s="17">
        <f>SUM(C6,C9,C12,C17,C15)</f>
        <v>0</v>
      </c>
      <c r="D5" s="17">
        <f t="shared" ref="D5:E5" si="0">SUM(D6,D9,D12,D17,D15)</f>
        <v>0</v>
      </c>
      <c r="E5" s="17">
        <f t="shared" si="0"/>
        <v>0</v>
      </c>
      <c r="F5" s="18">
        <f>IF((IFERROR(C5/D5,0))=0,0,(IFERROR(C5/D5,0)-1))</f>
        <v>0</v>
      </c>
      <c r="G5" s="18">
        <f>IF((IFERROR(C5/E5,0))=0,0,(IFERROR(C5/E5,0)-1))</f>
        <v>0</v>
      </c>
      <c r="H5" s="19" t="s">
        <v>2</v>
      </c>
      <c r="I5" s="17">
        <f t="shared" ref="I5:K5" si="1">SUM(I6,I9,I12,I17,I15)</f>
        <v>0</v>
      </c>
      <c r="J5" s="17">
        <f t="shared" si="1"/>
        <v>0</v>
      </c>
      <c r="K5" s="17">
        <f t="shared" si="1"/>
        <v>0</v>
      </c>
      <c r="L5" s="18">
        <f t="shared" ref="L5:L67" si="2">IF((IFERROR(I5/J5,0))=0,0,(IFERROR(I5/J5,0)-1))</f>
        <v>0</v>
      </c>
      <c r="M5" s="18">
        <f t="shared" ref="M5:M67" si="3">IF((IFERROR(I5/K5,0))=0,0,(IFERROR(I5/K5,0)-1))</f>
        <v>0</v>
      </c>
      <c r="N5" s="20"/>
      <c r="O5" s="17">
        <f t="shared" ref="O5:Q5" si="4">SUM(O6,O9,O12,O17,O15)</f>
        <v>0</v>
      </c>
      <c r="P5" s="17">
        <f t="shared" si="4"/>
        <v>0</v>
      </c>
      <c r="Q5" s="17">
        <f t="shared" si="4"/>
        <v>0</v>
      </c>
      <c r="R5" s="18">
        <f t="shared" ref="R5:R67" si="5">IF((IFERROR(O5/P5,0))=0,0,(IFERROR(O5/P5,0)-1))</f>
        <v>0</v>
      </c>
      <c r="S5" s="18">
        <f t="shared" ref="S5:S67" si="6">IF((IFERROR(O5/Q5,0))=0,0,(IFERROR(O5/Q5,0)-1))</f>
        <v>0</v>
      </c>
      <c r="T5" s="20"/>
      <c r="U5" s="21"/>
    </row>
    <row r="6" spans="2:21" ht="13.5" thickBot="1" x14ac:dyDescent="0.25">
      <c r="C6" s="22">
        <f>C7+C8</f>
        <v>0</v>
      </c>
      <c r="D6" s="22">
        <f t="shared" ref="D6:E6" si="7">D7+D8</f>
        <v>0</v>
      </c>
      <c r="E6" s="22">
        <f t="shared" si="7"/>
        <v>0</v>
      </c>
      <c r="F6" s="23">
        <f t="shared" ref="F6:F67" si="8">IF((IFERROR(C6/D6,0))=0,0,(IFERROR(C6/D6,0)-1))</f>
        <v>0</v>
      </c>
      <c r="G6" s="23">
        <f t="shared" ref="G6:G67" si="9">IF((IFERROR(C6/E6,0))=0,0,(IFERROR(C6/E6,0)-1))</f>
        <v>0</v>
      </c>
      <c r="H6" s="24" t="s">
        <v>3</v>
      </c>
      <c r="I6" s="22">
        <f t="shared" ref="I6:K6" si="10">I7+I8</f>
        <v>0</v>
      </c>
      <c r="J6" s="22">
        <f t="shared" si="10"/>
        <v>0</v>
      </c>
      <c r="K6" s="22">
        <f t="shared" si="10"/>
        <v>0</v>
      </c>
      <c r="L6" s="23">
        <f t="shared" si="2"/>
        <v>0</v>
      </c>
      <c r="M6" s="23">
        <f t="shared" si="3"/>
        <v>0</v>
      </c>
      <c r="N6" s="25"/>
      <c r="O6" s="22">
        <f t="shared" ref="O6:Q6" si="11">O7+O8</f>
        <v>0</v>
      </c>
      <c r="P6" s="22">
        <f t="shared" si="11"/>
        <v>0</v>
      </c>
      <c r="Q6" s="22">
        <f t="shared" si="11"/>
        <v>0</v>
      </c>
      <c r="R6" s="23">
        <f t="shared" si="5"/>
        <v>0</v>
      </c>
      <c r="S6" s="23">
        <f t="shared" si="6"/>
        <v>0</v>
      </c>
      <c r="T6" s="25"/>
      <c r="U6" s="26"/>
    </row>
    <row r="7" spans="2:21" s="2" customFormat="1" ht="13.5" outlineLevel="1" thickBot="1" x14ac:dyDescent="0.25">
      <c r="B7" s="2" t="s">
        <v>4</v>
      </c>
      <c r="C7" s="27">
        <v>0</v>
      </c>
      <c r="D7" s="27">
        <v>0</v>
      </c>
      <c r="E7" s="27">
        <v>0</v>
      </c>
      <c r="F7" s="28">
        <f t="shared" si="8"/>
        <v>0</v>
      </c>
      <c r="G7" s="28">
        <f t="shared" si="9"/>
        <v>0</v>
      </c>
      <c r="H7" s="29" t="s">
        <v>5</v>
      </c>
      <c r="I7" s="27">
        <v>0</v>
      </c>
      <c r="J7" s="27">
        <v>0</v>
      </c>
      <c r="K7" s="27">
        <v>0</v>
      </c>
      <c r="L7" s="28">
        <f t="shared" si="2"/>
        <v>0</v>
      </c>
      <c r="M7" s="28">
        <f t="shared" si="3"/>
        <v>0</v>
      </c>
      <c r="N7" s="30"/>
      <c r="O7" s="27">
        <v>0</v>
      </c>
      <c r="P7" s="27">
        <v>0</v>
      </c>
      <c r="Q7" s="27">
        <v>0</v>
      </c>
      <c r="R7" s="28">
        <f t="shared" si="5"/>
        <v>0</v>
      </c>
      <c r="S7" s="28">
        <f t="shared" si="6"/>
        <v>0</v>
      </c>
      <c r="T7" s="30"/>
      <c r="U7" s="31"/>
    </row>
    <row r="8" spans="2:21" s="2" customFormat="1" ht="13.5" outlineLevel="1" thickBot="1" x14ac:dyDescent="0.25">
      <c r="B8" s="2" t="s">
        <v>6</v>
      </c>
      <c r="C8" s="27">
        <v>0</v>
      </c>
      <c r="D8" s="27">
        <v>0</v>
      </c>
      <c r="E8" s="27">
        <v>0</v>
      </c>
      <c r="F8" s="28">
        <f t="shared" si="8"/>
        <v>0</v>
      </c>
      <c r="G8" s="28">
        <f t="shared" si="9"/>
        <v>0</v>
      </c>
      <c r="H8" s="29" t="s">
        <v>7</v>
      </c>
      <c r="I8" s="27">
        <v>0</v>
      </c>
      <c r="J8" s="27">
        <v>0</v>
      </c>
      <c r="K8" s="27">
        <v>0</v>
      </c>
      <c r="L8" s="28">
        <f t="shared" si="2"/>
        <v>0</v>
      </c>
      <c r="M8" s="28">
        <f t="shared" si="3"/>
        <v>0</v>
      </c>
      <c r="N8" s="30"/>
      <c r="O8" s="27">
        <v>0</v>
      </c>
      <c r="P8" s="27">
        <v>0</v>
      </c>
      <c r="Q8" s="27">
        <v>0</v>
      </c>
      <c r="R8" s="28">
        <f t="shared" si="5"/>
        <v>0</v>
      </c>
      <c r="S8" s="28">
        <f t="shared" si="6"/>
        <v>0</v>
      </c>
      <c r="T8" s="30"/>
      <c r="U8" s="31"/>
    </row>
    <row r="9" spans="2:21" ht="13.5" thickBot="1" x14ac:dyDescent="0.25">
      <c r="C9" s="22">
        <f>C10+C11</f>
        <v>0</v>
      </c>
      <c r="D9" s="22">
        <f t="shared" ref="D9:E9" si="12">D10+D11</f>
        <v>0</v>
      </c>
      <c r="E9" s="22">
        <f t="shared" si="12"/>
        <v>0</v>
      </c>
      <c r="F9" s="23">
        <f t="shared" si="8"/>
        <v>0</v>
      </c>
      <c r="G9" s="23">
        <f t="shared" si="9"/>
        <v>0</v>
      </c>
      <c r="H9" s="24" t="s">
        <v>8</v>
      </c>
      <c r="I9" s="22">
        <f t="shared" ref="I9:K9" si="13">I10+I11</f>
        <v>0</v>
      </c>
      <c r="J9" s="22">
        <f t="shared" si="13"/>
        <v>0</v>
      </c>
      <c r="K9" s="22">
        <f t="shared" si="13"/>
        <v>0</v>
      </c>
      <c r="L9" s="23">
        <f t="shared" si="2"/>
        <v>0</v>
      </c>
      <c r="M9" s="23">
        <f t="shared" si="3"/>
        <v>0</v>
      </c>
      <c r="N9" s="25"/>
      <c r="O9" s="22">
        <f t="shared" ref="O9:Q9" si="14">O10+O11</f>
        <v>0</v>
      </c>
      <c r="P9" s="22">
        <f t="shared" si="14"/>
        <v>0</v>
      </c>
      <c r="Q9" s="22">
        <f t="shared" si="14"/>
        <v>0</v>
      </c>
      <c r="R9" s="23">
        <f t="shared" si="5"/>
        <v>0</v>
      </c>
      <c r="S9" s="23">
        <f t="shared" si="6"/>
        <v>0</v>
      </c>
      <c r="T9" s="25"/>
      <c r="U9" s="26"/>
    </row>
    <row r="10" spans="2:21" s="2" customFormat="1" ht="13.5" outlineLevel="1" thickBot="1" x14ac:dyDescent="0.25">
      <c r="B10" s="2" t="s">
        <v>9</v>
      </c>
      <c r="C10" s="27">
        <v>0</v>
      </c>
      <c r="D10" s="27">
        <v>0</v>
      </c>
      <c r="E10" s="27">
        <v>0</v>
      </c>
      <c r="F10" s="28">
        <f t="shared" si="8"/>
        <v>0</v>
      </c>
      <c r="G10" s="28">
        <f t="shared" si="9"/>
        <v>0</v>
      </c>
      <c r="H10" s="29" t="s">
        <v>10</v>
      </c>
      <c r="I10" s="27">
        <v>0</v>
      </c>
      <c r="J10" s="27">
        <v>0</v>
      </c>
      <c r="K10" s="27">
        <v>0</v>
      </c>
      <c r="L10" s="28">
        <f t="shared" si="2"/>
        <v>0</v>
      </c>
      <c r="M10" s="28">
        <f t="shared" si="3"/>
        <v>0</v>
      </c>
      <c r="N10" s="30"/>
      <c r="O10" s="27">
        <v>0</v>
      </c>
      <c r="P10" s="27">
        <v>0</v>
      </c>
      <c r="Q10" s="27">
        <v>0</v>
      </c>
      <c r="R10" s="28">
        <f t="shared" si="5"/>
        <v>0</v>
      </c>
      <c r="S10" s="28">
        <f t="shared" si="6"/>
        <v>0</v>
      </c>
      <c r="T10" s="30"/>
      <c r="U10" s="31"/>
    </row>
    <row r="11" spans="2:21" s="2" customFormat="1" ht="13.5" outlineLevel="1" thickBot="1" x14ac:dyDescent="0.25">
      <c r="B11" s="2" t="s">
        <v>11</v>
      </c>
      <c r="C11" s="27">
        <v>0</v>
      </c>
      <c r="D11" s="27">
        <v>0</v>
      </c>
      <c r="E11" s="27">
        <v>0</v>
      </c>
      <c r="F11" s="28">
        <f t="shared" si="8"/>
        <v>0</v>
      </c>
      <c r="G11" s="28">
        <f t="shared" si="9"/>
        <v>0</v>
      </c>
      <c r="H11" s="29" t="s">
        <v>12</v>
      </c>
      <c r="I11" s="27">
        <v>0</v>
      </c>
      <c r="J11" s="27">
        <v>0</v>
      </c>
      <c r="K11" s="27">
        <v>0</v>
      </c>
      <c r="L11" s="28">
        <f t="shared" si="2"/>
        <v>0</v>
      </c>
      <c r="M11" s="28">
        <f t="shared" si="3"/>
        <v>0</v>
      </c>
      <c r="N11" s="30"/>
      <c r="O11" s="27">
        <v>0</v>
      </c>
      <c r="P11" s="27">
        <v>0</v>
      </c>
      <c r="Q11" s="27">
        <v>0</v>
      </c>
      <c r="R11" s="28">
        <f t="shared" si="5"/>
        <v>0</v>
      </c>
      <c r="S11" s="28">
        <f t="shared" si="6"/>
        <v>0</v>
      </c>
      <c r="T11" s="30"/>
      <c r="U11" s="31"/>
    </row>
    <row r="12" spans="2:21" ht="13.5" thickBot="1" x14ac:dyDescent="0.25">
      <c r="C12" s="22">
        <f>C13+C14</f>
        <v>0</v>
      </c>
      <c r="D12" s="22">
        <f t="shared" ref="D12:E12" si="15">D13+D14</f>
        <v>0</v>
      </c>
      <c r="E12" s="22">
        <f t="shared" si="15"/>
        <v>0</v>
      </c>
      <c r="F12" s="23">
        <f t="shared" si="8"/>
        <v>0</v>
      </c>
      <c r="G12" s="23">
        <f t="shared" si="9"/>
        <v>0</v>
      </c>
      <c r="H12" s="24" t="s">
        <v>13</v>
      </c>
      <c r="I12" s="22">
        <f t="shared" ref="I12:K12" si="16">I13+I14</f>
        <v>0</v>
      </c>
      <c r="J12" s="22">
        <f t="shared" si="16"/>
        <v>0</v>
      </c>
      <c r="K12" s="22">
        <f t="shared" si="16"/>
        <v>0</v>
      </c>
      <c r="L12" s="23">
        <f t="shared" si="2"/>
        <v>0</v>
      </c>
      <c r="M12" s="23">
        <f t="shared" si="3"/>
        <v>0</v>
      </c>
      <c r="N12" s="25"/>
      <c r="O12" s="22">
        <f t="shared" ref="O12:Q12" si="17">O13+O14</f>
        <v>0</v>
      </c>
      <c r="P12" s="22">
        <f t="shared" si="17"/>
        <v>0</v>
      </c>
      <c r="Q12" s="22">
        <f t="shared" si="17"/>
        <v>0</v>
      </c>
      <c r="R12" s="23">
        <f t="shared" si="5"/>
        <v>0</v>
      </c>
      <c r="S12" s="23">
        <f t="shared" si="6"/>
        <v>0</v>
      </c>
      <c r="T12" s="25"/>
      <c r="U12" s="32"/>
    </row>
    <row r="13" spans="2:21" s="2" customFormat="1" ht="13.5" outlineLevel="1" thickBot="1" x14ac:dyDescent="0.25">
      <c r="B13" s="2" t="s">
        <v>14</v>
      </c>
      <c r="C13" s="27">
        <v>0</v>
      </c>
      <c r="D13" s="27">
        <v>0</v>
      </c>
      <c r="E13" s="27">
        <v>0</v>
      </c>
      <c r="F13" s="28">
        <f t="shared" si="8"/>
        <v>0</v>
      </c>
      <c r="G13" s="28">
        <f t="shared" si="9"/>
        <v>0</v>
      </c>
      <c r="H13" s="29" t="s">
        <v>15</v>
      </c>
      <c r="I13" s="27">
        <v>0</v>
      </c>
      <c r="J13" s="27">
        <v>0</v>
      </c>
      <c r="K13" s="27">
        <v>0</v>
      </c>
      <c r="L13" s="28">
        <f t="shared" si="2"/>
        <v>0</v>
      </c>
      <c r="M13" s="28">
        <f t="shared" si="3"/>
        <v>0</v>
      </c>
      <c r="N13" s="30"/>
      <c r="O13" s="27">
        <v>0</v>
      </c>
      <c r="P13" s="27">
        <v>0</v>
      </c>
      <c r="Q13" s="27">
        <v>0</v>
      </c>
      <c r="R13" s="28">
        <f t="shared" si="5"/>
        <v>0</v>
      </c>
      <c r="S13" s="28">
        <f t="shared" si="6"/>
        <v>0</v>
      </c>
      <c r="T13" s="30"/>
      <c r="U13" s="31"/>
    </row>
    <row r="14" spans="2:21" s="2" customFormat="1" ht="13.5" outlineLevel="1" thickBot="1" x14ac:dyDescent="0.25">
      <c r="B14" s="2" t="s">
        <v>16</v>
      </c>
      <c r="C14" s="27">
        <v>0</v>
      </c>
      <c r="D14" s="27">
        <v>0</v>
      </c>
      <c r="E14" s="27">
        <v>0</v>
      </c>
      <c r="F14" s="28">
        <f t="shared" si="8"/>
        <v>0</v>
      </c>
      <c r="G14" s="28">
        <f t="shared" si="9"/>
        <v>0</v>
      </c>
      <c r="H14" s="29" t="s">
        <v>17</v>
      </c>
      <c r="I14" s="27">
        <v>0</v>
      </c>
      <c r="J14" s="27">
        <v>0</v>
      </c>
      <c r="K14" s="27">
        <v>0</v>
      </c>
      <c r="L14" s="28">
        <f t="shared" si="2"/>
        <v>0</v>
      </c>
      <c r="M14" s="28">
        <f t="shared" si="3"/>
        <v>0</v>
      </c>
      <c r="N14" s="30"/>
      <c r="O14" s="27">
        <v>0</v>
      </c>
      <c r="P14" s="27">
        <v>0</v>
      </c>
      <c r="Q14" s="27">
        <v>0</v>
      </c>
      <c r="R14" s="28">
        <f t="shared" si="5"/>
        <v>0</v>
      </c>
      <c r="S14" s="28">
        <f t="shared" si="6"/>
        <v>0</v>
      </c>
      <c r="T14" s="30"/>
      <c r="U14" s="31"/>
    </row>
    <row r="15" spans="2:21" ht="13.5" thickBot="1" x14ac:dyDescent="0.25">
      <c r="C15" s="22">
        <f>C16</f>
        <v>0</v>
      </c>
      <c r="D15" s="22">
        <f t="shared" ref="D15:E15" si="18">D16</f>
        <v>0</v>
      </c>
      <c r="E15" s="22">
        <f t="shared" si="18"/>
        <v>0</v>
      </c>
      <c r="F15" s="23">
        <f t="shared" ref="F15:F16" si="19">IF((IFERROR(C15/D15,0))=0,0,(IFERROR(C15/D15,0)-1))</f>
        <v>0</v>
      </c>
      <c r="G15" s="23">
        <f t="shared" ref="G15:G16" si="20">IF((IFERROR(C15/E15,0))=0,0,(IFERROR(C15/E15,0)-1))</f>
        <v>0</v>
      </c>
      <c r="H15" s="24" t="s">
        <v>127</v>
      </c>
      <c r="I15" s="22">
        <f t="shared" ref="I15:K15" si="21">I16</f>
        <v>0</v>
      </c>
      <c r="J15" s="22">
        <f t="shared" si="21"/>
        <v>0</v>
      </c>
      <c r="K15" s="22">
        <f t="shared" si="21"/>
        <v>0</v>
      </c>
      <c r="L15" s="23">
        <f t="shared" ref="L15:L16" si="22">IF((IFERROR(I15/J15,0))=0,0,(IFERROR(I15/J15,0)-1))</f>
        <v>0</v>
      </c>
      <c r="M15" s="23">
        <f t="shared" ref="M15:M16" si="23">IF((IFERROR(I15/K15,0))=0,0,(IFERROR(I15/K15,0)-1))</f>
        <v>0</v>
      </c>
      <c r="N15" s="25"/>
      <c r="O15" s="22">
        <f t="shared" ref="O15:Q15" si="24">O16</f>
        <v>0</v>
      </c>
      <c r="P15" s="22">
        <f t="shared" si="24"/>
        <v>0</v>
      </c>
      <c r="Q15" s="22">
        <f t="shared" si="24"/>
        <v>0</v>
      </c>
      <c r="R15" s="23">
        <f t="shared" ref="R15:R16" si="25">IF((IFERROR(O15/P15,0))=0,0,(IFERROR(O15/P15,0)-1))</f>
        <v>0</v>
      </c>
      <c r="S15" s="23">
        <f t="shared" ref="S15:S16" si="26">IF((IFERROR(O15/Q15,0))=0,0,(IFERROR(O15/Q15,0)-1))</f>
        <v>0</v>
      </c>
      <c r="T15" s="25"/>
      <c r="U15" s="26"/>
    </row>
    <row r="16" spans="2:21" s="2" customFormat="1" ht="13.5" outlineLevel="1" thickBot="1" x14ac:dyDescent="0.25">
      <c r="B16" s="2" t="s">
        <v>20</v>
      </c>
      <c r="C16" s="27">
        <v>0</v>
      </c>
      <c r="D16" s="27">
        <v>0</v>
      </c>
      <c r="E16" s="27">
        <v>0</v>
      </c>
      <c r="F16" s="28">
        <f t="shared" si="19"/>
        <v>0</v>
      </c>
      <c r="G16" s="28">
        <f t="shared" si="20"/>
        <v>0</v>
      </c>
      <c r="H16" s="29" t="s">
        <v>128</v>
      </c>
      <c r="I16" s="27">
        <v>0</v>
      </c>
      <c r="J16" s="27">
        <v>0</v>
      </c>
      <c r="K16" s="27">
        <v>0</v>
      </c>
      <c r="L16" s="28">
        <f t="shared" si="22"/>
        <v>0</v>
      </c>
      <c r="M16" s="28">
        <f t="shared" si="23"/>
        <v>0</v>
      </c>
      <c r="N16" s="30"/>
      <c r="O16" s="27">
        <v>0</v>
      </c>
      <c r="P16" s="27">
        <v>0</v>
      </c>
      <c r="Q16" s="27">
        <v>0</v>
      </c>
      <c r="R16" s="28">
        <f t="shared" si="25"/>
        <v>0</v>
      </c>
      <c r="S16" s="28">
        <f t="shared" si="26"/>
        <v>0</v>
      </c>
      <c r="T16" s="30"/>
      <c r="U16" s="31"/>
    </row>
    <row r="17" spans="2:22" ht="13.5" thickBot="1" x14ac:dyDescent="0.25">
      <c r="C17" s="22">
        <f>C18+C20+C19</f>
        <v>0</v>
      </c>
      <c r="D17" s="22">
        <f t="shared" ref="D17:E17" si="27">D18+D20+D19</f>
        <v>0</v>
      </c>
      <c r="E17" s="22">
        <f t="shared" si="27"/>
        <v>0</v>
      </c>
      <c r="F17" s="23">
        <f t="shared" si="8"/>
        <v>0</v>
      </c>
      <c r="G17" s="23">
        <f t="shared" si="9"/>
        <v>0</v>
      </c>
      <c r="H17" s="33" t="s">
        <v>18</v>
      </c>
      <c r="I17" s="22">
        <f>I18+I20+I19</f>
        <v>0</v>
      </c>
      <c r="J17" s="22">
        <f t="shared" ref="J17:K17" si="28">J18+J20+J19</f>
        <v>0</v>
      </c>
      <c r="K17" s="22">
        <f t="shared" si="28"/>
        <v>0</v>
      </c>
      <c r="L17" s="23">
        <f t="shared" si="2"/>
        <v>0</v>
      </c>
      <c r="M17" s="23">
        <f t="shared" si="3"/>
        <v>0</v>
      </c>
      <c r="N17" s="25"/>
      <c r="O17" s="22">
        <f t="shared" ref="O17:Q17" si="29">O18+O20</f>
        <v>0</v>
      </c>
      <c r="P17" s="22">
        <f t="shared" si="29"/>
        <v>0</v>
      </c>
      <c r="Q17" s="22">
        <f t="shared" si="29"/>
        <v>0</v>
      </c>
      <c r="R17" s="23">
        <f t="shared" si="5"/>
        <v>0</v>
      </c>
      <c r="S17" s="23">
        <f t="shared" si="6"/>
        <v>0</v>
      </c>
      <c r="T17" s="25"/>
      <c r="U17" s="26"/>
    </row>
    <row r="18" spans="2:22" s="2" customFormat="1" ht="13.5" outlineLevel="1" thickBot="1" x14ac:dyDescent="0.25">
      <c r="B18" s="2" t="s">
        <v>115</v>
      </c>
      <c r="C18" s="27">
        <v>0</v>
      </c>
      <c r="D18" s="27">
        <v>0</v>
      </c>
      <c r="E18" s="27">
        <v>0</v>
      </c>
      <c r="F18" s="28">
        <f t="shared" si="8"/>
        <v>0</v>
      </c>
      <c r="G18" s="28">
        <f t="shared" si="9"/>
        <v>0</v>
      </c>
      <c r="H18" s="29" t="s">
        <v>19</v>
      </c>
      <c r="I18" s="27">
        <v>0</v>
      </c>
      <c r="J18" s="27">
        <v>0</v>
      </c>
      <c r="K18" s="27">
        <v>0</v>
      </c>
      <c r="L18" s="28">
        <f t="shared" si="2"/>
        <v>0</v>
      </c>
      <c r="M18" s="28">
        <f t="shared" si="3"/>
        <v>0</v>
      </c>
      <c r="N18" s="30"/>
      <c r="O18" s="27">
        <v>0</v>
      </c>
      <c r="P18" s="27">
        <v>0</v>
      </c>
      <c r="Q18" s="27">
        <v>0</v>
      </c>
      <c r="R18" s="28">
        <f t="shared" si="5"/>
        <v>0</v>
      </c>
      <c r="S18" s="28">
        <f t="shared" si="6"/>
        <v>0</v>
      </c>
      <c r="T18" s="30"/>
      <c r="U18" s="31"/>
    </row>
    <row r="19" spans="2:22" s="2" customFormat="1" ht="13.5" outlineLevel="1" thickBot="1" x14ac:dyDescent="0.25">
      <c r="B19" s="2" t="s">
        <v>116</v>
      </c>
      <c r="C19" s="27">
        <v>0</v>
      </c>
      <c r="D19" s="27">
        <v>0</v>
      </c>
      <c r="E19" s="27">
        <v>0</v>
      </c>
      <c r="F19" s="28">
        <f t="shared" si="8"/>
        <v>0</v>
      </c>
      <c r="G19" s="28">
        <f t="shared" si="9"/>
        <v>0</v>
      </c>
      <c r="H19" s="29" t="s">
        <v>21</v>
      </c>
      <c r="I19" s="27">
        <v>0</v>
      </c>
      <c r="J19" s="27">
        <v>0</v>
      </c>
      <c r="K19" s="27">
        <v>0</v>
      </c>
      <c r="L19" s="28">
        <f t="shared" si="2"/>
        <v>0</v>
      </c>
      <c r="M19" s="28">
        <f t="shared" si="3"/>
        <v>0</v>
      </c>
      <c r="N19" s="30"/>
      <c r="O19" s="27">
        <v>0</v>
      </c>
      <c r="P19" s="27">
        <v>0</v>
      </c>
      <c r="Q19" s="27">
        <v>0</v>
      </c>
      <c r="R19" s="28">
        <f t="shared" si="5"/>
        <v>0</v>
      </c>
      <c r="S19" s="28">
        <f t="shared" si="6"/>
        <v>0</v>
      </c>
      <c r="T19" s="30"/>
      <c r="U19" s="31"/>
    </row>
    <row r="20" spans="2:22" s="2" customFormat="1" ht="13.5" outlineLevel="1" thickBot="1" x14ac:dyDescent="0.25">
      <c r="B20" s="2" t="s">
        <v>22</v>
      </c>
      <c r="C20" s="27">
        <v>0</v>
      </c>
      <c r="D20" s="27">
        <v>0</v>
      </c>
      <c r="E20" s="27">
        <v>0</v>
      </c>
      <c r="F20" s="28">
        <f t="shared" si="8"/>
        <v>0</v>
      </c>
      <c r="G20" s="28">
        <f t="shared" si="9"/>
        <v>0</v>
      </c>
      <c r="H20" s="29" t="s">
        <v>23</v>
      </c>
      <c r="I20" s="27">
        <v>0</v>
      </c>
      <c r="J20" s="27">
        <v>0</v>
      </c>
      <c r="K20" s="27">
        <v>0</v>
      </c>
      <c r="L20" s="28">
        <f t="shared" si="2"/>
        <v>0</v>
      </c>
      <c r="M20" s="28">
        <f t="shared" si="3"/>
        <v>0</v>
      </c>
      <c r="N20" s="30"/>
      <c r="O20" s="27">
        <v>0</v>
      </c>
      <c r="P20" s="27">
        <v>0</v>
      </c>
      <c r="Q20" s="27">
        <v>0</v>
      </c>
      <c r="R20" s="28">
        <f t="shared" si="5"/>
        <v>0</v>
      </c>
      <c r="S20" s="28">
        <f t="shared" si="6"/>
        <v>0</v>
      </c>
      <c r="T20" s="30"/>
      <c r="U20" s="31"/>
    </row>
    <row r="21" spans="2:22" ht="13.5" outlineLevel="1" thickBot="1" x14ac:dyDescent="0.25">
      <c r="B21" s="1" t="s">
        <v>24</v>
      </c>
      <c r="C21" s="22">
        <v>0</v>
      </c>
      <c r="D21" s="22">
        <v>0</v>
      </c>
      <c r="E21" s="22">
        <v>0</v>
      </c>
      <c r="F21" s="23">
        <f t="shared" si="8"/>
        <v>0</v>
      </c>
      <c r="G21" s="23">
        <f t="shared" si="9"/>
        <v>0</v>
      </c>
      <c r="H21" s="24" t="s">
        <v>25</v>
      </c>
      <c r="I21" s="22">
        <v>0</v>
      </c>
      <c r="J21" s="22">
        <v>0</v>
      </c>
      <c r="K21" s="22">
        <v>0</v>
      </c>
      <c r="L21" s="23">
        <f t="shared" si="2"/>
        <v>0</v>
      </c>
      <c r="M21" s="23">
        <f t="shared" si="3"/>
        <v>0</v>
      </c>
      <c r="N21" s="25"/>
      <c r="O21" s="22">
        <v>0</v>
      </c>
      <c r="P21" s="22">
        <v>0</v>
      </c>
      <c r="Q21" s="22">
        <v>0</v>
      </c>
      <c r="R21" s="23">
        <f t="shared" si="5"/>
        <v>0</v>
      </c>
      <c r="S21" s="23">
        <f t="shared" si="6"/>
        <v>0</v>
      </c>
      <c r="T21" s="25"/>
      <c r="U21" s="34"/>
      <c r="V21" s="35"/>
    </row>
    <row r="22" spans="2:22" ht="13.5" outlineLevel="1" thickBot="1" x14ac:dyDescent="0.25">
      <c r="B22" s="1" t="s">
        <v>26</v>
      </c>
      <c r="C22" s="22">
        <v>0</v>
      </c>
      <c r="D22" s="22">
        <v>0</v>
      </c>
      <c r="E22" s="22">
        <v>0</v>
      </c>
      <c r="F22" s="23">
        <f t="shared" si="8"/>
        <v>0</v>
      </c>
      <c r="G22" s="23">
        <f t="shared" si="9"/>
        <v>0</v>
      </c>
      <c r="H22" s="24" t="s">
        <v>27</v>
      </c>
      <c r="I22" s="22">
        <v>0</v>
      </c>
      <c r="J22" s="22">
        <v>0</v>
      </c>
      <c r="K22" s="22">
        <v>0</v>
      </c>
      <c r="L22" s="23">
        <f t="shared" si="2"/>
        <v>0</v>
      </c>
      <c r="M22" s="23">
        <f t="shared" si="3"/>
        <v>0</v>
      </c>
      <c r="N22" s="25"/>
      <c r="O22" s="22">
        <v>0</v>
      </c>
      <c r="P22" s="22">
        <v>0</v>
      </c>
      <c r="Q22" s="22">
        <v>0</v>
      </c>
      <c r="R22" s="23">
        <f t="shared" si="5"/>
        <v>0</v>
      </c>
      <c r="S22" s="23">
        <f t="shared" si="6"/>
        <v>0</v>
      </c>
      <c r="T22" s="25"/>
      <c r="U22" s="34"/>
      <c r="V22" s="35"/>
    </row>
    <row r="23" spans="2:22" ht="13.5" outlineLevel="1" thickBot="1" x14ac:dyDescent="0.25">
      <c r="B23" s="1" t="s">
        <v>28</v>
      </c>
      <c r="C23" s="22">
        <v>0</v>
      </c>
      <c r="D23" s="22">
        <v>0</v>
      </c>
      <c r="E23" s="22">
        <v>0</v>
      </c>
      <c r="F23" s="23">
        <f t="shared" si="8"/>
        <v>0</v>
      </c>
      <c r="G23" s="23">
        <f t="shared" si="9"/>
        <v>0</v>
      </c>
      <c r="H23" s="24" t="s">
        <v>29</v>
      </c>
      <c r="I23" s="22">
        <v>0</v>
      </c>
      <c r="J23" s="22">
        <v>0</v>
      </c>
      <c r="K23" s="22">
        <v>0</v>
      </c>
      <c r="L23" s="23">
        <f t="shared" si="2"/>
        <v>0</v>
      </c>
      <c r="M23" s="23">
        <f t="shared" si="3"/>
        <v>0</v>
      </c>
      <c r="N23" s="25"/>
      <c r="O23" s="22">
        <v>0</v>
      </c>
      <c r="P23" s="22">
        <v>0</v>
      </c>
      <c r="Q23" s="22">
        <v>0</v>
      </c>
      <c r="R23" s="23">
        <f t="shared" si="5"/>
        <v>0</v>
      </c>
      <c r="S23" s="23">
        <f t="shared" si="6"/>
        <v>0</v>
      </c>
      <c r="T23" s="25"/>
      <c r="U23" s="34"/>
      <c r="V23" s="35"/>
    </row>
    <row r="24" spans="2:22" ht="13.5" outlineLevel="1" thickBot="1" x14ac:dyDescent="0.25">
      <c r="C24" s="22">
        <f>C23+C22+C21+C5</f>
        <v>0</v>
      </c>
      <c r="D24" s="22">
        <f t="shared" ref="D24:E24" si="30">D23+D22+D21+D5</f>
        <v>0</v>
      </c>
      <c r="E24" s="22">
        <f t="shared" si="30"/>
        <v>0</v>
      </c>
      <c r="F24" s="23">
        <f t="shared" si="8"/>
        <v>0</v>
      </c>
      <c r="G24" s="23">
        <f t="shared" si="9"/>
        <v>0</v>
      </c>
      <c r="H24" s="36" t="s">
        <v>30</v>
      </c>
      <c r="I24" s="22">
        <f t="shared" ref="I24:K24" si="31">I23+I22+I21+I5</f>
        <v>0</v>
      </c>
      <c r="J24" s="22">
        <f t="shared" si="31"/>
        <v>0</v>
      </c>
      <c r="K24" s="22">
        <f t="shared" si="31"/>
        <v>0</v>
      </c>
      <c r="L24" s="23">
        <f t="shared" si="2"/>
        <v>0</v>
      </c>
      <c r="M24" s="23">
        <f t="shared" si="3"/>
        <v>0</v>
      </c>
      <c r="N24" s="25"/>
      <c r="O24" s="22">
        <f t="shared" ref="O24:Q24" si="32">O23+O22+O21+O5</f>
        <v>0</v>
      </c>
      <c r="P24" s="22">
        <f t="shared" si="32"/>
        <v>0</v>
      </c>
      <c r="Q24" s="22">
        <f t="shared" si="32"/>
        <v>0</v>
      </c>
      <c r="R24" s="23">
        <f t="shared" si="5"/>
        <v>0</v>
      </c>
      <c r="S24" s="23">
        <f t="shared" si="6"/>
        <v>0</v>
      </c>
      <c r="T24" s="25"/>
      <c r="U24" s="34"/>
      <c r="V24" s="35"/>
    </row>
    <row r="25" spans="2:22" ht="13.5" thickBot="1" x14ac:dyDescent="0.25">
      <c r="C25" s="17">
        <f>C26+C29+C31+C37+C40+C54+C55+C63</f>
        <v>0</v>
      </c>
      <c r="D25" s="17">
        <f>D26+D29+D31+D37+D40+D54+D55+D63</f>
        <v>0</v>
      </c>
      <c r="E25" s="17">
        <f t="shared" ref="E25" si="33">E26+E29+E31+E37+E40+E54+E55+E63</f>
        <v>0</v>
      </c>
      <c r="F25" s="18">
        <f t="shared" si="8"/>
        <v>0</v>
      </c>
      <c r="G25" s="37">
        <f t="shared" si="9"/>
        <v>0</v>
      </c>
      <c r="H25" s="38" t="s">
        <v>31</v>
      </c>
      <c r="I25" s="39">
        <f>I26+I29+I31+I37+I40+I54+I55+I63</f>
        <v>0</v>
      </c>
      <c r="J25" s="17">
        <f t="shared" ref="J25:K25" si="34">J26+J29+J31+J37+J40+J54+J55+J63</f>
        <v>0</v>
      </c>
      <c r="K25" s="17">
        <f t="shared" si="34"/>
        <v>0</v>
      </c>
      <c r="L25" s="18">
        <f t="shared" si="2"/>
        <v>0</v>
      </c>
      <c r="M25" s="18">
        <f t="shared" si="3"/>
        <v>0</v>
      </c>
      <c r="N25" s="20"/>
      <c r="O25" s="17">
        <f t="shared" ref="O25:Q25" si="35">O26+O29+O31+O37+O40+O54+O55+O63</f>
        <v>0</v>
      </c>
      <c r="P25" s="17">
        <f t="shared" si="35"/>
        <v>0</v>
      </c>
      <c r="Q25" s="17">
        <f t="shared" si="35"/>
        <v>0</v>
      </c>
      <c r="R25" s="18">
        <f t="shared" si="5"/>
        <v>0</v>
      </c>
      <c r="S25" s="18">
        <f t="shared" si="6"/>
        <v>0</v>
      </c>
      <c r="T25" s="20"/>
      <c r="U25" s="26"/>
    </row>
    <row r="26" spans="2:22" ht="13.5" thickBot="1" x14ac:dyDescent="0.25">
      <c r="C26" s="22">
        <f>C27+C28</f>
        <v>0</v>
      </c>
      <c r="D26" s="22">
        <f t="shared" ref="D26:E26" si="36">D27+D28</f>
        <v>0</v>
      </c>
      <c r="E26" s="22">
        <f t="shared" si="36"/>
        <v>0</v>
      </c>
      <c r="F26" s="23">
        <f t="shared" si="8"/>
        <v>0</v>
      </c>
      <c r="G26" s="23">
        <f t="shared" si="9"/>
        <v>0</v>
      </c>
      <c r="H26" s="40" t="s">
        <v>3</v>
      </c>
      <c r="I26" s="22">
        <f>I27+I28</f>
        <v>0</v>
      </c>
      <c r="J26" s="22">
        <f t="shared" ref="J26:K26" si="37">J27+J28</f>
        <v>0</v>
      </c>
      <c r="K26" s="22">
        <f t="shared" si="37"/>
        <v>0</v>
      </c>
      <c r="L26" s="23">
        <f t="shared" si="2"/>
        <v>0</v>
      </c>
      <c r="M26" s="23">
        <f t="shared" si="3"/>
        <v>0</v>
      </c>
      <c r="N26" s="25"/>
      <c r="O26" s="22">
        <f t="shared" ref="O26:Q26" si="38">O27+O28</f>
        <v>0</v>
      </c>
      <c r="P26" s="22">
        <f t="shared" si="38"/>
        <v>0</v>
      </c>
      <c r="Q26" s="22">
        <f t="shared" si="38"/>
        <v>0</v>
      </c>
      <c r="R26" s="23">
        <f t="shared" si="5"/>
        <v>0</v>
      </c>
      <c r="S26" s="23">
        <f t="shared" si="6"/>
        <v>0</v>
      </c>
      <c r="T26" s="25"/>
      <c r="U26" s="34"/>
      <c r="V26" s="35"/>
    </row>
    <row r="27" spans="2:22" s="2" customFormat="1" ht="13.5" outlineLevel="1" thickBot="1" x14ac:dyDescent="0.25">
      <c r="B27" s="2" t="s">
        <v>32</v>
      </c>
      <c r="C27" s="27">
        <v>0</v>
      </c>
      <c r="D27" s="27">
        <v>0</v>
      </c>
      <c r="E27" s="27">
        <v>0</v>
      </c>
      <c r="F27" s="28">
        <f t="shared" si="8"/>
        <v>0</v>
      </c>
      <c r="G27" s="28">
        <f t="shared" si="9"/>
        <v>0</v>
      </c>
      <c r="H27" s="29" t="s">
        <v>33</v>
      </c>
      <c r="I27" s="27">
        <v>0</v>
      </c>
      <c r="J27" s="27">
        <v>0</v>
      </c>
      <c r="K27" s="27">
        <v>0</v>
      </c>
      <c r="L27" s="28">
        <f t="shared" si="2"/>
        <v>0</v>
      </c>
      <c r="M27" s="28">
        <f t="shared" si="3"/>
        <v>0</v>
      </c>
      <c r="N27" s="30"/>
      <c r="O27" s="27">
        <v>0</v>
      </c>
      <c r="P27" s="27">
        <v>0</v>
      </c>
      <c r="Q27" s="27">
        <v>0</v>
      </c>
      <c r="R27" s="28">
        <f t="shared" si="5"/>
        <v>0</v>
      </c>
      <c r="S27" s="28">
        <f t="shared" si="6"/>
        <v>0</v>
      </c>
      <c r="T27" s="30"/>
      <c r="U27" s="31"/>
    </row>
    <row r="28" spans="2:22" s="2" customFormat="1" ht="13.5" outlineLevel="1" thickBot="1" x14ac:dyDescent="0.25">
      <c r="B28" s="2" t="s">
        <v>134</v>
      </c>
      <c r="C28" s="27">
        <v>0</v>
      </c>
      <c r="D28" s="27">
        <v>0</v>
      </c>
      <c r="E28" s="27">
        <v>0</v>
      </c>
      <c r="F28" s="28">
        <f t="shared" si="8"/>
        <v>0</v>
      </c>
      <c r="G28" s="28">
        <f t="shared" si="9"/>
        <v>0</v>
      </c>
      <c r="H28" s="42" t="s">
        <v>34</v>
      </c>
      <c r="I28" s="27">
        <v>0</v>
      </c>
      <c r="J28" s="27">
        <v>0</v>
      </c>
      <c r="K28" s="27">
        <v>0</v>
      </c>
      <c r="L28" s="28">
        <f t="shared" si="2"/>
        <v>0</v>
      </c>
      <c r="M28" s="28">
        <f t="shared" si="3"/>
        <v>0</v>
      </c>
      <c r="N28" s="30"/>
      <c r="O28" s="27">
        <v>0</v>
      </c>
      <c r="P28" s="27">
        <v>0</v>
      </c>
      <c r="Q28" s="27">
        <v>0</v>
      </c>
      <c r="R28" s="28">
        <f t="shared" si="5"/>
        <v>0</v>
      </c>
      <c r="S28" s="28">
        <f t="shared" si="6"/>
        <v>0</v>
      </c>
      <c r="T28" s="30"/>
      <c r="U28" s="31"/>
    </row>
    <row r="29" spans="2:22" ht="13.5" thickBot="1" x14ac:dyDescent="0.25">
      <c r="C29" s="22">
        <f>C30</f>
        <v>0</v>
      </c>
      <c r="D29" s="22">
        <f t="shared" ref="D29:E29" si="39">D30</f>
        <v>0</v>
      </c>
      <c r="E29" s="22">
        <f t="shared" si="39"/>
        <v>0</v>
      </c>
      <c r="F29" s="23">
        <f t="shared" si="8"/>
        <v>0</v>
      </c>
      <c r="G29" s="43">
        <f t="shared" si="9"/>
        <v>0</v>
      </c>
      <c r="H29" s="44" t="s">
        <v>8</v>
      </c>
      <c r="I29" s="45">
        <f>I30</f>
        <v>0</v>
      </c>
      <c r="J29" s="22">
        <f t="shared" ref="J29:K29" si="40">J30</f>
        <v>0</v>
      </c>
      <c r="K29" s="22">
        <f t="shared" si="40"/>
        <v>0</v>
      </c>
      <c r="L29" s="23">
        <f t="shared" si="2"/>
        <v>0</v>
      </c>
      <c r="M29" s="46">
        <f t="shared" si="3"/>
        <v>0</v>
      </c>
      <c r="N29" s="47"/>
      <c r="O29" s="22">
        <f t="shared" ref="O29:Q29" si="41">O30</f>
        <v>0</v>
      </c>
      <c r="P29" s="22">
        <f t="shared" si="41"/>
        <v>0</v>
      </c>
      <c r="Q29" s="22">
        <f t="shared" si="41"/>
        <v>0</v>
      </c>
      <c r="R29" s="23">
        <f t="shared" si="5"/>
        <v>0</v>
      </c>
      <c r="S29" s="46">
        <f t="shared" si="6"/>
        <v>0</v>
      </c>
      <c r="T29" s="47"/>
      <c r="U29" s="48"/>
    </row>
    <row r="30" spans="2:22" s="2" customFormat="1" ht="13.5" outlineLevel="1" thickBot="1" x14ac:dyDescent="0.25">
      <c r="B30" s="2" t="s">
        <v>35</v>
      </c>
      <c r="C30" s="27">
        <v>0</v>
      </c>
      <c r="D30" s="27">
        <v>0</v>
      </c>
      <c r="E30" s="27">
        <v>0</v>
      </c>
      <c r="F30" s="28">
        <f t="shared" si="8"/>
        <v>0</v>
      </c>
      <c r="G30" s="28">
        <f t="shared" si="9"/>
        <v>0</v>
      </c>
      <c r="H30" s="49" t="s">
        <v>36</v>
      </c>
      <c r="I30" s="27">
        <v>0</v>
      </c>
      <c r="J30" s="27">
        <v>0</v>
      </c>
      <c r="K30" s="27">
        <v>0</v>
      </c>
      <c r="L30" s="28">
        <f t="shared" si="2"/>
        <v>0</v>
      </c>
      <c r="M30" s="28">
        <f t="shared" si="3"/>
        <v>0</v>
      </c>
      <c r="N30" s="30"/>
      <c r="O30" s="27">
        <v>0</v>
      </c>
      <c r="P30" s="27">
        <v>0</v>
      </c>
      <c r="Q30" s="27">
        <v>0</v>
      </c>
      <c r="R30" s="28">
        <f t="shared" si="5"/>
        <v>0</v>
      </c>
      <c r="S30" s="28">
        <f t="shared" si="6"/>
        <v>0</v>
      </c>
      <c r="T30" s="30"/>
      <c r="U30" s="31"/>
    </row>
    <row r="31" spans="2:22" ht="13.5" thickBot="1" x14ac:dyDescent="0.25">
      <c r="C31" s="22">
        <f>SUM(C32:C34)</f>
        <v>0</v>
      </c>
      <c r="D31" s="22">
        <f t="shared" ref="D31:E31" si="42">SUM(D32:D34)</f>
        <v>0</v>
      </c>
      <c r="E31" s="22">
        <f t="shared" si="42"/>
        <v>0</v>
      </c>
      <c r="F31" s="23">
        <f t="shared" si="8"/>
        <v>0</v>
      </c>
      <c r="G31" s="46">
        <f t="shared" si="9"/>
        <v>0</v>
      </c>
      <c r="H31" s="24" t="s">
        <v>13</v>
      </c>
      <c r="I31" s="22">
        <f>SUM(I32:I34)</f>
        <v>0</v>
      </c>
      <c r="J31" s="22">
        <f t="shared" ref="J31:K31" si="43">SUM(J32:J34)</f>
        <v>0</v>
      </c>
      <c r="K31" s="22">
        <f t="shared" si="43"/>
        <v>0</v>
      </c>
      <c r="L31" s="23">
        <f t="shared" si="2"/>
        <v>0</v>
      </c>
      <c r="M31" s="46">
        <f t="shared" si="3"/>
        <v>0</v>
      </c>
      <c r="N31" s="47"/>
      <c r="O31" s="22">
        <f t="shared" ref="O31:Q31" si="44">SUM(O32:O34)</f>
        <v>0</v>
      </c>
      <c r="P31" s="22">
        <f t="shared" si="44"/>
        <v>0</v>
      </c>
      <c r="Q31" s="22">
        <f t="shared" si="44"/>
        <v>0</v>
      </c>
      <c r="R31" s="23">
        <f t="shared" si="5"/>
        <v>0</v>
      </c>
      <c r="S31" s="46">
        <f t="shared" si="6"/>
        <v>0</v>
      </c>
      <c r="T31" s="47"/>
      <c r="U31" s="50"/>
    </row>
    <row r="32" spans="2:22" s="2" customFormat="1" ht="13.5" outlineLevel="1" thickBot="1" x14ac:dyDescent="0.25">
      <c r="B32" s="2" t="s">
        <v>37</v>
      </c>
      <c r="C32" s="27">
        <v>0</v>
      </c>
      <c r="D32" s="27">
        <v>0</v>
      </c>
      <c r="E32" s="27">
        <v>0</v>
      </c>
      <c r="F32" s="28">
        <f t="shared" si="8"/>
        <v>0</v>
      </c>
      <c r="G32" s="28">
        <f t="shared" si="9"/>
        <v>0</v>
      </c>
      <c r="H32" s="29" t="s">
        <v>132</v>
      </c>
      <c r="I32" s="27">
        <v>0</v>
      </c>
      <c r="J32" s="27">
        <v>0</v>
      </c>
      <c r="K32" s="27">
        <v>0</v>
      </c>
      <c r="L32" s="28">
        <f t="shared" si="2"/>
        <v>0</v>
      </c>
      <c r="M32" s="28">
        <f t="shared" si="3"/>
        <v>0</v>
      </c>
      <c r="N32" s="30"/>
      <c r="O32" s="27">
        <v>0</v>
      </c>
      <c r="P32" s="27">
        <v>0</v>
      </c>
      <c r="Q32" s="27">
        <v>0</v>
      </c>
      <c r="R32" s="28">
        <f t="shared" si="5"/>
        <v>0</v>
      </c>
      <c r="S32" s="28">
        <f t="shared" si="6"/>
        <v>0</v>
      </c>
      <c r="T32" s="30"/>
      <c r="U32" s="31"/>
    </row>
    <row r="33" spans="2:21" s="2" customFormat="1" ht="13.5" outlineLevel="1" thickBot="1" x14ac:dyDescent="0.25">
      <c r="B33" s="2" t="s">
        <v>38</v>
      </c>
      <c r="C33" s="27">
        <v>0</v>
      </c>
      <c r="D33" s="27">
        <v>0</v>
      </c>
      <c r="E33" s="27">
        <v>0</v>
      </c>
      <c r="F33" s="28">
        <f t="shared" si="8"/>
        <v>0</v>
      </c>
      <c r="G33" s="28">
        <f t="shared" si="9"/>
        <v>0</v>
      </c>
      <c r="H33" s="29" t="s">
        <v>131</v>
      </c>
      <c r="I33" s="27">
        <v>0</v>
      </c>
      <c r="J33" s="27">
        <v>0</v>
      </c>
      <c r="K33" s="27">
        <v>0</v>
      </c>
      <c r="L33" s="28">
        <f t="shared" si="2"/>
        <v>0</v>
      </c>
      <c r="M33" s="28">
        <f t="shared" si="3"/>
        <v>0</v>
      </c>
      <c r="N33" s="30"/>
      <c r="O33" s="27">
        <v>0</v>
      </c>
      <c r="P33" s="27">
        <v>0</v>
      </c>
      <c r="Q33" s="27">
        <v>0</v>
      </c>
      <c r="R33" s="28">
        <f t="shared" si="5"/>
        <v>0</v>
      </c>
      <c r="S33" s="28">
        <f t="shared" si="6"/>
        <v>0</v>
      </c>
      <c r="T33" s="30"/>
      <c r="U33" s="31"/>
    </row>
    <row r="34" spans="2:21" s="2" customFormat="1" ht="13.5" outlineLevel="1" thickBot="1" x14ac:dyDescent="0.25">
      <c r="B34" s="2" t="s">
        <v>135</v>
      </c>
      <c r="C34" s="27">
        <v>0</v>
      </c>
      <c r="D34" s="27">
        <v>0</v>
      </c>
      <c r="E34" s="27">
        <v>0</v>
      </c>
      <c r="F34" s="28">
        <f t="shared" si="8"/>
        <v>0</v>
      </c>
      <c r="G34" s="28">
        <f t="shared" si="9"/>
        <v>0</v>
      </c>
      <c r="H34" s="29" t="s">
        <v>133</v>
      </c>
      <c r="I34" s="27">
        <v>0</v>
      </c>
      <c r="J34" s="27">
        <v>0</v>
      </c>
      <c r="K34" s="27">
        <v>0</v>
      </c>
      <c r="L34" s="28">
        <f t="shared" si="2"/>
        <v>0</v>
      </c>
      <c r="M34" s="28">
        <f t="shared" si="3"/>
        <v>0</v>
      </c>
      <c r="N34" s="30"/>
      <c r="O34" s="27">
        <v>0</v>
      </c>
      <c r="P34" s="27">
        <v>0</v>
      </c>
      <c r="Q34" s="27">
        <v>0</v>
      </c>
      <c r="R34" s="28">
        <f t="shared" si="5"/>
        <v>0</v>
      </c>
      <c r="S34" s="28">
        <f t="shared" si="6"/>
        <v>0</v>
      </c>
      <c r="T34" s="30"/>
      <c r="U34" s="31"/>
    </row>
    <row r="35" spans="2:21" ht="13.5" thickBot="1" x14ac:dyDescent="0.25">
      <c r="C35" s="22">
        <f>C36</f>
        <v>0</v>
      </c>
      <c r="D35" s="22">
        <f t="shared" ref="D35:E35" si="45">D36</f>
        <v>0</v>
      </c>
      <c r="E35" s="22">
        <f t="shared" si="45"/>
        <v>0</v>
      </c>
      <c r="F35" s="23">
        <f t="shared" ref="F35:F36" si="46">IF((IFERROR(C35/D35,0))=0,0,(IFERROR(C35/D35,0)-1))</f>
        <v>0</v>
      </c>
      <c r="G35" s="43">
        <f t="shared" ref="G35:G36" si="47">IF((IFERROR(C35/E35,0))=0,0,(IFERROR(C35/E35,0)-1))</f>
        <v>0</v>
      </c>
      <c r="H35" s="24" t="s">
        <v>127</v>
      </c>
      <c r="I35" s="45">
        <f>I36</f>
        <v>0</v>
      </c>
      <c r="J35" s="22">
        <f t="shared" ref="J35:K35" si="48">J36</f>
        <v>0</v>
      </c>
      <c r="K35" s="22">
        <f t="shared" si="48"/>
        <v>0</v>
      </c>
      <c r="L35" s="23">
        <f t="shared" ref="L35:L36" si="49">IF((IFERROR(I35/J35,0))=0,0,(IFERROR(I35/J35,0)-1))</f>
        <v>0</v>
      </c>
      <c r="M35" s="46">
        <f t="shared" ref="M35:M36" si="50">IF((IFERROR(I35/K35,0))=0,0,(IFERROR(I35/K35,0)-1))</f>
        <v>0</v>
      </c>
      <c r="N35" s="47"/>
      <c r="O35" s="22">
        <f t="shared" ref="O35:Q35" si="51">O36</f>
        <v>0</v>
      </c>
      <c r="P35" s="22">
        <f t="shared" si="51"/>
        <v>0</v>
      </c>
      <c r="Q35" s="22">
        <f t="shared" si="51"/>
        <v>0</v>
      </c>
      <c r="R35" s="23">
        <f t="shared" ref="R35:R36" si="52">IF((IFERROR(O35/P35,0))=0,0,(IFERROR(O35/P35,0)-1))</f>
        <v>0</v>
      </c>
      <c r="S35" s="46">
        <f t="shared" ref="S35:S36" si="53">IF((IFERROR(O35/Q35,0))=0,0,(IFERROR(O35/Q35,0)-1))</f>
        <v>0</v>
      </c>
      <c r="T35" s="47"/>
      <c r="U35" s="48"/>
    </row>
    <row r="36" spans="2:21" s="2" customFormat="1" ht="13.5" outlineLevel="1" thickBot="1" x14ac:dyDescent="0.25">
      <c r="B36" s="2" t="s">
        <v>130</v>
      </c>
      <c r="C36" s="27">
        <v>0</v>
      </c>
      <c r="D36" s="27">
        <v>0</v>
      </c>
      <c r="E36" s="27">
        <v>0</v>
      </c>
      <c r="F36" s="28">
        <f t="shared" si="46"/>
        <v>0</v>
      </c>
      <c r="G36" s="28">
        <f t="shared" si="47"/>
        <v>0</v>
      </c>
      <c r="H36" s="29" t="s">
        <v>129</v>
      </c>
      <c r="I36" s="27">
        <v>0</v>
      </c>
      <c r="J36" s="27">
        <v>0</v>
      </c>
      <c r="K36" s="27">
        <v>0</v>
      </c>
      <c r="L36" s="28">
        <f t="shared" si="49"/>
        <v>0</v>
      </c>
      <c r="M36" s="28">
        <f t="shared" si="50"/>
        <v>0</v>
      </c>
      <c r="N36" s="30"/>
      <c r="O36" s="27">
        <v>0</v>
      </c>
      <c r="P36" s="27">
        <v>0</v>
      </c>
      <c r="Q36" s="27">
        <v>0</v>
      </c>
      <c r="R36" s="28">
        <f t="shared" si="52"/>
        <v>0</v>
      </c>
      <c r="S36" s="28">
        <f t="shared" si="53"/>
        <v>0</v>
      </c>
      <c r="T36" s="30"/>
      <c r="U36" s="31"/>
    </row>
    <row r="37" spans="2:21" ht="13.5" thickBot="1" x14ac:dyDescent="0.25">
      <c r="C37" s="22">
        <f>C38+C39</f>
        <v>0</v>
      </c>
      <c r="D37" s="22">
        <f t="shared" ref="D37:E37" si="54">D38+D39</f>
        <v>0</v>
      </c>
      <c r="E37" s="22">
        <f t="shared" si="54"/>
        <v>0</v>
      </c>
      <c r="F37" s="23">
        <f t="shared" si="8"/>
        <v>0</v>
      </c>
      <c r="G37" s="46">
        <f t="shared" si="9"/>
        <v>0</v>
      </c>
      <c r="H37" s="24" t="s">
        <v>18</v>
      </c>
      <c r="I37" s="22">
        <f t="shared" ref="I37:K37" si="55">I38+I39</f>
        <v>0</v>
      </c>
      <c r="J37" s="22">
        <f t="shared" si="55"/>
        <v>0</v>
      </c>
      <c r="K37" s="22">
        <f t="shared" si="55"/>
        <v>0</v>
      </c>
      <c r="L37" s="23">
        <f t="shared" si="2"/>
        <v>0</v>
      </c>
      <c r="M37" s="46">
        <f t="shared" si="3"/>
        <v>0</v>
      </c>
      <c r="N37" s="47"/>
      <c r="O37" s="22">
        <f t="shared" ref="O37:Q37" si="56">O38+O39</f>
        <v>0</v>
      </c>
      <c r="P37" s="22">
        <f t="shared" si="56"/>
        <v>0</v>
      </c>
      <c r="Q37" s="22">
        <f t="shared" si="56"/>
        <v>0</v>
      </c>
      <c r="R37" s="23">
        <f t="shared" si="5"/>
        <v>0</v>
      </c>
      <c r="S37" s="46">
        <f t="shared" si="6"/>
        <v>0</v>
      </c>
      <c r="T37" s="47"/>
      <c r="U37" s="26"/>
    </row>
    <row r="38" spans="2:21" s="2" customFormat="1" ht="13.5" outlineLevel="1" thickBot="1" x14ac:dyDescent="0.25">
      <c r="B38" s="2" t="s">
        <v>125</v>
      </c>
      <c r="C38" s="27">
        <v>0</v>
      </c>
      <c r="D38" s="27">
        <v>0</v>
      </c>
      <c r="E38" s="27">
        <v>0</v>
      </c>
      <c r="F38" s="28">
        <f t="shared" si="8"/>
        <v>0</v>
      </c>
      <c r="G38" s="28">
        <f t="shared" si="9"/>
        <v>0</v>
      </c>
      <c r="H38" s="29" t="s">
        <v>124</v>
      </c>
      <c r="I38" s="27">
        <v>0</v>
      </c>
      <c r="J38" s="27">
        <v>0</v>
      </c>
      <c r="K38" s="27">
        <v>0</v>
      </c>
      <c r="L38" s="28">
        <f t="shared" si="2"/>
        <v>0</v>
      </c>
      <c r="M38" s="28">
        <f t="shared" si="3"/>
        <v>0</v>
      </c>
      <c r="N38" s="30"/>
      <c r="O38" s="27">
        <v>0</v>
      </c>
      <c r="P38" s="27">
        <v>0</v>
      </c>
      <c r="Q38" s="27">
        <v>0</v>
      </c>
      <c r="R38" s="28">
        <f t="shared" si="5"/>
        <v>0</v>
      </c>
      <c r="S38" s="28">
        <f t="shared" si="6"/>
        <v>0</v>
      </c>
      <c r="T38" s="30"/>
      <c r="U38" s="31"/>
    </row>
    <row r="39" spans="2:21" s="2" customFormat="1" ht="13.5" outlineLevel="1" thickBot="1" x14ac:dyDescent="0.25">
      <c r="B39" s="2" t="s">
        <v>126</v>
      </c>
      <c r="C39" s="27">
        <v>0</v>
      </c>
      <c r="D39" s="27">
        <v>0</v>
      </c>
      <c r="E39" s="27">
        <v>0</v>
      </c>
      <c r="F39" s="28">
        <f t="shared" ref="F39" si="57">IF((IFERROR(C39/D39,0))=0,0,(IFERROR(C39/D39,0)-1))</f>
        <v>0</v>
      </c>
      <c r="G39" s="28">
        <f t="shared" ref="G39" si="58">IF((IFERROR(C39/E39,0))=0,0,(IFERROR(C39/E39,0)-1))</f>
        <v>0</v>
      </c>
      <c r="H39" s="29" t="s">
        <v>123</v>
      </c>
      <c r="I39" s="27">
        <v>0</v>
      </c>
      <c r="J39" s="27">
        <v>0</v>
      </c>
      <c r="K39" s="27">
        <v>0</v>
      </c>
      <c r="L39" s="28">
        <f t="shared" ref="L39" si="59">IF((IFERROR(I39/J39,0))=0,0,(IFERROR(I39/J39,0)-1))</f>
        <v>0</v>
      </c>
      <c r="M39" s="28">
        <f t="shared" ref="M39" si="60">IF((IFERROR(I39/K39,0))=0,0,(IFERROR(I39/K39,0)-1))</f>
        <v>0</v>
      </c>
      <c r="N39" s="30"/>
      <c r="O39" s="27">
        <v>0</v>
      </c>
      <c r="P39" s="27">
        <v>0</v>
      </c>
      <c r="Q39" s="27">
        <v>0</v>
      </c>
      <c r="R39" s="28">
        <f t="shared" ref="R39" si="61">IF((IFERROR(O39/P39,0))=0,0,(IFERROR(O39/P39,0)-1))</f>
        <v>0</v>
      </c>
      <c r="S39" s="28">
        <f t="shared" ref="S39" si="62">IF((IFERROR(O39/Q39,0))=0,0,(IFERROR(O39/Q39,0)-1))</f>
        <v>0</v>
      </c>
      <c r="T39" s="30"/>
      <c r="U39" s="31"/>
    </row>
    <row r="40" spans="2:21" ht="13.5" thickBot="1" x14ac:dyDescent="0.25">
      <c r="C40" s="22">
        <f>SUM(C41:C53)</f>
        <v>0</v>
      </c>
      <c r="D40" s="22">
        <f t="shared" ref="D40:E40" si="63">SUM(D41:D53)</f>
        <v>0</v>
      </c>
      <c r="E40" s="22">
        <f t="shared" si="63"/>
        <v>0</v>
      </c>
      <c r="F40" s="23">
        <f t="shared" si="8"/>
        <v>0</v>
      </c>
      <c r="G40" s="46">
        <f t="shared" si="9"/>
        <v>0</v>
      </c>
      <c r="H40" s="24" t="s">
        <v>39</v>
      </c>
      <c r="I40" s="22">
        <f>SUM(I41:I53)</f>
        <v>0</v>
      </c>
      <c r="J40" s="22">
        <f t="shared" ref="J40:K40" si="64">SUM(J41:J53)</f>
        <v>0</v>
      </c>
      <c r="K40" s="22">
        <f t="shared" si="64"/>
        <v>0</v>
      </c>
      <c r="L40" s="23">
        <f t="shared" si="2"/>
        <v>0</v>
      </c>
      <c r="M40" s="46">
        <f t="shared" si="3"/>
        <v>0</v>
      </c>
      <c r="N40" s="47"/>
      <c r="O40" s="22">
        <f t="shared" ref="O40:Q40" si="65">SUM(O41:O53)</f>
        <v>0</v>
      </c>
      <c r="P40" s="22">
        <f t="shared" si="65"/>
        <v>0</v>
      </c>
      <c r="Q40" s="22">
        <f t="shared" si="65"/>
        <v>0</v>
      </c>
      <c r="R40" s="23">
        <f t="shared" si="5"/>
        <v>0</v>
      </c>
      <c r="S40" s="46">
        <f t="shared" si="6"/>
        <v>0</v>
      </c>
      <c r="T40" s="47"/>
      <c r="U40" s="34"/>
    </row>
    <row r="41" spans="2:21" s="2" customFormat="1" ht="13.5" outlineLevel="1" thickBot="1" x14ac:dyDescent="0.25">
      <c r="B41" s="2" t="s">
        <v>40</v>
      </c>
      <c r="C41" s="27">
        <v>0</v>
      </c>
      <c r="D41" s="27">
        <v>0</v>
      </c>
      <c r="E41" s="27">
        <v>0</v>
      </c>
      <c r="F41" s="28">
        <f t="shared" si="8"/>
        <v>0</v>
      </c>
      <c r="G41" s="28">
        <f t="shared" si="9"/>
        <v>0</v>
      </c>
      <c r="H41" s="29" t="s">
        <v>41</v>
      </c>
      <c r="I41" s="27">
        <v>0</v>
      </c>
      <c r="J41" s="27">
        <v>0</v>
      </c>
      <c r="K41" s="27">
        <v>0</v>
      </c>
      <c r="L41" s="28">
        <f t="shared" si="2"/>
        <v>0</v>
      </c>
      <c r="M41" s="28">
        <f t="shared" si="3"/>
        <v>0</v>
      </c>
      <c r="N41" s="30"/>
      <c r="O41" s="27">
        <v>0</v>
      </c>
      <c r="P41" s="27">
        <v>0</v>
      </c>
      <c r="Q41" s="27">
        <v>0</v>
      </c>
      <c r="R41" s="28">
        <f t="shared" si="5"/>
        <v>0</v>
      </c>
      <c r="S41" s="28">
        <f t="shared" si="6"/>
        <v>0</v>
      </c>
      <c r="T41" s="30"/>
      <c r="U41" s="31"/>
    </row>
    <row r="42" spans="2:21" s="2" customFormat="1" ht="13.5" outlineLevel="1" thickBot="1" x14ac:dyDescent="0.25">
      <c r="B42" s="2" t="s">
        <v>42</v>
      </c>
      <c r="C42" s="27">
        <v>0</v>
      </c>
      <c r="D42" s="27">
        <v>0</v>
      </c>
      <c r="E42" s="27">
        <v>0</v>
      </c>
      <c r="F42" s="28">
        <f t="shared" si="8"/>
        <v>0</v>
      </c>
      <c r="G42" s="28">
        <f t="shared" si="9"/>
        <v>0</v>
      </c>
      <c r="H42" s="29" t="s">
        <v>43</v>
      </c>
      <c r="I42" s="27">
        <v>0</v>
      </c>
      <c r="J42" s="27">
        <v>0</v>
      </c>
      <c r="K42" s="27">
        <v>0</v>
      </c>
      <c r="L42" s="28">
        <f t="shared" si="2"/>
        <v>0</v>
      </c>
      <c r="M42" s="28">
        <f t="shared" si="3"/>
        <v>0</v>
      </c>
      <c r="N42" s="30"/>
      <c r="O42" s="27">
        <v>0</v>
      </c>
      <c r="P42" s="27">
        <v>0</v>
      </c>
      <c r="Q42" s="27">
        <v>0</v>
      </c>
      <c r="R42" s="28">
        <f t="shared" si="5"/>
        <v>0</v>
      </c>
      <c r="S42" s="28">
        <f t="shared" si="6"/>
        <v>0</v>
      </c>
      <c r="T42" s="30"/>
      <c r="U42" s="31"/>
    </row>
    <row r="43" spans="2:21" s="2" customFormat="1" ht="13.5" outlineLevel="1" thickBot="1" x14ac:dyDescent="0.25">
      <c r="B43" s="2" t="s">
        <v>44</v>
      </c>
      <c r="C43" s="27">
        <v>0</v>
      </c>
      <c r="D43" s="27">
        <v>0</v>
      </c>
      <c r="E43" s="27">
        <v>0</v>
      </c>
      <c r="F43" s="28">
        <f t="shared" si="8"/>
        <v>0</v>
      </c>
      <c r="G43" s="28">
        <f t="shared" si="9"/>
        <v>0</v>
      </c>
      <c r="H43" s="29" t="s">
        <v>45</v>
      </c>
      <c r="I43" s="27">
        <v>0</v>
      </c>
      <c r="J43" s="27">
        <v>0</v>
      </c>
      <c r="K43" s="27">
        <v>0</v>
      </c>
      <c r="L43" s="28">
        <f t="shared" si="2"/>
        <v>0</v>
      </c>
      <c r="M43" s="28">
        <f t="shared" si="3"/>
        <v>0</v>
      </c>
      <c r="N43" s="30"/>
      <c r="O43" s="27">
        <v>0</v>
      </c>
      <c r="P43" s="27">
        <v>0</v>
      </c>
      <c r="Q43" s="27">
        <v>0</v>
      </c>
      <c r="R43" s="28">
        <f t="shared" si="5"/>
        <v>0</v>
      </c>
      <c r="S43" s="28">
        <f t="shared" si="6"/>
        <v>0</v>
      </c>
      <c r="T43" s="30"/>
      <c r="U43" s="31"/>
    </row>
    <row r="44" spans="2:21" s="2" customFormat="1" ht="13.5" outlineLevel="1" thickBot="1" x14ac:dyDescent="0.25">
      <c r="B44" s="2" t="s">
        <v>46</v>
      </c>
      <c r="C44" s="27">
        <v>0</v>
      </c>
      <c r="D44" s="27">
        <v>0</v>
      </c>
      <c r="E44" s="27">
        <v>0</v>
      </c>
      <c r="F44" s="28">
        <f t="shared" si="8"/>
        <v>0</v>
      </c>
      <c r="G44" s="28">
        <f t="shared" si="9"/>
        <v>0</v>
      </c>
      <c r="H44" s="29" t="s">
        <v>47</v>
      </c>
      <c r="I44" s="27">
        <v>0</v>
      </c>
      <c r="J44" s="27">
        <v>0</v>
      </c>
      <c r="K44" s="27">
        <v>0</v>
      </c>
      <c r="L44" s="28">
        <f t="shared" si="2"/>
        <v>0</v>
      </c>
      <c r="M44" s="28">
        <f t="shared" si="3"/>
        <v>0</v>
      </c>
      <c r="N44" s="30"/>
      <c r="O44" s="27">
        <v>0</v>
      </c>
      <c r="P44" s="27">
        <v>0</v>
      </c>
      <c r="Q44" s="27">
        <v>0</v>
      </c>
      <c r="R44" s="28">
        <f t="shared" si="5"/>
        <v>0</v>
      </c>
      <c r="S44" s="28">
        <f t="shared" si="6"/>
        <v>0</v>
      </c>
      <c r="T44" s="30"/>
      <c r="U44" s="31"/>
    </row>
    <row r="45" spans="2:21" s="2" customFormat="1" ht="13.5" outlineLevel="1" thickBot="1" x14ac:dyDescent="0.25">
      <c r="B45" s="2" t="s">
        <v>48</v>
      </c>
      <c r="C45" s="27">
        <v>0</v>
      </c>
      <c r="D45" s="27">
        <v>0</v>
      </c>
      <c r="E45" s="27">
        <v>0</v>
      </c>
      <c r="F45" s="28">
        <f t="shared" si="8"/>
        <v>0</v>
      </c>
      <c r="G45" s="28">
        <f t="shared" si="9"/>
        <v>0</v>
      </c>
      <c r="H45" s="29" t="s">
        <v>49</v>
      </c>
      <c r="I45" s="27">
        <v>0</v>
      </c>
      <c r="J45" s="27">
        <v>0</v>
      </c>
      <c r="K45" s="27">
        <v>0</v>
      </c>
      <c r="L45" s="28">
        <f t="shared" si="2"/>
        <v>0</v>
      </c>
      <c r="M45" s="28">
        <f t="shared" si="3"/>
        <v>0</v>
      </c>
      <c r="N45" s="30"/>
      <c r="O45" s="27">
        <v>0</v>
      </c>
      <c r="P45" s="27">
        <v>0</v>
      </c>
      <c r="Q45" s="27">
        <v>0</v>
      </c>
      <c r="R45" s="28">
        <f t="shared" si="5"/>
        <v>0</v>
      </c>
      <c r="S45" s="28">
        <f t="shared" si="6"/>
        <v>0</v>
      </c>
      <c r="T45" s="30"/>
      <c r="U45" s="31"/>
    </row>
    <row r="46" spans="2:21" s="2" customFormat="1" ht="13.5" outlineLevel="1" thickBot="1" x14ac:dyDescent="0.25">
      <c r="B46" s="2" t="s">
        <v>50</v>
      </c>
      <c r="C46" s="41">
        <v>0</v>
      </c>
      <c r="D46" s="27">
        <v>0</v>
      </c>
      <c r="E46" s="27">
        <v>0</v>
      </c>
      <c r="F46" s="28">
        <f t="shared" si="8"/>
        <v>0</v>
      </c>
      <c r="G46" s="28">
        <f t="shared" si="9"/>
        <v>0</v>
      </c>
      <c r="H46" s="29" t="s">
        <v>51</v>
      </c>
      <c r="I46" s="27">
        <v>0</v>
      </c>
      <c r="J46" s="27">
        <v>0</v>
      </c>
      <c r="K46" s="27">
        <v>0</v>
      </c>
      <c r="L46" s="28">
        <f t="shared" si="2"/>
        <v>0</v>
      </c>
      <c r="M46" s="28">
        <f t="shared" si="3"/>
        <v>0</v>
      </c>
      <c r="N46" s="30"/>
      <c r="O46" s="27">
        <v>0</v>
      </c>
      <c r="P46" s="27">
        <v>0</v>
      </c>
      <c r="Q46" s="27">
        <v>0</v>
      </c>
      <c r="R46" s="28">
        <f t="shared" si="5"/>
        <v>0</v>
      </c>
      <c r="S46" s="28">
        <f t="shared" si="6"/>
        <v>0</v>
      </c>
      <c r="T46" s="30"/>
      <c r="U46" s="31"/>
    </row>
    <row r="47" spans="2:21" s="2" customFormat="1" ht="13.5" outlineLevel="1" thickBot="1" x14ac:dyDescent="0.25">
      <c r="B47" s="2" t="s">
        <v>52</v>
      </c>
      <c r="C47" s="27">
        <v>0</v>
      </c>
      <c r="D47" s="27">
        <v>0</v>
      </c>
      <c r="E47" s="27">
        <v>0</v>
      </c>
      <c r="F47" s="28">
        <f t="shared" si="8"/>
        <v>0</v>
      </c>
      <c r="G47" s="28">
        <f t="shared" si="9"/>
        <v>0</v>
      </c>
      <c r="H47" s="29" t="s">
        <v>53</v>
      </c>
      <c r="I47" s="27">
        <v>0</v>
      </c>
      <c r="J47" s="27">
        <v>0</v>
      </c>
      <c r="K47" s="27">
        <v>0</v>
      </c>
      <c r="L47" s="28">
        <f t="shared" si="2"/>
        <v>0</v>
      </c>
      <c r="M47" s="28">
        <f t="shared" si="3"/>
        <v>0</v>
      </c>
      <c r="N47" s="30"/>
      <c r="O47" s="27">
        <v>0</v>
      </c>
      <c r="P47" s="27">
        <v>0</v>
      </c>
      <c r="Q47" s="27">
        <v>0</v>
      </c>
      <c r="R47" s="28">
        <f t="shared" si="5"/>
        <v>0</v>
      </c>
      <c r="S47" s="28">
        <f t="shared" si="6"/>
        <v>0</v>
      </c>
      <c r="T47" s="30"/>
      <c r="U47" s="31"/>
    </row>
    <row r="48" spans="2:21" s="2" customFormat="1" ht="13.5" outlineLevel="1" thickBot="1" x14ac:dyDescent="0.25">
      <c r="B48" s="2" t="s">
        <v>54</v>
      </c>
      <c r="C48" s="27">
        <v>0</v>
      </c>
      <c r="D48" s="27">
        <v>0</v>
      </c>
      <c r="E48" s="27">
        <v>0</v>
      </c>
      <c r="F48" s="28">
        <f t="shared" si="8"/>
        <v>0</v>
      </c>
      <c r="G48" s="28">
        <f t="shared" si="9"/>
        <v>0</v>
      </c>
      <c r="H48" s="29" t="s">
        <v>55</v>
      </c>
      <c r="I48" s="27">
        <v>0</v>
      </c>
      <c r="J48" s="27">
        <v>0</v>
      </c>
      <c r="K48" s="27">
        <v>0</v>
      </c>
      <c r="L48" s="28">
        <f t="shared" si="2"/>
        <v>0</v>
      </c>
      <c r="M48" s="28">
        <f t="shared" si="3"/>
        <v>0</v>
      </c>
      <c r="N48" s="30"/>
      <c r="O48" s="27">
        <v>0</v>
      </c>
      <c r="P48" s="27">
        <v>0</v>
      </c>
      <c r="Q48" s="27">
        <v>0</v>
      </c>
      <c r="R48" s="28">
        <f t="shared" si="5"/>
        <v>0</v>
      </c>
      <c r="S48" s="28">
        <f t="shared" si="6"/>
        <v>0</v>
      </c>
      <c r="T48" s="30"/>
      <c r="U48" s="31"/>
    </row>
    <row r="49" spans="2:21" s="2" customFormat="1" ht="13.5" outlineLevel="1" thickBot="1" x14ac:dyDescent="0.25">
      <c r="B49" s="2" t="s">
        <v>56</v>
      </c>
      <c r="C49" s="27">
        <v>0</v>
      </c>
      <c r="D49" s="27">
        <v>0</v>
      </c>
      <c r="E49" s="27">
        <v>0</v>
      </c>
      <c r="F49" s="28">
        <f t="shared" si="8"/>
        <v>0</v>
      </c>
      <c r="G49" s="28">
        <f t="shared" si="9"/>
        <v>0</v>
      </c>
      <c r="H49" s="29" t="s">
        <v>57</v>
      </c>
      <c r="I49" s="27">
        <v>0</v>
      </c>
      <c r="J49" s="27">
        <v>0</v>
      </c>
      <c r="K49" s="27">
        <v>0</v>
      </c>
      <c r="L49" s="28">
        <f t="shared" si="2"/>
        <v>0</v>
      </c>
      <c r="M49" s="28">
        <f t="shared" si="3"/>
        <v>0</v>
      </c>
      <c r="N49" s="30"/>
      <c r="O49" s="27">
        <v>0</v>
      </c>
      <c r="P49" s="27">
        <v>0</v>
      </c>
      <c r="Q49" s="27">
        <v>0</v>
      </c>
      <c r="R49" s="28">
        <f t="shared" si="5"/>
        <v>0</v>
      </c>
      <c r="S49" s="28">
        <f t="shared" si="6"/>
        <v>0</v>
      </c>
      <c r="T49" s="30"/>
      <c r="U49" s="31"/>
    </row>
    <row r="50" spans="2:21" s="2" customFormat="1" ht="13.5" outlineLevel="1" thickBot="1" x14ac:dyDescent="0.25">
      <c r="B50" s="2" t="s">
        <v>58</v>
      </c>
      <c r="C50" s="27">
        <v>0</v>
      </c>
      <c r="D50" s="27">
        <v>0</v>
      </c>
      <c r="E50" s="27">
        <v>0</v>
      </c>
      <c r="F50" s="28">
        <f t="shared" si="8"/>
        <v>0</v>
      </c>
      <c r="G50" s="28">
        <f t="shared" si="9"/>
        <v>0</v>
      </c>
      <c r="H50" s="29" t="s">
        <v>59</v>
      </c>
      <c r="I50" s="27">
        <v>0</v>
      </c>
      <c r="J50" s="27">
        <v>0</v>
      </c>
      <c r="K50" s="27">
        <v>0</v>
      </c>
      <c r="L50" s="28">
        <f t="shared" si="2"/>
        <v>0</v>
      </c>
      <c r="M50" s="28">
        <f t="shared" si="3"/>
        <v>0</v>
      </c>
      <c r="N50" s="30"/>
      <c r="O50" s="27">
        <v>0</v>
      </c>
      <c r="P50" s="27">
        <v>0</v>
      </c>
      <c r="Q50" s="27">
        <v>0</v>
      </c>
      <c r="R50" s="28">
        <f t="shared" si="5"/>
        <v>0</v>
      </c>
      <c r="S50" s="28">
        <f t="shared" si="6"/>
        <v>0</v>
      </c>
      <c r="T50" s="30"/>
      <c r="U50" s="31"/>
    </row>
    <row r="51" spans="2:21" s="2" customFormat="1" ht="13.5" outlineLevel="1" thickBot="1" x14ac:dyDescent="0.25">
      <c r="B51" s="2" t="s">
        <v>60</v>
      </c>
      <c r="C51" s="27">
        <v>0</v>
      </c>
      <c r="D51" s="27">
        <v>0</v>
      </c>
      <c r="E51" s="27">
        <v>0</v>
      </c>
      <c r="F51" s="28">
        <f t="shared" si="8"/>
        <v>0</v>
      </c>
      <c r="G51" s="28">
        <f t="shared" si="9"/>
        <v>0</v>
      </c>
      <c r="H51" s="29" t="s">
        <v>61</v>
      </c>
      <c r="I51" s="27">
        <v>0</v>
      </c>
      <c r="J51" s="27">
        <v>0</v>
      </c>
      <c r="K51" s="27">
        <v>0</v>
      </c>
      <c r="L51" s="28">
        <f t="shared" si="2"/>
        <v>0</v>
      </c>
      <c r="M51" s="28">
        <f t="shared" si="3"/>
        <v>0</v>
      </c>
      <c r="N51" s="30"/>
      <c r="O51" s="27">
        <v>0</v>
      </c>
      <c r="P51" s="27">
        <v>0</v>
      </c>
      <c r="Q51" s="27">
        <v>0</v>
      </c>
      <c r="R51" s="28">
        <f t="shared" si="5"/>
        <v>0</v>
      </c>
      <c r="S51" s="28">
        <f t="shared" si="6"/>
        <v>0</v>
      </c>
      <c r="T51" s="30"/>
      <c r="U51" s="31"/>
    </row>
    <row r="52" spans="2:21" s="2" customFormat="1" ht="13.5" outlineLevel="1" thickBot="1" x14ac:dyDescent="0.25">
      <c r="B52" s="2" t="s">
        <v>62</v>
      </c>
      <c r="C52" s="27">
        <v>0</v>
      </c>
      <c r="D52" s="27">
        <v>0</v>
      </c>
      <c r="E52" s="27">
        <v>0</v>
      </c>
      <c r="F52" s="28">
        <f t="shared" si="8"/>
        <v>0</v>
      </c>
      <c r="G52" s="28">
        <f t="shared" si="9"/>
        <v>0</v>
      </c>
      <c r="H52" s="29" t="s">
        <v>63</v>
      </c>
      <c r="I52" s="27">
        <v>0</v>
      </c>
      <c r="J52" s="27">
        <v>0</v>
      </c>
      <c r="K52" s="27">
        <v>0</v>
      </c>
      <c r="L52" s="28">
        <f t="shared" si="2"/>
        <v>0</v>
      </c>
      <c r="M52" s="28">
        <f t="shared" si="3"/>
        <v>0</v>
      </c>
      <c r="N52" s="30"/>
      <c r="O52" s="27">
        <v>0</v>
      </c>
      <c r="P52" s="27">
        <v>0</v>
      </c>
      <c r="Q52" s="27">
        <v>0</v>
      </c>
      <c r="R52" s="28">
        <f t="shared" si="5"/>
        <v>0</v>
      </c>
      <c r="S52" s="28">
        <f t="shared" si="6"/>
        <v>0</v>
      </c>
      <c r="T52" s="30"/>
      <c r="U52" s="31"/>
    </row>
    <row r="53" spans="2:21" s="2" customFormat="1" ht="13.5" outlineLevel="1" thickBot="1" x14ac:dyDescent="0.25">
      <c r="B53" s="2" t="s">
        <v>64</v>
      </c>
      <c r="C53" s="27">
        <v>0</v>
      </c>
      <c r="D53" s="27">
        <v>0</v>
      </c>
      <c r="E53" s="27">
        <v>0</v>
      </c>
      <c r="F53" s="28">
        <f t="shared" si="8"/>
        <v>0</v>
      </c>
      <c r="G53" s="28">
        <f t="shared" si="9"/>
        <v>0</v>
      </c>
      <c r="H53" s="29" t="s">
        <v>65</v>
      </c>
      <c r="I53" s="27">
        <v>0</v>
      </c>
      <c r="J53" s="27">
        <v>0</v>
      </c>
      <c r="K53" s="27">
        <v>0</v>
      </c>
      <c r="L53" s="28">
        <f t="shared" si="2"/>
        <v>0</v>
      </c>
      <c r="M53" s="28">
        <f t="shared" si="3"/>
        <v>0</v>
      </c>
      <c r="N53" s="30"/>
      <c r="O53" s="27">
        <v>0</v>
      </c>
      <c r="P53" s="27">
        <v>0</v>
      </c>
      <c r="Q53" s="27">
        <v>0</v>
      </c>
      <c r="R53" s="28">
        <f t="shared" si="5"/>
        <v>0</v>
      </c>
      <c r="S53" s="28">
        <f t="shared" si="6"/>
        <v>0</v>
      </c>
      <c r="T53" s="30"/>
      <c r="U53" s="31"/>
    </row>
    <row r="54" spans="2:21" ht="13.5" thickBot="1" x14ac:dyDescent="0.25">
      <c r="B54" s="1" t="s">
        <v>66</v>
      </c>
      <c r="C54" s="51">
        <v>0</v>
      </c>
      <c r="D54" s="22">
        <v>0</v>
      </c>
      <c r="E54" s="22">
        <v>0</v>
      </c>
      <c r="F54" s="23">
        <f t="shared" si="8"/>
        <v>0</v>
      </c>
      <c r="G54" s="46">
        <f t="shared" si="9"/>
        <v>0</v>
      </c>
      <c r="H54" s="24" t="s">
        <v>67</v>
      </c>
      <c r="I54" s="22">
        <v>0</v>
      </c>
      <c r="J54" s="22">
        <v>0</v>
      </c>
      <c r="K54" s="22">
        <v>0</v>
      </c>
      <c r="L54" s="23">
        <f t="shared" si="2"/>
        <v>0</v>
      </c>
      <c r="M54" s="46">
        <f t="shared" si="3"/>
        <v>0</v>
      </c>
      <c r="N54" s="47"/>
      <c r="O54" s="22">
        <v>0</v>
      </c>
      <c r="P54" s="22">
        <v>0</v>
      </c>
      <c r="Q54" s="22">
        <v>0</v>
      </c>
      <c r="R54" s="23">
        <f t="shared" si="5"/>
        <v>0</v>
      </c>
      <c r="S54" s="46">
        <f t="shared" si="6"/>
        <v>0</v>
      </c>
      <c r="T54" s="47"/>
      <c r="U54" s="21"/>
    </row>
    <row r="55" spans="2:21" ht="13.5" thickBot="1" x14ac:dyDescent="0.25">
      <c r="C55" s="22">
        <f>SUM(C56:C62)</f>
        <v>0</v>
      </c>
      <c r="D55" s="22">
        <f t="shared" ref="D55:E55" si="66">SUM(D56:D62)</f>
        <v>0</v>
      </c>
      <c r="E55" s="22">
        <f t="shared" si="66"/>
        <v>0</v>
      </c>
      <c r="F55" s="23">
        <f t="shared" si="8"/>
        <v>0</v>
      </c>
      <c r="G55" s="46">
        <f t="shared" si="9"/>
        <v>0</v>
      </c>
      <c r="H55" s="24" t="s">
        <v>68</v>
      </c>
      <c r="I55" s="22">
        <f t="shared" ref="I55:K55" si="67">SUM(I56:I62)</f>
        <v>0</v>
      </c>
      <c r="J55" s="22">
        <f t="shared" si="67"/>
        <v>0</v>
      </c>
      <c r="K55" s="22">
        <f t="shared" si="67"/>
        <v>0</v>
      </c>
      <c r="L55" s="23">
        <f t="shared" si="2"/>
        <v>0</v>
      </c>
      <c r="M55" s="46">
        <f t="shared" si="3"/>
        <v>0</v>
      </c>
      <c r="N55" s="47"/>
      <c r="O55" s="22">
        <f t="shared" ref="O55:Q55" si="68">SUM(O56:O62)</f>
        <v>0</v>
      </c>
      <c r="P55" s="22">
        <f t="shared" si="68"/>
        <v>0</v>
      </c>
      <c r="Q55" s="22">
        <f t="shared" si="68"/>
        <v>0</v>
      </c>
      <c r="R55" s="23">
        <f t="shared" si="5"/>
        <v>0</v>
      </c>
      <c r="S55" s="46">
        <f t="shared" si="6"/>
        <v>0</v>
      </c>
      <c r="T55" s="47"/>
      <c r="U55" s="21"/>
    </row>
    <row r="56" spans="2:21" s="2" customFormat="1" ht="13.5" outlineLevel="1" thickBot="1" x14ac:dyDescent="0.25">
      <c r="B56" s="2" t="s">
        <v>69</v>
      </c>
      <c r="C56" s="41">
        <v>0</v>
      </c>
      <c r="D56" s="27">
        <v>0</v>
      </c>
      <c r="E56" s="27">
        <v>0</v>
      </c>
      <c r="F56" s="28">
        <f t="shared" si="8"/>
        <v>0</v>
      </c>
      <c r="G56" s="28">
        <f t="shared" si="9"/>
        <v>0</v>
      </c>
      <c r="H56" s="29" t="s">
        <v>70</v>
      </c>
      <c r="I56" s="27">
        <v>0</v>
      </c>
      <c r="J56" s="27">
        <v>0</v>
      </c>
      <c r="K56" s="27">
        <v>0</v>
      </c>
      <c r="L56" s="28">
        <f t="shared" si="2"/>
        <v>0</v>
      </c>
      <c r="M56" s="28">
        <f t="shared" si="3"/>
        <v>0</v>
      </c>
      <c r="N56" s="30"/>
      <c r="O56" s="27">
        <v>0</v>
      </c>
      <c r="P56" s="27">
        <v>0</v>
      </c>
      <c r="Q56" s="27">
        <v>0</v>
      </c>
      <c r="R56" s="28">
        <f t="shared" si="5"/>
        <v>0</v>
      </c>
      <c r="S56" s="28">
        <f t="shared" si="6"/>
        <v>0</v>
      </c>
      <c r="T56" s="30"/>
      <c r="U56" s="31"/>
    </row>
    <row r="57" spans="2:21" s="2" customFormat="1" ht="13.5" outlineLevel="1" thickBot="1" x14ac:dyDescent="0.25">
      <c r="B57" s="2" t="s">
        <v>71</v>
      </c>
      <c r="C57" s="41">
        <v>0</v>
      </c>
      <c r="D57" s="27">
        <v>0</v>
      </c>
      <c r="E57" s="27">
        <v>0</v>
      </c>
      <c r="F57" s="28">
        <f t="shared" si="8"/>
        <v>0</v>
      </c>
      <c r="G57" s="28">
        <f t="shared" si="9"/>
        <v>0</v>
      </c>
      <c r="H57" s="29" t="s">
        <v>72</v>
      </c>
      <c r="I57" s="27">
        <v>0</v>
      </c>
      <c r="J57" s="27">
        <v>0</v>
      </c>
      <c r="K57" s="27">
        <v>0</v>
      </c>
      <c r="L57" s="28">
        <f t="shared" si="2"/>
        <v>0</v>
      </c>
      <c r="M57" s="28">
        <f t="shared" si="3"/>
        <v>0</v>
      </c>
      <c r="N57" s="30"/>
      <c r="O57" s="27">
        <v>0</v>
      </c>
      <c r="P57" s="27">
        <v>0</v>
      </c>
      <c r="Q57" s="27">
        <v>0</v>
      </c>
      <c r="R57" s="28">
        <f t="shared" si="5"/>
        <v>0</v>
      </c>
      <c r="S57" s="28">
        <f t="shared" si="6"/>
        <v>0</v>
      </c>
      <c r="T57" s="30"/>
      <c r="U57" s="31"/>
    </row>
    <row r="58" spans="2:21" s="2" customFormat="1" ht="13.5" outlineLevel="1" thickBot="1" x14ac:dyDescent="0.25">
      <c r="B58" s="2" t="s">
        <v>73</v>
      </c>
      <c r="C58" s="41">
        <v>0</v>
      </c>
      <c r="D58" s="27">
        <v>0</v>
      </c>
      <c r="E58" s="27">
        <v>0</v>
      </c>
      <c r="F58" s="28">
        <f t="shared" si="8"/>
        <v>0</v>
      </c>
      <c r="G58" s="28">
        <f t="shared" si="9"/>
        <v>0</v>
      </c>
      <c r="H58" s="29" t="s">
        <v>74</v>
      </c>
      <c r="I58" s="27">
        <v>0</v>
      </c>
      <c r="J58" s="27">
        <v>0</v>
      </c>
      <c r="K58" s="27">
        <v>0</v>
      </c>
      <c r="L58" s="28">
        <f t="shared" si="2"/>
        <v>0</v>
      </c>
      <c r="M58" s="28">
        <f t="shared" si="3"/>
        <v>0</v>
      </c>
      <c r="N58" s="30"/>
      <c r="O58" s="27">
        <v>0</v>
      </c>
      <c r="P58" s="27">
        <v>0</v>
      </c>
      <c r="Q58" s="27">
        <v>0</v>
      </c>
      <c r="R58" s="28">
        <f t="shared" si="5"/>
        <v>0</v>
      </c>
      <c r="S58" s="28">
        <f t="shared" si="6"/>
        <v>0</v>
      </c>
      <c r="T58" s="30"/>
      <c r="U58" s="31"/>
    </row>
    <row r="59" spans="2:21" s="2" customFormat="1" ht="13.5" outlineLevel="1" thickBot="1" x14ac:dyDescent="0.25">
      <c r="B59" s="2" t="s">
        <v>75</v>
      </c>
      <c r="C59" s="41">
        <v>0</v>
      </c>
      <c r="D59" s="27">
        <v>0</v>
      </c>
      <c r="E59" s="27">
        <v>0</v>
      </c>
      <c r="F59" s="28">
        <f t="shared" si="8"/>
        <v>0</v>
      </c>
      <c r="G59" s="28">
        <f t="shared" si="9"/>
        <v>0</v>
      </c>
      <c r="H59" s="29" t="s">
        <v>76</v>
      </c>
      <c r="I59" s="27">
        <v>0</v>
      </c>
      <c r="J59" s="27">
        <v>0</v>
      </c>
      <c r="K59" s="27">
        <v>0</v>
      </c>
      <c r="L59" s="28">
        <f t="shared" si="2"/>
        <v>0</v>
      </c>
      <c r="M59" s="28">
        <f t="shared" si="3"/>
        <v>0</v>
      </c>
      <c r="N59" s="30"/>
      <c r="O59" s="27">
        <v>0</v>
      </c>
      <c r="P59" s="27">
        <v>0</v>
      </c>
      <c r="Q59" s="27">
        <v>0</v>
      </c>
      <c r="R59" s="28">
        <f t="shared" si="5"/>
        <v>0</v>
      </c>
      <c r="S59" s="28">
        <f t="shared" si="6"/>
        <v>0</v>
      </c>
      <c r="T59" s="30"/>
      <c r="U59" s="31"/>
    </row>
    <row r="60" spans="2:21" s="2" customFormat="1" ht="13.5" outlineLevel="1" thickBot="1" x14ac:dyDescent="0.25">
      <c r="B60" s="2" t="s">
        <v>77</v>
      </c>
      <c r="C60" s="41">
        <v>0</v>
      </c>
      <c r="D60" s="27">
        <v>0</v>
      </c>
      <c r="E60" s="27">
        <v>0</v>
      </c>
      <c r="F60" s="28">
        <f t="shared" si="8"/>
        <v>0</v>
      </c>
      <c r="G60" s="28">
        <f t="shared" si="9"/>
        <v>0</v>
      </c>
      <c r="H60" s="29" t="s">
        <v>78</v>
      </c>
      <c r="I60" s="27">
        <v>0</v>
      </c>
      <c r="J60" s="27">
        <v>0</v>
      </c>
      <c r="K60" s="27">
        <v>0</v>
      </c>
      <c r="L60" s="28">
        <f t="shared" si="2"/>
        <v>0</v>
      </c>
      <c r="M60" s="28">
        <f t="shared" si="3"/>
        <v>0</v>
      </c>
      <c r="N60" s="30"/>
      <c r="O60" s="27">
        <v>0</v>
      </c>
      <c r="P60" s="27">
        <v>0</v>
      </c>
      <c r="Q60" s="27">
        <v>0</v>
      </c>
      <c r="R60" s="28">
        <f t="shared" si="5"/>
        <v>0</v>
      </c>
      <c r="S60" s="28">
        <f t="shared" si="6"/>
        <v>0</v>
      </c>
      <c r="T60" s="30"/>
      <c r="U60" s="31"/>
    </row>
    <row r="61" spans="2:21" s="2" customFormat="1" ht="13.5" outlineLevel="1" thickBot="1" x14ac:dyDescent="0.25">
      <c r="B61" s="2" t="s">
        <v>79</v>
      </c>
      <c r="C61" s="41">
        <v>0</v>
      </c>
      <c r="D61" s="27">
        <v>0</v>
      </c>
      <c r="E61" s="27">
        <v>0</v>
      </c>
      <c r="F61" s="28">
        <f t="shared" si="8"/>
        <v>0</v>
      </c>
      <c r="G61" s="28">
        <f t="shared" si="9"/>
        <v>0</v>
      </c>
      <c r="H61" s="29" t="s">
        <v>80</v>
      </c>
      <c r="I61" s="27">
        <v>0</v>
      </c>
      <c r="J61" s="27">
        <v>0</v>
      </c>
      <c r="K61" s="27">
        <v>0</v>
      </c>
      <c r="L61" s="28">
        <f t="shared" si="2"/>
        <v>0</v>
      </c>
      <c r="M61" s="28">
        <f t="shared" si="3"/>
        <v>0</v>
      </c>
      <c r="N61" s="30"/>
      <c r="O61" s="27">
        <v>0</v>
      </c>
      <c r="P61" s="27">
        <v>0</v>
      </c>
      <c r="Q61" s="27">
        <v>0</v>
      </c>
      <c r="R61" s="28">
        <f t="shared" si="5"/>
        <v>0</v>
      </c>
      <c r="S61" s="28">
        <f t="shared" si="6"/>
        <v>0</v>
      </c>
      <c r="T61" s="30"/>
      <c r="U61" s="31"/>
    </row>
    <row r="62" spans="2:21" s="2" customFormat="1" ht="13.5" outlineLevel="1" thickBot="1" x14ac:dyDescent="0.25">
      <c r="B62" s="2" t="s">
        <v>81</v>
      </c>
      <c r="C62" s="41">
        <v>0</v>
      </c>
      <c r="D62" s="27">
        <v>0</v>
      </c>
      <c r="E62" s="27">
        <v>0</v>
      </c>
      <c r="F62" s="28">
        <f t="shared" si="8"/>
        <v>0</v>
      </c>
      <c r="G62" s="28">
        <f t="shared" si="9"/>
        <v>0</v>
      </c>
      <c r="H62" s="29" t="s">
        <v>82</v>
      </c>
      <c r="I62" s="27">
        <v>0</v>
      </c>
      <c r="J62" s="27">
        <v>0</v>
      </c>
      <c r="K62" s="27">
        <v>0</v>
      </c>
      <c r="L62" s="28">
        <f t="shared" si="2"/>
        <v>0</v>
      </c>
      <c r="M62" s="28">
        <f t="shared" si="3"/>
        <v>0</v>
      </c>
      <c r="N62" s="30"/>
      <c r="O62" s="27">
        <v>0</v>
      </c>
      <c r="P62" s="27">
        <v>0</v>
      </c>
      <c r="Q62" s="27">
        <v>0</v>
      </c>
      <c r="R62" s="28">
        <f t="shared" si="5"/>
        <v>0</v>
      </c>
      <c r="S62" s="28">
        <f t="shared" si="6"/>
        <v>0</v>
      </c>
      <c r="T62" s="30"/>
      <c r="U62" s="31"/>
    </row>
    <row r="63" spans="2:21" ht="13.5" thickBot="1" x14ac:dyDescent="0.25">
      <c r="B63" s="1" t="s">
        <v>122</v>
      </c>
      <c r="C63" s="22">
        <v>0</v>
      </c>
      <c r="D63" s="22">
        <v>0</v>
      </c>
      <c r="E63" s="22">
        <v>0</v>
      </c>
      <c r="F63" s="23">
        <f t="shared" si="8"/>
        <v>0</v>
      </c>
      <c r="G63" s="46">
        <f t="shared" si="9"/>
        <v>0</v>
      </c>
      <c r="H63" s="24" t="s">
        <v>83</v>
      </c>
      <c r="I63" s="22">
        <v>0</v>
      </c>
      <c r="J63" s="22">
        <v>0</v>
      </c>
      <c r="K63" s="22">
        <v>0</v>
      </c>
      <c r="L63" s="23">
        <f t="shared" si="2"/>
        <v>0</v>
      </c>
      <c r="M63" s="46">
        <f t="shared" si="3"/>
        <v>0</v>
      </c>
      <c r="N63" s="47"/>
      <c r="O63" s="22">
        <v>0</v>
      </c>
      <c r="P63" s="22">
        <v>0</v>
      </c>
      <c r="Q63" s="22">
        <v>0</v>
      </c>
      <c r="R63" s="23">
        <f t="shared" si="5"/>
        <v>0</v>
      </c>
      <c r="S63" s="46">
        <f t="shared" si="6"/>
        <v>0</v>
      </c>
      <c r="T63" s="47"/>
      <c r="U63" s="21"/>
    </row>
    <row r="64" spans="2:21" ht="13.5" outlineLevel="1" thickBot="1" x14ac:dyDescent="0.25">
      <c r="B64" s="1" t="s">
        <v>84</v>
      </c>
      <c r="C64" s="22">
        <v>0</v>
      </c>
      <c r="D64" s="22">
        <v>0</v>
      </c>
      <c r="E64" s="22">
        <v>0</v>
      </c>
      <c r="F64" s="23">
        <f t="shared" si="8"/>
        <v>0</v>
      </c>
      <c r="G64" s="46">
        <f t="shared" si="9"/>
        <v>0</v>
      </c>
      <c r="H64" s="24" t="s">
        <v>85</v>
      </c>
      <c r="I64" s="22">
        <v>0</v>
      </c>
      <c r="J64" s="22">
        <v>0</v>
      </c>
      <c r="K64" s="22">
        <v>0</v>
      </c>
      <c r="L64" s="23">
        <f t="shared" si="2"/>
        <v>0</v>
      </c>
      <c r="M64" s="46">
        <f t="shared" si="3"/>
        <v>0</v>
      </c>
      <c r="N64" s="47"/>
      <c r="O64" s="22">
        <v>0</v>
      </c>
      <c r="P64" s="22">
        <v>0</v>
      </c>
      <c r="Q64" s="22">
        <v>0</v>
      </c>
      <c r="R64" s="23">
        <f t="shared" si="5"/>
        <v>0</v>
      </c>
      <c r="S64" s="46">
        <f t="shared" si="6"/>
        <v>0</v>
      </c>
      <c r="T64" s="47"/>
      <c r="U64" s="21"/>
    </row>
    <row r="65" spans="2:21" ht="13.5" outlineLevel="1" thickBot="1" x14ac:dyDescent="0.25">
      <c r="B65" s="1" t="s">
        <v>86</v>
      </c>
      <c r="C65" s="22">
        <v>0</v>
      </c>
      <c r="D65" s="22">
        <v>0</v>
      </c>
      <c r="E65" s="22">
        <v>0</v>
      </c>
      <c r="F65" s="23">
        <f t="shared" si="8"/>
        <v>0</v>
      </c>
      <c r="G65" s="46">
        <f t="shared" si="9"/>
        <v>0</v>
      </c>
      <c r="H65" s="24" t="s">
        <v>87</v>
      </c>
      <c r="I65" s="22">
        <v>0</v>
      </c>
      <c r="J65" s="22">
        <v>0</v>
      </c>
      <c r="K65" s="22">
        <v>0</v>
      </c>
      <c r="L65" s="23">
        <f t="shared" si="2"/>
        <v>0</v>
      </c>
      <c r="M65" s="46">
        <f t="shared" si="3"/>
        <v>0</v>
      </c>
      <c r="N65" s="47"/>
      <c r="O65" s="22">
        <v>0</v>
      </c>
      <c r="P65" s="22">
        <v>0</v>
      </c>
      <c r="Q65" s="22">
        <v>0</v>
      </c>
      <c r="R65" s="23">
        <f t="shared" si="5"/>
        <v>0</v>
      </c>
      <c r="S65" s="46">
        <f t="shared" si="6"/>
        <v>0</v>
      </c>
      <c r="T65" s="47"/>
      <c r="U65" s="21"/>
    </row>
    <row r="66" spans="2:21" ht="13.5" outlineLevel="1" thickBot="1" x14ac:dyDescent="0.25">
      <c r="B66" s="1" t="s">
        <v>88</v>
      </c>
      <c r="C66" s="22">
        <v>0</v>
      </c>
      <c r="D66" s="22">
        <v>0</v>
      </c>
      <c r="E66" s="22">
        <v>0</v>
      </c>
      <c r="F66" s="23">
        <f t="shared" si="8"/>
        <v>0</v>
      </c>
      <c r="G66" s="46">
        <f t="shared" si="9"/>
        <v>0</v>
      </c>
      <c r="H66" s="24" t="s">
        <v>89</v>
      </c>
      <c r="I66" s="22">
        <v>0</v>
      </c>
      <c r="J66" s="22">
        <v>0</v>
      </c>
      <c r="K66" s="22">
        <v>0</v>
      </c>
      <c r="L66" s="23">
        <f t="shared" si="2"/>
        <v>0</v>
      </c>
      <c r="M66" s="46">
        <f t="shared" si="3"/>
        <v>0</v>
      </c>
      <c r="N66" s="47"/>
      <c r="O66" s="22">
        <v>0</v>
      </c>
      <c r="P66" s="22">
        <v>0</v>
      </c>
      <c r="Q66" s="22">
        <v>0</v>
      </c>
      <c r="R66" s="23">
        <f t="shared" si="5"/>
        <v>0</v>
      </c>
      <c r="S66" s="46">
        <f t="shared" si="6"/>
        <v>0</v>
      </c>
      <c r="T66" s="47"/>
      <c r="U66" s="21"/>
    </row>
    <row r="67" spans="2:21" ht="13.5" outlineLevel="1" thickBot="1" x14ac:dyDescent="0.25">
      <c r="C67" s="22">
        <f>C66+C65+C64+C25</f>
        <v>0</v>
      </c>
      <c r="D67" s="22">
        <f t="shared" ref="D67:E67" si="69">D66+D65+D64+D25</f>
        <v>0</v>
      </c>
      <c r="E67" s="22">
        <f t="shared" si="69"/>
        <v>0</v>
      </c>
      <c r="F67" s="23">
        <f t="shared" si="8"/>
        <v>0</v>
      </c>
      <c r="G67" s="46">
        <f t="shared" si="9"/>
        <v>0</v>
      </c>
      <c r="H67" s="24" t="s">
        <v>90</v>
      </c>
      <c r="I67" s="22">
        <f t="shared" ref="I67:K67" si="70">I66+I65+I64+I25</f>
        <v>0</v>
      </c>
      <c r="J67" s="22">
        <f t="shared" si="70"/>
        <v>0</v>
      </c>
      <c r="K67" s="22">
        <f t="shared" si="70"/>
        <v>0</v>
      </c>
      <c r="L67" s="23">
        <f t="shared" si="2"/>
        <v>0</v>
      </c>
      <c r="M67" s="46">
        <f t="shared" si="3"/>
        <v>0</v>
      </c>
      <c r="N67" s="47"/>
      <c r="O67" s="22">
        <f t="shared" ref="O67:Q67" si="71">O66+O65+O64+O25</f>
        <v>0</v>
      </c>
      <c r="P67" s="22">
        <f t="shared" si="71"/>
        <v>0</v>
      </c>
      <c r="Q67" s="22">
        <f t="shared" si="71"/>
        <v>0</v>
      </c>
      <c r="R67" s="23">
        <f t="shared" si="5"/>
        <v>0</v>
      </c>
      <c r="S67" s="46">
        <f t="shared" si="6"/>
        <v>0</v>
      </c>
      <c r="T67" s="47"/>
      <c r="U67" s="21"/>
    </row>
    <row r="68" spans="2:21" s="2" customFormat="1" ht="13.5" outlineLevel="1" thickBot="1" x14ac:dyDescent="0.25">
      <c r="C68" s="27"/>
      <c r="D68" s="27"/>
      <c r="E68" s="27"/>
      <c r="F68" s="28"/>
      <c r="G68" s="28"/>
      <c r="H68" s="29"/>
      <c r="I68" s="27"/>
      <c r="J68" s="27"/>
      <c r="K68" s="27"/>
      <c r="L68" s="28"/>
      <c r="M68" s="28"/>
      <c r="N68" s="30"/>
      <c r="O68" s="27"/>
      <c r="P68" s="27"/>
      <c r="Q68" s="27"/>
      <c r="R68" s="28"/>
      <c r="S68" s="28"/>
      <c r="T68" s="30"/>
      <c r="U68" s="31"/>
    </row>
    <row r="69" spans="2:21" ht="13.5" thickBot="1" x14ac:dyDescent="0.25">
      <c r="C69" s="22">
        <f>C5-C25</f>
        <v>0</v>
      </c>
      <c r="D69" s="22">
        <f t="shared" ref="D69:E69" si="72">D5-D25</f>
        <v>0</v>
      </c>
      <c r="E69" s="22">
        <f t="shared" si="72"/>
        <v>0</v>
      </c>
      <c r="F69" s="23">
        <f t="shared" ref="F69:F72" si="73">IF((IFERROR(C69/D69,0))=0,0,(IFERROR(C69/D69,0)-1))</f>
        <v>0</v>
      </c>
      <c r="G69" s="46">
        <f t="shared" ref="G69:G72" si="74">IF((IFERROR(C69/E69,0))=0,0,(IFERROR(C69/E69,0)-1))</f>
        <v>0</v>
      </c>
      <c r="H69" s="24" t="s">
        <v>91</v>
      </c>
      <c r="I69" s="22">
        <f t="shared" ref="I69:K69" si="75">I5-I25</f>
        <v>0</v>
      </c>
      <c r="J69" s="22">
        <f t="shared" si="75"/>
        <v>0</v>
      </c>
      <c r="K69" s="22">
        <f t="shared" si="75"/>
        <v>0</v>
      </c>
      <c r="L69" s="23">
        <f>IF((IFERROR(I69/J69,0))=0,0,(IFERROR(I69/J69,0)-1))</f>
        <v>0</v>
      </c>
      <c r="M69" s="46">
        <f t="shared" ref="M69:M72" si="76">IF((IFERROR(I69/K69,0))=0,0,(IFERROR(I69/K69,0)-1))</f>
        <v>0</v>
      </c>
      <c r="N69" s="47"/>
      <c r="O69" s="22">
        <f t="shared" ref="O69:Q69" si="77">O5-O25</f>
        <v>0</v>
      </c>
      <c r="P69" s="22">
        <f t="shared" si="77"/>
        <v>0</v>
      </c>
      <c r="Q69" s="22">
        <f t="shared" si="77"/>
        <v>0</v>
      </c>
      <c r="R69" s="23">
        <f t="shared" ref="R69:R72" si="78">IF((IFERROR(O69/P69,0))=0,0,(IFERROR(O69/P69,0)-1))</f>
        <v>0</v>
      </c>
      <c r="S69" s="46">
        <f t="shared" ref="S69:S72" si="79">IF((IFERROR(O69/Q69,0))=0,0,(IFERROR(O69/Q69,0)-1))</f>
        <v>0</v>
      </c>
      <c r="T69" s="47"/>
      <c r="U69" s="21"/>
    </row>
    <row r="70" spans="2:21" ht="13.5" outlineLevel="1" thickBot="1" x14ac:dyDescent="0.25">
      <c r="C70" s="22">
        <f t="shared" ref="C70:E72" si="80">C21-C64</f>
        <v>0</v>
      </c>
      <c r="D70" s="22">
        <f t="shared" si="80"/>
        <v>0</v>
      </c>
      <c r="E70" s="22">
        <f t="shared" si="80"/>
        <v>0</v>
      </c>
      <c r="F70" s="23">
        <f t="shared" si="73"/>
        <v>0</v>
      </c>
      <c r="G70" s="46">
        <f t="shared" si="74"/>
        <v>0</v>
      </c>
      <c r="H70" s="24" t="s">
        <v>92</v>
      </c>
      <c r="I70" s="22">
        <f t="shared" ref="I70:K72" si="81">I21-I64</f>
        <v>0</v>
      </c>
      <c r="J70" s="22">
        <f t="shared" si="81"/>
        <v>0</v>
      </c>
      <c r="K70" s="22">
        <f t="shared" si="81"/>
        <v>0</v>
      </c>
      <c r="L70" s="23">
        <f t="shared" ref="L70:L72" si="82">IF((IFERROR(I70/J70,0))=0,0,(IFERROR(I70/J70,0)-1))</f>
        <v>0</v>
      </c>
      <c r="M70" s="46">
        <f t="shared" si="76"/>
        <v>0</v>
      </c>
      <c r="N70" s="47"/>
      <c r="O70" s="22">
        <f t="shared" ref="O70:Q72" si="83">O21-O64</f>
        <v>0</v>
      </c>
      <c r="P70" s="22">
        <f t="shared" si="83"/>
        <v>0</v>
      </c>
      <c r="Q70" s="22">
        <f t="shared" si="83"/>
        <v>0</v>
      </c>
      <c r="R70" s="23">
        <f t="shared" si="78"/>
        <v>0</v>
      </c>
      <c r="S70" s="46">
        <f t="shared" si="79"/>
        <v>0</v>
      </c>
      <c r="T70" s="47"/>
      <c r="U70" s="21"/>
    </row>
    <row r="71" spans="2:21" ht="13.5" outlineLevel="1" thickBot="1" x14ac:dyDescent="0.25">
      <c r="C71" s="22">
        <f t="shared" si="80"/>
        <v>0</v>
      </c>
      <c r="D71" s="22">
        <f t="shared" si="80"/>
        <v>0</v>
      </c>
      <c r="E71" s="22">
        <f t="shared" si="80"/>
        <v>0</v>
      </c>
      <c r="F71" s="23">
        <f t="shared" si="73"/>
        <v>0</v>
      </c>
      <c r="G71" s="46">
        <f t="shared" si="74"/>
        <v>0</v>
      </c>
      <c r="H71" s="24" t="s">
        <v>93</v>
      </c>
      <c r="I71" s="22">
        <f t="shared" si="81"/>
        <v>0</v>
      </c>
      <c r="J71" s="22">
        <f t="shared" si="81"/>
        <v>0</v>
      </c>
      <c r="K71" s="22">
        <f t="shared" si="81"/>
        <v>0</v>
      </c>
      <c r="L71" s="23">
        <f t="shared" si="82"/>
        <v>0</v>
      </c>
      <c r="M71" s="46">
        <f t="shared" si="76"/>
        <v>0</v>
      </c>
      <c r="N71" s="47"/>
      <c r="O71" s="22">
        <f t="shared" si="83"/>
        <v>0</v>
      </c>
      <c r="P71" s="22">
        <f t="shared" si="83"/>
        <v>0</v>
      </c>
      <c r="Q71" s="22">
        <f t="shared" si="83"/>
        <v>0</v>
      </c>
      <c r="R71" s="23">
        <f t="shared" si="78"/>
        <v>0</v>
      </c>
      <c r="S71" s="46">
        <f t="shared" si="79"/>
        <v>0</v>
      </c>
      <c r="T71" s="47"/>
      <c r="U71" s="21"/>
    </row>
    <row r="72" spans="2:21" ht="13.5" outlineLevel="1" thickBot="1" x14ac:dyDescent="0.25">
      <c r="C72" s="22">
        <f t="shared" si="80"/>
        <v>0</v>
      </c>
      <c r="D72" s="22">
        <f t="shared" si="80"/>
        <v>0</v>
      </c>
      <c r="E72" s="22">
        <f t="shared" si="80"/>
        <v>0</v>
      </c>
      <c r="F72" s="23">
        <f t="shared" si="73"/>
        <v>0</v>
      </c>
      <c r="G72" s="46">
        <f t="shared" si="74"/>
        <v>0</v>
      </c>
      <c r="H72" s="24" t="s">
        <v>94</v>
      </c>
      <c r="I72" s="22">
        <f t="shared" si="81"/>
        <v>0</v>
      </c>
      <c r="J72" s="22">
        <f t="shared" si="81"/>
        <v>0</v>
      </c>
      <c r="K72" s="22">
        <f t="shared" si="81"/>
        <v>0</v>
      </c>
      <c r="L72" s="23">
        <f t="shared" si="82"/>
        <v>0</v>
      </c>
      <c r="M72" s="46">
        <f t="shared" si="76"/>
        <v>0</v>
      </c>
      <c r="N72" s="47"/>
      <c r="O72" s="22">
        <f t="shared" si="83"/>
        <v>0</v>
      </c>
      <c r="P72" s="22">
        <f t="shared" si="83"/>
        <v>0</v>
      </c>
      <c r="Q72" s="22">
        <f t="shared" si="83"/>
        <v>0</v>
      </c>
      <c r="R72" s="23">
        <f t="shared" si="78"/>
        <v>0</v>
      </c>
      <c r="S72" s="46">
        <f t="shared" si="79"/>
        <v>0</v>
      </c>
      <c r="T72" s="47"/>
      <c r="U72" s="21"/>
    </row>
    <row r="73" spans="2:21" s="2" customFormat="1" ht="13.5" outlineLevel="1" thickBot="1" x14ac:dyDescent="0.25">
      <c r="C73" s="27"/>
      <c r="D73" s="27"/>
      <c r="E73" s="27"/>
      <c r="F73" s="28"/>
      <c r="G73" s="28"/>
      <c r="H73" s="29"/>
      <c r="I73" s="27"/>
      <c r="J73" s="27"/>
      <c r="K73" s="27"/>
      <c r="L73" s="28"/>
      <c r="M73" s="28"/>
      <c r="N73" s="30"/>
      <c r="O73" s="27"/>
      <c r="P73" s="27"/>
      <c r="Q73" s="27"/>
      <c r="R73" s="28"/>
      <c r="S73" s="28"/>
      <c r="T73" s="30"/>
      <c r="U73" s="31"/>
    </row>
    <row r="74" spans="2:21" ht="13.5" outlineLevel="1" thickBot="1" x14ac:dyDescent="0.25">
      <c r="C74" s="22">
        <f>SUM(C69:C73)</f>
        <v>0</v>
      </c>
      <c r="D74" s="22">
        <f t="shared" ref="D74:E74" si="84">SUM(D69:D73)</f>
        <v>0</v>
      </c>
      <c r="E74" s="22">
        <f t="shared" si="84"/>
        <v>0</v>
      </c>
      <c r="F74" s="23">
        <f>IF((IFERROR(C74/D74,0))=0,0,(IFERROR(C74/D74,0)-1))</f>
        <v>0</v>
      </c>
      <c r="G74" s="46">
        <f>IF((IFERROR(C74/E74,0))=0,0,(IFERROR(C74/E74,0)-1))</f>
        <v>0</v>
      </c>
      <c r="H74" s="24" t="s">
        <v>95</v>
      </c>
      <c r="I74" s="22">
        <f>SUM(I69:I73)</f>
        <v>0</v>
      </c>
      <c r="J74" s="22">
        <f t="shared" ref="J74:K74" si="85">SUM(J69:J73)</f>
        <v>0</v>
      </c>
      <c r="K74" s="22">
        <f t="shared" si="85"/>
        <v>0</v>
      </c>
      <c r="L74" s="23">
        <f>IF((IFERROR(I74/J74,0))=0,0,(IFERROR(I74/J74,0)-1))</f>
        <v>0</v>
      </c>
      <c r="M74" s="46">
        <f>IF((IFERROR(I74/K74,0))=0,0,(IFERROR(I74/K74,0)-1))</f>
        <v>0</v>
      </c>
      <c r="N74" s="47"/>
      <c r="O74" s="22">
        <f t="shared" ref="O74:Q74" si="86">SUM(O69:O73)</f>
        <v>0</v>
      </c>
      <c r="P74" s="22">
        <f t="shared" si="86"/>
        <v>0</v>
      </c>
      <c r="Q74" s="22">
        <f t="shared" si="86"/>
        <v>0</v>
      </c>
      <c r="R74" s="23">
        <f>IF((IFERROR(O74/P74,0))=0,0,(IFERROR(O74/P74,0)-1))</f>
        <v>0</v>
      </c>
      <c r="S74" s="46">
        <f>IF((IFERROR(O74/Q74,0))=0,0,(IFERROR(O74/Q74,0)-1))</f>
        <v>0</v>
      </c>
      <c r="T74" s="47"/>
      <c r="U74" s="21"/>
    </row>
    <row r="75" spans="2:21" s="2" customFormat="1" ht="13.5" outlineLevel="1" thickBot="1" x14ac:dyDescent="0.25">
      <c r="C75" s="27"/>
      <c r="D75" s="27"/>
      <c r="E75" s="27"/>
      <c r="F75" s="28"/>
      <c r="G75" s="28"/>
      <c r="H75" s="29"/>
      <c r="I75" s="27"/>
      <c r="J75" s="27"/>
      <c r="K75" s="27"/>
      <c r="L75" s="28"/>
      <c r="M75" s="28"/>
      <c r="N75" s="30"/>
      <c r="O75" s="27"/>
      <c r="P75" s="27"/>
      <c r="Q75" s="27"/>
      <c r="R75" s="28"/>
      <c r="S75" s="28"/>
      <c r="T75" s="30"/>
      <c r="U75" s="31"/>
    </row>
    <row r="76" spans="2:21" ht="13.5" thickBot="1" x14ac:dyDescent="0.25">
      <c r="B76" s="1" t="s">
        <v>96</v>
      </c>
      <c r="C76" s="52">
        <v>0</v>
      </c>
      <c r="D76" s="52">
        <v>0</v>
      </c>
      <c r="E76" s="52">
        <v>0</v>
      </c>
      <c r="F76" s="53">
        <f>IF((IFERROR(C76/D76,0))=0,0,(IFERROR(C76/D76,0)-1))</f>
        <v>0</v>
      </c>
      <c r="G76" s="54">
        <f>IF((IFERROR(C76/E76,0))=0,0,(IFERROR(C76/E76,0)-1))</f>
        <v>0</v>
      </c>
      <c r="H76" s="40" t="s">
        <v>97</v>
      </c>
      <c r="I76" s="52">
        <v>0</v>
      </c>
      <c r="J76" s="52">
        <v>0</v>
      </c>
      <c r="K76" s="52">
        <v>0</v>
      </c>
      <c r="L76" s="53">
        <f>IF((IFERROR(I76/J76,0))=0,0,(IFERROR(I76/J76,0)-1))</f>
        <v>0</v>
      </c>
      <c r="M76" s="54">
        <f>IF((IFERROR(I76/K76,0))=0,0,(IFERROR(I76/K76,0)-1))</f>
        <v>0</v>
      </c>
      <c r="N76" s="47"/>
      <c r="O76" s="52">
        <v>0</v>
      </c>
      <c r="P76" s="52">
        <v>0</v>
      </c>
      <c r="Q76" s="52">
        <v>0</v>
      </c>
      <c r="R76" s="53">
        <f>IF((IFERROR(O76/P76,0))=0,0,(IFERROR(O76/P76,0)-1))</f>
        <v>0</v>
      </c>
      <c r="S76" s="54">
        <f>IF((IFERROR(O76/Q76,0))=0,0,(IFERROR(O76/Q76,0)-1))</f>
        <v>0</v>
      </c>
      <c r="T76" s="47"/>
      <c r="U76" s="21"/>
    </row>
    <row r="77" spans="2:21" s="2" customFormat="1" ht="13.5" outlineLevel="1" thickBot="1" x14ac:dyDescent="0.25">
      <c r="C77" s="27"/>
      <c r="D77" s="27"/>
      <c r="E77" s="27"/>
      <c r="F77" s="28"/>
      <c r="G77" s="28"/>
      <c r="H77" s="29"/>
      <c r="I77" s="27"/>
      <c r="J77" s="27"/>
      <c r="K77" s="27"/>
      <c r="L77" s="28"/>
      <c r="M77" s="28"/>
      <c r="N77" s="30"/>
      <c r="O77" s="27"/>
      <c r="P77" s="27"/>
      <c r="Q77" s="27"/>
      <c r="R77" s="28"/>
      <c r="S77" s="28"/>
      <c r="T77" s="30"/>
      <c r="U77" s="31"/>
    </row>
    <row r="78" spans="2:21" ht="13.5" thickBot="1" x14ac:dyDescent="0.25">
      <c r="C78" s="52">
        <f>SUM(C79:C82)</f>
        <v>0</v>
      </c>
      <c r="D78" s="52">
        <f t="shared" ref="D78:E78" si="87">SUM(D79:D82)</f>
        <v>0</v>
      </c>
      <c r="E78" s="52">
        <f t="shared" si="87"/>
        <v>0</v>
      </c>
      <c r="F78" s="53">
        <f t="shared" ref="F78:F82" si="88">IF((IFERROR(C78/D78,0))=0,0,(IFERROR(C78/D78,0)-1))</f>
        <v>0</v>
      </c>
      <c r="G78" s="54">
        <f t="shared" ref="G78:G82" si="89">IF((IFERROR(C78/E78,0))=0,0,(IFERROR(C78/E78,0)-1))</f>
        <v>0</v>
      </c>
      <c r="H78" s="40" t="s">
        <v>98</v>
      </c>
      <c r="I78" s="52">
        <f t="shared" ref="I78:K78" si="90">SUM(I79:I82)</f>
        <v>0</v>
      </c>
      <c r="J78" s="52">
        <f t="shared" si="90"/>
        <v>0</v>
      </c>
      <c r="K78" s="52">
        <f t="shared" si="90"/>
        <v>0</v>
      </c>
      <c r="L78" s="53">
        <f t="shared" ref="L78:L82" si="91">IF((IFERROR(I78/J78,0))=0,0,(IFERROR(I78/J78,0)-1))</f>
        <v>0</v>
      </c>
      <c r="M78" s="54">
        <f t="shared" ref="M78:M82" si="92">IF((IFERROR(I78/K78,0))=0,0,(IFERROR(I78/K78,0)-1))</f>
        <v>0</v>
      </c>
      <c r="N78" s="47"/>
      <c r="O78" s="52">
        <f t="shared" ref="O78:Q78" si="93">SUM(O79:O82)</f>
        <v>0</v>
      </c>
      <c r="P78" s="52">
        <f t="shared" si="93"/>
        <v>0</v>
      </c>
      <c r="Q78" s="52">
        <f t="shared" si="93"/>
        <v>0</v>
      </c>
      <c r="R78" s="53">
        <f>IF((IFERROR(O78/P78,0))=0,0,(IFERROR(O78/P78,0)-1))</f>
        <v>0</v>
      </c>
      <c r="S78" s="54">
        <f>IF((IFERROR(O78/Q78,0))=0,0,(IFERROR(O78/Q78,0)-1))</f>
        <v>0</v>
      </c>
      <c r="T78" s="47"/>
      <c r="U78" s="21"/>
    </row>
    <row r="79" spans="2:21" s="2" customFormat="1" ht="13.5" outlineLevel="1" thickBot="1" x14ac:dyDescent="0.25">
      <c r="B79" s="1" t="s">
        <v>99</v>
      </c>
      <c r="C79" s="27">
        <v>0</v>
      </c>
      <c r="D79" s="27">
        <v>0</v>
      </c>
      <c r="E79" s="27">
        <v>0</v>
      </c>
      <c r="F79" s="28">
        <f t="shared" si="88"/>
        <v>0</v>
      </c>
      <c r="G79" s="28">
        <f t="shared" si="89"/>
        <v>0</v>
      </c>
      <c r="H79" s="29" t="s">
        <v>100</v>
      </c>
      <c r="I79" s="27">
        <v>0</v>
      </c>
      <c r="J79" s="27">
        <v>0</v>
      </c>
      <c r="K79" s="27">
        <v>0</v>
      </c>
      <c r="L79" s="28">
        <f t="shared" si="91"/>
        <v>0</v>
      </c>
      <c r="M79" s="28">
        <f t="shared" si="92"/>
        <v>0</v>
      </c>
      <c r="N79" s="30"/>
      <c r="O79" s="27">
        <v>0</v>
      </c>
      <c r="P79" s="27">
        <v>0</v>
      </c>
      <c r="Q79" s="27">
        <v>0</v>
      </c>
      <c r="R79" s="28">
        <f t="shared" ref="R79:R82" si="94">IF((IFERROR(O79/P79,0))=0,0,(IFERROR(O79/P79,0)-1))</f>
        <v>0</v>
      </c>
      <c r="S79" s="28">
        <f t="shared" ref="S79:S82" si="95">IF((IFERROR(O79/Q79,0))=0,0,(IFERROR(O79/Q79,0)-1))</f>
        <v>0</v>
      </c>
      <c r="T79" s="30"/>
      <c r="U79" s="31"/>
    </row>
    <row r="80" spans="2:21" s="2" customFormat="1" ht="13.5" outlineLevel="1" thickBot="1" x14ac:dyDescent="0.25">
      <c r="B80" s="2" t="s">
        <v>101</v>
      </c>
      <c r="C80" s="27">
        <v>0</v>
      </c>
      <c r="D80" s="27">
        <v>0</v>
      </c>
      <c r="E80" s="27">
        <v>0</v>
      </c>
      <c r="F80" s="28">
        <f t="shared" si="88"/>
        <v>0</v>
      </c>
      <c r="G80" s="28">
        <f t="shared" si="89"/>
        <v>0</v>
      </c>
      <c r="H80" s="29" t="s">
        <v>102</v>
      </c>
      <c r="I80" s="27">
        <v>0</v>
      </c>
      <c r="J80" s="27">
        <v>0</v>
      </c>
      <c r="K80" s="27">
        <v>0</v>
      </c>
      <c r="L80" s="28">
        <f t="shared" si="91"/>
        <v>0</v>
      </c>
      <c r="M80" s="28">
        <f t="shared" si="92"/>
        <v>0</v>
      </c>
      <c r="N80" s="30"/>
      <c r="O80" s="27">
        <v>0</v>
      </c>
      <c r="P80" s="27">
        <v>0</v>
      </c>
      <c r="Q80" s="27">
        <v>0</v>
      </c>
      <c r="R80" s="28">
        <f t="shared" si="94"/>
        <v>0</v>
      </c>
      <c r="S80" s="28">
        <f t="shared" si="95"/>
        <v>0</v>
      </c>
      <c r="T80" s="30"/>
      <c r="U80" s="31"/>
    </row>
    <row r="81" spans="2:21" s="2" customFormat="1" ht="13.5" outlineLevel="1" thickBot="1" x14ac:dyDescent="0.25">
      <c r="B81" s="2" t="s">
        <v>103</v>
      </c>
      <c r="C81" s="27">
        <v>0</v>
      </c>
      <c r="D81" s="27">
        <v>0</v>
      </c>
      <c r="E81" s="27">
        <v>0</v>
      </c>
      <c r="F81" s="28">
        <f t="shared" si="88"/>
        <v>0</v>
      </c>
      <c r="G81" s="28">
        <f t="shared" si="89"/>
        <v>0</v>
      </c>
      <c r="H81" s="29" t="s">
        <v>104</v>
      </c>
      <c r="I81" s="27">
        <v>0</v>
      </c>
      <c r="J81" s="27">
        <v>0</v>
      </c>
      <c r="K81" s="27">
        <v>0</v>
      </c>
      <c r="L81" s="28">
        <f t="shared" si="91"/>
        <v>0</v>
      </c>
      <c r="M81" s="28">
        <f t="shared" si="92"/>
        <v>0</v>
      </c>
      <c r="N81" s="30"/>
      <c r="O81" s="27">
        <v>0</v>
      </c>
      <c r="P81" s="27">
        <v>0</v>
      </c>
      <c r="Q81" s="27">
        <v>0</v>
      </c>
      <c r="R81" s="28">
        <f t="shared" si="94"/>
        <v>0</v>
      </c>
      <c r="S81" s="28">
        <f t="shared" si="95"/>
        <v>0</v>
      </c>
      <c r="T81" s="30"/>
      <c r="U81" s="31"/>
    </row>
    <row r="82" spans="2:21" s="2" customFormat="1" ht="13.5" outlineLevel="1" thickBot="1" x14ac:dyDescent="0.25">
      <c r="B82" s="2" t="s">
        <v>105</v>
      </c>
      <c r="C82" s="27">
        <v>0</v>
      </c>
      <c r="D82" s="27">
        <v>0</v>
      </c>
      <c r="E82" s="27">
        <v>0</v>
      </c>
      <c r="F82" s="28">
        <f t="shared" si="88"/>
        <v>0</v>
      </c>
      <c r="G82" s="28">
        <f t="shared" si="89"/>
        <v>0</v>
      </c>
      <c r="H82" s="29" t="s">
        <v>106</v>
      </c>
      <c r="I82" s="27">
        <v>0</v>
      </c>
      <c r="J82" s="27">
        <v>0</v>
      </c>
      <c r="K82" s="27">
        <v>0</v>
      </c>
      <c r="L82" s="28">
        <f t="shared" si="91"/>
        <v>0</v>
      </c>
      <c r="M82" s="28">
        <f t="shared" si="92"/>
        <v>0</v>
      </c>
      <c r="N82" s="30"/>
      <c r="O82" s="27">
        <v>0</v>
      </c>
      <c r="P82" s="27">
        <v>0</v>
      </c>
      <c r="Q82" s="27">
        <v>0</v>
      </c>
      <c r="R82" s="28">
        <f t="shared" si="94"/>
        <v>0</v>
      </c>
      <c r="S82" s="28">
        <f t="shared" si="95"/>
        <v>0</v>
      </c>
      <c r="T82" s="30"/>
      <c r="U82" s="31"/>
    </row>
    <row r="83" spans="2:21" s="2" customFormat="1" ht="13.5" outlineLevel="1" thickBot="1" x14ac:dyDescent="0.25">
      <c r="C83" s="27"/>
      <c r="D83" s="27"/>
      <c r="E83" s="27"/>
      <c r="F83" s="28"/>
      <c r="G83" s="28"/>
      <c r="H83" s="29"/>
      <c r="I83" s="27"/>
      <c r="J83" s="27"/>
      <c r="K83" s="27"/>
      <c r="L83" s="28"/>
      <c r="M83" s="28"/>
      <c r="N83" s="30"/>
      <c r="O83" s="27"/>
      <c r="P83" s="27"/>
      <c r="Q83" s="27"/>
      <c r="R83" s="28"/>
      <c r="S83" s="28"/>
      <c r="T83" s="30"/>
      <c r="U83" s="31"/>
    </row>
    <row r="84" spans="2:21" ht="13.5" outlineLevel="1" thickBot="1" x14ac:dyDescent="0.25">
      <c r="C84" s="22">
        <v>0</v>
      </c>
      <c r="D84" s="22">
        <v>0</v>
      </c>
      <c r="E84" s="22">
        <v>0</v>
      </c>
      <c r="F84" s="23">
        <f t="shared" ref="F84:F86" si="96">IF((IFERROR(C84/D84,0))=0,0,(IFERROR(C84/D84,0)-1))</f>
        <v>0</v>
      </c>
      <c r="G84" s="46">
        <f t="shared" ref="G84:G86" si="97">IF((IFERROR(C84/E84,0))=0,0,(IFERROR(C84/E84,0)-1))</f>
        <v>0</v>
      </c>
      <c r="H84" s="24" t="s">
        <v>107</v>
      </c>
      <c r="I84" s="22">
        <v>0</v>
      </c>
      <c r="J84" s="22">
        <v>0</v>
      </c>
      <c r="K84" s="22">
        <v>0</v>
      </c>
      <c r="L84" s="23">
        <f t="shared" ref="L84:L86" si="98">IF((IFERROR(I84/J84,0))=0,0,(IFERROR(I84/J84,0)-1))</f>
        <v>0</v>
      </c>
      <c r="M84" s="46">
        <f t="shared" ref="M84:M86" si="99">IF((IFERROR(I84/K84,0))=0,0,(IFERROR(I84/K84,0)-1))</f>
        <v>0</v>
      </c>
      <c r="N84" s="47"/>
      <c r="O84" s="22">
        <v>0</v>
      </c>
      <c r="P84" s="22">
        <v>0</v>
      </c>
      <c r="Q84" s="22">
        <v>0</v>
      </c>
      <c r="R84" s="23">
        <f t="shared" ref="R84:R86" si="100">IF((IFERROR(O84/P84,0))=0,0,(IFERROR(O84/P84,0)-1))</f>
        <v>0</v>
      </c>
      <c r="S84" s="46">
        <f t="shared" ref="S84:S86" si="101">IF((IFERROR(O84/Q84,0))=0,0,(IFERROR(O84/Q84,0)-1))</f>
        <v>0</v>
      </c>
      <c r="T84" s="47"/>
      <c r="U84" s="21"/>
    </row>
    <row r="85" spans="2:21" ht="13.5" outlineLevel="1" thickBot="1" x14ac:dyDescent="0.25">
      <c r="C85" s="22">
        <v>0</v>
      </c>
      <c r="D85" s="22">
        <v>0</v>
      </c>
      <c r="E85" s="22">
        <v>0</v>
      </c>
      <c r="F85" s="23">
        <f t="shared" si="96"/>
        <v>0</v>
      </c>
      <c r="G85" s="46">
        <f t="shared" si="97"/>
        <v>0</v>
      </c>
      <c r="H85" s="24" t="s">
        <v>108</v>
      </c>
      <c r="I85" s="22">
        <v>0</v>
      </c>
      <c r="J85" s="22">
        <v>0</v>
      </c>
      <c r="K85" s="22">
        <v>0</v>
      </c>
      <c r="L85" s="23">
        <f t="shared" si="98"/>
        <v>0</v>
      </c>
      <c r="M85" s="46">
        <f t="shared" si="99"/>
        <v>0</v>
      </c>
      <c r="N85" s="47"/>
      <c r="O85" s="22">
        <v>0</v>
      </c>
      <c r="P85" s="22">
        <v>0</v>
      </c>
      <c r="Q85" s="22">
        <v>0</v>
      </c>
      <c r="R85" s="23">
        <f t="shared" si="100"/>
        <v>0</v>
      </c>
      <c r="S85" s="46">
        <f t="shared" si="101"/>
        <v>0</v>
      </c>
      <c r="T85" s="47"/>
      <c r="U85" s="21"/>
    </row>
    <row r="86" spans="2:21" ht="13.5" outlineLevel="1" thickBot="1" x14ac:dyDescent="0.25">
      <c r="C86" s="22">
        <v>0</v>
      </c>
      <c r="D86" s="22">
        <v>0</v>
      </c>
      <c r="E86" s="22">
        <v>0</v>
      </c>
      <c r="F86" s="23">
        <f t="shared" si="96"/>
        <v>0</v>
      </c>
      <c r="G86" s="46">
        <f t="shared" si="97"/>
        <v>0</v>
      </c>
      <c r="H86" s="24" t="s">
        <v>109</v>
      </c>
      <c r="I86" s="22">
        <v>0</v>
      </c>
      <c r="J86" s="22">
        <v>0</v>
      </c>
      <c r="K86" s="22">
        <v>0</v>
      </c>
      <c r="L86" s="23">
        <f t="shared" si="98"/>
        <v>0</v>
      </c>
      <c r="M86" s="46">
        <f t="shared" si="99"/>
        <v>0</v>
      </c>
      <c r="N86" s="47"/>
      <c r="O86" s="22">
        <v>0</v>
      </c>
      <c r="P86" s="22">
        <v>0</v>
      </c>
      <c r="Q86" s="22">
        <v>0</v>
      </c>
      <c r="R86" s="23">
        <f t="shared" si="100"/>
        <v>0</v>
      </c>
      <c r="S86" s="46">
        <f t="shared" si="101"/>
        <v>0</v>
      </c>
      <c r="T86" s="47"/>
      <c r="U86" s="21"/>
    </row>
    <row r="87" spans="2:21" s="2" customFormat="1" ht="13.5" outlineLevel="1" thickBot="1" x14ac:dyDescent="0.25">
      <c r="C87" s="27"/>
      <c r="D87" s="27"/>
      <c r="E87" s="27"/>
      <c r="F87" s="28"/>
      <c r="G87" s="28"/>
      <c r="H87" s="29"/>
      <c r="I87" s="27"/>
      <c r="J87" s="27"/>
      <c r="K87" s="27"/>
      <c r="L87" s="28"/>
      <c r="M87" s="28"/>
      <c r="N87" s="30"/>
      <c r="O87" s="27"/>
      <c r="P87" s="27"/>
      <c r="Q87" s="27"/>
      <c r="R87" s="28"/>
      <c r="S87" s="28"/>
      <c r="T87" s="30"/>
      <c r="U87" s="31"/>
    </row>
    <row r="88" spans="2:21" ht="13.5" thickBot="1" x14ac:dyDescent="0.25">
      <c r="C88" s="22">
        <f>C69-C76+C78</f>
        <v>0</v>
      </c>
      <c r="D88" s="22">
        <f t="shared" ref="D88:E88" si="102">D69-D76+D78</f>
        <v>0</v>
      </c>
      <c r="E88" s="22">
        <f t="shared" si="102"/>
        <v>0</v>
      </c>
      <c r="F88" s="23">
        <f t="shared" ref="F88:F91" si="103">IF((IFERROR(C88/D88,0))=0,0,(IFERROR(C88/D88,0)-1))</f>
        <v>0</v>
      </c>
      <c r="G88" s="46">
        <f t="shared" ref="G88:G91" si="104">IF((IFERROR(C88/E88,0))=0,0,(IFERROR(C88/E88,0)-1))</f>
        <v>0</v>
      </c>
      <c r="H88" s="24" t="s">
        <v>110</v>
      </c>
      <c r="I88" s="22">
        <f t="shared" ref="I88:K88" si="105">I69-I76+I78</f>
        <v>0</v>
      </c>
      <c r="J88" s="22">
        <f t="shared" si="105"/>
        <v>0</v>
      </c>
      <c r="K88" s="22">
        <f t="shared" si="105"/>
        <v>0</v>
      </c>
      <c r="L88" s="23">
        <f t="shared" ref="L88:L91" si="106">IF((IFERROR(I88/J88,0))=0,0,(IFERROR(I88/J88,0)-1))</f>
        <v>0</v>
      </c>
      <c r="M88" s="46">
        <f t="shared" ref="M88:M91" si="107">IF((IFERROR(I88/K88,0))=0,0,(IFERROR(I88/K88,0)-1))</f>
        <v>0</v>
      </c>
      <c r="N88" s="47"/>
      <c r="O88" s="22">
        <f t="shared" ref="O88:Q88" si="108">O69-O76+O78</f>
        <v>0</v>
      </c>
      <c r="P88" s="22">
        <f t="shared" si="108"/>
        <v>0</v>
      </c>
      <c r="Q88" s="22">
        <f t="shared" si="108"/>
        <v>0</v>
      </c>
      <c r="R88" s="23">
        <f t="shared" ref="R88:R91" si="109">IF((IFERROR(O88/P88,0))=0,0,(IFERROR(O88/P88,0)-1))</f>
        <v>0</v>
      </c>
      <c r="S88" s="46">
        <f t="shared" ref="S88:S91" si="110">IF((IFERROR(O88/Q88,0))=0,0,(IFERROR(O88/Q88,0)-1))</f>
        <v>0</v>
      </c>
      <c r="T88" s="47"/>
      <c r="U88" s="21"/>
    </row>
    <row r="89" spans="2:21" ht="13.5" outlineLevel="1" thickBot="1" x14ac:dyDescent="0.25">
      <c r="C89" s="22">
        <f>C70+C84</f>
        <v>0</v>
      </c>
      <c r="D89" s="22">
        <f t="shared" ref="D89:E91" si="111">D70+D84</f>
        <v>0</v>
      </c>
      <c r="E89" s="22">
        <f t="shared" si="111"/>
        <v>0</v>
      </c>
      <c r="F89" s="23">
        <f t="shared" si="103"/>
        <v>0</v>
      </c>
      <c r="G89" s="46">
        <f t="shared" si="104"/>
        <v>0</v>
      </c>
      <c r="H89" s="24" t="s">
        <v>111</v>
      </c>
      <c r="I89" s="22">
        <f t="shared" ref="I89:K91" si="112">I70+I84</f>
        <v>0</v>
      </c>
      <c r="J89" s="22">
        <f t="shared" si="112"/>
        <v>0</v>
      </c>
      <c r="K89" s="22">
        <f t="shared" si="112"/>
        <v>0</v>
      </c>
      <c r="L89" s="23">
        <f t="shared" si="106"/>
        <v>0</v>
      </c>
      <c r="M89" s="46">
        <f t="shared" si="107"/>
        <v>0</v>
      </c>
      <c r="N89" s="47"/>
      <c r="O89" s="22">
        <f t="shared" ref="O89:Q91" si="113">O70+O84</f>
        <v>0</v>
      </c>
      <c r="P89" s="22">
        <f t="shared" si="113"/>
        <v>0</v>
      </c>
      <c r="Q89" s="22">
        <f t="shared" si="113"/>
        <v>0</v>
      </c>
      <c r="R89" s="23">
        <f t="shared" si="109"/>
        <v>0</v>
      </c>
      <c r="S89" s="46">
        <f t="shared" si="110"/>
        <v>0</v>
      </c>
      <c r="T89" s="47"/>
      <c r="U89" s="21"/>
    </row>
    <row r="90" spans="2:21" ht="13.5" outlineLevel="1" thickBot="1" x14ac:dyDescent="0.25">
      <c r="C90" s="22">
        <f>C71+C85</f>
        <v>0</v>
      </c>
      <c r="D90" s="22">
        <f t="shared" si="111"/>
        <v>0</v>
      </c>
      <c r="E90" s="22">
        <f t="shared" si="111"/>
        <v>0</v>
      </c>
      <c r="F90" s="23">
        <f t="shared" si="103"/>
        <v>0</v>
      </c>
      <c r="G90" s="46">
        <f t="shared" si="104"/>
        <v>0</v>
      </c>
      <c r="H90" s="24" t="s">
        <v>112</v>
      </c>
      <c r="I90" s="22">
        <f t="shared" si="112"/>
        <v>0</v>
      </c>
      <c r="J90" s="22">
        <f t="shared" si="112"/>
        <v>0</v>
      </c>
      <c r="K90" s="22">
        <f t="shared" si="112"/>
        <v>0</v>
      </c>
      <c r="L90" s="23">
        <f t="shared" si="106"/>
        <v>0</v>
      </c>
      <c r="M90" s="46">
        <f t="shared" si="107"/>
        <v>0</v>
      </c>
      <c r="N90" s="47"/>
      <c r="O90" s="22">
        <f t="shared" si="113"/>
        <v>0</v>
      </c>
      <c r="P90" s="22">
        <f t="shared" si="113"/>
        <v>0</v>
      </c>
      <c r="Q90" s="22">
        <f t="shared" si="113"/>
        <v>0</v>
      </c>
      <c r="R90" s="23">
        <f t="shared" si="109"/>
        <v>0</v>
      </c>
      <c r="S90" s="46">
        <f t="shared" si="110"/>
        <v>0</v>
      </c>
      <c r="T90" s="47"/>
      <c r="U90" s="21"/>
    </row>
    <row r="91" spans="2:21" ht="13.5" outlineLevel="1" thickBot="1" x14ac:dyDescent="0.25">
      <c r="C91" s="22">
        <f>C72+C86</f>
        <v>0</v>
      </c>
      <c r="D91" s="22">
        <f t="shared" si="111"/>
        <v>0</v>
      </c>
      <c r="E91" s="22">
        <f t="shared" si="111"/>
        <v>0</v>
      </c>
      <c r="F91" s="23">
        <f t="shared" si="103"/>
        <v>0</v>
      </c>
      <c r="G91" s="46">
        <f t="shared" si="104"/>
        <v>0</v>
      </c>
      <c r="H91" s="24" t="s">
        <v>113</v>
      </c>
      <c r="I91" s="22">
        <f t="shared" si="112"/>
        <v>0</v>
      </c>
      <c r="J91" s="22">
        <f t="shared" si="112"/>
        <v>0</v>
      </c>
      <c r="K91" s="22">
        <f t="shared" si="112"/>
        <v>0</v>
      </c>
      <c r="L91" s="23">
        <f t="shared" si="106"/>
        <v>0</v>
      </c>
      <c r="M91" s="46">
        <f t="shared" si="107"/>
        <v>0</v>
      </c>
      <c r="N91" s="47"/>
      <c r="O91" s="22">
        <f t="shared" si="113"/>
        <v>0</v>
      </c>
      <c r="P91" s="22">
        <f t="shared" si="113"/>
        <v>0</v>
      </c>
      <c r="Q91" s="22">
        <f t="shared" si="113"/>
        <v>0</v>
      </c>
      <c r="R91" s="23">
        <f t="shared" si="109"/>
        <v>0</v>
      </c>
      <c r="S91" s="46">
        <f t="shared" si="110"/>
        <v>0</v>
      </c>
      <c r="T91" s="47"/>
      <c r="U91" s="21"/>
    </row>
    <row r="92" spans="2:21" ht="15" customHeight="1" outlineLevel="1" thickBot="1" x14ac:dyDescent="0.25"/>
    <row r="93" spans="2:21" ht="13.5" outlineLevel="1" thickBot="1" x14ac:dyDescent="0.25">
      <c r="C93" s="22">
        <f>SUM(C88:C92)</f>
        <v>0</v>
      </c>
      <c r="D93" s="22">
        <f t="shared" ref="D93:E93" si="114">SUM(D88:D92)</f>
        <v>0</v>
      </c>
      <c r="E93" s="22">
        <f t="shared" si="114"/>
        <v>0</v>
      </c>
      <c r="F93" s="23">
        <f>IF((IFERROR(C93/D93,0))=0,0,(IFERROR(C93/D93,0)-1))</f>
        <v>0</v>
      </c>
      <c r="G93" s="46">
        <f>IF((IFERROR(C93/E93,0))=0,0,(IFERROR(C93/E93,0)-1))</f>
        <v>0</v>
      </c>
      <c r="H93" s="24" t="s">
        <v>114</v>
      </c>
      <c r="I93" s="22">
        <f t="shared" ref="I93:K93" si="115">SUM(I88:I92)</f>
        <v>0</v>
      </c>
      <c r="J93" s="22">
        <f t="shared" si="115"/>
        <v>0</v>
      </c>
      <c r="K93" s="22">
        <f t="shared" si="115"/>
        <v>0</v>
      </c>
      <c r="L93" s="23">
        <f>IF((IFERROR(I93/J93,0))=0,0,(IFERROR(I93/J93,0)-1))</f>
        <v>0</v>
      </c>
      <c r="M93" s="46">
        <f>IF((IFERROR(I93/K93,0))=0,0,(IFERROR(I93/K93,0)-1))</f>
        <v>0</v>
      </c>
      <c r="N93" s="47"/>
      <c r="O93" s="22">
        <f t="shared" ref="O93:Q93" si="116">SUM(O88:O92)</f>
        <v>0</v>
      </c>
      <c r="P93" s="22">
        <f t="shared" si="116"/>
        <v>0</v>
      </c>
      <c r="Q93" s="22">
        <f t="shared" si="116"/>
        <v>0</v>
      </c>
      <c r="R93" s="23">
        <f>IF((IFERROR(O93/P93,0))=0,0,(IFERROR(O93/P93,0)-1))</f>
        <v>0</v>
      </c>
      <c r="S93" s="46">
        <f>IF((IFERROR(O93/Q93,0))=0,0,(IFERROR(O93/Q93,0)-1))</f>
        <v>0</v>
      </c>
      <c r="T93" s="47"/>
      <c r="U93" s="21"/>
    </row>
    <row r="94" spans="2:21" ht="15" customHeight="1" x14ac:dyDescent="0.2">
      <c r="I94" s="35"/>
      <c r="J94" s="35"/>
    </row>
    <row r="95" spans="2:21" s="55" customFormat="1" ht="15" customHeight="1" x14ac:dyDescent="0.2"/>
    <row r="96" spans="2:21" s="55" customFormat="1" ht="15" customHeight="1" x14ac:dyDescent="0.2"/>
  </sheetData>
  <mergeCells count="3">
    <mergeCell ref="C2:G2"/>
    <mergeCell ref="I2:M2"/>
    <mergeCell ref="O2:S2"/>
  </mergeCells>
  <conditionalFormatting sqref="B1:B1048576">
    <cfRule type="duplicateValues" dxfId="1" priority="1"/>
  </conditionalFormatting>
  <conditionalFormatting sqref="B38:B39">
    <cfRule type="duplicateValues" dxfId="0" priority="2"/>
  </conditionalFormatting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Lopez</dc:creator>
  <cp:lastModifiedBy>Gerardo Lopez</cp:lastModifiedBy>
  <dcterms:created xsi:type="dcterms:W3CDTF">2025-10-21T21:04:30Z</dcterms:created>
  <dcterms:modified xsi:type="dcterms:W3CDTF">2025-10-22T00:43:01Z</dcterms:modified>
</cp:coreProperties>
</file>