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arredondo_amcham\Downloads\"/>
    </mc:Choice>
  </mc:AlternateContent>
  <xr:revisionPtr revIDLastSave="0" documentId="13_ncr:1_{8D43D763-9ACA-4003-BFB9-0C5B8416E6AF}" xr6:coauthVersionLast="47" xr6:coauthVersionMax="47" xr10:uidLastSave="{00000000-0000-0000-0000-000000000000}"/>
  <bookViews>
    <workbookView xWindow="-108" yWindow="-108" windowWidth="23256" windowHeight="12456" tabRatio="815" xr2:uid="{00000000-000D-0000-FFFF-FFFF00000000}"/>
  </bookViews>
  <sheets>
    <sheet name="RESUMEN" sheetId="1" r:id="rId1"/>
    <sheet name="Gtos. Corporativos" sheetId="2" state="hidden" r:id="rId2"/>
    <sheet name="Gtos. Corporativos (P)" sheetId="3" r:id="rId3"/>
    <sheet name="DN" sheetId="4" r:id="rId4"/>
    <sheet name="Comités" sheetId="5" r:id="rId5"/>
    <sheet name="Eventos" sheetId="6" r:id="rId6"/>
    <sheet name="Dirección" sheetId="7" r:id="rId7"/>
    <sheet name="Gastos Generales" sheetId="8" r:id="rId8"/>
    <sheet name="PPvsREal" sheetId="10" state="hidden" r:id="rId9"/>
    <sheet name="PPvsREal Summary" sheetId="11" state="hidden" r:id="rId10"/>
  </sheets>
  <definedNames>
    <definedName name="_xlnm._FilterDatabase" localSheetId="9" hidden="1">'PPvsREal Summary'!$B$3:$AD$167</definedName>
    <definedName name="Payment_Needed">"Pago necesario"</definedName>
    <definedName name="Reimbursement">"Reembolso"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gjF0s6oouNBWuoqL60pmHoMLdVc++cqE7x1r9v2tZy8="/>
    </ext>
  </extLst>
</workbook>
</file>

<file path=xl/calcChain.xml><?xml version="1.0" encoding="utf-8"?>
<calcChain xmlns="http://schemas.openxmlformats.org/spreadsheetml/2006/main">
  <c r="F34" i="1" l="1"/>
  <c r="F27" i="1"/>
  <c r="F24" i="1"/>
  <c r="F22" i="1"/>
  <c r="F20" i="1"/>
  <c r="F17" i="1"/>
  <c r="F13" i="1"/>
  <c r="F11" i="1"/>
  <c r="F9" i="1"/>
  <c r="F6" i="1"/>
  <c r="F5" i="1" l="1"/>
  <c r="F16" i="1"/>
  <c r="AA166" i="11"/>
  <c r="AA167" i="11" s="1"/>
  <c r="Z166" i="11"/>
  <c r="Z167" i="11" s="1"/>
  <c r="Y166" i="11"/>
  <c r="Y167" i="11" s="1"/>
  <c r="X166" i="11"/>
  <c r="X167" i="11" s="1"/>
  <c r="W166" i="11"/>
  <c r="W167" i="11" s="1"/>
  <c r="V166" i="11"/>
  <c r="V167" i="11" s="1"/>
  <c r="U166" i="11"/>
  <c r="U167" i="11" s="1"/>
  <c r="T166" i="11"/>
  <c r="T167" i="11" s="1"/>
  <c r="S166" i="11"/>
  <c r="S167" i="11" s="1"/>
  <c r="R166" i="11"/>
  <c r="R167" i="11" s="1"/>
  <c r="Q166" i="11"/>
  <c r="Q167" i="11" s="1"/>
  <c r="P166" i="11"/>
  <c r="P167" i="11" s="1"/>
  <c r="O166" i="11"/>
  <c r="O167" i="11" s="1"/>
  <c r="N166" i="11"/>
  <c r="N167" i="11" s="1"/>
  <c r="M166" i="11"/>
  <c r="M167" i="11" s="1"/>
  <c r="L166" i="11"/>
  <c r="L167" i="11" s="1"/>
  <c r="K166" i="11"/>
  <c r="K167" i="11" s="1"/>
  <c r="J166" i="11"/>
  <c r="J167" i="11" s="1"/>
  <c r="I166" i="11"/>
  <c r="I167" i="11" s="1"/>
  <c r="H166" i="11"/>
  <c r="H167" i="11" s="1"/>
  <c r="G166" i="11"/>
  <c r="G167" i="11" s="1"/>
  <c r="F166" i="11"/>
  <c r="F167" i="11" s="1"/>
  <c r="D166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AA162" i="11"/>
  <c r="AA164" i="11" s="1"/>
  <c r="Z162" i="11"/>
  <c r="Z164" i="11" s="1"/>
  <c r="Y162" i="11"/>
  <c r="Y164" i="11" s="1"/>
  <c r="X162" i="11"/>
  <c r="X164" i="11" s="1"/>
  <c r="W162" i="11"/>
  <c r="W164" i="11" s="1"/>
  <c r="V162" i="11"/>
  <c r="U162" i="11"/>
  <c r="U164" i="11" s="1"/>
  <c r="T162" i="11"/>
  <c r="T164" i="11" s="1"/>
  <c r="S162" i="11"/>
  <c r="S164" i="11" s="1"/>
  <c r="R162" i="11"/>
  <c r="R164" i="11" s="1"/>
  <c r="Q162" i="11"/>
  <c r="Q164" i="11" s="1"/>
  <c r="P162" i="11"/>
  <c r="P164" i="11" s="1"/>
  <c r="O162" i="11"/>
  <c r="O164" i="11" s="1"/>
  <c r="N162" i="11"/>
  <c r="N164" i="11" s="1"/>
  <c r="M162" i="11"/>
  <c r="M164" i="11" s="1"/>
  <c r="L162" i="11"/>
  <c r="L164" i="11" s="1"/>
  <c r="K162" i="11"/>
  <c r="K164" i="11" s="1"/>
  <c r="J162" i="11"/>
  <c r="J164" i="11" s="1"/>
  <c r="I162" i="11"/>
  <c r="I164" i="11" s="1"/>
  <c r="H162" i="11"/>
  <c r="H164" i="11" s="1"/>
  <c r="G162" i="11"/>
  <c r="G164" i="11" s="1"/>
  <c r="F162" i="11"/>
  <c r="F164" i="11" s="1"/>
  <c r="E162" i="11"/>
  <c r="E164" i="11" s="1"/>
  <c r="AD164" i="11" s="1"/>
  <c r="D31" i="1" s="1"/>
  <c r="G31" i="1" s="1"/>
  <c r="D162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AA154" i="11"/>
  <c r="AA160" i="11" s="1"/>
  <c r="Z154" i="11"/>
  <c r="Z160" i="11" s="1"/>
  <c r="Y154" i="11"/>
  <c r="Y160" i="11" s="1"/>
  <c r="X154" i="11"/>
  <c r="X160" i="11" s="1"/>
  <c r="W154" i="11"/>
  <c r="W160" i="11" s="1"/>
  <c r="V154" i="11"/>
  <c r="V160" i="11" s="1"/>
  <c r="U154" i="11"/>
  <c r="U160" i="11" s="1"/>
  <c r="T154" i="11"/>
  <c r="T160" i="11" s="1"/>
  <c r="S154" i="11"/>
  <c r="S160" i="11" s="1"/>
  <c r="R154" i="11"/>
  <c r="R160" i="11" s="1"/>
  <c r="Q154" i="11"/>
  <c r="Q160" i="11" s="1"/>
  <c r="P154" i="11"/>
  <c r="P160" i="11" s="1"/>
  <c r="O154" i="11"/>
  <c r="O160" i="11" s="1"/>
  <c r="N154" i="11"/>
  <c r="N160" i="11" s="1"/>
  <c r="M154" i="11"/>
  <c r="M160" i="11" s="1"/>
  <c r="L154" i="11"/>
  <c r="L160" i="11" s="1"/>
  <c r="K154" i="11"/>
  <c r="K160" i="11" s="1"/>
  <c r="J154" i="11"/>
  <c r="J160" i="11" s="1"/>
  <c r="I154" i="11"/>
  <c r="I160" i="11" s="1"/>
  <c r="H154" i="11"/>
  <c r="H160" i="11" s="1"/>
  <c r="G154" i="11"/>
  <c r="G160" i="11" s="1"/>
  <c r="F154" i="11"/>
  <c r="E154" i="11"/>
  <c r="E160" i="11" s="1"/>
  <c r="AD160" i="11" s="1"/>
  <c r="D26" i="1" s="1"/>
  <c r="G26" i="1" s="1"/>
  <c r="D154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D149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D142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D138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D129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D115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AA112" i="11"/>
  <c r="Z112" i="11"/>
  <c r="Y112" i="11"/>
  <c r="X112" i="11"/>
  <c r="X152" i="11" s="1"/>
  <c r="W112" i="11"/>
  <c r="V112" i="11"/>
  <c r="U112" i="11"/>
  <c r="T112" i="11"/>
  <c r="S112" i="11"/>
  <c r="R112" i="11"/>
  <c r="Q112" i="11"/>
  <c r="P112" i="11"/>
  <c r="P152" i="11" s="1"/>
  <c r="O112" i="11"/>
  <c r="N112" i="11"/>
  <c r="M112" i="11"/>
  <c r="L112" i="11"/>
  <c r="K112" i="11"/>
  <c r="J112" i="11"/>
  <c r="I112" i="11"/>
  <c r="H112" i="11"/>
  <c r="H152" i="11" s="1"/>
  <c r="G112" i="11"/>
  <c r="F112" i="11"/>
  <c r="E112" i="11"/>
  <c r="D112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AA104" i="11"/>
  <c r="AA110" i="11" s="1"/>
  <c r="Z104" i="11"/>
  <c r="Z110" i="11" s="1"/>
  <c r="Y104" i="11"/>
  <c r="Y110" i="11" s="1"/>
  <c r="X104" i="11"/>
  <c r="X110" i="11" s="1"/>
  <c r="W104" i="11"/>
  <c r="W110" i="11" s="1"/>
  <c r="V104" i="11"/>
  <c r="V110" i="11" s="1"/>
  <c r="U104" i="11"/>
  <c r="U110" i="11" s="1"/>
  <c r="T104" i="11"/>
  <c r="T110" i="11" s="1"/>
  <c r="S104" i="11"/>
  <c r="S110" i="11" s="1"/>
  <c r="R104" i="11"/>
  <c r="R110" i="11" s="1"/>
  <c r="Q104" i="11"/>
  <c r="Q110" i="11" s="1"/>
  <c r="P104" i="11"/>
  <c r="P110" i="11" s="1"/>
  <c r="O104" i="11"/>
  <c r="O110" i="11" s="1"/>
  <c r="N104" i="11"/>
  <c r="N110" i="11" s="1"/>
  <c r="M104" i="11"/>
  <c r="M110" i="11" s="1"/>
  <c r="L104" i="11"/>
  <c r="L110" i="11" s="1"/>
  <c r="K104" i="11"/>
  <c r="K110" i="11" s="1"/>
  <c r="J104" i="11"/>
  <c r="J110" i="11" s="1"/>
  <c r="I104" i="11"/>
  <c r="I110" i="11" s="1"/>
  <c r="H104" i="11"/>
  <c r="H110" i="11" s="1"/>
  <c r="G104" i="11"/>
  <c r="G110" i="11" s="1"/>
  <c r="F104" i="11"/>
  <c r="F110" i="11" s="1"/>
  <c r="E104" i="11"/>
  <c r="E110" i="11" s="1"/>
  <c r="D104" i="11"/>
  <c r="AA100" i="11"/>
  <c r="AA101" i="11" s="1"/>
  <c r="Z100" i="11"/>
  <c r="Z101" i="11" s="1"/>
  <c r="Y100" i="11"/>
  <c r="Y101" i="11" s="1"/>
  <c r="X100" i="11"/>
  <c r="X101" i="11" s="1"/>
  <c r="W100" i="11"/>
  <c r="W101" i="11" s="1"/>
  <c r="V100" i="11"/>
  <c r="V101" i="11" s="1"/>
  <c r="U100" i="11"/>
  <c r="U101" i="11" s="1"/>
  <c r="T100" i="11"/>
  <c r="T101" i="11" s="1"/>
  <c r="S100" i="11"/>
  <c r="S101" i="11" s="1"/>
  <c r="R100" i="11"/>
  <c r="R101" i="11" s="1"/>
  <c r="Q100" i="11"/>
  <c r="Q101" i="11" s="1"/>
  <c r="P100" i="11"/>
  <c r="P101" i="11" s="1"/>
  <c r="O100" i="11"/>
  <c r="O101" i="11" s="1"/>
  <c r="N100" i="11"/>
  <c r="N101" i="11" s="1"/>
  <c r="M100" i="11"/>
  <c r="M101" i="11" s="1"/>
  <c r="L100" i="11"/>
  <c r="L101" i="11" s="1"/>
  <c r="K100" i="11"/>
  <c r="K101" i="11" s="1"/>
  <c r="J100" i="11"/>
  <c r="J101" i="11" s="1"/>
  <c r="I100" i="11"/>
  <c r="I101" i="11" s="1"/>
  <c r="H100" i="11"/>
  <c r="H101" i="11" s="1"/>
  <c r="G100" i="11"/>
  <c r="G101" i="11" s="1"/>
  <c r="F100" i="11"/>
  <c r="F101" i="11" s="1"/>
  <c r="E100" i="11"/>
  <c r="E101" i="11" s="1"/>
  <c r="D100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AA83" i="11"/>
  <c r="AA98" i="11" s="1"/>
  <c r="Z83" i="11"/>
  <c r="Z98" i="11" s="1"/>
  <c r="Y83" i="11"/>
  <c r="Y98" i="11" s="1"/>
  <c r="X83" i="11"/>
  <c r="X98" i="11" s="1"/>
  <c r="W83" i="11"/>
  <c r="W98" i="11" s="1"/>
  <c r="V83" i="11"/>
  <c r="V98" i="11" s="1"/>
  <c r="U83" i="11"/>
  <c r="U98" i="11" s="1"/>
  <c r="T83" i="11"/>
  <c r="T98" i="11" s="1"/>
  <c r="S83" i="11"/>
  <c r="S98" i="11" s="1"/>
  <c r="R83" i="11"/>
  <c r="R98" i="11" s="1"/>
  <c r="Q83" i="11"/>
  <c r="Q98" i="11" s="1"/>
  <c r="P83" i="11"/>
  <c r="P98" i="11" s="1"/>
  <c r="O83" i="11"/>
  <c r="O98" i="11" s="1"/>
  <c r="N83" i="11"/>
  <c r="N98" i="11" s="1"/>
  <c r="M83" i="11"/>
  <c r="M98" i="11" s="1"/>
  <c r="L83" i="11"/>
  <c r="L98" i="11" s="1"/>
  <c r="K83" i="11"/>
  <c r="K98" i="11" s="1"/>
  <c r="J83" i="11"/>
  <c r="J98" i="11" s="1"/>
  <c r="I83" i="11"/>
  <c r="I98" i="11" s="1"/>
  <c r="H83" i="11"/>
  <c r="H98" i="11" s="1"/>
  <c r="G83" i="11"/>
  <c r="G98" i="11" s="1"/>
  <c r="F83" i="11"/>
  <c r="F98" i="11" s="1"/>
  <c r="E83" i="11"/>
  <c r="E98" i="11" s="1"/>
  <c r="D83" i="11"/>
  <c r="AA80" i="11"/>
  <c r="AA81" i="11" s="1"/>
  <c r="Z80" i="11"/>
  <c r="Z81" i="11" s="1"/>
  <c r="Y80" i="11"/>
  <c r="Y81" i="11" s="1"/>
  <c r="X80" i="11"/>
  <c r="X81" i="11" s="1"/>
  <c r="W80" i="11"/>
  <c r="W81" i="11" s="1"/>
  <c r="V80" i="11"/>
  <c r="V81" i="11" s="1"/>
  <c r="U80" i="11"/>
  <c r="U81" i="11" s="1"/>
  <c r="T80" i="11"/>
  <c r="T81" i="11" s="1"/>
  <c r="S80" i="11"/>
  <c r="S81" i="11" s="1"/>
  <c r="R80" i="11"/>
  <c r="R81" i="11" s="1"/>
  <c r="Q80" i="11"/>
  <c r="Q81" i="11" s="1"/>
  <c r="P80" i="11"/>
  <c r="P81" i="11" s="1"/>
  <c r="O80" i="11"/>
  <c r="O81" i="11" s="1"/>
  <c r="N80" i="11"/>
  <c r="N81" i="11" s="1"/>
  <c r="M80" i="11"/>
  <c r="M81" i="11" s="1"/>
  <c r="L80" i="11"/>
  <c r="L81" i="11" s="1"/>
  <c r="K80" i="11"/>
  <c r="K81" i="11" s="1"/>
  <c r="J80" i="11"/>
  <c r="J81" i="11" s="1"/>
  <c r="I80" i="11"/>
  <c r="I81" i="11" s="1"/>
  <c r="H80" i="11"/>
  <c r="H81" i="11" s="1"/>
  <c r="G80" i="11"/>
  <c r="G81" i="11" s="1"/>
  <c r="F80" i="11"/>
  <c r="F81" i="11" s="1"/>
  <c r="E80" i="11"/>
  <c r="E81" i="11" s="1"/>
  <c r="D80" i="11"/>
  <c r="W77" i="11"/>
  <c r="O77" i="11"/>
  <c r="G77" i="11"/>
  <c r="X76" i="11"/>
  <c r="W76" i="11"/>
  <c r="P76" i="11"/>
  <c r="O76" i="11"/>
  <c r="H76" i="11"/>
  <c r="G76" i="11"/>
  <c r="W75" i="11"/>
  <c r="O75" i="11"/>
  <c r="G75" i="11"/>
  <c r="X74" i="11"/>
  <c r="W74" i="11"/>
  <c r="P74" i="11"/>
  <c r="O74" i="11"/>
  <c r="H74" i="11"/>
  <c r="G74" i="11"/>
  <c r="X73" i="11"/>
  <c r="P73" i="11"/>
  <c r="O73" i="11"/>
  <c r="H73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X71" i="11"/>
  <c r="W71" i="11"/>
  <c r="P71" i="11"/>
  <c r="O71" i="11"/>
  <c r="J71" i="11"/>
  <c r="H71" i="11"/>
  <c r="G71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Z67" i="11"/>
  <c r="W67" i="11"/>
  <c r="R67" i="11"/>
  <c r="O67" i="11"/>
  <c r="J67" i="11"/>
  <c r="G67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X65" i="11"/>
  <c r="W65" i="11"/>
  <c r="P65" i="11"/>
  <c r="O65" i="11"/>
  <c r="H65" i="11"/>
  <c r="G65" i="11"/>
  <c r="G64" i="11"/>
  <c r="Z63" i="11"/>
  <c r="X63" i="11"/>
  <c r="W63" i="11"/>
  <c r="R63" i="11"/>
  <c r="P63" i="11"/>
  <c r="O63" i="11"/>
  <c r="J63" i="11"/>
  <c r="H63" i="11"/>
  <c r="G63" i="11"/>
  <c r="X62" i="11"/>
  <c r="W62" i="11"/>
  <c r="P62" i="11"/>
  <c r="O62" i="11"/>
  <c r="H62" i="11"/>
  <c r="G62" i="11"/>
  <c r="AA59" i="11"/>
  <c r="AA60" i="11" s="1"/>
  <c r="Z59" i="11"/>
  <c r="Z60" i="11" s="1"/>
  <c r="Y59" i="11"/>
  <c r="Y60" i="11" s="1"/>
  <c r="X59" i="11"/>
  <c r="X60" i="11" s="1"/>
  <c r="W59" i="11"/>
  <c r="W60" i="11" s="1"/>
  <c r="V59" i="11"/>
  <c r="V60" i="11" s="1"/>
  <c r="U59" i="11"/>
  <c r="U60" i="11" s="1"/>
  <c r="T59" i="11"/>
  <c r="T60" i="11" s="1"/>
  <c r="S59" i="11"/>
  <c r="S60" i="11" s="1"/>
  <c r="R59" i="11"/>
  <c r="R60" i="11" s="1"/>
  <c r="Q59" i="11"/>
  <c r="Q60" i="11" s="1"/>
  <c r="P59" i="11"/>
  <c r="P60" i="11" s="1"/>
  <c r="O59" i="11"/>
  <c r="O60" i="11" s="1"/>
  <c r="N59" i="11"/>
  <c r="N60" i="11" s="1"/>
  <c r="M59" i="11"/>
  <c r="M60" i="11" s="1"/>
  <c r="L59" i="11"/>
  <c r="L60" i="11" s="1"/>
  <c r="K59" i="11"/>
  <c r="K60" i="11" s="1"/>
  <c r="J59" i="11"/>
  <c r="J60" i="11" s="1"/>
  <c r="I59" i="11"/>
  <c r="I60" i="11" s="1"/>
  <c r="H59" i="11"/>
  <c r="H60" i="11" s="1"/>
  <c r="G59" i="11"/>
  <c r="G60" i="11" s="1"/>
  <c r="F59" i="11"/>
  <c r="F60" i="11" s="1"/>
  <c r="E59" i="11"/>
  <c r="E60" i="11" s="1"/>
  <c r="D59" i="11"/>
  <c r="D60" i="11" s="1"/>
  <c r="AA56" i="11"/>
  <c r="AA57" i="11" s="1"/>
  <c r="Z56" i="11"/>
  <c r="Z57" i="11" s="1"/>
  <c r="Y56" i="11"/>
  <c r="Y57" i="11" s="1"/>
  <c r="X56" i="11"/>
  <c r="X57" i="11" s="1"/>
  <c r="W56" i="11"/>
  <c r="W57" i="11" s="1"/>
  <c r="V56" i="11"/>
  <c r="V57" i="11" s="1"/>
  <c r="U56" i="11"/>
  <c r="U57" i="11" s="1"/>
  <c r="T56" i="11"/>
  <c r="T57" i="11" s="1"/>
  <c r="S56" i="11"/>
  <c r="S57" i="11" s="1"/>
  <c r="R56" i="11"/>
  <c r="R57" i="11" s="1"/>
  <c r="Q56" i="11"/>
  <c r="Q57" i="11" s="1"/>
  <c r="P56" i="11"/>
  <c r="P57" i="11" s="1"/>
  <c r="O56" i="11"/>
  <c r="O57" i="11" s="1"/>
  <c r="N56" i="11"/>
  <c r="N57" i="11" s="1"/>
  <c r="M56" i="11"/>
  <c r="M57" i="11" s="1"/>
  <c r="L56" i="11"/>
  <c r="L57" i="11" s="1"/>
  <c r="K56" i="11"/>
  <c r="K57" i="11" s="1"/>
  <c r="J56" i="11"/>
  <c r="J57" i="11" s="1"/>
  <c r="I56" i="11"/>
  <c r="I57" i="11" s="1"/>
  <c r="H56" i="11"/>
  <c r="H57" i="11" s="1"/>
  <c r="G56" i="11"/>
  <c r="G57" i="11" s="1"/>
  <c r="F56" i="11"/>
  <c r="F57" i="11" s="1"/>
  <c r="E56" i="11"/>
  <c r="E57" i="11" s="1"/>
  <c r="D56" i="11"/>
  <c r="AA53" i="11"/>
  <c r="AA54" i="11" s="1"/>
  <c r="Z53" i="11"/>
  <c r="Z54" i="11" s="1"/>
  <c r="Y53" i="11"/>
  <c r="Y54" i="11" s="1"/>
  <c r="X53" i="11"/>
  <c r="X54" i="11" s="1"/>
  <c r="W53" i="11"/>
  <c r="W54" i="11" s="1"/>
  <c r="V53" i="11"/>
  <c r="V54" i="11" s="1"/>
  <c r="U53" i="11"/>
  <c r="U54" i="11" s="1"/>
  <c r="T53" i="11"/>
  <c r="T54" i="11" s="1"/>
  <c r="S53" i="11"/>
  <c r="S54" i="11" s="1"/>
  <c r="R53" i="11"/>
  <c r="R54" i="11" s="1"/>
  <c r="Q53" i="11"/>
  <c r="Q54" i="11" s="1"/>
  <c r="P53" i="11"/>
  <c r="P54" i="11" s="1"/>
  <c r="O53" i="11"/>
  <c r="O54" i="11" s="1"/>
  <c r="N53" i="11"/>
  <c r="N54" i="11" s="1"/>
  <c r="M53" i="11"/>
  <c r="M54" i="11" s="1"/>
  <c r="L53" i="11"/>
  <c r="L54" i="11" s="1"/>
  <c r="K53" i="11"/>
  <c r="K54" i="11" s="1"/>
  <c r="J53" i="11"/>
  <c r="J54" i="11" s="1"/>
  <c r="I53" i="11"/>
  <c r="I54" i="11" s="1"/>
  <c r="H53" i="11"/>
  <c r="H54" i="11" s="1"/>
  <c r="G53" i="11"/>
  <c r="G54" i="11" s="1"/>
  <c r="F53" i="11"/>
  <c r="F54" i="11" s="1"/>
  <c r="E53" i="11"/>
  <c r="E54" i="11" s="1"/>
  <c r="D53" i="11"/>
  <c r="AA50" i="11"/>
  <c r="AA51" i="11" s="1"/>
  <c r="Z50" i="11"/>
  <c r="Z51" i="11" s="1"/>
  <c r="Y50" i="11"/>
  <c r="Y51" i="11" s="1"/>
  <c r="X50" i="11"/>
  <c r="X51" i="11" s="1"/>
  <c r="W50" i="11"/>
  <c r="W51" i="11" s="1"/>
  <c r="V50" i="11"/>
  <c r="V51" i="11" s="1"/>
  <c r="U50" i="11"/>
  <c r="U51" i="11" s="1"/>
  <c r="T50" i="11"/>
  <c r="T51" i="11" s="1"/>
  <c r="S50" i="11"/>
  <c r="S51" i="11" s="1"/>
  <c r="R50" i="11"/>
  <c r="R51" i="11" s="1"/>
  <c r="Q50" i="11"/>
  <c r="Q51" i="11" s="1"/>
  <c r="P50" i="11"/>
  <c r="P51" i="11" s="1"/>
  <c r="O50" i="11"/>
  <c r="O51" i="11" s="1"/>
  <c r="N50" i="11"/>
  <c r="N51" i="11" s="1"/>
  <c r="M50" i="11"/>
  <c r="M51" i="11" s="1"/>
  <c r="L50" i="11"/>
  <c r="L51" i="11" s="1"/>
  <c r="K50" i="11"/>
  <c r="K51" i="11" s="1"/>
  <c r="J50" i="11"/>
  <c r="J51" i="11" s="1"/>
  <c r="I50" i="11"/>
  <c r="I51" i="11" s="1"/>
  <c r="H50" i="11"/>
  <c r="H51" i="11" s="1"/>
  <c r="G50" i="11"/>
  <c r="G51" i="11" s="1"/>
  <c r="F50" i="11"/>
  <c r="F51" i="11" s="1"/>
  <c r="E50" i="11"/>
  <c r="E51" i="11" s="1"/>
  <c r="D50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AA35" i="11"/>
  <c r="AA48" i="11" s="1"/>
  <c r="Z35" i="11"/>
  <c r="Z48" i="11" s="1"/>
  <c r="Y35" i="11"/>
  <c r="Y48" i="11" s="1"/>
  <c r="X35" i="11"/>
  <c r="X48" i="11" s="1"/>
  <c r="W35" i="11"/>
  <c r="W48" i="11" s="1"/>
  <c r="V35" i="11"/>
  <c r="V48" i="11" s="1"/>
  <c r="U35" i="11"/>
  <c r="U48" i="11" s="1"/>
  <c r="T35" i="11"/>
  <c r="T48" i="11" s="1"/>
  <c r="S35" i="11"/>
  <c r="S48" i="11" s="1"/>
  <c r="R35" i="11"/>
  <c r="R48" i="11" s="1"/>
  <c r="Q35" i="11"/>
  <c r="Q48" i="11" s="1"/>
  <c r="P35" i="11"/>
  <c r="P48" i="11" s="1"/>
  <c r="O35" i="11"/>
  <c r="O48" i="11" s="1"/>
  <c r="N35" i="11"/>
  <c r="N48" i="11" s="1"/>
  <c r="M35" i="11"/>
  <c r="M48" i="11" s="1"/>
  <c r="L35" i="11"/>
  <c r="L48" i="11" s="1"/>
  <c r="K35" i="11"/>
  <c r="K48" i="11" s="1"/>
  <c r="J35" i="11"/>
  <c r="J48" i="11" s="1"/>
  <c r="I35" i="11"/>
  <c r="I48" i="11" s="1"/>
  <c r="H35" i="11"/>
  <c r="H48" i="11" s="1"/>
  <c r="G35" i="11"/>
  <c r="G48" i="11" s="1"/>
  <c r="F35" i="11"/>
  <c r="F48" i="11" s="1"/>
  <c r="E35" i="11"/>
  <c r="E48" i="11" s="1"/>
  <c r="D35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Z31" i="11"/>
  <c r="X31" i="11"/>
  <c r="R31" i="11"/>
  <c r="P31" i="11"/>
  <c r="J31" i="11"/>
  <c r="H31" i="11"/>
  <c r="G31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X28" i="11"/>
  <c r="W28" i="11"/>
  <c r="P28" i="11"/>
  <c r="O28" i="11"/>
  <c r="H28" i="11"/>
  <c r="G28" i="11"/>
  <c r="O27" i="11"/>
  <c r="Z26" i="11"/>
  <c r="X26" i="11"/>
  <c r="R26" i="11"/>
  <c r="P26" i="11"/>
  <c r="J26" i="11"/>
  <c r="H26" i="11"/>
  <c r="Z25" i="11"/>
  <c r="X25" i="11"/>
  <c r="W25" i="11"/>
  <c r="R25" i="11"/>
  <c r="P25" i="11"/>
  <c r="O25" i="11"/>
  <c r="J25" i="11"/>
  <c r="H25" i="11"/>
  <c r="G25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Z21" i="11"/>
  <c r="X21" i="11"/>
  <c r="W21" i="11"/>
  <c r="R21" i="11"/>
  <c r="P21" i="11"/>
  <c r="O21" i="11"/>
  <c r="J21" i="11"/>
  <c r="H21" i="11"/>
  <c r="G21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O19" i="11"/>
  <c r="Z18" i="11"/>
  <c r="X18" i="11"/>
  <c r="W18" i="11"/>
  <c r="R18" i="11"/>
  <c r="P18" i="11"/>
  <c r="O18" i="11"/>
  <c r="J18" i="11"/>
  <c r="H18" i="11"/>
  <c r="G18" i="11"/>
  <c r="X17" i="11"/>
  <c r="W17" i="11"/>
  <c r="P17" i="11"/>
  <c r="O17" i="11"/>
  <c r="H17" i="11"/>
  <c r="G17" i="11"/>
  <c r="Z16" i="11"/>
  <c r="W16" i="11"/>
  <c r="R16" i="11"/>
  <c r="O16" i="11"/>
  <c r="J16" i="11"/>
  <c r="G16" i="11"/>
  <c r="AA13" i="11"/>
  <c r="AA14" i="11" s="1"/>
  <c r="Z13" i="11"/>
  <c r="Z14" i="11" s="1"/>
  <c r="Y13" i="11"/>
  <c r="Y14" i="11" s="1"/>
  <c r="X13" i="11"/>
  <c r="X14" i="11" s="1"/>
  <c r="W13" i="11"/>
  <c r="W14" i="11" s="1"/>
  <c r="V13" i="11"/>
  <c r="V14" i="11" s="1"/>
  <c r="U13" i="11"/>
  <c r="U14" i="11" s="1"/>
  <c r="T13" i="11"/>
  <c r="T14" i="11" s="1"/>
  <c r="S13" i="11"/>
  <c r="S14" i="11" s="1"/>
  <c r="R13" i="11"/>
  <c r="R14" i="11" s="1"/>
  <c r="Q13" i="11"/>
  <c r="Q14" i="11" s="1"/>
  <c r="P13" i="11"/>
  <c r="P14" i="11" s="1"/>
  <c r="O13" i="11"/>
  <c r="O14" i="11" s="1"/>
  <c r="N13" i="11"/>
  <c r="N14" i="11" s="1"/>
  <c r="M13" i="11"/>
  <c r="M14" i="11" s="1"/>
  <c r="L13" i="11"/>
  <c r="L14" i="11" s="1"/>
  <c r="K13" i="11"/>
  <c r="K14" i="11" s="1"/>
  <c r="J13" i="11"/>
  <c r="J14" i="11" s="1"/>
  <c r="I13" i="11"/>
  <c r="I14" i="11" s="1"/>
  <c r="H13" i="11"/>
  <c r="H14" i="11" s="1"/>
  <c r="G13" i="11"/>
  <c r="G14" i="11" s="1"/>
  <c r="F13" i="11"/>
  <c r="F14" i="11" s="1"/>
  <c r="E13" i="11"/>
  <c r="E14" i="11" s="1"/>
  <c r="D13" i="11"/>
  <c r="D14" i="11" s="1"/>
  <c r="AA10" i="11"/>
  <c r="AA11" i="11" s="1"/>
  <c r="Z10" i="11"/>
  <c r="Z11" i="11" s="1"/>
  <c r="Y10" i="11"/>
  <c r="Y11" i="11" s="1"/>
  <c r="X10" i="11"/>
  <c r="X11" i="11" s="1"/>
  <c r="W10" i="11"/>
  <c r="W11" i="11" s="1"/>
  <c r="V10" i="11"/>
  <c r="V11" i="11" s="1"/>
  <c r="U10" i="11"/>
  <c r="U11" i="11" s="1"/>
  <c r="T10" i="11"/>
  <c r="T11" i="11" s="1"/>
  <c r="S10" i="11"/>
  <c r="S11" i="11" s="1"/>
  <c r="R10" i="11"/>
  <c r="R11" i="11" s="1"/>
  <c r="Q10" i="11"/>
  <c r="Q11" i="11" s="1"/>
  <c r="P10" i="11"/>
  <c r="P11" i="11" s="1"/>
  <c r="O10" i="11"/>
  <c r="O11" i="11" s="1"/>
  <c r="N10" i="11"/>
  <c r="N11" i="11" s="1"/>
  <c r="M10" i="11"/>
  <c r="M11" i="11" s="1"/>
  <c r="L10" i="11"/>
  <c r="L11" i="11" s="1"/>
  <c r="K10" i="11"/>
  <c r="K11" i="11" s="1"/>
  <c r="J10" i="11"/>
  <c r="J11" i="11" s="1"/>
  <c r="I10" i="11"/>
  <c r="I11" i="11" s="1"/>
  <c r="H10" i="11"/>
  <c r="H11" i="11" s="1"/>
  <c r="G10" i="11"/>
  <c r="G11" i="11" s="1"/>
  <c r="F10" i="11"/>
  <c r="F11" i="11" s="1"/>
  <c r="D10" i="11"/>
  <c r="AA7" i="11"/>
  <c r="AA8" i="11" s="1"/>
  <c r="Z7" i="11"/>
  <c r="Z8" i="11" s="1"/>
  <c r="Y7" i="11"/>
  <c r="Y8" i="11" s="1"/>
  <c r="X7" i="11"/>
  <c r="X8" i="11" s="1"/>
  <c r="W7" i="11"/>
  <c r="W8" i="11" s="1"/>
  <c r="V7" i="11"/>
  <c r="V8" i="11" s="1"/>
  <c r="U7" i="11"/>
  <c r="U8" i="11" s="1"/>
  <c r="T7" i="11"/>
  <c r="T8" i="11" s="1"/>
  <c r="S7" i="11"/>
  <c r="S8" i="11" s="1"/>
  <c r="R7" i="11"/>
  <c r="R8" i="11" s="1"/>
  <c r="Q7" i="11"/>
  <c r="Q8" i="11" s="1"/>
  <c r="P7" i="11"/>
  <c r="P8" i="11" s="1"/>
  <c r="O7" i="11"/>
  <c r="O8" i="11" s="1"/>
  <c r="N7" i="11"/>
  <c r="N8" i="11" s="1"/>
  <c r="M7" i="11"/>
  <c r="M8" i="11" s="1"/>
  <c r="L7" i="11"/>
  <c r="L8" i="11" s="1"/>
  <c r="K7" i="11"/>
  <c r="K8" i="11" s="1"/>
  <c r="J7" i="11"/>
  <c r="J8" i="11" s="1"/>
  <c r="I7" i="11"/>
  <c r="I8" i="11" s="1"/>
  <c r="H7" i="11"/>
  <c r="H8" i="11" s="1"/>
  <c r="G7" i="11"/>
  <c r="G8" i="11" s="1"/>
  <c r="F7" i="11"/>
  <c r="F8" i="11" s="1"/>
  <c r="E7" i="11"/>
  <c r="E8" i="11" s="1"/>
  <c r="D7" i="11"/>
  <c r="AA4" i="11"/>
  <c r="AA5" i="11" s="1"/>
  <c r="Z4" i="11"/>
  <c r="Z5" i="11" s="1"/>
  <c r="Y4" i="11"/>
  <c r="Y5" i="11" s="1"/>
  <c r="X4" i="11"/>
  <c r="X5" i="11" s="1"/>
  <c r="W4" i="11"/>
  <c r="W5" i="11" s="1"/>
  <c r="V4" i="11"/>
  <c r="V5" i="11" s="1"/>
  <c r="U4" i="11"/>
  <c r="U5" i="11" s="1"/>
  <c r="T4" i="11"/>
  <c r="T5" i="11" s="1"/>
  <c r="S4" i="11"/>
  <c r="S5" i="11" s="1"/>
  <c r="R4" i="11"/>
  <c r="R5" i="11" s="1"/>
  <c r="Q4" i="11"/>
  <c r="Q5" i="11" s="1"/>
  <c r="P4" i="11"/>
  <c r="P5" i="11" s="1"/>
  <c r="O4" i="11"/>
  <c r="O5" i="11" s="1"/>
  <c r="N4" i="11"/>
  <c r="N5" i="11" s="1"/>
  <c r="M4" i="11"/>
  <c r="M5" i="11" s="1"/>
  <c r="L4" i="11"/>
  <c r="L5" i="11" s="1"/>
  <c r="K4" i="11"/>
  <c r="K5" i="11" s="1"/>
  <c r="J4" i="11"/>
  <c r="J5" i="11" s="1"/>
  <c r="I4" i="11"/>
  <c r="I5" i="11" s="1"/>
  <c r="H4" i="11"/>
  <c r="H5" i="11" s="1"/>
  <c r="G4" i="11"/>
  <c r="G5" i="11" s="1"/>
  <c r="F4" i="11"/>
  <c r="F5" i="11" s="1"/>
  <c r="E4" i="11"/>
  <c r="E5" i="11" s="1"/>
  <c r="D4" i="11"/>
  <c r="D5" i="11" s="1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E166" i="11" s="1"/>
  <c r="E167" i="11" s="1"/>
  <c r="AD167" i="11" s="1"/>
  <c r="D33" i="1" s="1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E115" i="11" s="1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E149" i="11" s="1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E129" i="11" s="1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E138" i="11" s="1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E10" i="11" s="1"/>
  <c r="E11" i="11" s="1"/>
  <c r="AD11" i="11" s="1"/>
  <c r="D35" i="1" s="1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AA29" i="10"/>
  <c r="AA74" i="11" s="1"/>
  <c r="Z29" i="10"/>
  <c r="Z74" i="11" s="1"/>
  <c r="Y29" i="10"/>
  <c r="Y74" i="11" s="1"/>
  <c r="X29" i="10"/>
  <c r="W29" i="10"/>
  <c r="V29" i="10"/>
  <c r="V74" i="11" s="1"/>
  <c r="U29" i="10"/>
  <c r="U74" i="11" s="1"/>
  <c r="T29" i="10"/>
  <c r="T74" i="11" s="1"/>
  <c r="S29" i="10"/>
  <c r="S74" i="11" s="1"/>
  <c r="R29" i="10"/>
  <c r="R74" i="11" s="1"/>
  <c r="Q29" i="10"/>
  <c r="Q74" i="11" s="1"/>
  <c r="P29" i="10"/>
  <c r="O29" i="10"/>
  <c r="N29" i="10"/>
  <c r="N74" i="11" s="1"/>
  <c r="M29" i="10"/>
  <c r="M74" i="11" s="1"/>
  <c r="L29" i="10"/>
  <c r="L74" i="11" s="1"/>
  <c r="K29" i="10"/>
  <c r="K74" i="11" s="1"/>
  <c r="J29" i="10"/>
  <c r="J74" i="11" s="1"/>
  <c r="I29" i="10"/>
  <c r="I74" i="11" s="1"/>
  <c r="H29" i="10"/>
  <c r="G29" i="10"/>
  <c r="F29" i="10"/>
  <c r="F74" i="11" s="1"/>
  <c r="E29" i="10"/>
  <c r="E74" i="11" s="1"/>
  <c r="AA28" i="10"/>
  <c r="AA76" i="11" s="1"/>
  <c r="Z28" i="10"/>
  <c r="Z76" i="11" s="1"/>
  <c r="Y28" i="10"/>
  <c r="Y76" i="11" s="1"/>
  <c r="X28" i="10"/>
  <c r="W28" i="10"/>
  <c r="V28" i="10"/>
  <c r="V76" i="11" s="1"/>
  <c r="U28" i="10"/>
  <c r="U76" i="11" s="1"/>
  <c r="T28" i="10"/>
  <c r="T76" i="11" s="1"/>
  <c r="S28" i="10"/>
  <c r="S76" i="11" s="1"/>
  <c r="R28" i="10"/>
  <c r="R76" i="11" s="1"/>
  <c r="Q28" i="10"/>
  <c r="Q76" i="11" s="1"/>
  <c r="P28" i="10"/>
  <c r="O28" i="10"/>
  <c r="N28" i="10"/>
  <c r="N76" i="11" s="1"/>
  <c r="M28" i="10"/>
  <c r="M76" i="11" s="1"/>
  <c r="L28" i="10"/>
  <c r="L76" i="11" s="1"/>
  <c r="K28" i="10"/>
  <c r="K76" i="11" s="1"/>
  <c r="J28" i="10"/>
  <c r="J76" i="11" s="1"/>
  <c r="I28" i="10"/>
  <c r="I76" i="11" s="1"/>
  <c r="H28" i="10"/>
  <c r="G28" i="10"/>
  <c r="F28" i="10"/>
  <c r="F76" i="11" s="1"/>
  <c r="E28" i="10"/>
  <c r="E76" i="11" s="1"/>
  <c r="AA27" i="10"/>
  <c r="AA75" i="11" s="1"/>
  <c r="Z27" i="10"/>
  <c r="Z75" i="11" s="1"/>
  <c r="Y27" i="10"/>
  <c r="Y75" i="11" s="1"/>
  <c r="X27" i="10"/>
  <c r="X75" i="11" s="1"/>
  <c r="W27" i="10"/>
  <c r="V27" i="10"/>
  <c r="V75" i="11" s="1"/>
  <c r="U27" i="10"/>
  <c r="U75" i="11" s="1"/>
  <c r="T27" i="10"/>
  <c r="T75" i="11" s="1"/>
  <c r="S27" i="10"/>
  <c r="S75" i="11" s="1"/>
  <c r="R27" i="10"/>
  <c r="R75" i="11" s="1"/>
  <c r="Q27" i="10"/>
  <c r="Q75" i="11" s="1"/>
  <c r="P27" i="10"/>
  <c r="P75" i="11" s="1"/>
  <c r="O27" i="10"/>
  <c r="N27" i="10"/>
  <c r="N75" i="11" s="1"/>
  <c r="M27" i="10"/>
  <c r="M75" i="11" s="1"/>
  <c r="L27" i="10"/>
  <c r="L75" i="11" s="1"/>
  <c r="K27" i="10"/>
  <c r="K75" i="11" s="1"/>
  <c r="J27" i="10"/>
  <c r="J75" i="11" s="1"/>
  <c r="I27" i="10"/>
  <c r="I75" i="11" s="1"/>
  <c r="H27" i="10"/>
  <c r="H75" i="11" s="1"/>
  <c r="G27" i="10"/>
  <c r="F27" i="10"/>
  <c r="F75" i="11" s="1"/>
  <c r="E27" i="10"/>
  <c r="E75" i="11" s="1"/>
  <c r="AA26" i="10"/>
  <c r="AA64" i="11" s="1"/>
  <c r="Z26" i="10"/>
  <c r="Z64" i="11" s="1"/>
  <c r="Y26" i="10"/>
  <c r="Y64" i="11" s="1"/>
  <c r="X26" i="10"/>
  <c r="X64" i="11" s="1"/>
  <c r="W26" i="10"/>
  <c r="W64" i="11" s="1"/>
  <c r="V26" i="10"/>
  <c r="V64" i="11" s="1"/>
  <c r="U26" i="10"/>
  <c r="U64" i="11" s="1"/>
  <c r="T26" i="10"/>
  <c r="T64" i="11" s="1"/>
  <c r="S26" i="10"/>
  <c r="S64" i="11" s="1"/>
  <c r="R26" i="10"/>
  <c r="R64" i="11" s="1"/>
  <c r="Q26" i="10"/>
  <c r="Q64" i="11" s="1"/>
  <c r="P26" i="10"/>
  <c r="P64" i="11" s="1"/>
  <c r="O26" i="10"/>
  <c r="O64" i="11" s="1"/>
  <c r="N26" i="10"/>
  <c r="N64" i="11" s="1"/>
  <c r="M26" i="10"/>
  <c r="M64" i="11" s="1"/>
  <c r="L26" i="10"/>
  <c r="L64" i="11" s="1"/>
  <c r="K26" i="10"/>
  <c r="K64" i="11" s="1"/>
  <c r="J26" i="10"/>
  <c r="J64" i="11" s="1"/>
  <c r="I26" i="10"/>
  <c r="I64" i="11" s="1"/>
  <c r="H26" i="10"/>
  <c r="H64" i="11" s="1"/>
  <c r="G26" i="10"/>
  <c r="F26" i="10"/>
  <c r="F64" i="11" s="1"/>
  <c r="E26" i="10"/>
  <c r="E64" i="11" s="1"/>
  <c r="AA25" i="10"/>
  <c r="AA73" i="11" s="1"/>
  <c r="Z25" i="10"/>
  <c r="Z73" i="11" s="1"/>
  <c r="Y25" i="10"/>
  <c r="Y73" i="11" s="1"/>
  <c r="X25" i="10"/>
  <c r="W25" i="10"/>
  <c r="W73" i="11" s="1"/>
  <c r="V25" i="10"/>
  <c r="V73" i="11" s="1"/>
  <c r="U25" i="10"/>
  <c r="U73" i="11" s="1"/>
  <c r="T25" i="10"/>
  <c r="T73" i="11" s="1"/>
  <c r="S25" i="10"/>
  <c r="S73" i="11" s="1"/>
  <c r="R25" i="10"/>
  <c r="R73" i="11" s="1"/>
  <c r="Q25" i="10"/>
  <c r="Q73" i="11" s="1"/>
  <c r="P25" i="10"/>
  <c r="O25" i="10"/>
  <c r="N25" i="10"/>
  <c r="N73" i="11" s="1"/>
  <c r="M25" i="10"/>
  <c r="M73" i="11" s="1"/>
  <c r="L25" i="10"/>
  <c r="L73" i="11" s="1"/>
  <c r="K25" i="10"/>
  <c r="K73" i="11" s="1"/>
  <c r="J25" i="10"/>
  <c r="J73" i="11" s="1"/>
  <c r="I25" i="10"/>
  <c r="I73" i="11" s="1"/>
  <c r="H25" i="10"/>
  <c r="G25" i="10"/>
  <c r="G73" i="11" s="1"/>
  <c r="F25" i="10"/>
  <c r="F73" i="11" s="1"/>
  <c r="E25" i="10"/>
  <c r="E73" i="11" s="1"/>
  <c r="AA24" i="10"/>
  <c r="AA67" i="11" s="1"/>
  <c r="Z24" i="10"/>
  <c r="Y24" i="10"/>
  <c r="Y67" i="11" s="1"/>
  <c r="X24" i="10"/>
  <c r="X67" i="11" s="1"/>
  <c r="W24" i="10"/>
  <c r="V24" i="10"/>
  <c r="V67" i="11" s="1"/>
  <c r="U24" i="10"/>
  <c r="U67" i="11" s="1"/>
  <c r="T24" i="10"/>
  <c r="T67" i="11" s="1"/>
  <c r="S24" i="10"/>
  <c r="S67" i="11" s="1"/>
  <c r="R24" i="10"/>
  <c r="Q24" i="10"/>
  <c r="Q67" i="11" s="1"/>
  <c r="P24" i="10"/>
  <c r="P67" i="11" s="1"/>
  <c r="O24" i="10"/>
  <c r="N24" i="10"/>
  <c r="N67" i="11" s="1"/>
  <c r="M24" i="10"/>
  <c r="M67" i="11" s="1"/>
  <c r="L24" i="10"/>
  <c r="L67" i="11" s="1"/>
  <c r="K24" i="10"/>
  <c r="K67" i="11" s="1"/>
  <c r="J24" i="10"/>
  <c r="I24" i="10"/>
  <c r="I67" i="11" s="1"/>
  <c r="H24" i="10"/>
  <c r="H67" i="11" s="1"/>
  <c r="G24" i="10"/>
  <c r="F24" i="10"/>
  <c r="F67" i="11" s="1"/>
  <c r="E24" i="10"/>
  <c r="E67" i="11" s="1"/>
  <c r="AA23" i="10"/>
  <c r="AA71" i="11" s="1"/>
  <c r="Z23" i="10"/>
  <c r="Z71" i="11" s="1"/>
  <c r="Y23" i="10"/>
  <c r="Y71" i="11" s="1"/>
  <c r="X23" i="10"/>
  <c r="W23" i="10"/>
  <c r="V23" i="10"/>
  <c r="V71" i="11" s="1"/>
  <c r="U23" i="10"/>
  <c r="U71" i="11" s="1"/>
  <c r="T23" i="10"/>
  <c r="T71" i="11" s="1"/>
  <c r="S23" i="10"/>
  <c r="S71" i="11" s="1"/>
  <c r="R23" i="10"/>
  <c r="R71" i="11" s="1"/>
  <c r="Q23" i="10"/>
  <c r="Q71" i="11" s="1"/>
  <c r="P23" i="10"/>
  <c r="O23" i="10"/>
  <c r="N23" i="10"/>
  <c r="N71" i="11" s="1"/>
  <c r="M23" i="10"/>
  <c r="M71" i="11" s="1"/>
  <c r="L23" i="10"/>
  <c r="L71" i="11" s="1"/>
  <c r="K23" i="10"/>
  <c r="K71" i="11" s="1"/>
  <c r="J23" i="10"/>
  <c r="I23" i="10"/>
  <c r="I71" i="11" s="1"/>
  <c r="H23" i="10"/>
  <c r="G23" i="10"/>
  <c r="F23" i="10"/>
  <c r="F71" i="11" s="1"/>
  <c r="E23" i="10"/>
  <c r="E71" i="11" s="1"/>
  <c r="AA22" i="10"/>
  <c r="AA63" i="11" s="1"/>
  <c r="Z22" i="10"/>
  <c r="Y22" i="10"/>
  <c r="Y63" i="11" s="1"/>
  <c r="X22" i="10"/>
  <c r="W22" i="10"/>
  <c r="V22" i="10"/>
  <c r="V63" i="11" s="1"/>
  <c r="U22" i="10"/>
  <c r="U63" i="11" s="1"/>
  <c r="T22" i="10"/>
  <c r="T63" i="11" s="1"/>
  <c r="S22" i="10"/>
  <c r="S63" i="11" s="1"/>
  <c r="R22" i="10"/>
  <c r="Q22" i="10"/>
  <c r="Q63" i="11" s="1"/>
  <c r="P22" i="10"/>
  <c r="O22" i="10"/>
  <c r="N22" i="10"/>
  <c r="N63" i="11" s="1"/>
  <c r="M22" i="10"/>
  <c r="M63" i="11" s="1"/>
  <c r="L22" i="10"/>
  <c r="L63" i="11" s="1"/>
  <c r="K22" i="10"/>
  <c r="K63" i="11" s="1"/>
  <c r="J22" i="10"/>
  <c r="I22" i="10"/>
  <c r="I63" i="11" s="1"/>
  <c r="H22" i="10"/>
  <c r="G22" i="10"/>
  <c r="F22" i="10"/>
  <c r="F63" i="11" s="1"/>
  <c r="E22" i="10"/>
  <c r="E63" i="11" s="1"/>
  <c r="AA21" i="10"/>
  <c r="AA62" i="11" s="1"/>
  <c r="Z21" i="10"/>
  <c r="Z62" i="11" s="1"/>
  <c r="Z78" i="11" s="1"/>
  <c r="Y21" i="10"/>
  <c r="Y62" i="11" s="1"/>
  <c r="Y78" i="11" s="1"/>
  <c r="X21" i="10"/>
  <c r="W21" i="10"/>
  <c r="V21" i="10"/>
  <c r="V62" i="11" s="1"/>
  <c r="U21" i="10"/>
  <c r="U62" i="11" s="1"/>
  <c r="T21" i="10"/>
  <c r="T62" i="11" s="1"/>
  <c r="S21" i="10"/>
  <c r="S62" i="11" s="1"/>
  <c r="R21" i="10"/>
  <c r="R62" i="11" s="1"/>
  <c r="R78" i="11" s="1"/>
  <c r="Q21" i="10"/>
  <c r="Q62" i="11" s="1"/>
  <c r="Q78" i="11" s="1"/>
  <c r="P21" i="10"/>
  <c r="O21" i="10"/>
  <c r="N21" i="10"/>
  <c r="N62" i="11" s="1"/>
  <c r="M21" i="10"/>
  <c r="M62" i="11" s="1"/>
  <c r="L21" i="10"/>
  <c r="L62" i="11" s="1"/>
  <c r="K21" i="10"/>
  <c r="K62" i="11" s="1"/>
  <c r="J21" i="10"/>
  <c r="J62" i="11" s="1"/>
  <c r="J78" i="11" s="1"/>
  <c r="I21" i="10"/>
  <c r="I62" i="11" s="1"/>
  <c r="I78" i="11" s="1"/>
  <c r="H21" i="10"/>
  <c r="G21" i="10"/>
  <c r="F21" i="10"/>
  <c r="F62" i="11" s="1"/>
  <c r="E21" i="10"/>
  <c r="E62" i="11" s="1"/>
  <c r="AA20" i="10"/>
  <c r="AA65" i="11" s="1"/>
  <c r="Z20" i="10"/>
  <c r="Z65" i="11" s="1"/>
  <c r="Y20" i="10"/>
  <c r="Y65" i="11" s="1"/>
  <c r="X20" i="10"/>
  <c r="W20" i="10"/>
  <c r="V20" i="10"/>
  <c r="V65" i="11" s="1"/>
  <c r="U20" i="10"/>
  <c r="U65" i="11" s="1"/>
  <c r="T20" i="10"/>
  <c r="T65" i="11" s="1"/>
  <c r="S20" i="10"/>
  <c r="S65" i="11" s="1"/>
  <c r="R20" i="10"/>
  <c r="R65" i="11" s="1"/>
  <c r="Q20" i="10"/>
  <c r="Q65" i="11" s="1"/>
  <c r="P20" i="10"/>
  <c r="O20" i="10"/>
  <c r="N20" i="10"/>
  <c r="N65" i="11" s="1"/>
  <c r="M20" i="10"/>
  <c r="M65" i="11" s="1"/>
  <c r="L20" i="10"/>
  <c r="L65" i="11" s="1"/>
  <c r="K20" i="10"/>
  <c r="K65" i="11" s="1"/>
  <c r="J20" i="10"/>
  <c r="J65" i="11" s="1"/>
  <c r="I20" i="10"/>
  <c r="I65" i="11" s="1"/>
  <c r="H20" i="10"/>
  <c r="G20" i="10"/>
  <c r="F20" i="10"/>
  <c r="F65" i="11" s="1"/>
  <c r="E20" i="10"/>
  <c r="E65" i="11" s="1"/>
  <c r="AA19" i="10"/>
  <c r="AA77" i="11" s="1"/>
  <c r="Z19" i="10"/>
  <c r="Z77" i="11" s="1"/>
  <c r="Y19" i="10"/>
  <c r="Y77" i="11" s="1"/>
  <c r="X19" i="10"/>
  <c r="X77" i="11" s="1"/>
  <c r="W19" i="10"/>
  <c r="V19" i="10"/>
  <c r="V77" i="11" s="1"/>
  <c r="U19" i="10"/>
  <c r="U77" i="11" s="1"/>
  <c r="T19" i="10"/>
  <c r="T77" i="11" s="1"/>
  <c r="S19" i="10"/>
  <c r="S77" i="11" s="1"/>
  <c r="R19" i="10"/>
  <c r="R77" i="11" s="1"/>
  <c r="Q19" i="10"/>
  <c r="Q77" i="11" s="1"/>
  <c r="P19" i="10"/>
  <c r="P77" i="11" s="1"/>
  <c r="O19" i="10"/>
  <c r="N19" i="10"/>
  <c r="N77" i="11" s="1"/>
  <c r="M19" i="10"/>
  <c r="M77" i="11" s="1"/>
  <c r="L19" i="10"/>
  <c r="L77" i="11" s="1"/>
  <c r="K19" i="10"/>
  <c r="K77" i="11" s="1"/>
  <c r="J19" i="10"/>
  <c r="J77" i="11" s="1"/>
  <c r="I19" i="10"/>
  <c r="I77" i="11" s="1"/>
  <c r="H19" i="10"/>
  <c r="H77" i="11" s="1"/>
  <c r="G19" i="10"/>
  <c r="F19" i="10"/>
  <c r="F77" i="11" s="1"/>
  <c r="E19" i="10"/>
  <c r="E77" i="11" s="1"/>
  <c r="AA18" i="10"/>
  <c r="AA27" i="11" s="1"/>
  <c r="Z18" i="10"/>
  <c r="Z27" i="11" s="1"/>
  <c r="Y18" i="10"/>
  <c r="Y27" i="11" s="1"/>
  <c r="X18" i="10"/>
  <c r="X27" i="11" s="1"/>
  <c r="W18" i="10"/>
  <c r="W27" i="11" s="1"/>
  <c r="V18" i="10"/>
  <c r="V27" i="11" s="1"/>
  <c r="U18" i="10"/>
  <c r="U27" i="11" s="1"/>
  <c r="T18" i="10"/>
  <c r="T27" i="11" s="1"/>
  <c r="S18" i="10"/>
  <c r="S27" i="11" s="1"/>
  <c r="R18" i="10"/>
  <c r="R27" i="11" s="1"/>
  <c r="Q18" i="10"/>
  <c r="Q27" i="11" s="1"/>
  <c r="P18" i="10"/>
  <c r="P27" i="11" s="1"/>
  <c r="O18" i="10"/>
  <c r="N18" i="10"/>
  <c r="N27" i="11" s="1"/>
  <c r="M18" i="10"/>
  <c r="M27" i="11" s="1"/>
  <c r="L18" i="10"/>
  <c r="L27" i="11" s="1"/>
  <c r="K18" i="10"/>
  <c r="K27" i="11" s="1"/>
  <c r="J18" i="10"/>
  <c r="J27" i="11" s="1"/>
  <c r="I18" i="10"/>
  <c r="I27" i="11" s="1"/>
  <c r="H18" i="10"/>
  <c r="H27" i="11" s="1"/>
  <c r="G18" i="10"/>
  <c r="G27" i="11" s="1"/>
  <c r="F18" i="10"/>
  <c r="F27" i="11" s="1"/>
  <c r="E18" i="10"/>
  <c r="E27" i="11" s="1"/>
  <c r="AA17" i="10"/>
  <c r="AA31" i="11" s="1"/>
  <c r="Z17" i="10"/>
  <c r="Y17" i="10"/>
  <c r="Y31" i="11" s="1"/>
  <c r="X17" i="10"/>
  <c r="W17" i="10"/>
  <c r="W31" i="11" s="1"/>
  <c r="V17" i="10"/>
  <c r="V31" i="11" s="1"/>
  <c r="U17" i="10"/>
  <c r="U31" i="11" s="1"/>
  <c r="T17" i="10"/>
  <c r="T31" i="11" s="1"/>
  <c r="S17" i="10"/>
  <c r="S31" i="11" s="1"/>
  <c r="R17" i="10"/>
  <c r="Q17" i="10"/>
  <c r="Q31" i="11" s="1"/>
  <c r="P17" i="10"/>
  <c r="O17" i="10"/>
  <c r="O31" i="11" s="1"/>
  <c r="N17" i="10"/>
  <c r="N31" i="11" s="1"/>
  <c r="M17" i="10"/>
  <c r="M31" i="11" s="1"/>
  <c r="L17" i="10"/>
  <c r="L31" i="11" s="1"/>
  <c r="K17" i="10"/>
  <c r="K31" i="11" s="1"/>
  <c r="J17" i="10"/>
  <c r="I17" i="10"/>
  <c r="I31" i="11" s="1"/>
  <c r="H17" i="10"/>
  <c r="G17" i="10"/>
  <c r="F17" i="10"/>
  <c r="F31" i="11" s="1"/>
  <c r="E17" i="10"/>
  <c r="E31" i="11" s="1"/>
  <c r="AA16" i="10"/>
  <c r="AA18" i="11" s="1"/>
  <c r="Z16" i="10"/>
  <c r="Y16" i="10"/>
  <c r="Y18" i="11" s="1"/>
  <c r="X16" i="10"/>
  <c r="W16" i="10"/>
  <c r="V16" i="10"/>
  <c r="V18" i="11" s="1"/>
  <c r="U16" i="10"/>
  <c r="U18" i="11" s="1"/>
  <c r="T16" i="10"/>
  <c r="T18" i="11" s="1"/>
  <c r="S16" i="10"/>
  <c r="S18" i="11" s="1"/>
  <c r="R16" i="10"/>
  <c r="Q16" i="10"/>
  <c r="Q18" i="11" s="1"/>
  <c r="P16" i="10"/>
  <c r="O16" i="10"/>
  <c r="N16" i="10"/>
  <c r="N18" i="11" s="1"/>
  <c r="M16" i="10"/>
  <c r="M18" i="11" s="1"/>
  <c r="L16" i="10"/>
  <c r="L18" i="11" s="1"/>
  <c r="K16" i="10"/>
  <c r="K18" i="11" s="1"/>
  <c r="J16" i="10"/>
  <c r="I16" i="10"/>
  <c r="I18" i="11" s="1"/>
  <c r="H16" i="10"/>
  <c r="G16" i="10"/>
  <c r="F16" i="10"/>
  <c r="F18" i="11" s="1"/>
  <c r="E16" i="10"/>
  <c r="E18" i="11" s="1"/>
  <c r="AA15" i="10"/>
  <c r="AA25" i="11" s="1"/>
  <c r="Z15" i="10"/>
  <c r="Y15" i="10"/>
  <c r="Y25" i="11" s="1"/>
  <c r="X15" i="10"/>
  <c r="W15" i="10"/>
  <c r="V15" i="10"/>
  <c r="V25" i="11" s="1"/>
  <c r="U15" i="10"/>
  <c r="U25" i="11" s="1"/>
  <c r="T15" i="10"/>
  <c r="T25" i="11" s="1"/>
  <c r="S15" i="10"/>
  <c r="S25" i="11" s="1"/>
  <c r="R15" i="10"/>
  <c r="Q15" i="10"/>
  <c r="Q25" i="11" s="1"/>
  <c r="P15" i="10"/>
  <c r="O15" i="10"/>
  <c r="N15" i="10"/>
  <c r="N25" i="11" s="1"/>
  <c r="M15" i="10"/>
  <c r="M25" i="11" s="1"/>
  <c r="L15" i="10"/>
  <c r="L25" i="11" s="1"/>
  <c r="K15" i="10"/>
  <c r="K25" i="11" s="1"/>
  <c r="J15" i="10"/>
  <c r="I15" i="10"/>
  <c r="I25" i="11" s="1"/>
  <c r="H15" i="10"/>
  <c r="G15" i="10"/>
  <c r="F15" i="10"/>
  <c r="F25" i="11" s="1"/>
  <c r="E15" i="10"/>
  <c r="E25" i="11" s="1"/>
  <c r="AA14" i="10"/>
  <c r="AA21" i="11" s="1"/>
  <c r="Z14" i="10"/>
  <c r="Y14" i="10"/>
  <c r="Y21" i="11" s="1"/>
  <c r="X14" i="10"/>
  <c r="W14" i="10"/>
  <c r="V14" i="10"/>
  <c r="V21" i="11" s="1"/>
  <c r="U14" i="10"/>
  <c r="U21" i="11" s="1"/>
  <c r="T14" i="10"/>
  <c r="T21" i="11" s="1"/>
  <c r="S14" i="10"/>
  <c r="S21" i="11" s="1"/>
  <c r="R14" i="10"/>
  <c r="Q14" i="10"/>
  <c r="Q21" i="11" s="1"/>
  <c r="P14" i="10"/>
  <c r="O14" i="10"/>
  <c r="N14" i="10"/>
  <c r="N21" i="11" s="1"/>
  <c r="M14" i="10"/>
  <c r="M21" i="11" s="1"/>
  <c r="L14" i="10"/>
  <c r="L21" i="11" s="1"/>
  <c r="K14" i="10"/>
  <c r="K21" i="11" s="1"/>
  <c r="J14" i="10"/>
  <c r="I14" i="10"/>
  <c r="I21" i="11" s="1"/>
  <c r="H14" i="10"/>
  <c r="G14" i="10"/>
  <c r="F14" i="10"/>
  <c r="F21" i="11" s="1"/>
  <c r="E14" i="10"/>
  <c r="E21" i="11" s="1"/>
  <c r="AA13" i="10"/>
  <c r="AA28" i="11" s="1"/>
  <c r="Z13" i="10"/>
  <c r="Z28" i="11" s="1"/>
  <c r="Y13" i="10"/>
  <c r="Y28" i="11" s="1"/>
  <c r="X13" i="10"/>
  <c r="W13" i="10"/>
  <c r="V13" i="10"/>
  <c r="V28" i="11" s="1"/>
  <c r="U13" i="10"/>
  <c r="U28" i="11" s="1"/>
  <c r="T13" i="10"/>
  <c r="T28" i="11" s="1"/>
  <c r="S13" i="10"/>
  <c r="S28" i="11" s="1"/>
  <c r="R13" i="10"/>
  <c r="R28" i="11" s="1"/>
  <c r="Q13" i="10"/>
  <c r="Q28" i="11" s="1"/>
  <c r="P13" i="10"/>
  <c r="O13" i="10"/>
  <c r="N13" i="10"/>
  <c r="N28" i="11" s="1"/>
  <c r="M13" i="10"/>
  <c r="M28" i="11" s="1"/>
  <c r="L13" i="10"/>
  <c r="L28" i="11" s="1"/>
  <c r="K13" i="10"/>
  <c r="K28" i="11" s="1"/>
  <c r="J13" i="10"/>
  <c r="J28" i="11" s="1"/>
  <c r="I13" i="10"/>
  <c r="I28" i="11" s="1"/>
  <c r="H13" i="10"/>
  <c r="G13" i="10"/>
  <c r="F13" i="10"/>
  <c r="F28" i="11" s="1"/>
  <c r="E13" i="10"/>
  <c r="E28" i="11" s="1"/>
  <c r="AA12" i="10"/>
  <c r="AA17" i="11" s="1"/>
  <c r="Z12" i="10"/>
  <c r="Z17" i="11" s="1"/>
  <c r="Y12" i="10"/>
  <c r="Y17" i="11" s="1"/>
  <c r="X12" i="10"/>
  <c r="W12" i="10"/>
  <c r="V12" i="10"/>
  <c r="V17" i="11" s="1"/>
  <c r="U12" i="10"/>
  <c r="U17" i="11" s="1"/>
  <c r="T12" i="10"/>
  <c r="T17" i="11" s="1"/>
  <c r="S12" i="10"/>
  <c r="S17" i="11" s="1"/>
  <c r="R12" i="10"/>
  <c r="R17" i="11" s="1"/>
  <c r="Q12" i="10"/>
  <c r="Q17" i="11" s="1"/>
  <c r="P12" i="10"/>
  <c r="O12" i="10"/>
  <c r="N12" i="10"/>
  <c r="N17" i="11" s="1"/>
  <c r="M12" i="10"/>
  <c r="M17" i="11" s="1"/>
  <c r="L12" i="10"/>
  <c r="L17" i="11" s="1"/>
  <c r="K12" i="10"/>
  <c r="K17" i="11" s="1"/>
  <c r="J12" i="10"/>
  <c r="J17" i="11" s="1"/>
  <c r="I12" i="10"/>
  <c r="I17" i="11" s="1"/>
  <c r="H12" i="10"/>
  <c r="G12" i="10"/>
  <c r="F12" i="10"/>
  <c r="F17" i="11" s="1"/>
  <c r="E12" i="10"/>
  <c r="E17" i="11" s="1"/>
  <c r="AA11" i="10"/>
  <c r="AA16" i="11" s="1"/>
  <c r="Z11" i="10"/>
  <c r="Y11" i="10"/>
  <c r="Y16" i="11" s="1"/>
  <c r="X11" i="10"/>
  <c r="X16" i="11" s="1"/>
  <c r="X33" i="11" s="1"/>
  <c r="W11" i="10"/>
  <c r="V11" i="10"/>
  <c r="V16" i="11" s="1"/>
  <c r="U11" i="10"/>
  <c r="U16" i="11" s="1"/>
  <c r="T11" i="10"/>
  <c r="T16" i="11" s="1"/>
  <c r="S11" i="10"/>
  <c r="S16" i="11" s="1"/>
  <c r="R11" i="10"/>
  <c r="Q11" i="10"/>
  <c r="Q16" i="11" s="1"/>
  <c r="P11" i="10"/>
  <c r="P16" i="11" s="1"/>
  <c r="P33" i="11" s="1"/>
  <c r="O11" i="10"/>
  <c r="N11" i="10"/>
  <c r="N16" i="11" s="1"/>
  <c r="M11" i="10"/>
  <c r="M16" i="11" s="1"/>
  <c r="L11" i="10"/>
  <c r="L16" i="11" s="1"/>
  <c r="K11" i="10"/>
  <c r="K16" i="11" s="1"/>
  <c r="J11" i="10"/>
  <c r="I11" i="10"/>
  <c r="I16" i="11" s="1"/>
  <c r="H11" i="10"/>
  <c r="H16" i="11" s="1"/>
  <c r="H33" i="11" s="1"/>
  <c r="G11" i="10"/>
  <c r="F11" i="10"/>
  <c r="F16" i="11" s="1"/>
  <c r="E11" i="10"/>
  <c r="E16" i="11" s="1"/>
  <c r="AA10" i="10"/>
  <c r="AA19" i="11" s="1"/>
  <c r="Z10" i="10"/>
  <c r="Z19" i="11" s="1"/>
  <c r="Y10" i="10"/>
  <c r="Y19" i="11" s="1"/>
  <c r="X10" i="10"/>
  <c r="X19" i="11" s="1"/>
  <c r="W10" i="10"/>
  <c r="W19" i="11" s="1"/>
  <c r="V10" i="10"/>
  <c r="V19" i="11" s="1"/>
  <c r="U10" i="10"/>
  <c r="U19" i="11" s="1"/>
  <c r="T10" i="10"/>
  <c r="T19" i="11" s="1"/>
  <c r="S10" i="10"/>
  <c r="S19" i="11" s="1"/>
  <c r="R10" i="10"/>
  <c r="R19" i="11" s="1"/>
  <c r="Q10" i="10"/>
  <c r="Q19" i="11" s="1"/>
  <c r="P10" i="10"/>
  <c r="P19" i="11" s="1"/>
  <c r="O10" i="10"/>
  <c r="N10" i="10"/>
  <c r="N19" i="11" s="1"/>
  <c r="M10" i="10"/>
  <c r="M19" i="11" s="1"/>
  <c r="L10" i="10"/>
  <c r="L19" i="11" s="1"/>
  <c r="K10" i="10"/>
  <c r="K19" i="11" s="1"/>
  <c r="J10" i="10"/>
  <c r="J19" i="11" s="1"/>
  <c r="I10" i="10"/>
  <c r="I19" i="11" s="1"/>
  <c r="H10" i="10"/>
  <c r="H19" i="11" s="1"/>
  <c r="G10" i="10"/>
  <c r="G19" i="11" s="1"/>
  <c r="F10" i="10"/>
  <c r="F19" i="11" s="1"/>
  <c r="E10" i="10"/>
  <c r="E19" i="11" s="1"/>
  <c r="AA9" i="10"/>
  <c r="AA26" i="11" s="1"/>
  <c r="Z9" i="10"/>
  <c r="Y9" i="10"/>
  <c r="Y26" i="11" s="1"/>
  <c r="X9" i="10"/>
  <c r="W9" i="10"/>
  <c r="W26" i="11" s="1"/>
  <c r="V9" i="10"/>
  <c r="V26" i="11" s="1"/>
  <c r="U9" i="10"/>
  <c r="U26" i="11" s="1"/>
  <c r="T9" i="10"/>
  <c r="T26" i="11" s="1"/>
  <c r="S9" i="10"/>
  <c r="S26" i="11" s="1"/>
  <c r="R9" i="10"/>
  <c r="Q9" i="10"/>
  <c r="Q26" i="11" s="1"/>
  <c r="P9" i="10"/>
  <c r="O9" i="10"/>
  <c r="O26" i="11" s="1"/>
  <c r="N9" i="10"/>
  <c r="N26" i="11" s="1"/>
  <c r="M9" i="10"/>
  <c r="M26" i="11" s="1"/>
  <c r="L9" i="10"/>
  <c r="L26" i="11" s="1"/>
  <c r="K9" i="10"/>
  <c r="K26" i="11" s="1"/>
  <c r="J9" i="10"/>
  <c r="I9" i="10"/>
  <c r="I26" i="11" s="1"/>
  <c r="H9" i="10"/>
  <c r="G9" i="10"/>
  <c r="G26" i="11" s="1"/>
  <c r="F9" i="10"/>
  <c r="F26" i="11" s="1"/>
  <c r="E9" i="10"/>
  <c r="E26" i="11" s="1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74" i="11" s="1"/>
  <c r="D28" i="10"/>
  <c r="D76" i="11" s="1"/>
  <c r="D27" i="10"/>
  <c r="D75" i="11" s="1"/>
  <c r="D26" i="10"/>
  <c r="D64" i="11" s="1"/>
  <c r="D25" i="10"/>
  <c r="D73" i="11" s="1"/>
  <c r="D24" i="10"/>
  <c r="D67" i="11" s="1"/>
  <c r="D23" i="10"/>
  <c r="D71" i="11" s="1"/>
  <c r="D22" i="10"/>
  <c r="D63" i="11" s="1"/>
  <c r="D21" i="10"/>
  <c r="D62" i="11" s="1"/>
  <c r="D20" i="10"/>
  <c r="D65" i="11" s="1"/>
  <c r="D19" i="10"/>
  <c r="D77" i="11" s="1"/>
  <c r="D18" i="10"/>
  <c r="D27" i="11" s="1"/>
  <c r="D17" i="10"/>
  <c r="D31" i="11" s="1"/>
  <c r="D16" i="10"/>
  <c r="D18" i="11" s="1"/>
  <c r="D15" i="10"/>
  <c r="D25" i="11" s="1"/>
  <c r="D14" i="10"/>
  <c r="D21" i="11" s="1"/>
  <c r="D13" i="10"/>
  <c r="D28" i="11" s="1"/>
  <c r="D12" i="10"/>
  <c r="D17" i="11" s="1"/>
  <c r="D11" i="10"/>
  <c r="D16" i="11" s="1"/>
  <c r="D10" i="10"/>
  <c r="D19" i="11" s="1"/>
  <c r="D9" i="10"/>
  <c r="D26" i="11" s="1"/>
  <c r="D8" i="10"/>
  <c r="D7" i="10"/>
  <c r="D6" i="10"/>
  <c r="D5" i="10"/>
  <c r="D4" i="10"/>
  <c r="F32" i="1" l="1"/>
  <c r="F37" i="1" s="1"/>
  <c r="G35" i="1"/>
  <c r="O33" i="11"/>
  <c r="G78" i="11"/>
  <c r="I33" i="11"/>
  <c r="S78" i="11"/>
  <c r="K78" i="11"/>
  <c r="AA78" i="11"/>
  <c r="L78" i="11"/>
  <c r="T78" i="11"/>
  <c r="O78" i="11"/>
  <c r="Y33" i="11"/>
  <c r="AA33" i="11"/>
  <c r="W33" i="11"/>
  <c r="K33" i="11"/>
  <c r="M78" i="11"/>
  <c r="L33" i="11"/>
  <c r="T33" i="11"/>
  <c r="F78" i="11"/>
  <c r="N78" i="11"/>
  <c r="V78" i="11"/>
  <c r="W78" i="11"/>
  <c r="Q33" i="11"/>
  <c r="U78" i="11"/>
  <c r="E33" i="11"/>
  <c r="M33" i="11"/>
  <c r="U33" i="11"/>
  <c r="G33" i="11"/>
  <c r="S33" i="11"/>
  <c r="E78" i="11"/>
  <c r="F33" i="11"/>
  <c r="N33" i="11"/>
  <c r="V33" i="11"/>
  <c r="AD98" i="11"/>
  <c r="D21" i="1" s="1"/>
  <c r="H78" i="11"/>
  <c r="X78" i="11"/>
  <c r="P78" i="11"/>
  <c r="AD48" i="11"/>
  <c r="D10" i="1" s="1"/>
  <c r="AD101" i="11"/>
  <c r="D18" i="1" s="1"/>
  <c r="I152" i="11"/>
  <c r="Q152" i="11"/>
  <c r="Y152" i="11"/>
  <c r="AC139" i="11"/>
  <c r="AC140" i="11"/>
  <c r="AC141" i="11"/>
  <c r="AC142" i="11"/>
  <c r="AD143" i="11"/>
  <c r="AD144" i="11"/>
  <c r="AD145" i="11"/>
  <c r="AD146" i="11"/>
  <c r="AD148" i="11"/>
  <c r="Z33" i="11"/>
  <c r="R33" i="11"/>
  <c r="AD14" i="11"/>
  <c r="D14" i="1" s="1"/>
  <c r="AD51" i="11"/>
  <c r="D15" i="1" s="1"/>
  <c r="AD54" i="11"/>
  <c r="D36" i="1" s="1"/>
  <c r="D34" i="1" s="1"/>
  <c r="G34" i="1" s="1"/>
  <c r="AD57" i="11"/>
  <c r="D19" i="1" s="1"/>
  <c r="G19" i="1" s="1"/>
  <c r="AD60" i="11"/>
  <c r="D30" i="1" s="1"/>
  <c r="AD81" i="11"/>
  <c r="D25" i="1" s="1"/>
  <c r="AD110" i="11"/>
  <c r="D28" i="1" s="1"/>
  <c r="J33" i="11"/>
  <c r="G33" i="1"/>
  <c r="AD8" i="11"/>
  <c r="D8" i="1" s="1"/>
  <c r="R152" i="11"/>
  <c r="K152" i="11"/>
  <c r="S152" i="11"/>
  <c r="AA152" i="11"/>
  <c r="Z152" i="11"/>
  <c r="AC28" i="11"/>
  <c r="AC36" i="11"/>
  <c r="AC37" i="11"/>
  <c r="AC38" i="11"/>
  <c r="AC39" i="11"/>
  <c r="AC40" i="11"/>
  <c r="AC42" i="11"/>
  <c r="AC43" i="11"/>
  <c r="AC44" i="11"/>
  <c r="AC45" i="11"/>
  <c r="AC46" i="11"/>
  <c r="AC47" i="11"/>
  <c r="AC50" i="11"/>
  <c r="AC53" i="11"/>
  <c r="AC62" i="11"/>
  <c r="AC63" i="11"/>
  <c r="AC64" i="11"/>
  <c r="AC65" i="11"/>
  <c r="AC66" i="11"/>
  <c r="AC68" i="11"/>
  <c r="AC69" i="11"/>
  <c r="AC70" i="11"/>
  <c r="AC71" i="11"/>
  <c r="AC72" i="11"/>
  <c r="AC73" i="11"/>
  <c r="AC74" i="11"/>
  <c r="AC75" i="11"/>
  <c r="AC76" i="11"/>
  <c r="AC77" i="11"/>
  <c r="AC80" i="11"/>
  <c r="AC83" i="11"/>
  <c r="AC84" i="11"/>
  <c r="AC85" i="11"/>
  <c r="AC86" i="11"/>
  <c r="AC87" i="11"/>
  <c r="AC88" i="11"/>
  <c r="AC89" i="11"/>
  <c r="AC91" i="11"/>
  <c r="AC92" i="11"/>
  <c r="AC93" i="11"/>
  <c r="AC94" i="11"/>
  <c r="AC95" i="11"/>
  <c r="AC96" i="11"/>
  <c r="AC97" i="11"/>
  <c r="AC100" i="11"/>
  <c r="AC104" i="11"/>
  <c r="AC105" i="11"/>
  <c r="AC106" i="11"/>
  <c r="AC107" i="11"/>
  <c r="AC108" i="11"/>
  <c r="AC109" i="11"/>
  <c r="AC112" i="11"/>
  <c r="L152" i="11"/>
  <c r="T152" i="11"/>
  <c r="AC113" i="11"/>
  <c r="AC114" i="11"/>
  <c r="AD116" i="11"/>
  <c r="AD117" i="11"/>
  <c r="AD118" i="11"/>
  <c r="AD119" i="11"/>
  <c r="AD120" i="11"/>
  <c r="AD121" i="11"/>
  <c r="AD122" i="11"/>
  <c r="AD124" i="11"/>
  <c r="AD125" i="11"/>
  <c r="AD126" i="11"/>
  <c r="AD127" i="11"/>
  <c r="AD128" i="11"/>
  <c r="J152" i="11"/>
  <c r="M152" i="11"/>
  <c r="U152" i="11"/>
  <c r="F160" i="11"/>
  <c r="AD5" i="11"/>
  <c r="D7" i="1" s="1"/>
  <c r="F152" i="11"/>
  <c r="N152" i="11"/>
  <c r="V152" i="11"/>
  <c r="G152" i="11"/>
  <c r="O152" i="11"/>
  <c r="W152" i="11"/>
  <c r="V164" i="11"/>
  <c r="AC130" i="11"/>
  <c r="AC131" i="11"/>
  <c r="AC132" i="11"/>
  <c r="AC133" i="11"/>
  <c r="AC134" i="11"/>
  <c r="AC135" i="11"/>
  <c r="AC136" i="11"/>
  <c r="AC137" i="11"/>
  <c r="AC138" i="11"/>
  <c r="AD139" i="11"/>
  <c r="AD140" i="11"/>
  <c r="AD141" i="11"/>
  <c r="AC116" i="11"/>
  <c r="AC117" i="11"/>
  <c r="AC118" i="11"/>
  <c r="AC119" i="11"/>
  <c r="AC120" i="11"/>
  <c r="AC121" i="11"/>
  <c r="AC122" i="11"/>
  <c r="AC123" i="11"/>
  <c r="AC124" i="11"/>
  <c r="AC125" i="11"/>
  <c r="AC126" i="11"/>
  <c r="AC127" i="11"/>
  <c r="AC128" i="11"/>
  <c r="AC129" i="11"/>
  <c r="AD130" i="11"/>
  <c r="AD131" i="11"/>
  <c r="AD132" i="11"/>
  <c r="AD133" i="11"/>
  <c r="AD134" i="11"/>
  <c r="AD135" i="11"/>
  <c r="AD136" i="11"/>
  <c r="AD137" i="11"/>
  <c r="AC21" i="11"/>
  <c r="AC26" i="11"/>
  <c r="AC35" i="11"/>
  <c r="AD123" i="11"/>
  <c r="AC10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35" i="11"/>
  <c r="AD36" i="11"/>
  <c r="AD37" i="11"/>
  <c r="AD38" i="11"/>
  <c r="AD39" i="11"/>
  <c r="AD40" i="11"/>
  <c r="AD41" i="11"/>
  <c r="AD42" i="11"/>
  <c r="AD43" i="11"/>
  <c r="AD44" i="11"/>
  <c r="AD45" i="11"/>
  <c r="AD46" i="11"/>
  <c r="AD47" i="11"/>
  <c r="AD50" i="11"/>
  <c r="AD53" i="11"/>
  <c r="AD56" i="11"/>
  <c r="AD59" i="11"/>
  <c r="AD62" i="11"/>
  <c r="AD63" i="11"/>
  <c r="AD64" i="11"/>
  <c r="AD65" i="11"/>
  <c r="AD66" i="11"/>
  <c r="AD67" i="11"/>
  <c r="AD68" i="11"/>
  <c r="AD69" i="11"/>
  <c r="AD70" i="11"/>
  <c r="AD71" i="11"/>
  <c r="AD72" i="11"/>
  <c r="AD73" i="11"/>
  <c r="AD74" i="11"/>
  <c r="AD75" i="11"/>
  <c r="AD76" i="11"/>
  <c r="AD77" i="11"/>
  <c r="AD80" i="11"/>
  <c r="AD83" i="11"/>
  <c r="AD84" i="11"/>
  <c r="AD85" i="11"/>
  <c r="AD86" i="11"/>
  <c r="AD87" i="11"/>
  <c r="AD88" i="11"/>
  <c r="AD89" i="11"/>
  <c r="AD90" i="11"/>
  <c r="AD91" i="11"/>
  <c r="AD92" i="11"/>
  <c r="AD93" i="11"/>
  <c r="AD94" i="11"/>
  <c r="AD95" i="11"/>
  <c r="AD96" i="11"/>
  <c r="AD97" i="11"/>
  <c r="AD100" i="11"/>
  <c r="AD104" i="11"/>
  <c r="AD105" i="11"/>
  <c r="AD106" i="11"/>
  <c r="AD107" i="11"/>
  <c r="AD108" i="11"/>
  <c r="AD109" i="11"/>
  <c r="AD112" i="11"/>
  <c r="AD113" i="11"/>
  <c r="AD114" i="11"/>
  <c r="AD147" i="11"/>
  <c r="AC17" i="11"/>
  <c r="AC19" i="11"/>
  <c r="AC24" i="11"/>
  <c r="AC29" i="11"/>
  <c r="AC31" i="11"/>
  <c r="AD16" i="11"/>
  <c r="AD115" i="11"/>
  <c r="AD4" i="11"/>
  <c r="AC18" i="11"/>
  <c r="AC22" i="11"/>
  <c r="AC25" i="11"/>
  <c r="AC27" i="11"/>
  <c r="AC41" i="11"/>
  <c r="AC56" i="11"/>
  <c r="AC67" i="11"/>
  <c r="AC90" i="11"/>
  <c r="AC7" i="11"/>
  <c r="AD129" i="11"/>
  <c r="AD149" i="11"/>
  <c r="AD166" i="11"/>
  <c r="AD7" i="11"/>
  <c r="AD10" i="11"/>
  <c r="AD138" i="11"/>
  <c r="AC150" i="11"/>
  <c r="AC151" i="11"/>
  <c r="AC154" i="11"/>
  <c r="AC155" i="11"/>
  <c r="AC156" i="11"/>
  <c r="AC157" i="11"/>
  <c r="AC158" i="11"/>
  <c r="AC159" i="11"/>
  <c r="AC162" i="11"/>
  <c r="AC163" i="11"/>
  <c r="AC166" i="11"/>
  <c r="AC16" i="11"/>
  <c r="AC20" i="11"/>
  <c r="AC23" i="11"/>
  <c r="AC30" i="11"/>
  <c r="AC32" i="11"/>
  <c r="AC115" i="11"/>
  <c r="AD13" i="11"/>
  <c r="AD17" i="11"/>
  <c r="AC143" i="11"/>
  <c r="AC144" i="11"/>
  <c r="AC145" i="11"/>
  <c r="AC146" i="11"/>
  <c r="AC147" i="11"/>
  <c r="AC148" i="11"/>
  <c r="AC149" i="11"/>
  <c r="AD150" i="11"/>
  <c r="AD151" i="11"/>
  <c r="AD154" i="11"/>
  <c r="AD155" i="11"/>
  <c r="AD156" i="11"/>
  <c r="AD157" i="11"/>
  <c r="AD158" i="11"/>
  <c r="AD159" i="11"/>
  <c r="AD162" i="11"/>
  <c r="AD163" i="11"/>
  <c r="AC14" i="11"/>
  <c r="E14" i="1" s="1"/>
  <c r="AC60" i="11"/>
  <c r="E30" i="1" s="1"/>
  <c r="AC13" i="11"/>
  <c r="AC59" i="11"/>
  <c r="AC4" i="11"/>
  <c r="D11" i="11"/>
  <c r="AC5" i="11"/>
  <c r="E7" i="1" s="1"/>
  <c r="D101" i="11"/>
  <c r="AC101" i="11" s="1"/>
  <c r="E18" i="1" s="1"/>
  <c r="D57" i="11"/>
  <c r="D78" i="11"/>
  <c r="D81" i="11"/>
  <c r="AC81" i="11" s="1"/>
  <c r="E25" i="1" s="1"/>
  <c r="D98" i="11"/>
  <c r="D54" i="11"/>
  <c r="AC54" i="11" s="1"/>
  <c r="E36" i="1" s="1"/>
  <c r="D8" i="11"/>
  <c r="D33" i="11"/>
  <c r="D48" i="11"/>
  <c r="D110" i="11"/>
  <c r="D167" i="11"/>
  <c r="AC167" i="11" s="1"/>
  <c r="E33" i="1" s="1"/>
  <c r="H33" i="1" s="1"/>
  <c r="D164" i="11"/>
  <c r="D152" i="11"/>
  <c r="D51" i="11"/>
  <c r="AC51" i="11" s="1"/>
  <c r="E15" i="1" s="1"/>
  <c r="G14" i="1" l="1"/>
  <c r="D13" i="1"/>
  <c r="G13" i="1" s="1"/>
  <c r="G10" i="1"/>
  <c r="D9" i="1"/>
  <c r="AD78" i="11"/>
  <c r="D23" i="1" s="1"/>
  <c r="H18" i="1"/>
  <c r="G18" i="1"/>
  <c r="D17" i="1"/>
  <c r="AD33" i="11"/>
  <c r="D12" i="1" s="1"/>
  <c r="G28" i="1"/>
  <c r="G15" i="1"/>
  <c r="H15" i="1"/>
  <c r="H14" i="1"/>
  <c r="E13" i="1"/>
  <c r="H13" i="1" s="1"/>
  <c r="D24" i="1"/>
  <c r="G24" i="1" s="1"/>
  <c r="G25" i="1"/>
  <c r="H25" i="1"/>
  <c r="H30" i="1"/>
  <c r="G30" i="1"/>
  <c r="G21" i="1"/>
  <c r="D20" i="1"/>
  <c r="G8" i="1"/>
  <c r="G36" i="1"/>
  <c r="H36" i="1"/>
  <c r="D6" i="1"/>
  <c r="G7" i="1"/>
  <c r="H7" i="1"/>
  <c r="AC57" i="11"/>
  <c r="E19" i="1" s="1"/>
  <c r="H19" i="1" s="1"/>
  <c r="AC48" i="11"/>
  <c r="E10" i="1" s="1"/>
  <c r="E9" i="1" s="1"/>
  <c r="AC8" i="11"/>
  <c r="E8" i="1" s="1"/>
  <c r="E6" i="1" s="1"/>
  <c r="AC98" i="11"/>
  <c r="E21" i="1" s="1"/>
  <c r="AC152" i="11"/>
  <c r="E29" i="1" s="1"/>
  <c r="AC11" i="11"/>
  <c r="E35" i="1" s="1"/>
  <c r="AC110" i="11"/>
  <c r="E28" i="1" s="1"/>
  <c r="H28" i="1" s="1"/>
  <c r="AC164" i="11"/>
  <c r="E31" i="1" s="1"/>
  <c r="H31" i="1" s="1"/>
  <c r="AC33" i="11"/>
  <c r="E12" i="1" s="1"/>
  <c r="AC78" i="11"/>
  <c r="E23" i="1" s="1"/>
  <c r="E22" i="1" s="1"/>
  <c r="D160" i="11"/>
  <c r="AC160" i="11" s="1"/>
  <c r="E26" i="1" s="1"/>
  <c r="H26" i="1" s="1"/>
  <c r="H10" i="1" l="1"/>
  <c r="E34" i="1"/>
  <c r="H34" i="1" s="1"/>
  <c r="H35" i="1"/>
  <c r="H21" i="1"/>
  <c r="E20" i="1"/>
  <c r="H20" i="1" s="1"/>
  <c r="E17" i="1"/>
  <c r="D22" i="1"/>
  <c r="G22" i="1" s="1"/>
  <c r="G23" i="1"/>
  <c r="H23" i="1"/>
  <c r="H8" i="1"/>
  <c r="G9" i="1"/>
  <c r="H9" i="1"/>
  <c r="G12" i="1"/>
  <c r="D11" i="1"/>
  <c r="D5" i="1" s="1"/>
  <c r="H12" i="1"/>
  <c r="E11" i="1"/>
  <c r="E5" i="1" s="1"/>
  <c r="G20" i="1"/>
  <c r="E24" i="1"/>
  <c r="H24" i="1" s="1"/>
  <c r="E27" i="1"/>
  <c r="G17" i="1"/>
  <c r="G6" i="1"/>
  <c r="H6" i="1"/>
  <c r="AE74" i="8"/>
  <c r="AD74" i="8"/>
  <c r="AB74" i="8"/>
  <c r="I72" i="8"/>
  <c r="Q70" i="8"/>
  <c r="P70" i="8"/>
  <c r="O70" i="8"/>
  <c r="M70" i="8"/>
  <c r="K70" i="8"/>
  <c r="J70" i="8"/>
  <c r="I70" i="8"/>
  <c r="H70" i="8"/>
  <c r="G70" i="8"/>
  <c r="F70" i="8"/>
  <c r="E70" i="8"/>
  <c r="AE69" i="8"/>
  <c r="AD69" i="8"/>
  <c r="AB69" i="8"/>
  <c r="AE68" i="8"/>
  <c r="Z68" i="8"/>
  <c r="Z66" i="8" s="1"/>
  <c r="Z70" i="8" s="1"/>
  <c r="X68" i="8"/>
  <c r="X66" i="8" s="1"/>
  <c r="X70" i="8" s="1"/>
  <c r="V68" i="8"/>
  <c r="V66" i="8" s="1"/>
  <c r="V70" i="8" s="1"/>
  <c r="T68" i="8"/>
  <c r="T66" i="8" s="1"/>
  <c r="T70" i="8" s="1"/>
  <c r="R68" i="8"/>
  <c r="P68" i="8"/>
  <c r="P66" i="8" s="1"/>
  <c r="N68" i="8"/>
  <c r="N66" i="8" s="1"/>
  <c r="N70" i="8" s="1"/>
  <c r="L68" i="8"/>
  <c r="L66" i="8" s="1"/>
  <c r="L70" i="8" s="1"/>
  <c r="J68" i="8"/>
  <c r="H68" i="8"/>
  <c r="F68" i="8"/>
  <c r="D68" i="8"/>
  <c r="D66" i="8" s="1"/>
  <c r="D70" i="8" s="1"/>
  <c r="AE67" i="8"/>
  <c r="AD67" i="8"/>
  <c r="AB67" i="8"/>
  <c r="AE66" i="8"/>
  <c r="AE70" i="8" s="1"/>
  <c r="R66" i="8"/>
  <c r="R70" i="8" s="1"/>
  <c r="AE62" i="8"/>
  <c r="Z62" i="8"/>
  <c r="X62" i="8"/>
  <c r="V62" i="8"/>
  <c r="T62" i="8"/>
  <c r="R62" i="8"/>
  <c r="P62" i="8"/>
  <c r="N62" i="8"/>
  <c r="L62" i="8"/>
  <c r="D62" i="8"/>
  <c r="AE61" i="8"/>
  <c r="Z61" i="8"/>
  <c r="X61" i="8"/>
  <c r="V61" i="8"/>
  <c r="T61" i="8"/>
  <c r="R61" i="8"/>
  <c r="P61" i="8"/>
  <c r="N61" i="8"/>
  <c r="L61" i="8"/>
  <c r="D61" i="8"/>
  <c r="AE60" i="8"/>
  <c r="Z60" i="8"/>
  <c r="X60" i="8"/>
  <c r="V60" i="8"/>
  <c r="T60" i="8"/>
  <c r="R60" i="8"/>
  <c r="P60" i="8"/>
  <c r="N60" i="8"/>
  <c r="AD60" i="8" s="1"/>
  <c r="L60" i="8"/>
  <c r="D60" i="8"/>
  <c r="AE59" i="8"/>
  <c r="Z59" i="8"/>
  <c r="X59" i="8"/>
  <c r="V59" i="8"/>
  <c r="T59" i="8"/>
  <c r="R59" i="8"/>
  <c r="P59" i="8"/>
  <c r="N59" i="8"/>
  <c r="L59" i="8"/>
  <c r="D59" i="8"/>
  <c r="AE58" i="8"/>
  <c r="AD58" i="8"/>
  <c r="AB58" i="8"/>
  <c r="AE57" i="8"/>
  <c r="AD57" i="8"/>
  <c r="AB57" i="8"/>
  <c r="AE56" i="8"/>
  <c r="AD56" i="8"/>
  <c r="AB56" i="8"/>
  <c r="AE55" i="8"/>
  <c r="AD55" i="8"/>
  <c r="AB55" i="8"/>
  <c r="AE54" i="8"/>
  <c r="Z54" i="8"/>
  <c r="X54" i="8"/>
  <c r="V54" i="8"/>
  <c r="T54" i="8"/>
  <c r="R54" i="8"/>
  <c r="P54" i="8"/>
  <c r="N54" i="8"/>
  <c r="L54" i="8"/>
  <c r="D54" i="8"/>
  <c r="AE53" i="8"/>
  <c r="AD53" i="8"/>
  <c r="AB53" i="8"/>
  <c r="AE52" i="8"/>
  <c r="AD52" i="8"/>
  <c r="AB52" i="8"/>
  <c r="Z51" i="8"/>
  <c r="X51" i="8"/>
  <c r="V51" i="8"/>
  <c r="T51" i="8"/>
  <c r="R51" i="8"/>
  <c r="Q51" i="8"/>
  <c r="AE51" i="8" s="1"/>
  <c r="P51" i="8"/>
  <c r="L51" i="8"/>
  <c r="D51" i="8"/>
  <c r="AE50" i="8"/>
  <c r="AD50" i="8"/>
  <c r="AB50" i="8"/>
  <c r="AE49" i="8"/>
  <c r="AD49" i="8"/>
  <c r="N49" i="8"/>
  <c r="N51" i="8" s="1"/>
  <c r="AE48" i="8"/>
  <c r="H48" i="8"/>
  <c r="AE47" i="8"/>
  <c r="AD47" i="8"/>
  <c r="AB47" i="8"/>
  <c r="AE46" i="8"/>
  <c r="AD46" i="8"/>
  <c r="AB46" i="8"/>
  <c r="AE45" i="8"/>
  <c r="AD45" i="8"/>
  <c r="AB45" i="8"/>
  <c r="Q44" i="8"/>
  <c r="O44" i="8"/>
  <c r="M44" i="8"/>
  <c r="K44" i="8"/>
  <c r="J44" i="8"/>
  <c r="I44" i="8"/>
  <c r="H44" i="8"/>
  <c r="G44" i="8"/>
  <c r="F44" i="8"/>
  <c r="E44" i="8"/>
  <c r="D44" i="8"/>
  <c r="AE43" i="8"/>
  <c r="AD43" i="8"/>
  <c r="AB43" i="8"/>
  <c r="AE42" i="8"/>
  <c r="Z42" i="8"/>
  <c r="Z44" i="8" s="1"/>
  <c r="X42" i="8"/>
  <c r="X44" i="8" s="1"/>
  <c r="V42" i="8"/>
  <c r="V44" i="8" s="1"/>
  <c r="T42" i="8"/>
  <c r="T44" i="8" s="1"/>
  <c r="R42" i="8"/>
  <c r="R44" i="8" s="1"/>
  <c r="P42" i="8"/>
  <c r="P44" i="8" s="1"/>
  <c r="N42" i="8"/>
  <c r="L42" i="8"/>
  <c r="L44" i="8" s="1"/>
  <c r="D42" i="8"/>
  <c r="AE41" i="8"/>
  <c r="AD41" i="8"/>
  <c r="AB41" i="8"/>
  <c r="AE40" i="8"/>
  <c r="AD40" i="8"/>
  <c r="AB40" i="8"/>
  <c r="AE39" i="8"/>
  <c r="AD39" i="8"/>
  <c r="AB39" i="8"/>
  <c r="AE38" i="8"/>
  <c r="Z38" i="8"/>
  <c r="X38" i="8"/>
  <c r="V38" i="8"/>
  <c r="T38" i="8"/>
  <c r="R38" i="8"/>
  <c r="Q38" i="8"/>
  <c r="P38" i="8"/>
  <c r="N38" i="8"/>
  <c r="L38" i="8"/>
  <c r="D38" i="8"/>
  <c r="AE37" i="8"/>
  <c r="AD37" i="8"/>
  <c r="AB37" i="8"/>
  <c r="Q36" i="8"/>
  <c r="O36" i="8"/>
  <c r="M36" i="8"/>
  <c r="K36" i="8"/>
  <c r="J36" i="8"/>
  <c r="I36" i="8"/>
  <c r="H36" i="8"/>
  <c r="G36" i="8"/>
  <c r="F36" i="8"/>
  <c r="E36" i="8"/>
  <c r="AE35" i="8"/>
  <c r="Z35" i="8"/>
  <c r="Z36" i="8" s="1"/>
  <c r="X35" i="8"/>
  <c r="X36" i="8" s="1"/>
  <c r="V35" i="8"/>
  <c r="V36" i="8" s="1"/>
  <c r="T35" i="8"/>
  <c r="T36" i="8" s="1"/>
  <c r="R35" i="8"/>
  <c r="R36" i="8" s="1"/>
  <c r="P35" i="8"/>
  <c r="P36" i="8" s="1"/>
  <c r="N35" i="8"/>
  <c r="N36" i="8" s="1"/>
  <c r="L35" i="8"/>
  <c r="L36" i="8" s="1"/>
  <c r="D35" i="8"/>
  <c r="D36" i="8" s="1"/>
  <c r="AE34" i="8"/>
  <c r="AD34" i="8"/>
  <c r="AB34" i="8"/>
  <c r="AE33" i="8"/>
  <c r="Z33" i="8"/>
  <c r="X33" i="8"/>
  <c r="V33" i="8"/>
  <c r="T33" i="8"/>
  <c r="R33" i="8"/>
  <c r="P33" i="8"/>
  <c r="N33" i="8"/>
  <c r="L33" i="8"/>
  <c r="D33" i="8"/>
  <c r="Z32" i="8"/>
  <c r="X32" i="8"/>
  <c r="T32" i="8"/>
  <c r="R32" i="8"/>
  <c r="Q32" i="8"/>
  <c r="O32" i="8"/>
  <c r="N32" i="8"/>
  <c r="M32" i="8"/>
  <c r="L32" i="8"/>
  <c r="K32" i="8"/>
  <c r="J32" i="8"/>
  <c r="I32" i="8"/>
  <c r="H32" i="8"/>
  <c r="G32" i="8"/>
  <c r="F32" i="8"/>
  <c r="E32" i="8"/>
  <c r="AE31" i="8"/>
  <c r="AD31" i="8"/>
  <c r="AB31" i="8"/>
  <c r="AE30" i="8"/>
  <c r="AD30" i="8"/>
  <c r="AB30" i="8"/>
  <c r="AE29" i="8"/>
  <c r="AD29" i="8"/>
  <c r="AB29" i="8"/>
  <c r="AE28" i="8"/>
  <c r="V28" i="8"/>
  <c r="V32" i="8" s="1"/>
  <c r="P28" i="8"/>
  <c r="P32" i="8" s="1"/>
  <c r="D28" i="8"/>
  <c r="D32" i="8" s="1"/>
  <c r="AE27" i="8"/>
  <c r="AD27" i="8"/>
  <c r="AB27" i="8"/>
  <c r="AE26" i="8"/>
  <c r="AD26" i="8"/>
  <c r="AB26" i="8"/>
  <c r="Z25" i="8"/>
  <c r="X25" i="8"/>
  <c r="V25" i="8"/>
  <c r="T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E75" i="10" s="1"/>
  <c r="E142" i="11" s="1"/>
  <c r="D25" i="8"/>
  <c r="AE24" i="8"/>
  <c r="AD24" i="8"/>
  <c r="AB24" i="8"/>
  <c r="AE23" i="8"/>
  <c r="AD23" i="8"/>
  <c r="AB23" i="8"/>
  <c r="AE22" i="8"/>
  <c r="AD22" i="8"/>
  <c r="AB22" i="8"/>
  <c r="AE21" i="8"/>
  <c r="Z21" i="8"/>
  <c r="X21" i="8"/>
  <c r="V21" i="8"/>
  <c r="T21" i="8"/>
  <c r="R21" i="8"/>
  <c r="P21" i="8"/>
  <c r="N21" i="8"/>
  <c r="L21" i="8"/>
  <c r="D21" i="8"/>
  <c r="AE20" i="8"/>
  <c r="D20" i="8"/>
  <c r="AD20" i="8" s="1"/>
  <c r="AE19" i="8"/>
  <c r="AD19" i="8"/>
  <c r="AB19" i="8"/>
  <c r="AE18" i="8"/>
  <c r="AD18" i="8"/>
  <c r="AB18" i="8"/>
  <c r="AE17" i="8"/>
  <c r="Z17" i="8"/>
  <c r="X17" i="8"/>
  <c r="V17" i="8"/>
  <c r="T17" i="8"/>
  <c r="R17" i="8"/>
  <c r="P17" i="8"/>
  <c r="N17" i="8"/>
  <c r="L17" i="8"/>
  <c r="D17" i="8"/>
  <c r="Z12" i="8"/>
  <c r="X12" i="8"/>
  <c r="V12" i="8"/>
  <c r="T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AE11" i="8"/>
  <c r="AD11" i="8"/>
  <c r="AD12" i="8" s="1"/>
  <c r="AB11" i="8"/>
  <c r="AE10" i="8"/>
  <c r="AD10" i="8"/>
  <c r="AB10" i="8"/>
  <c r="AE9" i="8"/>
  <c r="AD9" i="8"/>
  <c r="AB9" i="8"/>
  <c r="AB6" i="8"/>
  <c r="Z6" i="8"/>
  <c r="X6" i="8"/>
  <c r="V6" i="8"/>
  <c r="V14" i="8" s="1"/>
  <c r="T6" i="8"/>
  <c r="R6" i="8"/>
  <c r="Q6" i="8"/>
  <c r="P6" i="8"/>
  <c r="P14" i="8" s="1"/>
  <c r="O6" i="8"/>
  <c r="O14" i="8" s="1"/>
  <c r="N6" i="8"/>
  <c r="N14" i="8" s="1"/>
  <c r="M6" i="8"/>
  <c r="L6" i="8"/>
  <c r="L14" i="8" s="1"/>
  <c r="K6" i="8"/>
  <c r="J6" i="8"/>
  <c r="I6" i="8"/>
  <c r="H6" i="8"/>
  <c r="H14" i="8" s="1"/>
  <c r="G6" i="8"/>
  <c r="G14" i="8" s="1"/>
  <c r="F6" i="8"/>
  <c r="F14" i="8" s="1"/>
  <c r="E6" i="8"/>
  <c r="D6" i="8"/>
  <c r="D14" i="8" s="1"/>
  <c r="AE5" i="8"/>
  <c r="AE6" i="8" s="1"/>
  <c r="AD5" i="8"/>
  <c r="AD6" i="8" s="1"/>
  <c r="AB5" i="8"/>
  <c r="Q27" i="7"/>
  <c r="O27" i="7"/>
  <c r="M27" i="7"/>
  <c r="K27" i="7"/>
  <c r="J27" i="7"/>
  <c r="I27" i="7"/>
  <c r="H27" i="7"/>
  <c r="G27" i="7"/>
  <c r="F27" i="7"/>
  <c r="E27" i="7"/>
  <c r="AE26" i="7"/>
  <c r="AD26" i="7"/>
  <c r="AB26" i="7"/>
  <c r="AE25" i="7"/>
  <c r="AD25" i="7"/>
  <c r="AB25" i="7"/>
  <c r="AE24" i="7"/>
  <c r="AD24" i="7"/>
  <c r="AB24" i="7"/>
  <c r="AE23" i="7"/>
  <c r="AD23" i="7"/>
  <c r="AB23" i="7"/>
  <c r="T23" i="7"/>
  <c r="AE22" i="7"/>
  <c r="Z22" i="7"/>
  <c r="X22" i="7"/>
  <c r="V22" i="7"/>
  <c r="T22" i="7"/>
  <c r="R22" i="7"/>
  <c r="P22" i="7"/>
  <c r="N22" i="7"/>
  <c r="L22" i="7"/>
  <c r="D22" i="7"/>
  <c r="AE21" i="7"/>
  <c r="AD21" i="7"/>
  <c r="AB21" i="7"/>
  <c r="AE20" i="7"/>
  <c r="AD20" i="7"/>
  <c r="AB20" i="7"/>
  <c r="AE19" i="7"/>
  <c r="Z19" i="7"/>
  <c r="X19" i="7"/>
  <c r="X27" i="7" s="1"/>
  <c r="V19" i="7"/>
  <c r="V27" i="7" s="1"/>
  <c r="T19" i="7"/>
  <c r="T27" i="7" s="1"/>
  <c r="R19" i="7"/>
  <c r="R27" i="7" s="1"/>
  <c r="P19" i="7"/>
  <c r="P27" i="7" s="1"/>
  <c r="N19" i="7"/>
  <c r="N27" i="7" s="1"/>
  <c r="L19" i="7"/>
  <c r="L27" i="7" s="1"/>
  <c r="D19" i="7"/>
  <c r="Q12" i="7"/>
  <c r="O12" i="7"/>
  <c r="M12" i="7"/>
  <c r="K12" i="7"/>
  <c r="J12" i="7"/>
  <c r="I12" i="7"/>
  <c r="H12" i="7"/>
  <c r="G12" i="7"/>
  <c r="F12" i="7"/>
  <c r="E12" i="7"/>
  <c r="AE11" i="7"/>
  <c r="Z11" i="7"/>
  <c r="Z12" i="7" s="1"/>
  <c r="X11" i="7"/>
  <c r="X12" i="7" s="1"/>
  <c r="V11" i="7"/>
  <c r="V12" i="7" s="1"/>
  <c r="T11" i="7"/>
  <c r="T12" i="7" s="1"/>
  <c r="R11" i="7"/>
  <c r="R12" i="7" s="1"/>
  <c r="P11" i="7"/>
  <c r="P12" i="7" s="1"/>
  <c r="N11" i="7"/>
  <c r="N12" i="7" s="1"/>
  <c r="L11" i="7"/>
  <c r="L12" i="7" s="1"/>
  <c r="D11" i="7"/>
  <c r="AE10" i="7"/>
  <c r="AE12" i="7" s="1"/>
  <c r="AD10" i="7"/>
  <c r="AB10" i="7"/>
  <c r="Q7" i="7"/>
  <c r="Q14" i="7" s="1"/>
  <c r="O7" i="7"/>
  <c r="M7" i="7"/>
  <c r="M14" i="7" s="1"/>
  <c r="M29" i="7" s="1"/>
  <c r="K7" i="7"/>
  <c r="J7" i="7"/>
  <c r="J14" i="7" s="1"/>
  <c r="I7" i="7"/>
  <c r="I14" i="7" s="1"/>
  <c r="I29" i="7" s="1"/>
  <c r="H7" i="7"/>
  <c r="H14" i="7" s="1"/>
  <c r="H29" i="7" s="1"/>
  <c r="G7" i="7"/>
  <c r="F7" i="7"/>
  <c r="E7" i="7"/>
  <c r="E14" i="7" s="1"/>
  <c r="E29" i="7" s="1"/>
  <c r="AE6" i="7"/>
  <c r="Z6" i="7"/>
  <c r="X6" i="7"/>
  <c r="X7" i="7" s="1"/>
  <c r="X14" i="7" s="1"/>
  <c r="X29" i="7" s="1"/>
  <c r="V6" i="7"/>
  <c r="T6" i="7"/>
  <c r="R6" i="7"/>
  <c r="P6" i="7"/>
  <c r="N6" i="7"/>
  <c r="L6" i="7"/>
  <c r="D6" i="7"/>
  <c r="AE5" i="7"/>
  <c r="AE7" i="7" s="1"/>
  <c r="AE14" i="7" s="1"/>
  <c r="Z5" i="7"/>
  <c r="X5" i="7"/>
  <c r="V5" i="7"/>
  <c r="T5" i="7"/>
  <c r="R5" i="7"/>
  <c r="P5" i="7"/>
  <c r="N5" i="7"/>
  <c r="L5" i="7"/>
  <c r="L7" i="7" s="1"/>
  <c r="D5" i="7"/>
  <c r="Q65" i="6"/>
  <c r="O65" i="6"/>
  <c r="M65" i="6"/>
  <c r="K65" i="6"/>
  <c r="J65" i="6"/>
  <c r="I65" i="6"/>
  <c r="H65" i="6"/>
  <c r="G65" i="6"/>
  <c r="F65" i="6"/>
  <c r="E65" i="6"/>
  <c r="AE64" i="6"/>
  <c r="AE65" i="6" s="1"/>
  <c r="Z64" i="6"/>
  <c r="Z65" i="6" s="1"/>
  <c r="X64" i="6"/>
  <c r="X65" i="6" s="1"/>
  <c r="V64" i="6"/>
  <c r="V65" i="6" s="1"/>
  <c r="T64" i="6"/>
  <c r="T65" i="6" s="1"/>
  <c r="R64" i="6"/>
  <c r="R65" i="6" s="1"/>
  <c r="P64" i="6"/>
  <c r="P65" i="6" s="1"/>
  <c r="N64" i="6"/>
  <c r="N65" i="6" s="1"/>
  <c r="L64" i="6"/>
  <c r="L65" i="6" s="1"/>
  <c r="D64" i="6"/>
  <c r="Z61" i="6"/>
  <c r="X61" i="6"/>
  <c r="V61" i="6"/>
  <c r="T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AE60" i="6"/>
  <c r="AE61" i="6" s="1"/>
  <c r="AD60" i="6"/>
  <c r="AD61" i="6" s="1"/>
  <c r="AB60" i="6"/>
  <c r="AB61" i="6" s="1"/>
  <c r="Z52" i="6"/>
  <c r="X52" i="6"/>
  <c r="V52" i="6"/>
  <c r="T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AE51" i="6"/>
  <c r="AD51" i="6"/>
  <c r="AB51" i="6"/>
  <c r="AE50" i="6"/>
  <c r="AD50" i="6"/>
  <c r="AE49" i="6"/>
  <c r="AD49" i="6"/>
  <c r="AB49" i="6"/>
  <c r="AE48" i="6"/>
  <c r="AD48" i="6"/>
  <c r="AB48" i="6"/>
  <c r="AE47" i="6"/>
  <c r="AD47" i="6"/>
  <c r="AB47" i="6"/>
  <c r="AE46" i="6"/>
  <c r="AD46" i="6"/>
  <c r="AB46" i="6"/>
  <c r="AE45" i="6"/>
  <c r="AD45" i="6"/>
  <c r="AB45" i="6"/>
  <c r="AE44" i="6"/>
  <c r="AD44" i="6"/>
  <c r="AB44" i="6"/>
  <c r="AE43" i="6"/>
  <c r="AD43" i="6"/>
  <c r="AB43" i="6"/>
  <c r="AE42" i="6"/>
  <c r="AD42" i="6"/>
  <c r="AB42" i="6"/>
  <c r="AE41" i="6"/>
  <c r="AD41" i="6"/>
  <c r="AB41" i="6"/>
  <c r="AE40" i="6"/>
  <c r="AD40" i="6"/>
  <c r="AB40" i="6"/>
  <c r="AE39" i="6"/>
  <c r="AD39" i="6"/>
  <c r="AB39" i="6"/>
  <c r="AE38" i="6"/>
  <c r="AD38" i="6"/>
  <c r="AB38" i="6"/>
  <c r="Z33" i="6"/>
  <c r="X33" i="6"/>
  <c r="V33" i="6"/>
  <c r="T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AE32" i="6"/>
  <c r="AD32" i="6"/>
  <c r="AB32" i="6"/>
  <c r="AE31" i="6"/>
  <c r="AD31" i="6"/>
  <c r="AB31" i="6"/>
  <c r="AE30" i="6"/>
  <c r="AD30" i="6"/>
  <c r="AB30" i="6"/>
  <c r="AE29" i="6"/>
  <c r="AD29" i="6"/>
  <c r="AB29" i="6"/>
  <c r="AE28" i="6"/>
  <c r="AD28" i="6"/>
  <c r="AB28" i="6"/>
  <c r="AE27" i="6"/>
  <c r="AD27" i="6"/>
  <c r="AB27" i="6"/>
  <c r="AE26" i="6"/>
  <c r="AD26" i="6"/>
  <c r="AB26" i="6"/>
  <c r="AE25" i="6"/>
  <c r="AD25" i="6"/>
  <c r="AB25" i="6"/>
  <c r="AE24" i="6"/>
  <c r="AD24" i="6"/>
  <c r="AB24" i="6"/>
  <c r="AE23" i="6"/>
  <c r="AD23" i="6"/>
  <c r="AB23" i="6"/>
  <c r="AE22" i="6"/>
  <c r="AD22" i="6"/>
  <c r="AB22" i="6"/>
  <c r="AE21" i="6"/>
  <c r="AD21" i="6"/>
  <c r="AB21" i="6"/>
  <c r="Z18" i="6"/>
  <c r="X18" i="6"/>
  <c r="V18" i="6"/>
  <c r="V35" i="6" s="1"/>
  <c r="V55" i="6" s="1"/>
  <c r="T18" i="6"/>
  <c r="R18" i="6"/>
  <c r="Q18" i="6"/>
  <c r="Q35" i="6" s="1"/>
  <c r="P18" i="6"/>
  <c r="P35" i="6" s="1"/>
  <c r="O18" i="6"/>
  <c r="N18" i="6"/>
  <c r="M18" i="6"/>
  <c r="L18" i="6"/>
  <c r="L35" i="6" s="1"/>
  <c r="L55" i="6" s="1"/>
  <c r="K18" i="6"/>
  <c r="J18" i="6"/>
  <c r="I18" i="6"/>
  <c r="I35" i="6" s="1"/>
  <c r="H18" i="6"/>
  <c r="H35" i="6" s="1"/>
  <c r="G18" i="6"/>
  <c r="F18" i="6"/>
  <c r="E18" i="6"/>
  <c r="D18" i="6"/>
  <c r="D35" i="6" s="1"/>
  <c r="D55" i="6" s="1"/>
  <c r="AE17" i="6"/>
  <c r="AD17" i="6"/>
  <c r="AB17" i="6"/>
  <c r="AE16" i="6"/>
  <c r="AD16" i="6"/>
  <c r="AB16" i="6"/>
  <c r="AE15" i="6"/>
  <c r="AD15" i="6"/>
  <c r="AB15" i="6"/>
  <c r="AE14" i="6"/>
  <c r="AD14" i="6"/>
  <c r="AB14" i="6"/>
  <c r="AE13" i="6"/>
  <c r="AD13" i="6"/>
  <c r="AB13" i="6"/>
  <c r="AE12" i="6"/>
  <c r="AD12" i="6"/>
  <c r="AB12" i="6"/>
  <c r="AE11" i="6"/>
  <c r="AD11" i="6"/>
  <c r="AB11" i="6"/>
  <c r="AE10" i="6"/>
  <c r="AD10" i="6"/>
  <c r="AB10" i="6"/>
  <c r="AE9" i="6"/>
  <c r="AD9" i="6"/>
  <c r="AB9" i="6"/>
  <c r="AE8" i="6"/>
  <c r="AD8" i="6"/>
  <c r="AB8" i="6"/>
  <c r="AE7" i="6"/>
  <c r="AD7" i="6"/>
  <c r="AB7" i="6"/>
  <c r="AE6" i="6"/>
  <c r="AD6" i="6"/>
  <c r="AB6" i="6"/>
  <c r="Z30" i="5"/>
  <c r="X30" i="5"/>
  <c r="V30" i="5"/>
  <c r="T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AE29" i="5"/>
  <c r="AD29" i="5"/>
  <c r="AB29" i="5"/>
  <c r="AE28" i="5"/>
  <c r="AD28" i="5"/>
  <c r="AB28" i="5"/>
  <c r="AE27" i="5"/>
  <c r="AD27" i="5"/>
  <c r="AB27" i="5"/>
  <c r="AE26" i="5"/>
  <c r="AD26" i="5"/>
  <c r="AB26" i="5"/>
  <c r="AE25" i="5"/>
  <c r="AD25" i="5"/>
  <c r="AB25" i="5"/>
  <c r="AE24" i="5"/>
  <c r="AD24" i="5"/>
  <c r="AB24" i="5"/>
  <c r="AE23" i="5"/>
  <c r="AD23" i="5"/>
  <c r="AB23" i="5"/>
  <c r="AE22" i="5"/>
  <c r="AD22" i="5"/>
  <c r="AB22" i="5"/>
  <c r="AE21" i="5"/>
  <c r="AD21" i="5"/>
  <c r="AB21" i="5"/>
  <c r="AE20" i="5"/>
  <c r="AD20" i="5"/>
  <c r="AB20" i="5"/>
  <c r="AE19" i="5"/>
  <c r="AD19" i="5"/>
  <c r="AB19" i="5"/>
  <c r="Q16" i="5"/>
  <c r="O16" i="5"/>
  <c r="O33" i="5" s="1"/>
  <c r="M16" i="5"/>
  <c r="M33" i="5" s="1"/>
  <c r="K16" i="5"/>
  <c r="J16" i="5"/>
  <c r="I16" i="5"/>
  <c r="H16" i="5"/>
  <c r="G16" i="5"/>
  <c r="G33" i="5" s="1"/>
  <c r="F16" i="5"/>
  <c r="E16" i="5"/>
  <c r="E33" i="5" s="1"/>
  <c r="D16" i="5"/>
  <c r="D33" i="5" s="1"/>
  <c r="AE15" i="5"/>
  <c r="AD15" i="5"/>
  <c r="AB15" i="5"/>
  <c r="AE14" i="5"/>
  <c r="AD14" i="5"/>
  <c r="AB14" i="5"/>
  <c r="AE13" i="5"/>
  <c r="AD13" i="5"/>
  <c r="AB13" i="5"/>
  <c r="AE12" i="5"/>
  <c r="AD12" i="5"/>
  <c r="AB12" i="5"/>
  <c r="AE11" i="5"/>
  <c r="AD11" i="5"/>
  <c r="AB11" i="5"/>
  <c r="AE10" i="5"/>
  <c r="AD10" i="5"/>
  <c r="AB10" i="5"/>
  <c r="AE9" i="5"/>
  <c r="AD9" i="5"/>
  <c r="AB9" i="5"/>
  <c r="AE8" i="5"/>
  <c r="AD8" i="5"/>
  <c r="AB8" i="5"/>
  <c r="AE7" i="5"/>
  <c r="Z7" i="5"/>
  <c r="Z16" i="5" s="1"/>
  <c r="X7" i="5"/>
  <c r="X16" i="5" s="1"/>
  <c r="V7" i="5"/>
  <c r="V16" i="5" s="1"/>
  <c r="V33" i="5" s="1"/>
  <c r="T7" i="5"/>
  <c r="T16" i="5" s="1"/>
  <c r="R7" i="5"/>
  <c r="R16" i="5" s="1"/>
  <c r="R33" i="5" s="1"/>
  <c r="P7" i="5"/>
  <c r="P16" i="5" s="1"/>
  <c r="N7" i="5"/>
  <c r="N16" i="5" s="1"/>
  <c r="N33" i="5" s="1"/>
  <c r="L7" i="5"/>
  <c r="L16" i="5" s="1"/>
  <c r="L33" i="5" s="1"/>
  <c r="AE6" i="5"/>
  <c r="AD6" i="5"/>
  <c r="AB6" i="5"/>
  <c r="AE5" i="5"/>
  <c r="AD5" i="5"/>
  <c r="AB5" i="5"/>
  <c r="Z16" i="4"/>
  <c r="X16" i="4"/>
  <c r="V16" i="4"/>
  <c r="T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AE15" i="4"/>
  <c r="AD15" i="4"/>
  <c r="AB15" i="4"/>
  <c r="AE14" i="4"/>
  <c r="AD14" i="4"/>
  <c r="AB14" i="4"/>
  <c r="AB16" i="4" s="1"/>
  <c r="AE13" i="4"/>
  <c r="AD13" i="4"/>
  <c r="AB13" i="4"/>
  <c r="AE9" i="4"/>
  <c r="AE8" i="4"/>
  <c r="AD8" i="4"/>
  <c r="AB8" i="4"/>
  <c r="AE7" i="4"/>
  <c r="AD7" i="4"/>
  <c r="AB7" i="4"/>
  <c r="AE6" i="4"/>
  <c r="AD6" i="4"/>
  <c r="AB6" i="4"/>
  <c r="Z5" i="4"/>
  <c r="Z10" i="4" s="1"/>
  <c r="Z19" i="4" s="1"/>
  <c r="X5" i="4"/>
  <c r="V5" i="4"/>
  <c r="T5" i="4"/>
  <c r="R5" i="4"/>
  <c r="Q5" i="4"/>
  <c r="Q10" i="4" s="1"/>
  <c r="P5" i="4"/>
  <c r="P10" i="4" s="1"/>
  <c r="O5" i="4"/>
  <c r="O10" i="4" s="1"/>
  <c r="O19" i="4" s="1"/>
  <c r="N5" i="4"/>
  <c r="N10" i="4" s="1"/>
  <c r="N19" i="4" s="1"/>
  <c r="M5" i="4"/>
  <c r="M10" i="4" s="1"/>
  <c r="L5" i="4"/>
  <c r="L10" i="4" s="1"/>
  <c r="L19" i="4" s="1"/>
  <c r="K5" i="4"/>
  <c r="K10" i="4" s="1"/>
  <c r="K19" i="4" s="1"/>
  <c r="J5" i="4"/>
  <c r="J10" i="4" s="1"/>
  <c r="J19" i="4" s="1"/>
  <c r="I5" i="4"/>
  <c r="I10" i="4" s="1"/>
  <c r="H5" i="4"/>
  <c r="H10" i="4" s="1"/>
  <c r="G5" i="4"/>
  <c r="G10" i="4" s="1"/>
  <c r="G19" i="4" s="1"/>
  <c r="F5" i="4"/>
  <c r="E5" i="4"/>
  <c r="E10" i="4" s="1"/>
  <c r="D5" i="4"/>
  <c r="V26" i="3"/>
  <c r="U26" i="3"/>
  <c r="T26" i="3"/>
  <c r="S26" i="3"/>
  <c r="R26" i="3"/>
  <c r="Q26" i="3"/>
  <c r="P26" i="3"/>
  <c r="K72" i="8" s="1"/>
  <c r="O26" i="3"/>
  <c r="N26" i="3"/>
  <c r="M26" i="3"/>
  <c r="L26" i="3"/>
  <c r="G72" i="8" s="1"/>
  <c r="K26" i="3"/>
  <c r="J26" i="3"/>
  <c r="E72" i="8" s="1"/>
  <c r="F26" i="3"/>
  <c r="E26" i="3"/>
  <c r="D26" i="3"/>
  <c r="AC24" i="3"/>
  <c r="AB24" i="3"/>
  <c r="W24" i="3"/>
  <c r="H24" i="3"/>
  <c r="AB23" i="3"/>
  <c r="W23" i="3"/>
  <c r="AC23" i="3" s="1"/>
  <c r="H23" i="3"/>
  <c r="AC22" i="3"/>
  <c r="AB22" i="3"/>
  <c r="W22" i="3"/>
  <c r="H22" i="3"/>
  <c r="AB21" i="3"/>
  <c r="W21" i="3"/>
  <c r="AC21" i="3" s="1"/>
  <c r="H21" i="3"/>
  <c r="AC20" i="3"/>
  <c r="AB20" i="3"/>
  <c r="W20" i="3"/>
  <c r="H20" i="3"/>
  <c r="AB19" i="3"/>
  <c r="W19" i="3"/>
  <c r="AC19" i="3" s="1"/>
  <c r="H19" i="3"/>
  <c r="AC18" i="3"/>
  <c r="AB18" i="3"/>
  <c r="W18" i="3"/>
  <c r="H18" i="3"/>
  <c r="AB17" i="3"/>
  <c r="W17" i="3"/>
  <c r="AC17" i="3" s="1"/>
  <c r="H17" i="3"/>
  <c r="AC16" i="3"/>
  <c r="AB16" i="3"/>
  <c r="W16" i="3"/>
  <c r="H16" i="3"/>
  <c r="AB15" i="3"/>
  <c r="W15" i="3"/>
  <c r="AC15" i="3" s="1"/>
  <c r="H15" i="3"/>
  <c r="AC14" i="3"/>
  <c r="AB14" i="3"/>
  <c r="W14" i="3"/>
  <c r="H14" i="3"/>
  <c r="AB13" i="3"/>
  <c r="W13" i="3"/>
  <c r="AC13" i="3" s="1"/>
  <c r="H13" i="3"/>
  <c r="AC12" i="3"/>
  <c r="AB12" i="3"/>
  <c r="W12" i="3"/>
  <c r="H12" i="3"/>
  <c r="AB11" i="3"/>
  <c r="W11" i="3"/>
  <c r="AC11" i="3" s="1"/>
  <c r="H11" i="3"/>
  <c r="AC10" i="3"/>
  <c r="AB10" i="3"/>
  <c r="W10" i="3"/>
  <c r="H10" i="3"/>
  <c r="AB9" i="3"/>
  <c r="AB26" i="3" s="1"/>
  <c r="W9" i="3"/>
  <c r="AC9" i="3" s="1"/>
  <c r="H9" i="3"/>
  <c r="AC8" i="3"/>
  <c r="AB8" i="3"/>
  <c r="W8" i="3"/>
  <c r="H8" i="3"/>
  <c r="AB7" i="3"/>
  <c r="W7" i="3"/>
  <c r="AC7" i="3" s="1"/>
  <c r="H7" i="3"/>
  <c r="AC6" i="3"/>
  <c r="AB6" i="3"/>
  <c r="W6" i="3"/>
  <c r="H6" i="3"/>
  <c r="AB5" i="3"/>
  <c r="W5" i="3"/>
  <c r="AC5" i="3" s="1"/>
  <c r="H5" i="3"/>
  <c r="F26" i="2"/>
  <c r="E26" i="2"/>
  <c r="D26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6" i="2" s="1"/>
  <c r="D72" i="8" s="1"/>
  <c r="H8" i="2"/>
  <c r="H7" i="2"/>
  <c r="H6" i="2"/>
  <c r="H5" i="2"/>
  <c r="H5" i="1" l="1"/>
  <c r="G5" i="1"/>
  <c r="H11" i="1"/>
  <c r="G11" i="1"/>
  <c r="H17" i="1"/>
  <c r="E16" i="1"/>
  <c r="H22" i="1"/>
  <c r="AD142" i="11"/>
  <c r="E152" i="11"/>
  <c r="AD152" i="11" s="1"/>
  <c r="D29" i="1" s="1"/>
  <c r="J35" i="6"/>
  <c r="R35" i="6"/>
  <c r="K35" i="6"/>
  <c r="K55" i="6" s="1"/>
  <c r="K68" i="6" s="1"/>
  <c r="V7" i="7"/>
  <c r="V14" i="7" s="1"/>
  <c r="V29" i="7" s="1"/>
  <c r="G14" i="7"/>
  <c r="G29" i="7" s="1"/>
  <c r="E14" i="8"/>
  <c r="X14" i="8"/>
  <c r="I19" i="4"/>
  <c r="Q19" i="4"/>
  <c r="H33" i="5"/>
  <c r="Z14" i="8"/>
  <c r="E63" i="8"/>
  <c r="M63" i="8"/>
  <c r="I33" i="5"/>
  <c r="AB12" i="8"/>
  <c r="AE32" i="8"/>
  <c r="L63" i="8"/>
  <c r="AD51" i="8"/>
  <c r="J29" i="7"/>
  <c r="AD11" i="7"/>
  <c r="AD12" i="7" s="1"/>
  <c r="AB20" i="8"/>
  <c r="AB61" i="8"/>
  <c r="N7" i="7"/>
  <c r="N14" i="7" s="1"/>
  <c r="N29" i="7" s="1"/>
  <c r="AD6" i="7"/>
  <c r="AB28" i="8"/>
  <c r="AD28" i="8"/>
  <c r="AD38" i="8"/>
  <c r="AD36" i="8"/>
  <c r="AE16" i="4"/>
  <c r="AD7" i="5"/>
  <c r="AD16" i="5" s="1"/>
  <c r="AD33" i="5" s="1"/>
  <c r="J33" i="5"/>
  <c r="T35" i="6"/>
  <c r="T55" i="6" s="1"/>
  <c r="T68" i="6" s="1"/>
  <c r="AD5" i="7"/>
  <c r="AD7" i="7" s="1"/>
  <c r="Z7" i="7"/>
  <c r="Z14" i="7" s="1"/>
  <c r="AD17" i="8"/>
  <c r="G63" i="8"/>
  <c r="G76" i="8" s="1"/>
  <c r="AB38" i="8"/>
  <c r="AB14" i="8"/>
  <c r="X35" i="6"/>
  <c r="X55" i="6" s="1"/>
  <c r="X68" i="6" s="1"/>
  <c r="I63" i="8"/>
  <c r="AB33" i="6"/>
  <c r="AE33" i="6"/>
  <c r="P7" i="7"/>
  <c r="K14" i="7"/>
  <c r="K29" i="7" s="1"/>
  <c r="I14" i="8"/>
  <c r="Q14" i="8"/>
  <c r="L14" i="7"/>
  <c r="L29" i="7" s="1"/>
  <c r="AE52" i="6"/>
  <c r="T33" i="5"/>
  <c r="F33" i="5"/>
  <c r="AE30" i="5"/>
  <c r="AD30" i="5"/>
  <c r="R7" i="7"/>
  <c r="R14" i="7" s="1"/>
  <c r="R29" i="7" s="1"/>
  <c r="O14" i="7"/>
  <c r="O29" i="7" s="1"/>
  <c r="AD21" i="8"/>
  <c r="AB36" i="8"/>
  <c r="AB18" i="6"/>
  <c r="AB35" i="6" s="1"/>
  <c r="AE18" i="6"/>
  <c r="AE35" i="6" s="1"/>
  <c r="H55" i="6"/>
  <c r="P55" i="6"/>
  <c r="P68" i="6" s="1"/>
  <c r="F14" i="7"/>
  <c r="F29" i="7" s="1"/>
  <c r="Q29" i="7"/>
  <c r="M14" i="8"/>
  <c r="M76" i="8" s="1"/>
  <c r="AD42" i="8"/>
  <c r="AE44" i="8"/>
  <c r="AD62" i="8"/>
  <c r="P19" i="4"/>
  <c r="E35" i="6"/>
  <c r="E55" i="6" s="1"/>
  <c r="E68" i="6" s="1"/>
  <c r="X33" i="5"/>
  <c r="AD18" i="6"/>
  <c r="I55" i="6"/>
  <c r="I68" i="6" s="1"/>
  <c r="Q55" i="6"/>
  <c r="Q68" i="6" s="1"/>
  <c r="Z27" i="7"/>
  <c r="X63" i="8"/>
  <c r="O63" i="8"/>
  <c r="O76" i="8" s="1"/>
  <c r="H19" i="4"/>
  <c r="M35" i="6"/>
  <c r="M55" i="6" s="1"/>
  <c r="M68" i="6" s="1"/>
  <c r="Q63" i="8"/>
  <c r="Z33" i="5"/>
  <c r="K33" i="5"/>
  <c r="AE27" i="7"/>
  <c r="F63" i="8"/>
  <c r="Z63" i="8"/>
  <c r="AB51" i="8"/>
  <c r="F72" i="8"/>
  <c r="H72" i="8" s="1"/>
  <c r="J72" i="8" s="1"/>
  <c r="L72" i="8" s="1"/>
  <c r="N72" i="8" s="1"/>
  <c r="P72" i="8" s="1"/>
  <c r="R72" i="8" s="1"/>
  <c r="T72" i="8" s="1"/>
  <c r="V72" i="8" s="1"/>
  <c r="X72" i="8" s="1"/>
  <c r="Z72" i="8" s="1"/>
  <c r="Z76" i="8" s="1"/>
  <c r="V10" i="4"/>
  <c r="V19" i="4" s="1"/>
  <c r="AD33" i="8"/>
  <c r="AB33" i="8"/>
  <c r="AB5" i="7"/>
  <c r="AD59" i="8"/>
  <c r="AB59" i="8"/>
  <c r="R55" i="6"/>
  <c r="R68" i="6" s="1"/>
  <c r="AB52" i="6"/>
  <c r="L68" i="6"/>
  <c r="V68" i="6"/>
  <c r="AD14" i="7"/>
  <c r="W26" i="3"/>
  <c r="R10" i="4"/>
  <c r="R19" i="4" s="1"/>
  <c r="J55" i="6"/>
  <c r="J68" i="6" s="1"/>
  <c r="AD33" i="6"/>
  <c r="AD35" i="6" s="1"/>
  <c r="AD55" i="6" s="1"/>
  <c r="AE29" i="7"/>
  <c r="AD48" i="8"/>
  <c r="AB48" i="8"/>
  <c r="AB30" i="5"/>
  <c r="AD52" i="6"/>
  <c r="P14" i="7"/>
  <c r="P29" i="7" s="1"/>
  <c r="AD19" i="7"/>
  <c r="AD22" i="7"/>
  <c r="AB22" i="7"/>
  <c r="AB21" i="8"/>
  <c r="AD54" i="8"/>
  <c r="AB54" i="8"/>
  <c r="AD66" i="8"/>
  <c r="AD70" i="8" s="1"/>
  <c r="AD68" i="8"/>
  <c r="AC26" i="3"/>
  <c r="AE72" i="8"/>
  <c r="E19" i="4"/>
  <c r="M19" i="4"/>
  <c r="T7" i="7"/>
  <c r="T14" i="7" s="1"/>
  <c r="T29" i="7" s="1"/>
  <c r="D7" i="7"/>
  <c r="H26" i="3"/>
  <c r="AD5" i="4"/>
  <c r="AB5" i="4"/>
  <c r="AB6" i="7"/>
  <c r="AE16" i="5"/>
  <c r="AE33" i="5" s="1"/>
  <c r="P33" i="5"/>
  <c r="F35" i="6"/>
  <c r="F55" i="6" s="1"/>
  <c r="F68" i="6" s="1"/>
  <c r="N35" i="6"/>
  <c r="N55" i="6" s="1"/>
  <c r="N68" i="6" s="1"/>
  <c r="Z35" i="6"/>
  <c r="Z55" i="6" s="1"/>
  <c r="Z68" i="6" s="1"/>
  <c r="H68" i="6"/>
  <c r="D65" i="6"/>
  <c r="D68" i="6" s="1"/>
  <c r="AD64" i="6"/>
  <c r="AD65" i="6" s="1"/>
  <c r="V63" i="8"/>
  <c r="AB35" i="8"/>
  <c r="AE36" i="8"/>
  <c r="AD61" i="8"/>
  <c r="AB68" i="8"/>
  <c r="AE5" i="4"/>
  <c r="AE10" i="4" s="1"/>
  <c r="AE19" i="4" s="1"/>
  <c r="AD16" i="4"/>
  <c r="Q33" i="5"/>
  <c r="G35" i="6"/>
  <c r="G55" i="6" s="1"/>
  <c r="G68" i="6" s="1"/>
  <c r="O35" i="6"/>
  <c r="O55" i="6" s="1"/>
  <c r="O68" i="6" s="1"/>
  <c r="AB64" i="6"/>
  <c r="AB65" i="6" s="1"/>
  <c r="D12" i="7"/>
  <c r="AB11" i="7"/>
  <c r="AB12" i="7" s="1"/>
  <c r="AD35" i="8"/>
  <c r="AB42" i="8"/>
  <c r="AB7" i="5"/>
  <c r="AB16" i="5" s="1"/>
  <c r="H63" i="8"/>
  <c r="P63" i="8"/>
  <c r="P76" i="8" s="1"/>
  <c r="H76" i="8"/>
  <c r="J63" i="8"/>
  <c r="R63" i="8"/>
  <c r="AE12" i="8"/>
  <c r="AE14" i="8" s="1"/>
  <c r="K63" i="8"/>
  <c r="T63" i="8"/>
  <c r="AB62" i="8"/>
  <c r="D27" i="7"/>
  <c r="AD14" i="8"/>
  <c r="J14" i="8"/>
  <c r="R14" i="8"/>
  <c r="AB17" i="8"/>
  <c r="AD25" i="8"/>
  <c r="AB25" i="8"/>
  <c r="T10" i="4"/>
  <c r="T19" i="4" s="1"/>
  <c r="AB19" i="7"/>
  <c r="K14" i="8"/>
  <c r="T14" i="8"/>
  <c r="AE25" i="8"/>
  <c r="AB32" i="8"/>
  <c r="AD32" i="8"/>
  <c r="AB60" i="8"/>
  <c r="D63" i="8"/>
  <c r="D76" i="8" s="1"/>
  <c r="F10" i="4"/>
  <c r="F19" i="4" s="1"/>
  <c r="X10" i="4"/>
  <c r="X19" i="4" s="1"/>
  <c r="N44" i="8"/>
  <c r="AD44" i="8" s="1"/>
  <c r="AB49" i="8"/>
  <c r="AB66" i="8"/>
  <c r="AB70" i="8" s="1"/>
  <c r="G29" i="1" l="1"/>
  <c r="H29" i="1"/>
  <c r="D27" i="1"/>
  <c r="E32" i="1"/>
  <c r="E37" i="1" s="1"/>
  <c r="E76" i="8"/>
  <c r="AB33" i="5"/>
  <c r="AE63" i="8"/>
  <c r="AE76" i="8" s="1"/>
  <c r="AB55" i="6"/>
  <c r="AB68" i="6" s="1"/>
  <c r="I76" i="8"/>
  <c r="Q76" i="8"/>
  <c r="AD68" i="6"/>
  <c r="R76" i="8"/>
  <c r="AE55" i="6"/>
  <c r="AE68" i="6" s="1"/>
  <c r="D14" i="7"/>
  <c r="D29" i="7" s="1"/>
  <c r="F76" i="8"/>
  <c r="L76" i="8"/>
  <c r="K76" i="8"/>
  <c r="AB7" i="7"/>
  <c r="AB14" i="7" s="1"/>
  <c r="AB29" i="7" s="1"/>
  <c r="Z29" i="7"/>
  <c r="V76" i="8"/>
  <c r="X76" i="8"/>
  <c r="AB72" i="8"/>
  <c r="N63" i="8"/>
  <c r="N76" i="8" s="1"/>
  <c r="AD9" i="4"/>
  <c r="AD10" i="4" s="1"/>
  <c r="AD19" i="4" s="1"/>
  <c r="AB9" i="4"/>
  <c r="AB10" i="4" s="1"/>
  <c r="AB19" i="4" s="1"/>
  <c r="D10" i="4"/>
  <c r="D19" i="4" s="1"/>
  <c r="AD72" i="8"/>
  <c r="AB27" i="7"/>
  <c r="AD27" i="7"/>
  <c r="AD29" i="7" s="1"/>
  <c r="AB44" i="8"/>
  <c r="AB63" i="8" s="1"/>
  <c r="T76" i="8"/>
  <c r="J76" i="8"/>
  <c r="AD63" i="8"/>
  <c r="G27" i="1" l="1"/>
  <c r="D16" i="1"/>
  <c r="H27" i="1"/>
  <c r="AB76" i="8"/>
  <c r="AB78" i="8"/>
  <c r="AD76" i="8"/>
  <c r="G16" i="1" l="1"/>
  <c r="D32" i="1"/>
  <c r="H16" i="1"/>
  <c r="D37" i="1" l="1"/>
  <c r="H32" i="1"/>
  <c r="G32" i="1"/>
  <c r="H37" i="1" l="1"/>
  <c r="G37" i="1"/>
  <c r="AB7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B15" authorId="0" shapeId="0" xr:uid="{00000000-0006-0000-0300-000001000000}">
      <text>
        <r>
          <rPr>
            <sz val="11"/>
            <color theme="1"/>
            <rFont val="Arial"/>
            <scheme val="minor"/>
          </rPr>
          <t>======
ID#AAABoysOYJM
Gerardo Lopez    (2025-08-05 20:03:59)
Antes: $220,000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5a4iOfiARE0fFIlCKG2ygnVAor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8" authorId="0" shapeId="0" xr:uid="{00000000-0006-0000-0500-000001000000}">
      <text>
        <r>
          <rPr>
            <sz val="11"/>
            <color theme="1"/>
            <rFont val="Arial"/>
            <scheme val="minor"/>
          </rPr>
          <t>======
ID#AAABoysOYKE
Gerardo Lopez    (2025-08-05 20:03:59)
Se agrega ppto. de evento que solicitó Ernesto Sánchez Proal en Feb. 25</t>
        </r>
      </text>
    </comment>
    <comment ref="F38" authorId="0" shapeId="0" xr:uid="{00000000-0006-0000-0500-000002000000}">
      <text>
        <r>
          <rPr>
            <sz val="11"/>
            <color theme="1"/>
            <rFont val="Arial"/>
            <scheme val="minor"/>
          </rPr>
          <t>======
ID#AAABoysOYJQ
Gerardo Lopez    (2025-08-05 20:03:59)
Evento adicional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4F3p+o2lZY7KVxS5NKXiLVeKAl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B25" authorId="0" shapeId="0" xr:uid="{00000000-0006-0000-0600-000001000000}">
      <text>
        <r>
          <rPr>
            <sz val="11"/>
            <color theme="1"/>
            <rFont val="Arial"/>
            <scheme val="minor"/>
          </rPr>
          <t>======
ID#AAABoysOYJk
Gerardo Lopez    (2025-08-05 20:03:59)
Antes: $6,600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xlsCMG945hO1/NXTliLs0SI/O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B17" authorId="0" shapeId="0" xr:uid="{00000000-0006-0000-0700-000005000000}">
      <text>
        <r>
          <rPr>
            <sz val="11"/>
            <color theme="1"/>
            <rFont val="Arial"/>
            <scheme val="minor"/>
          </rPr>
          <t>======
ID#AAABoysOYKY
Gerardo Lopez    (2025-08-05 20:03:59)
Antes: $14,553</t>
        </r>
      </text>
    </comment>
    <comment ref="AB18" authorId="0" shapeId="0" xr:uid="{00000000-0006-0000-0700-00000F000000}">
      <text>
        <r>
          <rPr>
            <sz val="11"/>
            <color theme="1"/>
            <rFont val="Arial"/>
            <scheme val="minor"/>
          </rPr>
          <t>======
ID#AAABoysOYJs
Gerardo Lopez    (2025-08-05 20:03:59)
Antes: $54,000</t>
        </r>
      </text>
    </comment>
    <comment ref="AB19" authorId="0" shapeId="0" xr:uid="{00000000-0006-0000-0700-000006000000}">
      <text>
        <r>
          <rPr>
            <sz val="11"/>
            <color theme="1"/>
            <rFont val="Arial"/>
            <scheme val="minor"/>
          </rPr>
          <t>======
ID#AAABoysOYKU
Gerardo Lopez    (2025-08-05 20:03:59)
Antes: $4,250</t>
        </r>
      </text>
    </comment>
    <comment ref="AB26" authorId="0" shapeId="0" xr:uid="{00000000-0006-0000-0700-000007000000}">
      <text>
        <r>
          <rPr>
            <sz val="11"/>
            <color theme="1"/>
            <rFont val="Arial"/>
            <scheme val="minor"/>
          </rPr>
          <t>======
ID#AAABoysOYKQ
Gerardo Lopez    (2025-08-05 20:03:59)
Antes: $71,400</t>
        </r>
      </text>
    </comment>
    <comment ref="AB27" authorId="0" shapeId="0" xr:uid="{00000000-0006-0000-0700-000001000000}">
      <text>
        <r>
          <rPr>
            <sz val="11"/>
            <color theme="1"/>
            <rFont val="Arial"/>
            <scheme val="minor"/>
          </rPr>
          <t>======
ID#AAABoysOYKo
Gerardo Lopez    (2025-08-05 20:03:59)
Agrego 1 por la misma cantidad en Sept.</t>
        </r>
      </text>
    </comment>
    <comment ref="AB28" authorId="0" shapeId="0" xr:uid="{00000000-0006-0000-0700-000010000000}">
      <text>
        <r>
          <rPr>
            <sz val="11"/>
            <color theme="1"/>
            <rFont val="Arial"/>
            <scheme val="minor"/>
          </rPr>
          <t>======
ID#AAABoysOYJo
Gerardo Lopez    (2025-08-05 20:03:59)
Antes: $30,000</t>
        </r>
      </text>
    </comment>
    <comment ref="AB29" authorId="0" shapeId="0" xr:uid="{00000000-0006-0000-0700-00000E000000}">
      <text>
        <r>
          <rPr>
            <sz val="11"/>
            <color theme="1"/>
            <rFont val="Arial"/>
            <scheme val="minor"/>
          </rPr>
          <t>======
ID#AAABoysOYJw
Gerardo Lopez    (2025-08-05 20:03:59)
Antes: $18,000</t>
        </r>
      </text>
    </comment>
    <comment ref="C32" authorId="0" shapeId="0" xr:uid="{00000000-0006-0000-0700-000008000000}">
      <text>
        <r>
          <rPr>
            <sz val="11"/>
            <color theme="1"/>
            <rFont val="Arial"/>
            <scheme val="minor"/>
          </rPr>
          <t>======
ID#AAABoysOYKM
    (2025-08-05 20:03:59)
Entra aire acondicionado</t>
        </r>
      </text>
    </comment>
    <comment ref="AB33" authorId="0" shapeId="0" xr:uid="{00000000-0006-0000-0700-000002000000}">
      <text>
        <r>
          <rPr>
            <sz val="11"/>
            <color theme="1"/>
            <rFont val="Arial"/>
            <scheme val="minor"/>
          </rPr>
          <t>======
ID#AAABoysOYKk
Gerardo Lopez    (2025-08-05 20:03:59)
Antes: $26,136</t>
        </r>
      </text>
    </comment>
    <comment ref="AB37" authorId="0" shapeId="0" xr:uid="{00000000-0006-0000-0700-000009000000}">
      <text>
        <r>
          <rPr>
            <sz val="11"/>
            <color theme="1"/>
            <rFont val="Arial"/>
            <scheme val="minor"/>
          </rPr>
          <t>======
ID#AAABoysOYKI
Gerardo Lopez    (2025-08-05 20:03:59)
Antes: $3,600</t>
        </r>
      </text>
    </comment>
    <comment ref="AB41" authorId="0" shapeId="0" xr:uid="{00000000-0006-0000-0700-000013000000}">
      <text>
        <r>
          <rPr>
            <sz val="11"/>
            <color theme="1"/>
            <rFont val="Arial"/>
            <scheme val="minor"/>
          </rPr>
          <t>======
ID#AAABoysOYJY
Gerardo Lopez    (2025-08-05 20:03:59)
Antes: $132,000</t>
        </r>
      </text>
    </comment>
    <comment ref="C42" authorId="0" shapeId="0" xr:uid="{00000000-0006-0000-0700-000012000000}">
      <text>
        <r>
          <rPr>
            <sz val="11"/>
            <color theme="1"/>
            <rFont val="Arial"/>
            <scheme val="minor"/>
          </rPr>
          <t>======
ID#AAABoysOYJc
    (2025-08-05 20:03:59)
Considerar recolección de basura, compra de garrafones de agua, poda de árboles, etc. Todo en caso de que no nos den factura y sean gastos recurrentes.</t>
        </r>
      </text>
    </comment>
    <comment ref="C45" authorId="0" shapeId="0" xr:uid="{00000000-0006-0000-0700-000014000000}">
      <text>
        <r>
          <rPr>
            <sz val="11"/>
            <color theme="1"/>
            <rFont val="Arial"/>
            <scheme val="minor"/>
          </rPr>
          <t>======
ID#AAABoysOYJU
Gerardo Lopez    (2025-08-05 20:03:59)
$15K Vales navideños, $14K Regalos rifa
$6.5K Comida navideña</t>
        </r>
      </text>
    </comment>
    <comment ref="AB45" authorId="0" shapeId="0" xr:uid="{00000000-0006-0000-0700-00000D000000}">
      <text>
        <r>
          <rPr>
            <sz val="11"/>
            <color theme="1"/>
            <rFont val="Arial"/>
            <scheme val="minor"/>
          </rPr>
          <t>======
ID#AAABoysOYJ0
Gerardo Lopez    (2025-08-05 20:03:59)
Antes: $60,000</t>
        </r>
      </text>
    </comment>
    <comment ref="AB50" authorId="0" shapeId="0" xr:uid="{00000000-0006-0000-0700-00000B000000}">
      <text>
        <r>
          <rPr>
            <sz val="11"/>
            <color theme="1"/>
            <rFont val="Arial"/>
            <scheme val="minor"/>
          </rPr>
          <t>======
ID#AAABoysOYJ8
Gerardo Lopez    (2025-08-05 20:03:59)
Antes: $0</t>
        </r>
      </text>
    </comment>
    <comment ref="B53" authorId="0" shapeId="0" xr:uid="{00000000-0006-0000-0700-00000C000000}">
      <text>
        <r>
          <rPr>
            <sz val="11"/>
            <color theme="1"/>
            <rFont val="Arial"/>
            <scheme val="minor"/>
          </rPr>
          <t>======
ID#AAABoysOYJ4
    (2025-08-05 20:03:59)
Revisar quitar el saldo en DN (Herramientas Sale Force) y en Dirección (Gtos. De representación)</t>
        </r>
      </text>
    </comment>
    <comment ref="AB54" authorId="0" shapeId="0" xr:uid="{00000000-0006-0000-0700-000011000000}">
      <text>
        <r>
          <rPr>
            <sz val="11"/>
            <color theme="1"/>
            <rFont val="Arial"/>
            <scheme val="minor"/>
          </rPr>
          <t>======
ID#AAABoysOYJg
Gerardo Lopez    (2025-08-05 20:03:59)
Antes: $0</t>
        </r>
      </text>
    </comment>
    <comment ref="AB55" authorId="0" shapeId="0" xr:uid="{00000000-0006-0000-0700-000003000000}">
      <text>
        <r>
          <rPr>
            <sz val="11"/>
            <color theme="1"/>
            <rFont val="Arial"/>
            <scheme val="minor"/>
          </rPr>
          <t>======
ID#AAABoysOYKg
Gerardo Lopez    (2025-08-05 20:03:59)
Antes: $7,500</t>
        </r>
      </text>
    </comment>
    <comment ref="B58" authorId="0" shapeId="0" xr:uid="{00000000-0006-0000-0700-00000A000000}">
      <text>
        <r>
          <rPr>
            <sz val="11"/>
            <color theme="1"/>
            <rFont val="Arial"/>
            <scheme val="minor"/>
          </rPr>
          <t>======
ID#AAABoysOYKA
    (2025-08-05 20:03:59)
Restarle gastos de viaje en la pestaña de Dirección</t>
        </r>
      </text>
    </comment>
    <comment ref="B59" authorId="0" shapeId="0" xr:uid="{00000000-0006-0000-0700-000015000000}">
      <text>
        <r>
          <rPr>
            <sz val="11"/>
            <color theme="1"/>
            <rFont val="Arial"/>
            <scheme val="minor"/>
          </rPr>
          <t>======
ID#AAABW00d_FE
Gerardo Lopez    (2024-10-07 15:03:52)
Restarle comisiones KAM´s en pestaña de DN</t>
        </r>
      </text>
    </comment>
    <comment ref="B66" authorId="0" shapeId="0" xr:uid="{00000000-0006-0000-0700-000004000000}">
      <text>
        <r>
          <rPr>
            <sz val="11"/>
            <color theme="1"/>
            <rFont val="Arial"/>
            <scheme val="minor"/>
          </rPr>
          <t>======
ID#AAABoysOYKc
    (2025-08-05 20:03:59)
Disminuir el de abajo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BJxhUCLm7/oNJc43tEDamaioDOQ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54" authorId="0" shapeId="0" xr:uid="{0A1979A6-4CEE-4982-91C4-D7AC46FB4390}">
      <text>
        <r>
          <rPr>
            <sz val="11"/>
            <color theme="1"/>
            <rFont val="Arial"/>
            <family val="2"/>
            <scheme val="minor"/>
          </rPr>
          <t>======
ID#AAAAdpmD1aU
Victoria Garcia    (2022-08-04 22:40:34)
50/50</t>
        </r>
      </text>
    </comment>
  </commentList>
</comments>
</file>

<file path=xl/sharedStrings.xml><?xml version="1.0" encoding="utf-8"?>
<sst xmlns="http://schemas.openxmlformats.org/spreadsheetml/2006/main" count="1042" uniqueCount="400">
  <si>
    <t>Capítulo GDL</t>
  </si>
  <si>
    <t>Presupuesto 2024</t>
  </si>
  <si>
    <t>Presupuesto 2025</t>
  </si>
  <si>
    <t>INCOME</t>
  </si>
  <si>
    <t>Membership</t>
  </si>
  <si>
    <t xml:space="preserve">Events </t>
  </si>
  <si>
    <t>Committees</t>
  </si>
  <si>
    <t>Services to Members</t>
  </si>
  <si>
    <t>EXPENSE</t>
  </si>
  <si>
    <t>Gastos Administrativos</t>
  </si>
  <si>
    <t>Nómina</t>
  </si>
  <si>
    <t>Gastos Corporativos</t>
  </si>
  <si>
    <t xml:space="preserve">OPERATING RESULTS </t>
  </si>
  <si>
    <t>Member Centricity</t>
  </si>
  <si>
    <t>Other</t>
  </si>
  <si>
    <t>NET RESULTS</t>
  </si>
  <si>
    <t>AMERICAN CHAMBER OF COMMERCE OF MEXICO, A.C.</t>
  </si>
  <si>
    <t>GASTOS CORPORATIVOS 2025</t>
  </si>
  <si>
    <t>Real 2024 GDL</t>
  </si>
  <si>
    <t>Criterio</t>
  </si>
  <si>
    <t>Mensual</t>
  </si>
  <si>
    <t>903-034-000-00</t>
  </si>
  <si>
    <t>Seguro Gtos Médicos Mayores</t>
  </si>
  <si>
    <t>Costo Directo</t>
  </si>
  <si>
    <t>903-033-000-00</t>
  </si>
  <si>
    <t>Seguro de Vida</t>
  </si>
  <si>
    <t>903-002-000-00</t>
  </si>
  <si>
    <t>Seguro Empresarial</t>
  </si>
  <si>
    <t>903-003-000-00</t>
  </si>
  <si>
    <t>PAE</t>
  </si>
  <si>
    <t>903-030-000-00</t>
  </si>
  <si>
    <t>Hosting /VPS</t>
  </si>
  <si>
    <t>903-032-000-00</t>
  </si>
  <si>
    <t>Outsourcing TI</t>
  </si>
  <si>
    <t>Póliza soporte y mantenimiento SIA</t>
  </si>
  <si>
    <t>903-018-000-00</t>
  </si>
  <si>
    <t>MCM/Internet/telefonía IP</t>
  </si>
  <si>
    <t>903-023-000-00/903-031-000-00/903-035-000-00</t>
  </si>
  <si>
    <t>Actualizaciones de software (COI, office, antivirus, licencias, timbres, etc)</t>
  </si>
  <si>
    <t>903-028-000-00</t>
  </si>
  <si>
    <t>Licencias Google Apps</t>
  </si>
  <si>
    <t>903-011-000-00</t>
  </si>
  <si>
    <t>Estudio actuarial</t>
  </si>
  <si>
    <t>903-012-000-00</t>
  </si>
  <si>
    <t>Gtos Notariales</t>
  </si>
  <si>
    <t>903-017-000-00 / 903-013-000-00 / 903-004-000-00</t>
  </si>
  <si>
    <t>Honorarios Auditoría financiera, seguro social y fiscal</t>
  </si>
  <si>
    <t>903-014-000-00</t>
  </si>
  <si>
    <t>Registro de Marcas</t>
  </si>
  <si>
    <t>903-015-000-00</t>
  </si>
  <si>
    <t>Costo Anual AACCLA</t>
  </si>
  <si>
    <t>903-022-000-00</t>
  </si>
  <si>
    <t>Almacen de Archivos AAA</t>
  </si>
  <si>
    <t>903-024-000-00</t>
  </si>
  <si>
    <t>Herramientas T&amp;IC (plataformas, créditos, etc.)</t>
  </si>
  <si>
    <t>903-005-000-00</t>
  </si>
  <si>
    <t>Linkedln</t>
  </si>
  <si>
    <t>ZOOM</t>
  </si>
  <si>
    <t>903-016-000-00</t>
  </si>
  <si>
    <t>Sueldos y Salarios VPE/Nacionales</t>
  </si>
  <si>
    <t>TOTAL CARGOS CORPORATIVOS</t>
  </si>
  <si>
    <t>Forecast 11+1 GDL</t>
  </si>
  <si>
    <t>Ene. 25</t>
  </si>
  <si>
    <t>Ppto. Ene. 25</t>
  </si>
  <si>
    <t>Feb. 25</t>
  </si>
  <si>
    <t>Ppto. Feb. 25</t>
  </si>
  <si>
    <t>Mar. 25</t>
  </si>
  <si>
    <t>Ppto. Mar. 25</t>
  </si>
  <si>
    <t>Abr. 25</t>
  </si>
  <si>
    <t>Ppto. Abr. 25</t>
  </si>
  <si>
    <t>May. 25</t>
  </si>
  <si>
    <t>Ppto. May. 25</t>
  </si>
  <si>
    <t>Jun. 25</t>
  </si>
  <si>
    <t>Ppto. Jun.. 25</t>
  </si>
  <si>
    <t>Jul. 25</t>
  </si>
  <si>
    <t>Ppto. Jul. 25</t>
  </si>
  <si>
    <t>Real Acumulado 2025</t>
  </si>
  <si>
    <t>Ppto. Acumulado 2025</t>
  </si>
  <si>
    <t xml:space="preserve">Ppto. </t>
  </si>
  <si>
    <t xml:space="preserve">Real </t>
  </si>
  <si>
    <t>DESARROLLO DE NEGOCIOS</t>
  </si>
  <si>
    <t>Acumulado</t>
  </si>
  <si>
    <t>Ingresos Desarrollo de Negocios</t>
  </si>
  <si>
    <t>400-000-000-00</t>
  </si>
  <si>
    <t>Membresías</t>
  </si>
  <si>
    <t>Renovaciones</t>
  </si>
  <si>
    <t>Descuentos</t>
  </si>
  <si>
    <t>Socios Nuevos</t>
  </si>
  <si>
    <t>401-001-000-00</t>
  </si>
  <si>
    <t>Cuotas Suscripción</t>
  </si>
  <si>
    <t>Suma de Ingresos Desarrollo de Negocios</t>
  </si>
  <si>
    <t>Gastos Desarrollo de Negocios</t>
  </si>
  <si>
    <t>902-002-000-00</t>
  </si>
  <si>
    <t>Herramienta Sales Force</t>
  </si>
  <si>
    <t>501-001-009-00</t>
  </si>
  <si>
    <t>Comisiones KAM´s</t>
  </si>
  <si>
    <t>702-001-000-00</t>
  </si>
  <si>
    <t xml:space="preserve">Desayunos promoción - On boarding </t>
  </si>
  <si>
    <t>Suma de Gastos Desarrollo de Negocios</t>
  </si>
  <si>
    <t>Resultado  Desarrollo de Negocios</t>
  </si>
  <si>
    <t>COMITÉS Y RELACIONES EXTERNAS</t>
  </si>
  <si>
    <t>Ingresos Comités</t>
  </si>
  <si>
    <t>404-017-000-00</t>
  </si>
  <si>
    <t xml:space="preserve">Agroindustria (Virtual ) </t>
  </si>
  <si>
    <t>404-005-000-00</t>
  </si>
  <si>
    <t>Asuntos Fiscales</t>
  </si>
  <si>
    <t>404-001-000-00</t>
  </si>
  <si>
    <t>Capital Humano y Asuntos Laborales</t>
  </si>
  <si>
    <t>404-003-000-00</t>
  </si>
  <si>
    <t>Comercio Exterior y Logística</t>
  </si>
  <si>
    <t>404-013-000-00</t>
  </si>
  <si>
    <t>Innovación y TICs</t>
  </si>
  <si>
    <t>404-007-000-00</t>
  </si>
  <si>
    <t>Legalidad y Estado de Derecho</t>
  </si>
  <si>
    <t>404-016-000-00</t>
  </si>
  <si>
    <t>Salud</t>
  </si>
  <si>
    <t>404-004-000-00</t>
  </si>
  <si>
    <t>Seguridad</t>
  </si>
  <si>
    <t>Sustentabilidad y Responsabilidad Social</t>
  </si>
  <si>
    <t>404-009-000-00</t>
  </si>
  <si>
    <t>Turismo</t>
  </si>
  <si>
    <t>404-018-000-00</t>
  </si>
  <si>
    <t>Programa de Mentoría (EWDP)</t>
  </si>
  <si>
    <t>Suma de Ingresos Comités</t>
  </si>
  <si>
    <t>Gastos Comités</t>
  </si>
  <si>
    <t>502-014-000-00</t>
  </si>
  <si>
    <t>Agroindustria</t>
  </si>
  <si>
    <t>502-005-000-00</t>
  </si>
  <si>
    <t>502-001-000-00</t>
  </si>
  <si>
    <t>502-003-000-00</t>
  </si>
  <si>
    <t>502-013-000-00</t>
  </si>
  <si>
    <t>502-007-000-00</t>
  </si>
  <si>
    <t>502-016-000-00</t>
  </si>
  <si>
    <t>502-004-000-00</t>
  </si>
  <si>
    <t>502-009-000-00</t>
  </si>
  <si>
    <t>502-017-000-00</t>
  </si>
  <si>
    <t>Suma de Gastos Comités</t>
  </si>
  <si>
    <t>Resultado  Comités</t>
  </si>
  <si>
    <t>Instrucciones: Favor de llenar solo los espacios en blanco, lo que está sombreado en gris será llenado por AYF</t>
  </si>
  <si>
    <t>Nota: Los eventos y comités deberán presupuestarse al menos en punto de equilibrio.</t>
  </si>
  <si>
    <t>EVENTOS Y SERVICIOS A LA MEMBRESÍA</t>
  </si>
  <si>
    <t>Ingresos Eventos</t>
  </si>
  <si>
    <t>Boletaje</t>
  </si>
  <si>
    <t>405-012-000-00</t>
  </si>
  <si>
    <t>Meet the consulate</t>
  </si>
  <si>
    <t>405-010-000-00</t>
  </si>
  <si>
    <t>Empower Your People</t>
  </si>
  <si>
    <t>405-007-000-00</t>
  </si>
  <si>
    <t>Extend Our Reach</t>
  </si>
  <si>
    <t>Punto de encuentro</t>
  </si>
  <si>
    <t>405-013-000-00</t>
  </si>
  <si>
    <t>The North America Week</t>
  </si>
  <si>
    <t>Reunion de Directores</t>
  </si>
  <si>
    <t>Jalisco Travel  Fest</t>
  </si>
  <si>
    <t>405-008-000-00</t>
  </si>
  <si>
    <t>Secretarias</t>
  </si>
  <si>
    <t>405-003-000-00</t>
  </si>
  <si>
    <t>Foros (Economico, Jalisco Visión, etc.)</t>
  </si>
  <si>
    <t>405-009-000-00</t>
  </si>
  <si>
    <t>Cumbre Empresarios</t>
  </si>
  <si>
    <t>405-001-000-00</t>
  </si>
  <si>
    <t>Torneo Golf</t>
  </si>
  <si>
    <t>405-002-000-00</t>
  </si>
  <si>
    <t>Asamblea Anual</t>
  </si>
  <si>
    <t>Ingresos Boletaje</t>
  </si>
  <si>
    <t>Patrocinios</t>
  </si>
  <si>
    <t>Jalisco Travel Fest</t>
  </si>
  <si>
    <t>Ingresos Patrocinios</t>
  </si>
  <si>
    <t>Suma Ingresos Eventos</t>
  </si>
  <si>
    <t>Costos y Gastos Eventos</t>
  </si>
  <si>
    <t>701-010-000-00</t>
  </si>
  <si>
    <t>701-014-000-00</t>
  </si>
  <si>
    <t>701-009-000-00</t>
  </si>
  <si>
    <t>701-012-000-00</t>
  </si>
  <si>
    <t>701-008-000-00</t>
  </si>
  <si>
    <t>701-007-000-00</t>
  </si>
  <si>
    <t>701-011-000-00</t>
  </si>
  <si>
    <t>701-001-000-00</t>
  </si>
  <si>
    <t>701-002-000-00</t>
  </si>
  <si>
    <t>701-004-000-00</t>
  </si>
  <si>
    <t>COCTELES</t>
  </si>
  <si>
    <t>701-013-000-00</t>
  </si>
  <si>
    <t>GLOBAL ENTRY</t>
  </si>
  <si>
    <t>Suma Costos y Gastos Eventos</t>
  </si>
  <si>
    <t>Resultado Operativo Eventos</t>
  </si>
  <si>
    <t>Ingresos Servicios a la Membresía</t>
  </si>
  <si>
    <t>403-002-000-00</t>
  </si>
  <si>
    <t>Encuesta de Sueldos y Prestaciones</t>
  </si>
  <si>
    <t>Suma de Ingresos Servicios a la Membresía</t>
  </si>
  <si>
    <t>Gastos  Servicios a la Membresía</t>
  </si>
  <si>
    <t>601-003-004-00</t>
  </si>
  <si>
    <t>Suma de Gastos  Servicios a la Membresía</t>
  </si>
  <si>
    <t>Resultado  Eventos y Serv Membresía</t>
  </si>
  <si>
    <t>DIRECCIÓN CAPÍTULO</t>
  </si>
  <si>
    <t>Ingresos CE/Board</t>
  </si>
  <si>
    <t>404-006-000-00</t>
  </si>
  <si>
    <t>Board Of Directors</t>
  </si>
  <si>
    <t>404-011-000-00</t>
  </si>
  <si>
    <t>Executive Committee</t>
  </si>
  <si>
    <t>Suma de Ingresos CE/Board</t>
  </si>
  <si>
    <t>Gastos CE/Board</t>
  </si>
  <si>
    <t>502-006-000-00</t>
  </si>
  <si>
    <t>Board of Directors</t>
  </si>
  <si>
    <t>502-012-000-00</t>
  </si>
  <si>
    <t>Suma de Gastos CE/Board</t>
  </si>
  <si>
    <t>Resultado Board y Executive</t>
  </si>
  <si>
    <t>Gastos de Administración</t>
  </si>
  <si>
    <t>901-004-003-00</t>
  </si>
  <si>
    <t>Gastos de Viaje</t>
  </si>
  <si>
    <t>Dirección</t>
  </si>
  <si>
    <t>901-007-000-00</t>
  </si>
  <si>
    <t>Viajes Presidente Capítulo</t>
  </si>
  <si>
    <t>902-003-000-00</t>
  </si>
  <si>
    <t>Gasolina Administración</t>
  </si>
  <si>
    <t>901-014-004-00</t>
  </si>
  <si>
    <t>Mtto. Equipo de Transporte</t>
  </si>
  <si>
    <t>902-002-001-00</t>
  </si>
  <si>
    <t>Gastos de representacion</t>
  </si>
  <si>
    <t>902-002-003-00</t>
  </si>
  <si>
    <t>Cuotas CCI</t>
  </si>
  <si>
    <t>Cuotas CCJEJ</t>
  </si>
  <si>
    <t>Suma Gastos Administrativos</t>
  </si>
  <si>
    <t>Resultado Director Capítulo</t>
  </si>
  <si>
    <t>GASTOS GENERALES</t>
  </si>
  <si>
    <t>Otros ingresos</t>
  </si>
  <si>
    <t>402-000-000-00</t>
  </si>
  <si>
    <t>Otros Ingresos</t>
  </si>
  <si>
    <t>Suma Otros Ingresos</t>
  </si>
  <si>
    <t>Gastos Financieros</t>
  </si>
  <si>
    <t>410-000-000-00</t>
  </si>
  <si>
    <t>Utilidad Cambiaria</t>
  </si>
  <si>
    <t>901-019-000-00</t>
  </si>
  <si>
    <t>Perdida Cambiaria</t>
  </si>
  <si>
    <t>901-020-000-00</t>
  </si>
  <si>
    <t>Gtos Financieros (comisiones)</t>
  </si>
  <si>
    <t>Suma Gastos Financieros</t>
  </si>
  <si>
    <t>Otros Ingresos vs Gastos</t>
  </si>
  <si>
    <t>Gastos Generales</t>
  </si>
  <si>
    <t>801-004-000-00</t>
  </si>
  <si>
    <t>MONITOREO ALARMA</t>
  </si>
  <si>
    <t>801-001-000-00</t>
  </si>
  <si>
    <t>ENERGIA ELECTRICA</t>
  </si>
  <si>
    <t>801-002-000-00</t>
  </si>
  <si>
    <t>AGUA POTABLE</t>
  </si>
  <si>
    <t>801-003-000-00</t>
  </si>
  <si>
    <t>PREDIAL</t>
  </si>
  <si>
    <t>901-011-013-00</t>
  </si>
  <si>
    <t>ASEO OFICINAS</t>
  </si>
  <si>
    <t>901-011-006-00</t>
  </si>
  <si>
    <t>MANTTO LAVANDERIA, TINTORERIA</t>
  </si>
  <si>
    <t xml:space="preserve">Poda de jardín </t>
  </si>
  <si>
    <t>Recolección de basura</t>
  </si>
  <si>
    <t>901-014-001-00</t>
  </si>
  <si>
    <t>MANTTO EQ DE OFICINA</t>
  </si>
  <si>
    <t>901-014-002-00</t>
  </si>
  <si>
    <t>MANTTO EQ DE COMPUTO</t>
  </si>
  <si>
    <t>Recarga Extintores</t>
  </si>
  <si>
    <t>Fumigaciones y sanitización</t>
  </si>
  <si>
    <t>Mantenimiento Portón Electrico</t>
  </si>
  <si>
    <t>Mantenimiento aire acondicionado</t>
  </si>
  <si>
    <t>Diversos (reparaciones mayores, pintura,  toldo para jardín, etc.)</t>
  </si>
  <si>
    <t>801-005-001-00</t>
  </si>
  <si>
    <t>MANTTO.Y GTOS DEL LOCAL</t>
  </si>
  <si>
    <t>901-003-000-00</t>
  </si>
  <si>
    <t>RENTA IMPRESORAS / COPIADORAS</t>
  </si>
  <si>
    <t>901-006-001-00</t>
  </si>
  <si>
    <t>TELCEL / WHATSAPP</t>
  </si>
  <si>
    <t>901-006-003-00</t>
  </si>
  <si>
    <t>TELEFONOS DE MEXICO</t>
  </si>
  <si>
    <t>TELEFONOS</t>
  </si>
  <si>
    <t>FEDEX, SEPOMEX, Etc.</t>
  </si>
  <si>
    <t>901-011-002-00</t>
  </si>
  <si>
    <t>PAQUETERIA Y MENSAJERIA</t>
  </si>
  <si>
    <t>901-011-011-00</t>
  </si>
  <si>
    <t>GTOS EXP PERMISO LICENCIA</t>
  </si>
  <si>
    <t>901-011-012-00</t>
  </si>
  <si>
    <t>GASTOS EXTRAORDINARIOS</t>
  </si>
  <si>
    <t>901-011-015-00</t>
  </si>
  <si>
    <t>Administración Fideicomiso</t>
  </si>
  <si>
    <t>901-011-005-00</t>
  </si>
  <si>
    <t>No deducibles (PODA, BASURA, AGUA ESTACIONAMIENTOS)</t>
  </si>
  <si>
    <t>901-011-004-00</t>
  </si>
  <si>
    <t>Varios</t>
  </si>
  <si>
    <t>OTROS GASTOS</t>
  </si>
  <si>
    <t>901-024-000-00</t>
  </si>
  <si>
    <t>REUNION FIN DE AÑO</t>
  </si>
  <si>
    <t>901-022-000-00</t>
  </si>
  <si>
    <t>IVA A PRORRATA NO ACREDITABLE</t>
  </si>
  <si>
    <t>901-099-000-00</t>
  </si>
  <si>
    <t>AJUSTES Y DIFERENCIAS</t>
  </si>
  <si>
    <t>Cuota vecinal</t>
  </si>
  <si>
    <t>Cuota Asociación Femenil de Ejecutivas de Empresas</t>
  </si>
  <si>
    <t>Otras cuotas y suscripciones</t>
  </si>
  <si>
    <t>901-002-000-00</t>
  </si>
  <si>
    <t>CUOTAS y SUSCRIPCIONES</t>
  </si>
  <si>
    <t>901-009-000-00</t>
  </si>
  <si>
    <t>DESPENSA, ARTS. CAFETERIA</t>
  </si>
  <si>
    <t>GASTOS PROMOCIONALES (ROLL UP, termos, libretas, plumas)</t>
  </si>
  <si>
    <t>901-013-000-00</t>
  </si>
  <si>
    <t>SERVICIOS DE CONSULTORIA EN COMUNICACIÓN</t>
  </si>
  <si>
    <t>901-011-010-00</t>
  </si>
  <si>
    <t>CONSUMOS REUNIONES</t>
  </si>
  <si>
    <t>901-001-000-00</t>
  </si>
  <si>
    <t>PAPELERIA Y  ARTS OFICINA</t>
  </si>
  <si>
    <t>902-001-000-00</t>
  </si>
  <si>
    <t>PASAJES y ESTACIONAMIENTOS (KAM´S)</t>
  </si>
  <si>
    <t>901-004-000-00</t>
  </si>
  <si>
    <t>PASAJES y ESTACIONAMIENTOS (AMCHAM)</t>
  </si>
  <si>
    <t>501-000-000-00</t>
  </si>
  <si>
    <t>NOMINA GDL</t>
  </si>
  <si>
    <t>901-005-000-00</t>
  </si>
  <si>
    <t>GASOLINA KAM´S</t>
  </si>
  <si>
    <t>901-006-002-00</t>
  </si>
  <si>
    <t>REEMBOLSO TELEFONO</t>
  </si>
  <si>
    <t>901-011-008-00</t>
  </si>
  <si>
    <t>HERRAMIENTAS TELE-TRABAJO</t>
  </si>
  <si>
    <t>Suma de Gastos Generales</t>
  </si>
  <si>
    <t>Depreciaciones y Amortizaciones</t>
  </si>
  <si>
    <t>901-008-000-00</t>
  </si>
  <si>
    <t>Depreciaciones de equipo</t>
  </si>
  <si>
    <t>Depreciación actual</t>
  </si>
  <si>
    <t>2 Equipos de Computo</t>
  </si>
  <si>
    <t>901-008-007-00</t>
  </si>
  <si>
    <t>Amortizaciones</t>
  </si>
  <si>
    <t>Suma Depreciaciones y Amortizaciones</t>
  </si>
  <si>
    <t>903-000-000-00</t>
  </si>
  <si>
    <t>Gastos Corporativos Gdl</t>
  </si>
  <si>
    <t>904-000-000-00</t>
  </si>
  <si>
    <t>Total GA Gdl</t>
  </si>
  <si>
    <t>Nota: Se pueden adicionar conceptos para los gastos generales, en caso de ser necesario.</t>
  </si>
  <si>
    <t>Real 2024</t>
  </si>
  <si>
    <t>Ppto. 2025</t>
  </si>
  <si>
    <t>Real 2025</t>
  </si>
  <si>
    <t>Departamento</t>
  </si>
  <si>
    <t>Cta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</si>
  <si>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</si>
  <si>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</si>
  <si>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</si>
  <si>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</si>
  <si>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</si>
  <si>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</si>
  <si>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</si>
  <si>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</si>
  <si>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</si>
  <si>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</si>
  <si>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</si>
  <si>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</si>
  <si>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Acum 2025</t>
  </si>
  <si>
    <t>DN</t>
  </si>
  <si>
    <t>Comités</t>
  </si>
  <si>
    <t>502-002-000-00</t>
  </si>
  <si>
    <t>Eventos</t>
  </si>
  <si>
    <t>405-014-000-00</t>
  </si>
  <si>
    <t>701-015-000-00</t>
  </si>
  <si>
    <t>RH</t>
  </si>
  <si>
    <t>901-011-003-00</t>
  </si>
  <si>
    <t>404-010-000-00</t>
  </si>
  <si>
    <t>404-014-000-00</t>
  </si>
  <si>
    <t>404-002-000-00</t>
  </si>
  <si>
    <t>404-008-000-00</t>
  </si>
  <si>
    <t>404-015-000-00</t>
  </si>
  <si>
    <t>405-004-000-00</t>
  </si>
  <si>
    <t>405-006-000-00</t>
  </si>
  <si>
    <t>405-011-000-00</t>
  </si>
  <si>
    <t>408-001-000-00</t>
  </si>
  <si>
    <t>502-010-000-00</t>
  </si>
  <si>
    <t>502-011-000-00</t>
  </si>
  <si>
    <t>502-015-000-00</t>
  </si>
  <si>
    <t>701-003-000-00</t>
  </si>
  <si>
    <t>701-005-000-00</t>
  </si>
  <si>
    <t>701-006-000-00</t>
  </si>
  <si>
    <t>801-005-002-00</t>
  </si>
  <si>
    <t>901-006-006-00</t>
  </si>
  <si>
    <t>901-008-001-00</t>
  </si>
  <si>
    <t>901-008-006-00</t>
  </si>
  <si>
    <t>901-008-008-00</t>
  </si>
  <si>
    <t>901-011-001-00</t>
  </si>
  <si>
    <t>901-011-014-00</t>
  </si>
  <si>
    <t>901-012-002-00</t>
  </si>
  <si>
    <t>902-006-000-00</t>
  </si>
  <si>
    <t>902-005-000-00</t>
  </si>
  <si>
    <t>Ppto.</t>
  </si>
  <si>
    <t>Real</t>
  </si>
  <si>
    <t>Acum. 25</t>
  </si>
  <si>
    <t>Variación Real 2024 vs Real 2025</t>
  </si>
  <si>
    <t>Variación Ppto. 2025 vs Real  2025</t>
  </si>
  <si>
    <t>Cuotas Netas</t>
  </si>
  <si>
    <t>Ingresos socios nuevos</t>
  </si>
  <si>
    <t>Venta Publicaciones</t>
  </si>
  <si>
    <t>Visas</t>
  </si>
  <si>
    <t>Gastos Promoción</t>
  </si>
  <si>
    <t>Comisiones por venta de membresías</t>
  </si>
  <si>
    <t>Costo Eventos</t>
  </si>
  <si>
    <t>Costo comités</t>
  </si>
  <si>
    <t>Gastos directos de publicación</t>
  </si>
  <si>
    <t>Gtos promoción y juntas de trabajo</t>
  </si>
  <si>
    <t>Gasto de local</t>
  </si>
  <si>
    <t>Gastos de Administracion</t>
  </si>
  <si>
    <t>Utilidad cambiaria</t>
  </si>
  <si>
    <t>cuenta de gastos corporativos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</si>
</sst>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"/>
    <numFmt numFmtId="165" formatCode="_(* #,##0_);_(* \(#,##0\);_(* &quot;-&quot;??_);_(@_)"/>
    <numFmt numFmtId="166" formatCode="_-* #,##0.00_-;\-* #,##0.00_-;_-* &quot;-&quot;??_-;_-@"/>
  </numFmts>
  <fonts count="31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9"/>
      <color rgb="FFFFFFFF"/>
      <name val="Arial"/>
      <family val="2"/>
      <scheme val="minor"/>
    </font>
    <font>
      <sz val="10"/>
      <name val="Arial"/>
      <family val="2"/>
      <scheme val="minor"/>
    </font>
    <font>
      <b/>
      <sz val="10"/>
      <color rgb="FF333399"/>
      <name val="Arial"/>
      <family val="2"/>
      <scheme val="minor"/>
    </font>
    <font>
      <sz val="9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rgb="FFFF0000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b/>
      <i/>
      <sz val="8"/>
      <color theme="1"/>
      <name val="Arial"/>
      <family val="2"/>
    </font>
    <font>
      <sz val="8"/>
      <color rgb="FF2F5496"/>
      <name val="Arial"/>
      <family val="2"/>
    </font>
    <font>
      <b/>
      <i/>
      <sz val="8"/>
      <color theme="0"/>
      <name val="Arial"/>
      <family val="2"/>
    </font>
    <font>
      <sz val="8"/>
      <color theme="0"/>
      <name val="Arial"/>
      <family val="2"/>
    </font>
    <font>
      <sz val="8"/>
      <color rgb="FFFF0000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sz val="8"/>
      <color rgb="FF366092"/>
      <name val="Arial"/>
      <family val="2"/>
    </font>
    <font>
      <sz val="8"/>
      <color theme="4"/>
      <name val="Arial"/>
      <family val="2"/>
    </font>
    <font>
      <sz val="8"/>
      <color rgb="FF4472C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theme="4"/>
        <bgColor theme="4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8" tint="0.39997558519241921"/>
        <bgColor rgb="FFFFC000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26"/>
  </cellStyleXfs>
  <cellXfs count="234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166" fontId="7" fillId="0" borderId="0" xfId="0" applyNumberFormat="1" applyFont="1"/>
    <xf numFmtId="166" fontId="7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7" fillId="0" borderId="8" xfId="0" applyFont="1" applyBorder="1"/>
    <xf numFmtId="164" fontId="7" fillId="0" borderId="8" xfId="0" applyNumberFormat="1" applyFont="1" applyBorder="1"/>
    <xf numFmtId="164" fontId="7" fillId="0" borderId="9" xfId="0" applyNumberFormat="1" applyFont="1" applyBorder="1"/>
    <xf numFmtId="164" fontId="7" fillId="0" borderId="10" xfId="0" applyNumberFormat="1" applyFont="1" applyBorder="1"/>
    <xf numFmtId="0" fontId="7" fillId="0" borderId="10" xfId="0" applyFont="1" applyBorder="1" applyAlignment="1">
      <alignment horizontal="center" vertical="center"/>
    </xf>
    <xf numFmtId="9" fontId="7" fillId="0" borderId="10" xfId="0" applyNumberFormat="1" applyFont="1" applyBorder="1" applyAlignment="1">
      <alignment horizontal="center" vertical="center"/>
    </xf>
    <xf numFmtId="0" fontId="7" fillId="0" borderId="11" xfId="0" applyFont="1" applyBorder="1"/>
    <xf numFmtId="164" fontId="7" fillId="0" borderId="11" xfId="0" applyNumberFormat="1" applyFont="1" applyBorder="1"/>
    <xf numFmtId="0" fontId="7" fillId="0" borderId="12" xfId="0" applyFont="1" applyBorder="1"/>
    <xf numFmtId="0" fontId="7" fillId="0" borderId="6" xfId="0" applyFont="1" applyBorder="1"/>
    <xf numFmtId="166" fontId="7" fillId="0" borderId="13" xfId="0" applyNumberFormat="1" applyFont="1" applyBorder="1"/>
    <xf numFmtId="0" fontId="7" fillId="0" borderId="13" xfId="0" applyFont="1" applyBorder="1" applyAlignment="1">
      <alignment horizontal="center" vertical="center"/>
    </xf>
    <xf numFmtId="0" fontId="8" fillId="0" borderId="8" xfId="0" applyFont="1" applyBorder="1"/>
    <xf numFmtId="164" fontId="8" fillId="0" borderId="9" xfId="0" applyNumberFormat="1" applyFont="1" applyBorder="1"/>
    <xf numFmtId="164" fontId="8" fillId="0" borderId="10" xfId="0" applyNumberFormat="1" applyFont="1" applyBorder="1"/>
    <xf numFmtId="164" fontId="8" fillId="0" borderId="10" xfId="0" applyNumberFormat="1" applyFont="1" applyBorder="1" applyAlignment="1">
      <alignment horizontal="center" vertical="center"/>
    </xf>
    <xf numFmtId="0" fontId="8" fillId="0" borderId="0" xfId="0" applyFont="1"/>
    <xf numFmtId="0" fontId="7" fillId="0" borderId="7" xfId="0" applyFont="1" applyBorder="1"/>
    <xf numFmtId="166" fontId="7" fillId="0" borderId="14" xfId="0" applyNumberFormat="1" applyFont="1" applyBorder="1"/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9" fillId="0" borderId="0" xfId="0" applyNumberFormat="1" applyFont="1"/>
    <xf numFmtId="9" fontId="8" fillId="0" borderId="0" xfId="0" applyNumberFormat="1" applyFont="1" applyAlignment="1">
      <alignment horizontal="center" vertical="center"/>
    </xf>
    <xf numFmtId="9" fontId="9" fillId="0" borderId="0" xfId="0" applyNumberFormat="1" applyFont="1"/>
    <xf numFmtId="0" fontId="8" fillId="4" borderId="15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4" fontId="7" fillId="0" borderId="7" xfId="0" applyNumberFormat="1" applyFont="1" applyBorder="1"/>
    <xf numFmtId="166" fontId="7" fillId="0" borderId="6" xfId="0" applyNumberFormat="1" applyFont="1" applyBorder="1"/>
    <xf numFmtId="166" fontId="7" fillId="0" borderId="7" xfId="0" applyNumberFormat="1" applyFont="1" applyBorder="1"/>
    <xf numFmtId="0" fontId="6" fillId="0" borderId="26" xfId="1" applyFont="1"/>
    <xf numFmtId="0" fontId="1" fillId="0" borderId="26" xfId="1"/>
    <xf numFmtId="164" fontId="2" fillId="6" borderId="15" xfId="1" applyNumberFormat="1" applyFont="1" applyFill="1" applyBorder="1" applyAlignment="1">
      <alignment horizontal="center" vertical="center"/>
    </xf>
    <xf numFmtId="164" fontId="2" fillId="6" borderId="12" xfId="1" applyNumberFormat="1" applyFont="1" applyFill="1" applyBorder="1" applyAlignment="1">
      <alignment horizontal="center" vertical="center"/>
    </xf>
    <xf numFmtId="0" fontId="4" fillId="0" borderId="12" xfId="1" applyFont="1" applyBorder="1"/>
    <xf numFmtId="0" fontId="6" fillId="0" borderId="27" xfId="1" applyFont="1" applyBorder="1"/>
    <xf numFmtId="164" fontId="6" fillId="0" borderId="12" xfId="1" applyNumberFormat="1" applyFont="1" applyBorder="1"/>
    <xf numFmtId="0" fontId="4" fillId="0" borderId="8" xfId="1" applyFont="1" applyBorder="1"/>
    <xf numFmtId="164" fontId="6" fillId="0" borderId="8" xfId="1" applyNumberFormat="1" applyFont="1" applyBorder="1"/>
    <xf numFmtId="0" fontId="4" fillId="0" borderId="11" xfId="1" applyFont="1" applyBorder="1"/>
    <xf numFmtId="0" fontId="6" fillId="0" borderId="25" xfId="1" applyFont="1" applyBorder="1"/>
    <xf numFmtId="164" fontId="6" fillId="0" borderId="11" xfId="1" applyNumberFormat="1" applyFont="1" applyBorder="1"/>
    <xf numFmtId="164" fontId="6" fillId="10" borderId="8" xfId="1" applyNumberFormat="1" applyFont="1" applyFill="1" applyBorder="1"/>
    <xf numFmtId="164" fontId="6" fillId="10" borderId="10" xfId="1" applyNumberFormat="1" applyFont="1" applyFill="1" applyBorder="1"/>
    <xf numFmtId="164" fontId="2" fillId="6" borderId="27" xfId="1" applyNumberFormat="1" applyFont="1" applyFill="1" applyBorder="1" applyAlignment="1">
      <alignment horizontal="center" vertical="center"/>
    </xf>
    <xf numFmtId="164" fontId="6" fillId="0" borderId="27" xfId="1" applyNumberFormat="1" applyFont="1" applyBorder="1"/>
    <xf numFmtId="164" fontId="6" fillId="0" borderId="26" xfId="1" applyNumberFormat="1" applyFont="1"/>
    <xf numFmtId="164" fontId="6" fillId="0" borderId="25" xfId="1" applyNumberFormat="1" applyFont="1" applyBorder="1"/>
    <xf numFmtId="0" fontId="2" fillId="6" borderId="21" xfId="1" applyFont="1" applyFill="1" applyBorder="1" applyAlignment="1">
      <alignment horizontal="center" vertical="center"/>
    </xf>
    <xf numFmtId="0" fontId="2" fillId="11" borderId="21" xfId="1" applyFont="1" applyFill="1" applyBorder="1" applyAlignment="1">
      <alignment horizontal="center" vertical="center"/>
    </xf>
    <xf numFmtId="164" fontId="2" fillId="11" borderId="15" xfId="1" applyNumberFormat="1" applyFont="1" applyFill="1" applyBorder="1" applyAlignment="1">
      <alignment horizontal="center" vertical="center"/>
    </xf>
    <xf numFmtId="0" fontId="2" fillId="0" borderId="26" xfId="1" applyFont="1" applyAlignment="1">
      <alignment horizontal="center" vertical="center"/>
    </xf>
    <xf numFmtId="164" fontId="2" fillId="0" borderId="26" xfId="1" applyNumberFormat="1" applyFont="1" applyAlignment="1">
      <alignment horizontal="center" vertical="center"/>
    </xf>
    <xf numFmtId="0" fontId="2" fillId="11" borderId="28" xfId="1" applyFont="1" applyFill="1" applyBorder="1" applyAlignment="1">
      <alignment horizontal="center" vertical="center"/>
    </xf>
    <xf numFmtId="164" fontId="2" fillId="11" borderId="29" xfId="1" applyNumberFormat="1" applyFont="1" applyFill="1" applyBorder="1" applyAlignment="1">
      <alignment horizontal="center" vertical="center"/>
    </xf>
    <xf numFmtId="164" fontId="6" fillId="0" borderId="29" xfId="1" applyNumberFormat="1" applyFont="1" applyBorder="1"/>
    <xf numFmtId="164" fontId="6" fillId="10" borderId="31" xfId="1" applyNumberFormat="1" applyFont="1" applyFill="1" applyBorder="1"/>
    <xf numFmtId="164" fontId="6" fillId="0" borderId="31" xfId="1" applyNumberFormat="1" applyFont="1" applyBorder="1"/>
    <xf numFmtId="0" fontId="1" fillId="0" borderId="32" xfId="1" applyBorder="1"/>
    <xf numFmtId="0" fontId="1" fillId="0" borderId="30" xfId="1" applyBorder="1"/>
    <xf numFmtId="164" fontId="6" fillId="10" borderId="33" xfId="1" applyNumberFormat="1" applyFont="1" applyFill="1" applyBorder="1"/>
    <xf numFmtId="0" fontId="2" fillId="11" borderId="12" xfId="1" applyFont="1" applyFill="1" applyBorder="1" applyAlignment="1">
      <alignment horizontal="center" vertical="center"/>
    </xf>
    <xf numFmtId="0" fontId="2" fillId="6" borderId="12" xfId="1" applyFont="1" applyFill="1" applyBorder="1" applyAlignment="1">
      <alignment horizontal="center" vertical="center"/>
    </xf>
    <xf numFmtId="164" fontId="2" fillId="6" borderId="35" xfId="1" applyNumberFormat="1" applyFont="1" applyFill="1" applyBorder="1" applyAlignment="1">
      <alignment horizontal="center" vertical="center"/>
    </xf>
    <xf numFmtId="164" fontId="2" fillId="6" borderId="36" xfId="1" applyNumberFormat="1" applyFont="1" applyFill="1" applyBorder="1" applyAlignment="1">
      <alignment horizontal="center" vertical="center"/>
    </xf>
    <xf numFmtId="164" fontId="2" fillId="11" borderId="36" xfId="1" applyNumberFormat="1" applyFont="1" applyFill="1" applyBorder="1" applyAlignment="1">
      <alignment horizontal="center" vertical="center"/>
    </xf>
    <xf numFmtId="164" fontId="2" fillId="6" borderId="37" xfId="1" applyNumberFormat="1" applyFont="1" applyFill="1" applyBorder="1" applyAlignment="1">
      <alignment horizontal="center" vertical="center"/>
    </xf>
    <xf numFmtId="164" fontId="2" fillId="6" borderId="38" xfId="1" applyNumberFormat="1" applyFont="1" applyFill="1" applyBorder="1" applyAlignment="1">
      <alignment horizontal="center" vertical="center"/>
    </xf>
    <xf numFmtId="0" fontId="4" fillId="0" borderId="39" xfId="1" applyFont="1" applyBorder="1"/>
    <xf numFmtId="164" fontId="6" fillId="0" borderId="30" xfId="1" applyNumberFormat="1" applyFont="1" applyBorder="1"/>
    <xf numFmtId="0" fontId="4" fillId="10" borderId="32" xfId="1" applyFont="1" applyFill="1" applyBorder="1"/>
    <xf numFmtId="1" fontId="6" fillId="10" borderId="26" xfId="1" applyNumberFormat="1" applyFont="1" applyFill="1"/>
    <xf numFmtId="164" fontId="6" fillId="10" borderId="30" xfId="1" applyNumberFormat="1" applyFont="1" applyFill="1" applyBorder="1"/>
    <xf numFmtId="0" fontId="4" fillId="0" borderId="32" xfId="1" applyFont="1" applyBorder="1"/>
    <xf numFmtId="164" fontId="6" fillId="10" borderId="40" xfId="1" applyNumberFormat="1" applyFont="1" applyFill="1" applyBorder="1"/>
    <xf numFmtId="0" fontId="4" fillId="10" borderId="41" xfId="1" applyFont="1" applyFill="1" applyBorder="1"/>
    <xf numFmtId="1" fontId="6" fillId="10" borderId="42" xfId="1" applyNumberFormat="1" applyFont="1" applyFill="1" applyBorder="1"/>
    <xf numFmtId="164" fontId="6" fillId="10" borderId="42" xfId="1" applyNumberFormat="1" applyFont="1" applyFill="1" applyBorder="1"/>
    <xf numFmtId="164" fontId="6" fillId="10" borderId="34" xfId="1" applyNumberFormat="1" applyFont="1" applyFill="1" applyBorder="1"/>
    <xf numFmtId="0" fontId="2" fillId="6" borderId="28" xfId="1" applyFont="1" applyFill="1" applyBorder="1" applyAlignment="1">
      <alignment horizontal="center" vertical="center"/>
    </xf>
    <xf numFmtId="164" fontId="2" fillId="6" borderId="29" xfId="1" applyNumberFormat="1" applyFont="1" applyFill="1" applyBorder="1" applyAlignment="1">
      <alignment horizontal="center" vertical="center"/>
    </xf>
    <xf numFmtId="1" fontId="10" fillId="0" borderId="0" xfId="0" applyNumberFormat="1" applyFont="1"/>
    <xf numFmtId="0" fontId="11" fillId="0" borderId="0" xfId="0" applyFont="1"/>
    <xf numFmtId="0" fontId="12" fillId="3" borderId="1" xfId="0" applyFont="1" applyFill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11" fillId="0" borderId="0" xfId="0" applyNumberFormat="1" applyFont="1"/>
    <xf numFmtId="165" fontId="12" fillId="2" borderId="43" xfId="0" applyNumberFormat="1" applyFont="1" applyFill="1" applyBorder="1" applyAlignment="1">
      <alignment horizontal="center"/>
    </xf>
    <xf numFmtId="164" fontId="12" fillId="2" borderId="43" xfId="0" applyNumberFormat="1" applyFont="1" applyFill="1" applyBorder="1"/>
    <xf numFmtId="9" fontId="12" fillId="2" borderId="43" xfId="0" applyNumberFormat="1" applyFont="1" applyFill="1" applyBorder="1"/>
    <xf numFmtId="164" fontId="11" fillId="4" borderId="43" xfId="0" applyNumberFormat="1" applyFont="1" applyFill="1" applyBorder="1"/>
    <xf numFmtId="9" fontId="11" fillId="4" borderId="43" xfId="0" applyNumberFormat="1" applyFont="1" applyFill="1" applyBorder="1"/>
    <xf numFmtId="164" fontId="14" fillId="0" borderId="44" xfId="0" applyNumberFormat="1" applyFont="1" applyBorder="1"/>
    <xf numFmtId="9" fontId="14" fillId="0" borderId="44" xfId="0" applyNumberFormat="1" applyFont="1" applyBorder="1"/>
    <xf numFmtId="164" fontId="14" fillId="0" borderId="45" xfId="0" applyNumberFormat="1" applyFont="1" applyBorder="1"/>
    <xf numFmtId="9" fontId="14" fillId="0" borderId="45" xfId="0" applyNumberFormat="1" applyFont="1" applyBorder="1"/>
    <xf numFmtId="165" fontId="12" fillId="2" borderId="43" xfId="0" applyNumberFormat="1" applyFont="1" applyFill="1" applyBorder="1" applyAlignment="1">
      <alignment horizontal="center" vertical="center" wrapText="1"/>
    </xf>
    <xf numFmtId="164" fontId="11" fillId="5" borderId="43" xfId="0" applyNumberFormat="1" applyFont="1" applyFill="1" applyBorder="1"/>
    <xf numFmtId="9" fontId="11" fillId="5" borderId="43" xfId="0" applyNumberFormat="1" applyFont="1" applyFill="1" applyBorder="1"/>
    <xf numFmtId="0" fontId="10" fillId="0" borderId="0" xfId="0" applyFont="1"/>
    <xf numFmtId="9" fontId="11" fillId="0" borderId="3" xfId="0" applyNumberFormat="1" applyFont="1" applyBorder="1"/>
    <xf numFmtId="165" fontId="15" fillId="4" borderId="43" xfId="0" applyNumberFormat="1" applyFont="1" applyFill="1" applyBorder="1" applyAlignment="1">
      <alignment horizontal="center" vertical="center"/>
    </xf>
    <xf numFmtId="165" fontId="14" fillId="0" borderId="44" xfId="0" applyNumberFormat="1" applyFont="1" applyBorder="1" applyAlignment="1">
      <alignment horizontal="center" vertical="center"/>
    </xf>
    <xf numFmtId="165" fontId="14" fillId="0" borderId="45" xfId="0" applyNumberFormat="1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9" fontId="13" fillId="2" borderId="5" xfId="0" applyNumberFormat="1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166" fontId="8" fillId="4" borderId="6" xfId="0" applyNumberFormat="1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17" fontId="19" fillId="7" borderId="17" xfId="0" applyNumberFormat="1" applyFont="1" applyFill="1" applyBorder="1" applyAlignment="1">
      <alignment horizontal="center"/>
    </xf>
    <xf numFmtId="17" fontId="19" fillId="6" borderId="17" xfId="0" applyNumberFormat="1" applyFont="1" applyFill="1" applyBorder="1" applyAlignment="1">
      <alignment horizontal="center"/>
    </xf>
    <xf numFmtId="0" fontId="20" fillId="0" borderId="0" xfId="0" applyFont="1"/>
    <xf numFmtId="0" fontId="19" fillId="7" borderId="17" xfId="0" applyFont="1" applyFill="1" applyBorder="1" applyAlignment="1">
      <alignment horizontal="center" wrapText="1"/>
    </xf>
    <xf numFmtId="0" fontId="19" fillId="7" borderId="17" xfId="0" applyFont="1" applyFill="1" applyBorder="1" applyAlignment="1">
      <alignment horizontal="center"/>
    </xf>
    <xf numFmtId="166" fontId="20" fillId="0" borderId="0" xfId="0" applyNumberFormat="1" applyFont="1"/>
    <xf numFmtId="166" fontId="21" fillId="0" borderId="0" xfId="0" applyNumberFormat="1" applyFont="1" applyAlignment="1">
      <alignment horizontal="center"/>
    </xf>
    <xf numFmtId="164" fontId="20" fillId="0" borderId="18" xfId="0" applyNumberFormat="1" applyFont="1" applyBorder="1"/>
    <xf numFmtId="164" fontId="20" fillId="0" borderId="25" xfId="0" applyNumberFormat="1" applyFont="1" applyBorder="1"/>
    <xf numFmtId="0" fontId="22" fillId="0" borderId="0" xfId="0" applyFont="1"/>
    <xf numFmtId="164" fontId="22" fillId="0" borderId="0" xfId="0" applyNumberFormat="1" applyFont="1"/>
    <xf numFmtId="164" fontId="20" fillId="0" borderId="0" xfId="0" applyNumberFormat="1" applyFont="1"/>
    <xf numFmtId="0" fontId="23" fillId="7" borderId="1" xfId="0" applyFont="1" applyFill="1" applyBorder="1"/>
    <xf numFmtId="164" fontId="19" fillId="7" borderId="1" xfId="0" applyNumberFormat="1" applyFont="1" applyFill="1" applyBorder="1"/>
    <xf numFmtId="164" fontId="19" fillId="7" borderId="26" xfId="0" applyNumberFormat="1" applyFont="1" applyFill="1" applyBorder="1"/>
    <xf numFmtId="0" fontId="19" fillId="7" borderId="19" xfId="0" applyFont="1" applyFill="1" applyBorder="1" applyAlignment="1">
      <alignment horizontal="left"/>
    </xf>
    <xf numFmtId="164" fontId="24" fillId="7" borderId="20" xfId="0" applyNumberFormat="1" applyFont="1" applyFill="1" applyBorder="1"/>
    <xf numFmtId="164" fontId="24" fillId="7" borderId="4" xfId="0" applyNumberFormat="1" applyFont="1" applyFill="1" applyBorder="1"/>
    <xf numFmtId="165" fontId="20" fillId="0" borderId="0" xfId="0" applyNumberFormat="1" applyFont="1"/>
    <xf numFmtId="17" fontId="19" fillId="7" borderId="21" xfId="0" applyNumberFormat="1" applyFont="1" applyFill="1" applyBorder="1" applyAlignment="1">
      <alignment horizontal="center" vertical="center"/>
    </xf>
    <xf numFmtId="17" fontId="19" fillId="6" borderId="2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7" borderId="21" xfId="0" applyFont="1" applyFill="1" applyBorder="1" applyAlignment="1">
      <alignment horizontal="center" vertical="center"/>
    </xf>
    <xf numFmtId="0" fontId="19" fillId="7" borderId="17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166" fontId="21" fillId="0" borderId="0" xfId="0" applyNumberFormat="1" applyFont="1" applyAlignment="1">
      <alignment horizontal="left"/>
    </xf>
    <xf numFmtId="164" fontId="20" fillId="3" borderId="1" xfId="0" applyNumberFormat="1" applyFont="1" applyFill="1" applyBorder="1"/>
    <xf numFmtId="164" fontId="20" fillId="3" borderId="26" xfId="0" applyNumberFormat="1" applyFont="1" applyFill="1" applyBorder="1"/>
    <xf numFmtId="166" fontId="20" fillId="8" borderId="1" xfId="0" applyNumberFormat="1" applyFont="1" applyFill="1" applyBorder="1"/>
    <xf numFmtId="164" fontId="25" fillId="0" borderId="0" xfId="0" applyNumberFormat="1" applyFont="1"/>
    <xf numFmtId="166" fontId="20" fillId="3" borderId="1" xfId="0" applyNumberFormat="1" applyFont="1" applyFill="1" applyBorder="1"/>
    <xf numFmtId="0" fontId="26" fillId="0" borderId="0" xfId="0" applyFont="1"/>
    <xf numFmtId="164" fontId="26" fillId="3" borderId="22" xfId="0" applyNumberFormat="1" applyFont="1" applyFill="1" applyBorder="1"/>
    <xf numFmtId="164" fontId="26" fillId="3" borderId="27" xfId="0" applyNumberFormat="1" applyFont="1" applyFill="1" applyBorder="1"/>
    <xf numFmtId="164" fontId="26" fillId="0" borderId="0" xfId="0" applyNumberFormat="1" applyFont="1"/>
    <xf numFmtId="0" fontId="19" fillId="7" borderId="19" xfId="0" applyFont="1" applyFill="1" applyBorder="1" applyAlignment="1">
      <alignment horizontal="center"/>
    </xf>
    <xf numFmtId="164" fontId="24" fillId="7" borderId="20" xfId="0" applyNumberFormat="1" applyFont="1" applyFill="1" applyBorder="1" applyAlignment="1">
      <alignment horizontal="center"/>
    </xf>
    <xf numFmtId="164" fontId="24" fillId="7" borderId="4" xfId="0" applyNumberFormat="1" applyFont="1" applyFill="1" applyBorder="1" applyAlignment="1">
      <alignment horizontal="center"/>
    </xf>
    <xf numFmtId="164" fontId="20" fillId="0" borderId="0" xfId="0" applyNumberFormat="1" applyFont="1" applyAlignment="1">
      <alignment horizontal="center"/>
    </xf>
    <xf numFmtId="164" fontId="24" fillId="7" borderId="1" xfId="0" applyNumberFormat="1" applyFont="1" applyFill="1" applyBorder="1"/>
    <xf numFmtId="164" fontId="24" fillId="7" borderId="26" xfId="0" applyNumberFormat="1" applyFont="1" applyFill="1" applyBorder="1"/>
    <xf numFmtId="0" fontId="21" fillId="0" borderId="0" xfId="0" applyFont="1" applyAlignment="1">
      <alignment horizontal="center" vertical="center"/>
    </xf>
    <xf numFmtId="38" fontId="23" fillId="7" borderId="1" xfId="0" applyNumberFormat="1" applyFont="1" applyFill="1" applyBorder="1"/>
    <xf numFmtId="164" fontId="24" fillId="7" borderId="22" xfId="0" applyNumberFormat="1" applyFont="1" applyFill="1" applyBorder="1"/>
    <xf numFmtId="164" fontId="24" fillId="7" borderId="27" xfId="0" applyNumberFormat="1" applyFont="1" applyFill="1" applyBorder="1"/>
    <xf numFmtId="38" fontId="23" fillId="0" borderId="0" xfId="0" applyNumberFormat="1" applyFont="1"/>
    <xf numFmtId="164" fontId="24" fillId="0" borderId="0" xfId="0" applyNumberFormat="1" applyFont="1"/>
    <xf numFmtId="0" fontId="21" fillId="0" borderId="0" xfId="0" applyFont="1"/>
    <xf numFmtId="17" fontId="19" fillId="7" borderId="21" xfId="0" applyNumberFormat="1" applyFont="1" applyFill="1" applyBorder="1" applyAlignment="1">
      <alignment horizontal="center"/>
    </xf>
    <xf numFmtId="17" fontId="19" fillId="6" borderId="21" xfId="0" applyNumberFormat="1" applyFont="1" applyFill="1" applyBorder="1" applyAlignment="1">
      <alignment horizontal="center"/>
    </xf>
    <xf numFmtId="0" fontId="19" fillId="7" borderId="21" xfId="0" applyFont="1" applyFill="1" applyBorder="1" applyAlignment="1">
      <alignment horizontal="center" wrapText="1"/>
    </xf>
    <xf numFmtId="166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164" fontId="20" fillId="0" borderId="0" xfId="0" applyNumberFormat="1" applyFont="1" applyAlignment="1">
      <alignment wrapText="1"/>
    </xf>
    <xf numFmtId="166" fontId="26" fillId="0" borderId="0" xfId="0" applyNumberFormat="1" applyFont="1"/>
    <xf numFmtId="3" fontId="20" fillId="0" borderId="0" xfId="0" applyNumberFormat="1" applyFont="1"/>
    <xf numFmtId="0" fontId="19" fillId="7" borderId="21" xfId="0" applyFont="1" applyFill="1" applyBorder="1" applyAlignment="1">
      <alignment horizontal="center"/>
    </xf>
    <xf numFmtId="0" fontId="20" fillId="3" borderId="1" xfId="0" applyFont="1" applyFill="1" applyBorder="1"/>
    <xf numFmtId="0" fontId="27" fillId="9" borderId="23" xfId="0" applyFont="1" applyFill="1" applyBorder="1"/>
    <xf numFmtId="164" fontId="20" fillId="9" borderId="23" xfId="0" applyNumberFormat="1" applyFont="1" applyFill="1" applyBorder="1"/>
    <xf numFmtId="164" fontId="20" fillId="9" borderId="24" xfId="0" applyNumberFormat="1" applyFont="1" applyFill="1" applyBorder="1"/>
    <xf numFmtId="0" fontId="28" fillId="0" borderId="0" xfId="0" applyFont="1"/>
    <xf numFmtId="164" fontId="22" fillId="9" borderId="1" xfId="0" applyNumberFormat="1" applyFont="1" applyFill="1" applyBorder="1"/>
    <xf numFmtId="164" fontId="22" fillId="9" borderId="26" xfId="0" applyNumberFormat="1" applyFont="1" applyFill="1" applyBorder="1"/>
    <xf numFmtId="164" fontId="20" fillId="9" borderId="1" xfId="0" applyNumberFormat="1" applyFont="1" applyFill="1" applyBorder="1"/>
    <xf numFmtId="164" fontId="20" fillId="9" borderId="26" xfId="0" applyNumberFormat="1" applyFont="1" applyFill="1" applyBorder="1"/>
    <xf numFmtId="0" fontId="20" fillId="4" borderId="1" xfId="0" applyFont="1" applyFill="1" applyBorder="1"/>
    <xf numFmtId="164" fontId="20" fillId="4" borderId="1" xfId="0" applyNumberFormat="1" applyFont="1" applyFill="1" applyBorder="1"/>
    <xf numFmtId="164" fontId="20" fillId="4" borderId="26" xfId="0" applyNumberFormat="1" applyFont="1" applyFill="1" applyBorder="1"/>
    <xf numFmtId="0" fontId="20" fillId="0" borderId="0" xfId="0" applyFont="1" applyAlignment="1">
      <alignment horizontal="left"/>
    </xf>
    <xf numFmtId="0" fontId="19" fillId="3" borderId="1" xfId="0" applyFont="1" applyFill="1" applyBorder="1" applyAlignment="1">
      <alignment horizontal="center"/>
    </xf>
    <xf numFmtId="17" fontId="19" fillId="3" borderId="1" xfId="0" applyNumberFormat="1" applyFont="1" applyFill="1" applyBorder="1" applyAlignment="1">
      <alignment horizontal="center"/>
    </xf>
    <xf numFmtId="17" fontId="19" fillId="3" borderId="26" xfId="0" applyNumberFormat="1" applyFont="1" applyFill="1" applyBorder="1" applyAlignment="1">
      <alignment horizontal="center"/>
    </xf>
    <xf numFmtId="164" fontId="26" fillId="3" borderId="1" xfId="0" applyNumberFormat="1" applyFont="1" applyFill="1" applyBorder="1"/>
    <xf numFmtId="38" fontId="26" fillId="3" borderId="1" xfId="0" applyNumberFormat="1" applyFont="1" applyFill="1" applyBorder="1"/>
    <xf numFmtId="0" fontId="21" fillId="0" borderId="0" xfId="0" applyFont="1" applyAlignment="1">
      <alignment horizontal="left"/>
    </xf>
    <xf numFmtId="0" fontId="20" fillId="9" borderId="1" xfId="0" applyFont="1" applyFill="1" applyBorder="1"/>
    <xf numFmtId="164" fontId="27" fillId="9" borderId="1" xfId="0" applyNumberFormat="1" applyFont="1" applyFill="1" applyBorder="1"/>
    <xf numFmtId="164" fontId="27" fillId="9" borderId="26" xfId="0" applyNumberFormat="1" applyFont="1" applyFill="1" applyBorder="1"/>
    <xf numFmtId="0" fontId="29" fillId="0" borderId="0" xfId="0" applyFont="1" applyAlignment="1">
      <alignment horizontal="left"/>
    </xf>
    <xf numFmtId="164" fontId="29" fillId="9" borderId="1" xfId="0" applyNumberFormat="1" applyFont="1" applyFill="1" applyBorder="1"/>
    <xf numFmtId="164" fontId="29" fillId="9" borderId="26" xfId="0" applyNumberFormat="1" applyFont="1" applyFill="1" applyBorder="1"/>
    <xf numFmtId="164" fontId="29" fillId="0" borderId="0" xfId="0" applyNumberFormat="1" applyFont="1"/>
    <xf numFmtId="0" fontId="27" fillId="0" borderId="24" xfId="0" applyFont="1" applyBorder="1"/>
    <xf numFmtId="0" fontId="27" fillId="0" borderId="0" xfId="0" applyFont="1"/>
    <xf numFmtId="164" fontId="30" fillId="9" borderId="1" xfId="0" applyNumberFormat="1" applyFont="1" applyFill="1" applyBorder="1"/>
    <xf numFmtId="164" fontId="30" fillId="9" borderId="26" xfId="0" applyNumberFormat="1" applyFont="1" applyFill="1" applyBorder="1"/>
    <xf numFmtId="0" fontId="30" fillId="0" borderId="0" xfId="0" applyFont="1" applyAlignment="1">
      <alignment horizontal="left"/>
    </xf>
    <xf numFmtId="0" fontId="20" fillId="9" borderId="23" xfId="0" quotePrefix="1" applyFont="1" applyFill="1" applyBorder="1" applyAlignment="1">
      <alignment horizontal="left"/>
    </xf>
    <xf numFmtId="0" fontId="20" fillId="9" borderId="1" xfId="0" quotePrefix="1" applyFont="1" applyFill="1" applyBorder="1" applyAlignment="1">
      <alignment horizontal="left"/>
    </xf>
    <xf numFmtId="0" fontId="28" fillId="9" borderId="1" xfId="0" applyFont="1" applyFill="1" applyBorder="1"/>
    <xf numFmtId="0" fontId="20" fillId="0" borderId="24" xfId="0" applyFont="1" applyBorder="1"/>
    <xf numFmtId="164" fontId="20" fillId="0" borderId="24" xfId="0" applyNumberFormat="1" applyFont="1" applyBorder="1"/>
    <xf numFmtId="164" fontId="25" fillId="9" borderId="1" xfId="0" applyNumberFormat="1" applyFont="1" applyFill="1" applyBorder="1"/>
    <xf numFmtId="165" fontId="29" fillId="0" borderId="0" xfId="0" applyNumberFormat="1" applyFont="1" applyAlignment="1">
      <alignment horizontal="left"/>
    </xf>
    <xf numFmtId="165" fontId="30" fillId="0" borderId="0" xfId="0" applyNumberFormat="1" applyFont="1" applyAlignment="1">
      <alignment horizontal="left"/>
    </xf>
    <xf numFmtId="0" fontId="20" fillId="9" borderId="23" xfId="0" applyFont="1" applyFill="1" applyBorder="1"/>
    <xf numFmtId="164" fontId="20" fillId="3" borderId="23" xfId="0" applyNumberFormat="1" applyFont="1" applyFill="1" applyBorder="1"/>
    <xf numFmtId="164" fontId="20" fillId="3" borderId="24" xfId="0" applyNumberFormat="1" applyFont="1" applyFill="1" applyBorder="1"/>
    <xf numFmtId="0" fontId="27" fillId="9" borderId="1" xfId="0" applyFont="1" applyFill="1" applyBorder="1"/>
    <xf numFmtId="0" fontId="27" fillId="4" borderId="1" xfId="0" applyFont="1" applyFill="1" applyBorder="1"/>
    <xf numFmtId="165" fontId="22" fillId="0" borderId="0" xfId="0" applyNumberFormat="1" applyFont="1" applyAlignment="1">
      <alignment horizontal="left"/>
    </xf>
    <xf numFmtId="0" fontId="20" fillId="4" borderId="1" xfId="0" applyFont="1" applyFill="1" applyBorder="1" applyAlignment="1">
      <alignment wrapText="1"/>
    </xf>
    <xf numFmtId="0" fontId="20" fillId="0" borderId="18" xfId="0" applyFont="1" applyBorder="1"/>
    <xf numFmtId="164" fontId="20" fillId="9" borderId="25" xfId="0" applyNumberFormat="1" applyFont="1" applyFill="1" applyBorder="1"/>
    <xf numFmtId="0" fontId="26" fillId="3" borderId="1" xfId="0" applyFont="1" applyFill="1" applyBorder="1"/>
    <xf numFmtId="164" fontId="26" fillId="3" borderId="26" xfId="0" applyNumberFormat="1" applyFont="1" applyFill="1" applyBorder="1"/>
    <xf numFmtId="38" fontId="20" fillId="3" borderId="1" xfId="0" applyNumberFormat="1" applyFont="1" applyFill="1" applyBorder="1"/>
    <xf numFmtId="38" fontId="20" fillId="3" borderId="26" xfId="0" applyNumberFormat="1" applyFont="1" applyFill="1" applyBorder="1"/>
    <xf numFmtId="38" fontId="26" fillId="3" borderId="26" xfId="0" applyNumberFormat="1" applyFont="1" applyFill="1" applyBorder="1"/>
  </cellXfs>
  <cellStyles count="2">
    <cellStyle name="Normal" xfId="0" builtinId="0"/>
    <cellStyle name="Normal 2" xfId="1" xr:uid="{41256C31-D09F-4706-ABA5-AD2DDCD1CDE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523875</xdr:colOff>
      <xdr:row>1</xdr:row>
      <xdr:rowOff>114300</xdr:rowOff>
    </xdr:from>
    <xdr:ext cx="2276475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4</xdr:row>
      <xdr:rowOff>0</xdr:rowOff>
    </xdr:from>
    <xdr:ext cx="228600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4"/>
  <sheetViews>
    <sheetView showGridLines="0" tabSelected="1" workbookViewId="0">
      <selection activeCell="F33" sqref="F33"/>
    </sheetView>
  </sheetViews>
  <sheetFormatPr baseColWidth="10" defaultColWidth="12.59765625" defaultRowHeight="15" customHeight="1" outlineLevelRow="1" x14ac:dyDescent="0.25"/>
  <cols>
    <col min="1" max="1" width="1.69921875" customWidth="1"/>
    <col min="2" max="2" width="19.3984375" style="88" hidden="1" customWidth="1"/>
    <col min="3" max="3" width="29.3984375" style="106" bestFit="1" customWidth="1" collapsed="1"/>
    <col min="4" max="6" width="12" style="106" customWidth="1"/>
    <col min="7" max="7" width="11.19921875" style="106" customWidth="1"/>
    <col min="8" max="8" width="11.59765625" style="106" customWidth="1"/>
  </cols>
  <sheetData>
    <row r="1" spans="2:9" ht="15" customHeight="1" thickBot="1" x14ac:dyDescent="0.3"/>
    <row r="2" spans="2:9" ht="15" customHeight="1" thickBot="1" x14ac:dyDescent="0.3">
      <c r="C2" s="89"/>
      <c r="D2" s="113" t="s">
        <v>0</v>
      </c>
      <c r="E2" s="114"/>
      <c r="F2" s="114"/>
      <c r="G2" s="114"/>
      <c r="H2" s="115"/>
    </row>
    <row r="3" spans="2:9" ht="36.6" thickBot="1" x14ac:dyDescent="0.3">
      <c r="C3" s="90"/>
      <c r="D3" s="111" t="s">
        <v>332</v>
      </c>
      <c r="E3" s="111" t="s">
        <v>331</v>
      </c>
      <c r="F3" s="111" t="s">
        <v>330</v>
      </c>
      <c r="G3" s="112" t="s">
        <v>384</v>
      </c>
      <c r="H3" s="112" t="s">
        <v>385</v>
      </c>
    </row>
    <row r="4" spans="2:9" ht="6.75" customHeight="1" thickBot="1" x14ac:dyDescent="0.3">
      <c r="C4" s="91"/>
      <c r="D4" s="93"/>
      <c r="E4" s="91"/>
      <c r="F4" s="92"/>
      <c r="G4" s="107"/>
      <c r="H4" s="93"/>
    </row>
    <row r="5" spans="2:9" ht="14.4" thickBot="1" x14ac:dyDescent="0.3">
      <c r="C5" s="94" t="s">
        <v>3</v>
      </c>
      <c r="D5" s="95">
        <f>SUM(D6,D9,D11,D13)</f>
        <v>7429941.9100000001</v>
      </c>
      <c r="E5" s="95">
        <f t="shared" ref="E5" si="0">SUM(E6,E9,E11,E13)</f>
        <v>7988990.7909090901</v>
      </c>
      <c r="F5" s="95">
        <f>SUM(F6,F9,F11,F13)</f>
        <v>6768263.9900000002</v>
      </c>
      <c r="G5" s="96">
        <f t="shared" ref="G5:G37" si="1">IF((IFERROR(D5/F5,0))=0,0,(IFERROR(D5/F5,0)-1))</f>
        <v>9.7761836857666706E-2</v>
      </c>
      <c r="H5" s="96">
        <f t="shared" ref="H5:H37" si="2">IF((IFERROR(D5/E5,0))=0,0,(IFERROR(D5/E5,0)-1))</f>
        <v>-6.9977409605384455E-2</v>
      </c>
    </row>
    <row r="6" spans="2:9" ht="14.4" thickBot="1" x14ac:dyDescent="0.3">
      <c r="C6" s="108" t="s">
        <v>4</v>
      </c>
      <c r="D6" s="97">
        <f>D7+D8</f>
        <v>6021827.2200000007</v>
      </c>
      <c r="E6" s="97">
        <f t="shared" ref="E6" si="3">E7+E8</f>
        <v>5769308.4909090903</v>
      </c>
      <c r="F6" s="97">
        <f>F7+F8</f>
        <v>5730813.9900000002</v>
      </c>
      <c r="G6" s="98">
        <f t="shared" si="1"/>
        <v>5.0780435468295471E-2</v>
      </c>
      <c r="H6" s="98">
        <f t="shared" si="2"/>
        <v>4.3769323392710557E-2</v>
      </c>
      <c r="I6" s="1"/>
    </row>
    <row r="7" spans="2:9" ht="13.8" hidden="1" outlineLevel="1" x14ac:dyDescent="0.25">
      <c r="B7" s="88">
        <v>4E+20</v>
      </c>
      <c r="C7" s="109" t="s">
        <v>386</v>
      </c>
      <c r="D7" s="99">
        <f>SUMIF('PPvsREal Summary'!$C:$C,RESUMEN!B7,'PPvsREal Summary'!$AD:$AD)</f>
        <v>5813127.2200000007</v>
      </c>
      <c r="E7" s="99">
        <f>SUMIF('PPvsREal Summary'!$C:$C,RESUMEN!B7,'PPvsREal Summary'!$AC:$AC)</f>
        <v>5262808.4909090903</v>
      </c>
      <c r="F7" s="99">
        <v>5475213.9900000002</v>
      </c>
      <c r="G7" s="100">
        <f t="shared" si="1"/>
        <v>6.1716899214746546E-2</v>
      </c>
      <c r="H7" s="100">
        <f t="shared" si="2"/>
        <v>0.10456750042140506</v>
      </c>
      <c r="I7" s="1"/>
    </row>
    <row r="8" spans="2:9" ht="14.4" hidden="1" outlineLevel="1" thickBot="1" x14ac:dyDescent="0.3">
      <c r="B8" s="88">
        <v>4.01E+20</v>
      </c>
      <c r="C8" s="110" t="s">
        <v>387</v>
      </c>
      <c r="D8" s="101">
        <f>SUMIF('PPvsREal Summary'!$C:$C,RESUMEN!B8,'PPvsREal Summary'!$AD:$AD)</f>
        <v>208700</v>
      </c>
      <c r="E8" s="101">
        <f>SUMIF('PPvsREal Summary'!$C:$C,RESUMEN!B8,'PPvsREal Summary'!$AC:$AC)</f>
        <v>506500</v>
      </c>
      <c r="F8" s="101">
        <v>255600</v>
      </c>
      <c r="G8" s="102">
        <f t="shared" si="1"/>
        <v>-0.18348982785602508</v>
      </c>
      <c r="H8" s="102">
        <f t="shared" si="2"/>
        <v>-0.58795656465942736</v>
      </c>
      <c r="I8" s="1"/>
    </row>
    <row r="9" spans="2:9" ht="14.4" collapsed="1" thickBot="1" x14ac:dyDescent="0.3">
      <c r="C9" s="108" t="s">
        <v>5</v>
      </c>
      <c r="D9" s="97">
        <f>D10</f>
        <v>468782.76</v>
      </c>
      <c r="E9" s="97">
        <f t="shared" ref="E9" si="4">E10</f>
        <v>945000</v>
      </c>
      <c r="F9" s="97">
        <f>F10</f>
        <v>453300</v>
      </c>
      <c r="G9" s="98">
        <f t="shared" si="1"/>
        <v>3.4155658504301911E-2</v>
      </c>
      <c r="H9" s="98">
        <f t="shared" si="2"/>
        <v>-0.50393358730158733</v>
      </c>
    </row>
    <row r="10" spans="2:9" ht="14.4" hidden="1" outlineLevel="1" thickBot="1" x14ac:dyDescent="0.3">
      <c r="B10" s="88">
        <v>4.05E+20</v>
      </c>
      <c r="C10" s="109" t="s">
        <v>351</v>
      </c>
      <c r="D10" s="99">
        <f>SUMIF('PPvsREal Summary'!$C:$C,RESUMEN!B10,'PPvsREal Summary'!$AD:$AD)</f>
        <v>468782.76</v>
      </c>
      <c r="E10" s="99">
        <f>SUMIF('PPvsREal Summary'!$C:$C,RESUMEN!B10,'PPvsREal Summary'!$AC:$AC)</f>
        <v>945000</v>
      </c>
      <c r="F10" s="99">
        <v>453300</v>
      </c>
      <c r="G10" s="100">
        <f t="shared" si="1"/>
        <v>3.4155658504301911E-2</v>
      </c>
      <c r="H10" s="100">
        <f t="shared" si="2"/>
        <v>-0.50393358730158733</v>
      </c>
    </row>
    <row r="11" spans="2:9" ht="14.4" collapsed="1" thickBot="1" x14ac:dyDescent="0.3">
      <c r="C11" s="108" t="s">
        <v>6</v>
      </c>
      <c r="D11" s="97">
        <f>D12</f>
        <v>493931.93</v>
      </c>
      <c r="E11" s="97">
        <f t="shared" ref="E11" si="5">E12</f>
        <v>943800</v>
      </c>
      <c r="F11" s="97">
        <f>F12</f>
        <v>272150</v>
      </c>
      <c r="G11" s="98">
        <f t="shared" si="1"/>
        <v>0.81492533529303701</v>
      </c>
      <c r="H11" s="98">
        <f t="shared" si="2"/>
        <v>-0.47665614536978174</v>
      </c>
      <c r="I11" s="2"/>
    </row>
    <row r="12" spans="2:9" ht="14.4" hidden="1" outlineLevel="1" thickBot="1" x14ac:dyDescent="0.3">
      <c r="B12" s="88">
        <v>4.04E+20</v>
      </c>
      <c r="C12" s="109" t="s">
        <v>349</v>
      </c>
      <c r="D12" s="99">
        <f>SUMIF('PPvsREal Summary'!$C:$C,RESUMEN!B12,'PPvsREal Summary'!$AD:$AD)</f>
        <v>493931.93</v>
      </c>
      <c r="E12" s="99">
        <f>SUMIF('PPvsREal Summary'!$C:$C,RESUMEN!B12,'PPvsREal Summary'!$AC:$AC)</f>
        <v>943800</v>
      </c>
      <c r="F12" s="99">
        <v>272150</v>
      </c>
      <c r="G12" s="100">
        <f t="shared" si="1"/>
        <v>0.81492533529303701</v>
      </c>
      <c r="H12" s="100">
        <f t="shared" si="2"/>
        <v>-0.47665614536978174</v>
      </c>
      <c r="I12" s="2"/>
    </row>
    <row r="13" spans="2:9" ht="14.4" collapsed="1" thickBot="1" x14ac:dyDescent="0.3">
      <c r="C13" s="108" t="s">
        <v>7</v>
      </c>
      <c r="D13" s="97">
        <f>D14+D15</f>
        <v>445400</v>
      </c>
      <c r="E13" s="97">
        <f t="shared" ref="E13" si="6">E14+E15</f>
        <v>330882.30000000005</v>
      </c>
      <c r="F13" s="97">
        <f>F14+F15</f>
        <v>312000</v>
      </c>
      <c r="G13" s="98">
        <f t="shared" si="1"/>
        <v>0.4275641025641026</v>
      </c>
      <c r="H13" s="98">
        <f t="shared" si="2"/>
        <v>0.34609799315345646</v>
      </c>
    </row>
    <row r="14" spans="2:9" ht="13.8" hidden="1" outlineLevel="1" x14ac:dyDescent="0.25">
      <c r="B14" s="88">
        <v>4.03E+20</v>
      </c>
      <c r="C14" s="109" t="s">
        <v>388</v>
      </c>
      <c r="D14" s="99">
        <f>SUMIF('PPvsREal Summary'!$C:$C,RESUMEN!B14,'PPvsREal Summary'!$AD:$AD)</f>
        <v>445400</v>
      </c>
      <c r="E14" s="99">
        <f>SUMIF('PPvsREal Summary'!$C:$C,RESUMEN!B14,'PPvsREal Summary'!$AC:$AC)</f>
        <v>330882.30000000005</v>
      </c>
      <c r="F14" s="99">
        <v>312000</v>
      </c>
      <c r="G14" s="100">
        <f t="shared" si="1"/>
        <v>0.4275641025641026</v>
      </c>
      <c r="H14" s="100">
        <f t="shared" si="2"/>
        <v>0.34609799315345646</v>
      </c>
    </row>
    <row r="15" spans="2:9" ht="14.4" hidden="1" outlineLevel="1" thickBot="1" x14ac:dyDescent="0.3">
      <c r="B15" s="88">
        <v>4.08E+20</v>
      </c>
      <c r="C15" s="109" t="s">
        <v>389</v>
      </c>
      <c r="D15" s="99">
        <f>SUMIF('PPvsREal Summary'!$C:$C,RESUMEN!B15,'PPvsREal Summary'!$AD:$AD)</f>
        <v>0</v>
      </c>
      <c r="E15" s="99">
        <f>SUMIF('PPvsREal Summary'!$C:$C,RESUMEN!B15,'PPvsREal Summary'!$AC:$AC)</f>
        <v>0</v>
      </c>
      <c r="F15" s="99">
        <v>0</v>
      </c>
      <c r="G15" s="100">
        <f t="shared" si="1"/>
        <v>0</v>
      </c>
      <c r="H15" s="100">
        <f t="shared" si="2"/>
        <v>0</v>
      </c>
    </row>
    <row r="16" spans="2:9" ht="14.4" collapsed="1" thickBot="1" x14ac:dyDescent="0.3">
      <c r="C16" s="103" t="s">
        <v>8</v>
      </c>
      <c r="D16" s="95">
        <f>D17+D20+D22+D24+D27+D30+D31</f>
        <v>7802832.5199999996</v>
      </c>
      <c r="E16" s="95">
        <f t="shared" ref="E16" si="7">E17+E20+E22+E24+E27+E30+E31</f>
        <v>8751333.4919636138</v>
      </c>
      <c r="F16" s="95">
        <f>F17+F20+F22+F24+F27+F30+F31</f>
        <v>6326171.9399999995</v>
      </c>
      <c r="G16" s="96">
        <f t="shared" si="1"/>
        <v>0.23342087347692297</v>
      </c>
      <c r="H16" s="96">
        <f t="shared" si="2"/>
        <v>-0.10838359352144755</v>
      </c>
    </row>
    <row r="17" spans="2:9" ht="14.4" thickBot="1" x14ac:dyDescent="0.3">
      <c r="C17" s="108" t="s">
        <v>4</v>
      </c>
      <c r="D17" s="97">
        <f>D18+D19</f>
        <v>261568.57</v>
      </c>
      <c r="E17" s="97">
        <f t="shared" ref="E17" si="8">E18+E19</f>
        <v>404257.85</v>
      </c>
      <c r="F17" s="97">
        <f>F18+F19</f>
        <v>291669.44000000006</v>
      </c>
      <c r="G17" s="98">
        <f t="shared" si="1"/>
        <v>-0.10320200155353965</v>
      </c>
      <c r="H17" s="98">
        <f t="shared" si="2"/>
        <v>-0.35296600919437926</v>
      </c>
    </row>
    <row r="18" spans="2:9" ht="13.8" hidden="1" outlineLevel="1" x14ac:dyDescent="0.25">
      <c r="B18" s="88">
        <v>7.02E+20</v>
      </c>
      <c r="C18" s="109" t="s">
        <v>390</v>
      </c>
      <c r="D18" s="99">
        <f>SUMIF('PPvsREal Summary'!$C:$C,RESUMEN!B18,'PPvsREal Summary'!$AD:$AD)</f>
        <v>8094.57</v>
      </c>
      <c r="E18" s="99">
        <f>SUMIF('PPvsREal Summary'!$C:$C,RESUMEN!B18,'PPvsREal Summary'!$AC:$AC)</f>
        <v>80000</v>
      </c>
      <c r="F18" s="99">
        <v>1380.9</v>
      </c>
      <c r="G18" s="100">
        <f t="shared" si="1"/>
        <v>4.8618075168368451</v>
      </c>
      <c r="H18" s="100">
        <f t="shared" si="2"/>
        <v>-0.89881787499999999</v>
      </c>
    </row>
    <row r="19" spans="2:9" ht="14.4" hidden="1" outlineLevel="1" thickBot="1" x14ac:dyDescent="0.3">
      <c r="B19" s="88">
        <v>5.01001009E+20</v>
      </c>
      <c r="C19" s="109" t="s">
        <v>391</v>
      </c>
      <c r="D19" s="99">
        <f>SUMIF('PPvsREal Summary'!$C:$C,RESUMEN!B19,'PPvsREal Summary'!$AD:$AD)</f>
        <v>253474</v>
      </c>
      <c r="E19" s="99">
        <f>SUMIF('PPvsREal Summary'!$C:$C,RESUMEN!B19,'PPvsREal Summary'!$AC:$AC)</f>
        <v>324257.84999999998</v>
      </c>
      <c r="F19" s="99">
        <v>290288.54000000004</v>
      </c>
      <c r="G19" s="100">
        <f t="shared" si="1"/>
        <v>-0.1268205076232084</v>
      </c>
      <c r="H19" s="100">
        <f t="shared" si="2"/>
        <v>-0.21829494644462721</v>
      </c>
    </row>
    <row r="20" spans="2:9" ht="14.4" collapsed="1" thickBot="1" x14ac:dyDescent="0.3">
      <c r="C20" s="108" t="s">
        <v>5</v>
      </c>
      <c r="D20" s="97">
        <f>D21</f>
        <v>316129.15000000002</v>
      </c>
      <c r="E20" s="97">
        <f t="shared" ref="E20" si="9">E21</f>
        <v>756045</v>
      </c>
      <c r="F20" s="97">
        <f>F21</f>
        <v>207965.47999999998</v>
      </c>
      <c r="G20" s="98">
        <f t="shared" si="1"/>
        <v>0.52010396148437743</v>
      </c>
      <c r="H20" s="98">
        <f t="shared" si="2"/>
        <v>-0.5818646376869101</v>
      </c>
      <c r="I20" s="1"/>
    </row>
    <row r="21" spans="2:9" ht="14.4" hidden="1" outlineLevel="1" thickBot="1" x14ac:dyDescent="0.3">
      <c r="B21" s="88">
        <v>7.01E+20</v>
      </c>
      <c r="C21" s="109" t="s">
        <v>392</v>
      </c>
      <c r="D21" s="99">
        <f>SUMIF('PPvsREal Summary'!$C:$C,RESUMEN!B21,'PPvsREal Summary'!$AD:$AD)</f>
        <v>316129.15000000002</v>
      </c>
      <c r="E21" s="99">
        <f>SUMIF('PPvsREal Summary'!$C:$C,RESUMEN!B21,'PPvsREal Summary'!$AC:$AC)</f>
        <v>756045</v>
      </c>
      <c r="F21" s="99">
        <v>207965.47999999998</v>
      </c>
      <c r="G21" s="100">
        <f t="shared" si="1"/>
        <v>0.52010396148437743</v>
      </c>
      <c r="H21" s="100">
        <f t="shared" si="2"/>
        <v>-0.5818646376869101</v>
      </c>
      <c r="I21" s="1"/>
    </row>
    <row r="22" spans="2:9" ht="14.4" collapsed="1" thickBot="1" x14ac:dyDescent="0.3">
      <c r="C22" s="108" t="s">
        <v>6</v>
      </c>
      <c r="D22" s="97">
        <f>D23</f>
        <v>436752.04</v>
      </c>
      <c r="E22" s="97">
        <f t="shared" ref="E22" si="10">E23</f>
        <v>485280</v>
      </c>
      <c r="F22" s="97">
        <f>F23</f>
        <v>174406.29</v>
      </c>
      <c r="G22" s="98">
        <f t="shared" si="1"/>
        <v>1.5042218374119418</v>
      </c>
      <c r="H22" s="98">
        <f t="shared" si="2"/>
        <v>-9.9999917573359798E-2</v>
      </c>
    </row>
    <row r="23" spans="2:9" ht="14.4" hidden="1" outlineLevel="1" thickBot="1" x14ac:dyDescent="0.3">
      <c r="B23" s="88">
        <v>5.02E+20</v>
      </c>
      <c r="C23" s="109" t="s">
        <v>393</v>
      </c>
      <c r="D23" s="99">
        <f>SUMIF('PPvsREal Summary'!$C:$C,RESUMEN!B23,'PPvsREal Summary'!$AD:$AD)</f>
        <v>436752.04</v>
      </c>
      <c r="E23" s="99">
        <f>SUMIF('PPvsREal Summary'!$C:$C,RESUMEN!B23,'PPvsREal Summary'!$AC:$AC)</f>
        <v>485280</v>
      </c>
      <c r="F23" s="99">
        <v>174406.29</v>
      </c>
      <c r="G23" s="100">
        <f t="shared" si="1"/>
        <v>1.5042218374119418</v>
      </c>
      <c r="H23" s="100">
        <f t="shared" si="2"/>
        <v>-9.9999917573359798E-2</v>
      </c>
    </row>
    <row r="24" spans="2:9" ht="14.4" collapsed="1" thickBot="1" x14ac:dyDescent="0.3">
      <c r="C24" s="108" t="s">
        <v>7</v>
      </c>
      <c r="D24" s="97">
        <f>D25+D26</f>
        <v>269801.39</v>
      </c>
      <c r="E24" s="97">
        <f t="shared" ref="E24" si="11">E25+E26</f>
        <v>225941.15000000002</v>
      </c>
      <c r="F24" s="97">
        <f>F25+F26</f>
        <v>188297.04</v>
      </c>
      <c r="G24" s="98">
        <f t="shared" si="1"/>
        <v>0.43284987379514828</v>
      </c>
      <c r="H24" s="98">
        <f t="shared" si="2"/>
        <v>0.19412240753842314</v>
      </c>
    </row>
    <row r="25" spans="2:9" ht="13.8" hidden="1" outlineLevel="1" x14ac:dyDescent="0.25">
      <c r="B25" s="88">
        <v>6.01E+20</v>
      </c>
      <c r="C25" s="109" t="s">
        <v>394</v>
      </c>
      <c r="D25" s="99">
        <f>SUMIF('PPvsREal Summary'!$C:$C,RESUMEN!B25,'PPvsREal Summary'!$AD:$AD)</f>
        <v>222700</v>
      </c>
      <c r="E25" s="99">
        <f>SUMIF('PPvsREal Summary'!$C:$C,RESUMEN!B25,'PPvsREal Summary'!$AC:$AC)</f>
        <v>165441.15000000002</v>
      </c>
      <c r="F25" s="99">
        <v>156000</v>
      </c>
      <c r="G25" s="100">
        <f t="shared" si="1"/>
        <v>0.4275641025641026</v>
      </c>
      <c r="H25" s="100">
        <f t="shared" si="2"/>
        <v>0.34609799315345646</v>
      </c>
    </row>
    <row r="26" spans="2:9" ht="14.4" hidden="1" outlineLevel="1" thickBot="1" x14ac:dyDescent="0.3">
      <c r="B26" s="88">
        <v>9.02E+20</v>
      </c>
      <c r="C26" s="109" t="s">
        <v>395</v>
      </c>
      <c r="D26" s="99">
        <f>SUMIF('PPvsREal Summary'!$C:$C,RESUMEN!B26,'PPvsREal Summary'!$AD:$AD)</f>
        <v>47101.39</v>
      </c>
      <c r="E26" s="99">
        <f>SUMIF('PPvsREal Summary'!$C:$C,RESUMEN!B26,'PPvsREal Summary'!$AC:$AC)</f>
        <v>60500</v>
      </c>
      <c r="F26" s="99">
        <v>32297.040000000001</v>
      </c>
      <c r="G26" s="100">
        <f t="shared" si="1"/>
        <v>0.45838101572156442</v>
      </c>
      <c r="H26" s="100">
        <f t="shared" si="2"/>
        <v>-0.22146462809917355</v>
      </c>
    </row>
    <row r="27" spans="2:9" ht="14.4" collapsed="1" thickBot="1" x14ac:dyDescent="0.3">
      <c r="C27" s="108" t="s">
        <v>9</v>
      </c>
      <c r="D27" s="97">
        <f>D28+D29</f>
        <v>1078577.23</v>
      </c>
      <c r="E27" s="97">
        <f t="shared" ref="E27" si="12">E28+E29</f>
        <v>1255838.3982166667</v>
      </c>
      <c r="F27" s="97">
        <f>F28+F29</f>
        <v>773979.89</v>
      </c>
      <c r="G27" s="98">
        <f t="shared" si="1"/>
        <v>0.39354684008650409</v>
      </c>
      <c r="H27" s="98">
        <f t="shared" si="2"/>
        <v>-0.14114966421506425</v>
      </c>
    </row>
    <row r="28" spans="2:9" ht="13.8" hidden="1" outlineLevel="1" x14ac:dyDescent="0.25">
      <c r="B28" s="88">
        <v>8.01E+20</v>
      </c>
      <c r="C28" s="109" t="s">
        <v>396</v>
      </c>
      <c r="D28" s="99">
        <f>SUMIF('PPvsREal Summary'!$C:$C,RESUMEN!B28,'PPvsREal Summary'!$AD:$AD)</f>
        <v>230633.03</v>
      </c>
      <c r="E28" s="99">
        <f>SUMIF('PPvsREal Summary'!$C:$C,RESUMEN!B28,'PPvsREal Summary'!$AC:$AC)</f>
        <v>332625.02</v>
      </c>
      <c r="F28" s="99">
        <v>109786.66</v>
      </c>
      <c r="G28" s="100">
        <f t="shared" si="1"/>
        <v>1.1007381953326569</v>
      </c>
      <c r="H28" s="100">
        <f t="shared" si="2"/>
        <v>-0.30662753511446617</v>
      </c>
    </row>
    <row r="29" spans="2:9" ht="14.4" hidden="1" outlineLevel="1" thickBot="1" x14ac:dyDescent="0.3">
      <c r="B29" s="88">
        <v>9.01E+20</v>
      </c>
      <c r="C29" s="109" t="s">
        <v>397</v>
      </c>
      <c r="D29" s="99">
        <f>SUMIF('PPvsREal Summary'!$C:$C,RESUMEN!B29,'PPvsREal Summary'!$AD:$AD)</f>
        <v>847944.2</v>
      </c>
      <c r="E29" s="99">
        <f>SUMIF('PPvsREal Summary'!$C:$C,RESUMEN!B29,'PPvsREal Summary'!$AC:$AC)</f>
        <v>923213.37821666664</v>
      </c>
      <c r="F29" s="99">
        <v>664193.23</v>
      </c>
      <c r="G29" s="100">
        <f t="shared" si="1"/>
        <v>0.27665288006624222</v>
      </c>
      <c r="H29" s="100">
        <f t="shared" si="2"/>
        <v>-8.1529557513628226E-2</v>
      </c>
    </row>
    <row r="30" spans="2:9" ht="14.4" collapsed="1" thickBot="1" x14ac:dyDescent="0.3">
      <c r="B30" s="88">
        <v>5.01E+20</v>
      </c>
      <c r="C30" s="108" t="s">
        <v>10</v>
      </c>
      <c r="D30" s="97">
        <f>SUMIF('PPvsREal Summary'!$C:$C,RESUMEN!B30,'PPvsREal Summary'!$AD:$AD)</f>
        <v>3313718.6300000004</v>
      </c>
      <c r="E30" s="97">
        <f>SUMIF('PPvsREal Summary'!$C:$C,RESUMEN!B30,'PPvsREal Summary'!$AC:$AC)</f>
        <v>3336914.9800000004</v>
      </c>
      <c r="F30" s="97">
        <v>2638976.4699999997</v>
      </c>
      <c r="G30" s="98">
        <f t="shared" si="1"/>
        <v>0.2556832801165525</v>
      </c>
      <c r="H30" s="98">
        <f t="shared" si="2"/>
        <v>-6.951435724023125E-3</v>
      </c>
    </row>
    <row r="31" spans="2:9" ht="14.4" thickBot="1" x14ac:dyDescent="0.3">
      <c r="B31" s="88">
        <v>9.03E+20</v>
      </c>
      <c r="C31" s="108" t="s">
        <v>11</v>
      </c>
      <c r="D31" s="104">
        <f>SUMIF('PPvsREal Summary'!$C:$C,RESUMEN!B31,'PPvsREal Summary'!$AD:$AD)</f>
        <v>2126285.5100000002</v>
      </c>
      <c r="E31" s="104">
        <f>SUMIF('PPvsREal Summary'!$C:$C,RESUMEN!B31,'PPvsREal Summary'!$AC:$AC)</f>
        <v>2287056.1137469457</v>
      </c>
      <c r="F31" s="104">
        <v>2050877.33</v>
      </c>
      <c r="G31" s="105">
        <f t="shared" si="1"/>
        <v>3.6768742282601741E-2</v>
      </c>
      <c r="H31" s="105">
        <f t="shared" si="2"/>
        <v>-7.0295871964221601E-2</v>
      </c>
      <c r="I31" s="120" t="s">
        <v>399</v>
      </c>
    </row>
    <row r="32" spans="2:9" ht="15.75" customHeight="1" thickBot="1" x14ac:dyDescent="0.3">
      <c r="C32" s="103" t="s">
        <v>12</v>
      </c>
      <c r="D32" s="95">
        <f>+D5-D16</f>
        <v>-372890.6099999994</v>
      </c>
      <c r="E32" s="95">
        <f t="shared" ref="E32" si="13">+E5-E16</f>
        <v>-762342.7010545237</v>
      </c>
      <c r="F32" s="95">
        <f>+F5-F16</f>
        <v>442092.05000000075</v>
      </c>
      <c r="G32" s="96">
        <f t="shared" si="1"/>
        <v>-1.843468255083978</v>
      </c>
      <c r="H32" s="96">
        <f t="shared" si="2"/>
        <v>-0.51086222838601059</v>
      </c>
    </row>
    <row r="33" spans="2:8" ht="14.4" thickBot="1" x14ac:dyDescent="0.3">
      <c r="B33" s="88">
        <v>9.04E+20</v>
      </c>
      <c r="C33" s="108" t="s">
        <v>13</v>
      </c>
      <c r="D33" s="104">
        <f>SUMIF('PPvsREal Summary'!$C:$C,RESUMEN!B33,'PPvsREal Summary'!$AD:$AD)</f>
        <v>348146.81</v>
      </c>
      <c r="E33" s="104">
        <f>SUMIF('PPvsREal Summary'!$C:$C,RESUMEN!B33,'PPvsREal Summary'!$AC:$AC)</f>
        <v>0</v>
      </c>
      <c r="F33" s="104">
        <v>212205.32</v>
      </c>
      <c r="G33" s="105">
        <f t="shared" si="1"/>
        <v>0.64061301573400709</v>
      </c>
      <c r="H33" s="105">
        <f t="shared" si="2"/>
        <v>0</v>
      </c>
    </row>
    <row r="34" spans="2:8" ht="15.75" customHeight="1" thickBot="1" x14ac:dyDescent="0.3">
      <c r="C34" s="108" t="s">
        <v>14</v>
      </c>
      <c r="D34" s="97">
        <f>D35+D36</f>
        <v>128.95999999999998</v>
      </c>
      <c r="E34" s="97">
        <f t="shared" ref="E34" si="14">E35+E36</f>
        <v>0</v>
      </c>
      <c r="F34" s="97">
        <f>F35+F36</f>
        <v>82234.73000000001</v>
      </c>
      <c r="G34" s="98">
        <f t="shared" si="1"/>
        <v>-0.99843180612376303</v>
      </c>
      <c r="H34" s="98">
        <f t="shared" si="2"/>
        <v>0</v>
      </c>
    </row>
    <row r="35" spans="2:8" ht="15.75" hidden="1" customHeight="1" outlineLevel="1" x14ac:dyDescent="0.25">
      <c r="B35" s="88">
        <v>4.02E+20</v>
      </c>
      <c r="C35" s="109" t="s">
        <v>224</v>
      </c>
      <c r="D35" s="99">
        <f>SUMIF('PPvsREal Summary'!$C:$C,RESUMEN!B35,'PPvsREal Summary'!$AD:$AD)</f>
        <v>128.95999999999998</v>
      </c>
      <c r="E35" s="99">
        <f>SUMIF('PPvsREal Summary'!$C:$C,RESUMEN!B35,'PPvsREal Summary'!$AC:$AC)</f>
        <v>0</v>
      </c>
      <c r="F35" s="99">
        <v>81377.88</v>
      </c>
      <c r="G35" s="100">
        <f t="shared" si="1"/>
        <v>-0.99841529418067909</v>
      </c>
      <c r="H35" s="100">
        <f t="shared" si="2"/>
        <v>0</v>
      </c>
    </row>
    <row r="36" spans="2:8" ht="15.75" hidden="1" customHeight="1" outlineLevel="1" thickBot="1" x14ac:dyDescent="0.3">
      <c r="B36" s="88">
        <v>4.1E+20</v>
      </c>
      <c r="C36" s="109" t="s">
        <v>398</v>
      </c>
      <c r="D36" s="99">
        <f>SUMIF('PPvsREal Summary'!$C:$C,RESUMEN!B36,'PPvsREal Summary'!$AD:$AD)</f>
        <v>0</v>
      </c>
      <c r="E36" s="99">
        <f>SUMIF('PPvsREal Summary'!$C:$C,RESUMEN!B36,'PPvsREal Summary'!$AC:$AC)</f>
        <v>0</v>
      </c>
      <c r="F36" s="99">
        <v>856.85</v>
      </c>
      <c r="G36" s="100">
        <f t="shared" si="1"/>
        <v>0</v>
      </c>
      <c r="H36" s="100">
        <f t="shared" si="2"/>
        <v>0</v>
      </c>
    </row>
    <row r="37" spans="2:8" ht="15.75" customHeight="1" collapsed="1" thickBot="1" x14ac:dyDescent="0.3">
      <c r="C37" s="103" t="s">
        <v>15</v>
      </c>
      <c r="D37" s="95">
        <f>D32-D33+D34</f>
        <v>-720908.4599999995</v>
      </c>
      <c r="E37" s="95">
        <f t="shared" ref="E37" si="15">E32-E33+E34</f>
        <v>-762342.7010545237</v>
      </c>
      <c r="F37" s="95">
        <f>F32-F33+F34</f>
        <v>312121.46000000078</v>
      </c>
      <c r="G37" s="96">
        <f t="shared" si="1"/>
        <v>-3.3097048821955326</v>
      </c>
      <c r="H37" s="96">
        <f t="shared" si="2"/>
        <v>-5.4351200578440118E-2</v>
      </c>
    </row>
    <row r="38" spans="2:8" ht="15.75" customHeight="1" x14ac:dyDescent="0.25"/>
    <row r="39" spans="2:8" ht="15.75" customHeight="1" x14ac:dyDescent="0.25"/>
    <row r="40" spans="2:8" ht="15.75" customHeight="1" x14ac:dyDescent="0.25"/>
    <row r="41" spans="2:8" ht="15.75" customHeight="1" x14ac:dyDescent="0.25"/>
    <row r="42" spans="2:8" ht="15.75" customHeight="1" x14ac:dyDescent="0.25"/>
    <row r="43" spans="2:8" ht="15.75" customHeight="1" x14ac:dyDescent="0.25"/>
    <row r="44" spans="2:8" ht="15.75" customHeight="1" x14ac:dyDescent="0.25"/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dataConsolidate>
    <dataRefs count="1">
      <dataRef ref="A7:XFD8" sheet="RESUMEN"/>
    </dataRefs>
  </dataConsolidate>
  <mergeCells count="1">
    <mergeCell ref="D2:H2"/>
  </mergeCells>
  <pageMargins left="0.7" right="0.7" top="0.75" bottom="0.75" header="0" footer="0"/>
  <pageSetup orientation="portrait"/>
  <ignoredErrors>
    <ignoredError sqref="D21:E21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/>
  </sheetViews>
  <sheetFormatPr baseColWidth="10" defaultColWidth="12.59765625" defaultRowHeight="15" customHeight="1" x14ac:dyDescent="0.25"/>
  <cols>
    <col min="1" max="1" width="2.19921875" customWidth="1"/>
    <col min="2" max="2" width="12" hidden="1" customWidth="1"/>
    <col min="3" max="3" width="38.69921875" customWidth="1"/>
    <col min="4" max="4" width="11.19921875" customWidth="1"/>
    <col min="5" max="6" width="11.5" customWidth="1"/>
    <col min="7" max="7" width="11.8984375" customWidth="1"/>
    <col min="8" max="9" width="10.8984375" customWidth="1"/>
    <col min="10" max="26" width="10" customWidth="1"/>
  </cols>
  <sheetData>
    <row r="1" spans="1:26" ht="12.75" customHeight="1" x14ac:dyDescent="0.3">
      <c r="A1" s="3"/>
      <c r="B1" s="3"/>
      <c r="C1" s="4" t="s">
        <v>16</v>
      </c>
      <c r="D1" s="5"/>
      <c r="E1" s="5"/>
      <c r="F1" s="5"/>
      <c r="G1" s="6"/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3"/>
      <c r="B2" s="3"/>
      <c r="C2" s="3"/>
      <c r="D2" s="3"/>
      <c r="E2" s="5"/>
      <c r="F2" s="5"/>
      <c r="G2" s="7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3"/>
      <c r="B3" s="3"/>
      <c r="C3" s="118" t="s">
        <v>17</v>
      </c>
      <c r="D3" s="116" t="s">
        <v>18</v>
      </c>
      <c r="E3" s="116" t="s">
        <v>1</v>
      </c>
      <c r="F3" s="116" t="s">
        <v>2</v>
      </c>
      <c r="G3" s="116" t="s">
        <v>19</v>
      </c>
      <c r="H3" s="116" t="s">
        <v>20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">
      <c r="A4" s="3"/>
      <c r="B4" s="3"/>
      <c r="C4" s="117"/>
      <c r="D4" s="117"/>
      <c r="E4" s="117"/>
      <c r="F4" s="117"/>
      <c r="G4" s="117"/>
      <c r="H4" s="11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" customHeight="1" x14ac:dyDescent="0.3">
      <c r="A5" s="3"/>
      <c r="B5" s="3" t="s">
        <v>21</v>
      </c>
      <c r="C5" s="8" t="s">
        <v>22</v>
      </c>
      <c r="D5" s="9">
        <v>446958.4800000001</v>
      </c>
      <c r="E5" s="10">
        <v>559381.01865099987</v>
      </c>
      <c r="F5" s="11">
        <v>551169.52</v>
      </c>
      <c r="G5" s="12" t="s">
        <v>23</v>
      </c>
      <c r="H5" s="11">
        <f t="shared" ref="H5:H24" si="0">F5/12</f>
        <v>45930.793333333335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">
      <c r="A6" s="3"/>
      <c r="B6" s="3" t="s">
        <v>24</v>
      </c>
      <c r="C6" s="8" t="s">
        <v>25</v>
      </c>
      <c r="D6" s="9">
        <v>24288.100000000006</v>
      </c>
      <c r="E6" s="10">
        <v>16419.402720000002</v>
      </c>
      <c r="F6" s="11">
        <v>25643.5</v>
      </c>
      <c r="G6" s="12" t="s">
        <v>23</v>
      </c>
      <c r="H6" s="11">
        <f t="shared" si="0"/>
        <v>2136.9583333333335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">
      <c r="A7" s="3"/>
      <c r="B7" s="3" t="s">
        <v>26</v>
      </c>
      <c r="C7" s="8" t="s">
        <v>27</v>
      </c>
      <c r="D7" s="9">
        <v>18039.240000000002</v>
      </c>
      <c r="E7" s="10">
        <v>22058.217548640005</v>
      </c>
      <c r="F7" s="11">
        <v>20502.54</v>
      </c>
      <c r="G7" s="12" t="s">
        <v>23</v>
      </c>
      <c r="H7" s="11">
        <f t="shared" si="0"/>
        <v>1708.5450000000001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">
      <c r="A8" s="3"/>
      <c r="B8" s="3" t="s">
        <v>28</v>
      </c>
      <c r="C8" s="8" t="s">
        <v>29</v>
      </c>
      <c r="D8" s="9">
        <v>7422.6899999999987</v>
      </c>
      <c r="E8" s="10">
        <v>6898.3215</v>
      </c>
      <c r="F8" s="10">
        <v>8433.3795000000009</v>
      </c>
      <c r="G8" s="12" t="s">
        <v>23</v>
      </c>
      <c r="H8" s="11">
        <f t="shared" si="0"/>
        <v>702.78162500000008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">
      <c r="A9" s="3"/>
      <c r="B9" s="3" t="s">
        <v>30</v>
      </c>
      <c r="C9" s="8" t="s">
        <v>31</v>
      </c>
      <c r="D9" s="9">
        <v>23393.389999999989</v>
      </c>
      <c r="E9" s="10">
        <v>93489.641600000003</v>
      </c>
      <c r="F9" s="10">
        <v>19500</v>
      </c>
      <c r="G9" s="13">
        <v>0.13</v>
      </c>
      <c r="H9" s="11">
        <f t="shared" si="0"/>
        <v>1625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3"/>
      <c r="B10" s="3" t="s">
        <v>32</v>
      </c>
      <c r="C10" s="8" t="s">
        <v>33</v>
      </c>
      <c r="D10" s="9">
        <v>56537.490000000013</v>
      </c>
      <c r="E10" s="10">
        <v>63536.256000000008</v>
      </c>
      <c r="F10" s="10">
        <v>0</v>
      </c>
      <c r="G10" s="13">
        <v>0.13</v>
      </c>
      <c r="H10" s="11">
        <f t="shared" si="0"/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">
      <c r="A11" s="3"/>
      <c r="B11" s="3" t="s">
        <v>32</v>
      </c>
      <c r="C11" s="8" t="s">
        <v>34</v>
      </c>
      <c r="D11" s="9">
        <v>0</v>
      </c>
      <c r="E11" s="10">
        <v>0</v>
      </c>
      <c r="F11" s="10">
        <v>56180.233200000002</v>
      </c>
      <c r="G11" s="13">
        <v>0.13</v>
      </c>
      <c r="H11" s="11">
        <f t="shared" si="0"/>
        <v>4681.6860999999999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">
      <c r="A12" s="3"/>
      <c r="B12" s="3" t="s">
        <v>35</v>
      </c>
      <c r="C12" s="8" t="s">
        <v>36</v>
      </c>
      <c r="D12" s="9">
        <v>117696</v>
      </c>
      <c r="E12" s="10">
        <v>118909.632</v>
      </c>
      <c r="F12" s="10">
        <v>100409.40000000002</v>
      </c>
      <c r="G12" s="13">
        <v>0.13</v>
      </c>
      <c r="H12" s="11">
        <f t="shared" si="0"/>
        <v>8367.4500000000025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">
      <c r="A13" s="3"/>
      <c r="B13" s="3" t="s">
        <v>37</v>
      </c>
      <c r="C13" s="8" t="s">
        <v>38</v>
      </c>
      <c r="D13" s="9">
        <v>28507.91</v>
      </c>
      <c r="E13" s="10">
        <v>26082.022400000002</v>
      </c>
      <c r="F13" s="10">
        <v>30421.601015</v>
      </c>
      <c r="G13" s="13">
        <v>0.13</v>
      </c>
      <c r="H13" s="11">
        <f t="shared" si="0"/>
        <v>2535.1334179166665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">
      <c r="A14" s="3"/>
      <c r="B14" s="3" t="s">
        <v>39</v>
      </c>
      <c r="C14" s="8" t="s">
        <v>40</v>
      </c>
      <c r="D14" s="9">
        <v>52305.06</v>
      </c>
      <c r="E14" s="10">
        <v>56337.120000000003</v>
      </c>
      <c r="F14" s="10">
        <v>62162.1</v>
      </c>
      <c r="G14" s="13">
        <v>0.13</v>
      </c>
      <c r="H14" s="11">
        <f t="shared" si="0"/>
        <v>5180.1750000000002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">
      <c r="A15" s="3"/>
      <c r="B15" s="3" t="s">
        <v>41</v>
      </c>
      <c r="C15" s="8" t="s">
        <v>42</v>
      </c>
      <c r="D15" s="9">
        <v>3801.42</v>
      </c>
      <c r="E15" s="10">
        <v>3730.4299199999996</v>
      </c>
      <c r="F15" s="10">
        <v>3243.1035000000002</v>
      </c>
      <c r="G15" s="13">
        <v>0.13</v>
      </c>
      <c r="H15" s="11">
        <f t="shared" si="0"/>
        <v>270.25862499999999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3"/>
      <c r="B16" s="3" t="s">
        <v>43</v>
      </c>
      <c r="C16" s="8" t="s">
        <v>44</v>
      </c>
      <c r="D16" s="9">
        <v>1884</v>
      </c>
      <c r="E16" s="10">
        <v>1883.52</v>
      </c>
      <c r="F16" s="10">
        <v>1606.8780000000002</v>
      </c>
      <c r="G16" s="13">
        <v>0.13</v>
      </c>
      <c r="H16" s="11">
        <f t="shared" si="0"/>
        <v>133.90650000000002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">
      <c r="A17" s="3"/>
      <c r="B17" s="3" t="s">
        <v>45</v>
      </c>
      <c r="C17" s="8" t="s">
        <v>46</v>
      </c>
      <c r="D17" s="9">
        <v>67863.839999999997</v>
      </c>
      <c r="E17" s="10">
        <v>67863.814200000008</v>
      </c>
      <c r="F17" s="10">
        <v>65005.200000000012</v>
      </c>
      <c r="G17" s="13">
        <v>0.13</v>
      </c>
      <c r="H17" s="11">
        <f t="shared" si="0"/>
        <v>5417.1000000000013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3"/>
      <c r="B18" s="3" t="s">
        <v>47</v>
      </c>
      <c r="C18" s="8" t="s">
        <v>48</v>
      </c>
      <c r="D18" s="9">
        <v>5436</v>
      </c>
      <c r="E18" s="10">
        <v>5440</v>
      </c>
      <c r="F18" s="10">
        <v>6342.83</v>
      </c>
      <c r="G18" s="13">
        <v>0.13</v>
      </c>
      <c r="H18" s="11">
        <f t="shared" si="0"/>
        <v>528.56916666666666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3">
      <c r="A19" s="3"/>
      <c r="B19" s="3" t="s">
        <v>49</v>
      </c>
      <c r="C19" s="8" t="s">
        <v>50</v>
      </c>
      <c r="D19" s="9">
        <v>51943.89</v>
      </c>
      <c r="E19" s="10">
        <v>63504</v>
      </c>
      <c r="F19" s="10">
        <v>60196.5</v>
      </c>
      <c r="G19" s="13">
        <v>0.13</v>
      </c>
      <c r="H19" s="11">
        <f t="shared" si="0"/>
        <v>5016.375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">
      <c r="A20" s="3"/>
      <c r="B20" s="3" t="s">
        <v>51</v>
      </c>
      <c r="C20" s="8" t="s">
        <v>52</v>
      </c>
      <c r="D20" s="9">
        <v>7264.4399999999978</v>
      </c>
      <c r="E20" s="10">
        <v>6971.9932799999997</v>
      </c>
      <c r="F20" s="10">
        <v>4017</v>
      </c>
      <c r="G20" s="13">
        <v>0.13</v>
      </c>
      <c r="H20" s="11">
        <f t="shared" si="0"/>
        <v>334.75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">
      <c r="A21" s="3"/>
      <c r="B21" s="3" t="s">
        <v>53</v>
      </c>
      <c r="C21" s="8" t="s">
        <v>54</v>
      </c>
      <c r="D21" s="9">
        <v>109672.75000000003</v>
      </c>
      <c r="E21" s="10">
        <v>107635.08</v>
      </c>
      <c r="F21" s="11">
        <v>108856.3697</v>
      </c>
      <c r="G21" s="13">
        <v>0.13</v>
      </c>
      <c r="H21" s="11">
        <f t="shared" si="0"/>
        <v>9071.3641416666669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">
      <c r="A22" s="3"/>
      <c r="B22" s="3" t="s">
        <v>55</v>
      </c>
      <c r="C22" s="8" t="s">
        <v>56</v>
      </c>
      <c r="D22" s="9">
        <v>53586.893426959243</v>
      </c>
      <c r="E22" s="10">
        <v>61699.226400000007</v>
      </c>
      <c r="F22" s="11">
        <v>71982.430800000002</v>
      </c>
      <c r="G22" s="12" t="s">
        <v>23</v>
      </c>
      <c r="H22" s="11">
        <f t="shared" si="0"/>
        <v>5998.5358999999999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">
      <c r="A23" s="3"/>
      <c r="B23" s="3" t="s">
        <v>55</v>
      </c>
      <c r="C23" s="8" t="s">
        <v>57</v>
      </c>
      <c r="D23" s="9">
        <v>9101.0765730407529</v>
      </c>
      <c r="E23" s="10">
        <v>8964.648000000001</v>
      </c>
      <c r="F23" s="11">
        <v>9125.5887450000009</v>
      </c>
      <c r="G23" s="13">
        <v>0.13</v>
      </c>
      <c r="H23" s="11">
        <f t="shared" si="0"/>
        <v>760.46572875000004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">
      <c r="A24" s="3"/>
      <c r="B24" s="3" t="s">
        <v>58</v>
      </c>
      <c r="C24" s="14" t="s">
        <v>59</v>
      </c>
      <c r="D24" s="15">
        <v>2436719.4</v>
      </c>
      <c r="E24" s="10">
        <v>2436719.3903825916</v>
      </c>
      <c r="F24" s="10">
        <v>2715869.4491061922</v>
      </c>
      <c r="G24" s="13">
        <v>0.13</v>
      </c>
      <c r="H24" s="11">
        <f t="shared" si="0"/>
        <v>226322.45409218268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">
      <c r="A25" s="3"/>
      <c r="B25" s="3"/>
      <c r="C25" s="16"/>
      <c r="D25" s="17"/>
      <c r="E25" s="18"/>
      <c r="F25" s="18"/>
      <c r="G25" s="19"/>
      <c r="H25" s="1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">
      <c r="A26" s="3"/>
      <c r="B26" s="3"/>
      <c r="C26" s="20" t="s">
        <v>60</v>
      </c>
      <c r="D26" s="21">
        <f t="shared" ref="D26:F26" si="1">SUM(D5:D24)</f>
        <v>3522422.0700000003</v>
      </c>
      <c r="E26" s="22">
        <f t="shared" si="1"/>
        <v>3727523.7346022315</v>
      </c>
      <c r="F26" s="22">
        <f t="shared" si="1"/>
        <v>3920667.6235661926</v>
      </c>
      <c r="G26" s="23"/>
      <c r="H26" s="22">
        <f>SUM(H5:H24)</f>
        <v>326722.30196384934</v>
      </c>
      <c r="I26" s="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">
      <c r="A27" s="3"/>
      <c r="B27" s="24"/>
      <c r="C27" s="14"/>
      <c r="D27" s="25"/>
      <c r="E27" s="26"/>
      <c r="F27" s="26"/>
      <c r="G27" s="27"/>
      <c r="H27" s="2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">
      <c r="A28" s="3"/>
      <c r="B28" s="3"/>
      <c r="C28" s="3"/>
      <c r="D28" s="3"/>
      <c r="E28" s="5"/>
      <c r="F28" s="5"/>
      <c r="G28" s="28"/>
      <c r="H28" s="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">
      <c r="A29" s="24"/>
      <c r="B29" s="3"/>
      <c r="C29" s="24"/>
      <c r="D29" s="29"/>
      <c r="E29" s="5"/>
      <c r="F29" s="5"/>
      <c r="G29" s="30"/>
      <c r="H29" s="5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2.75" customHeight="1" x14ac:dyDescent="0.3">
      <c r="A30" s="3"/>
      <c r="B30" s="3"/>
      <c r="C30" s="3"/>
      <c r="D30" s="31"/>
      <c r="E30" s="5"/>
      <c r="F30" s="5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3"/>
      <c r="B31" s="3"/>
      <c r="C31" s="3"/>
      <c r="D31" s="5"/>
      <c r="E31" s="5"/>
      <c r="F31" s="5"/>
      <c r="G31" s="7"/>
      <c r="H31" s="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">
      <c r="A32" s="3"/>
      <c r="B32" s="3"/>
      <c r="C32" s="3"/>
      <c r="D32" s="5"/>
      <c r="E32" s="5"/>
      <c r="F32" s="5"/>
      <c r="G32" s="7"/>
      <c r="H32" s="5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">
      <c r="A33" s="3"/>
      <c r="B33" s="3"/>
      <c r="C33" s="3"/>
      <c r="D33" s="5"/>
      <c r="E33" s="5"/>
      <c r="F33" s="5"/>
      <c r="G33" s="7"/>
      <c r="H33" s="5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">
      <c r="A34" s="3"/>
      <c r="B34" s="3"/>
      <c r="C34" s="3"/>
      <c r="D34" s="5"/>
      <c r="E34" s="5"/>
      <c r="F34" s="5"/>
      <c r="G34" s="7"/>
      <c r="H34" s="5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">
      <c r="A35" s="3"/>
      <c r="B35" s="3"/>
      <c r="C35" s="3"/>
      <c r="D35" s="5"/>
      <c r="E35" s="5"/>
      <c r="F35" s="5"/>
      <c r="G35" s="7"/>
      <c r="H35" s="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">
      <c r="A36" s="3"/>
      <c r="B36" s="3"/>
      <c r="C36" s="3"/>
      <c r="D36" s="5"/>
      <c r="E36" s="5"/>
      <c r="F36" s="5"/>
      <c r="G36" s="7"/>
      <c r="H36" s="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">
      <c r="A37" s="3"/>
      <c r="B37" s="3"/>
      <c r="C37" s="3"/>
      <c r="D37" s="5"/>
      <c r="E37" s="5"/>
      <c r="F37" s="5"/>
      <c r="G37" s="7"/>
      <c r="H37" s="5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">
      <c r="A38" s="3"/>
      <c r="B38" s="3"/>
      <c r="C38" s="3"/>
      <c r="D38" s="5"/>
      <c r="E38" s="5"/>
      <c r="F38" s="5"/>
      <c r="G38" s="7"/>
      <c r="H38" s="5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">
      <c r="A39" s="3"/>
      <c r="B39" s="3"/>
      <c r="C39" s="3"/>
      <c r="D39" s="5"/>
      <c r="E39" s="5"/>
      <c r="F39" s="5"/>
      <c r="G39" s="7"/>
      <c r="H39" s="5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">
      <c r="A40" s="3"/>
      <c r="B40" s="3"/>
      <c r="C40" s="3"/>
      <c r="D40" s="5"/>
      <c r="E40" s="5"/>
      <c r="F40" s="5"/>
      <c r="G40" s="7"/>
      <c r="H40" s="5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">
      <c r="A41" s="3"/>
      <c r="B41" s="3"/>
      <c r="C41" s="3"/>
      <c r="D41" s="5"/>
      <c r="E41" s="5"/>
      <c r="F41" s="5"/>
      <c r="G41" s="7"/>
      <c r="H41" s="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3"/>
      <c r="B42" s="3"/>
      <c r="C42" s="3"/>
      <c r="D42" s="5"/>
      <c r="E42" s="5"/>
      <c r="F42" s="5"/>
      <c r="G42" s="7"/>
      <c r="H42" s="5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">
      <c r="A43" s="3"/>
      <c r="B43" s="3"/>
      <c r="C43" s="3"/>
      <c r="D43" s="5"/>
      <c r="E43" s="5"/>
      <c r="F43" s="5"/>
      <c r="G43" s="7"/>
      <c r="H43" s="5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">
      <c r="A44" s="3"/>
      <c r="B44" s="3"/>
      <c r="C44" s="3"/>
      <c r="D44" s="5"/>
      <c r="E44" s="5"/>
      <c r="F44" s="5"/>
      <c r="G44" s="7"/>
      <c r="H44" s="5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">
      <c r="A45" s="3"/>
      <c r="B45" s="3"/>
      <c r="C45" s="3"/>
      <c r="D45" s="5"/>
      <c r="E45" s="5"/>
      <c r="F45" s="5"/>
      <c r="G45" s="7"/>
      <c r="H45" s="5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">
      <c r="A46" s="3"/>
      <c r="B46" s="3"/>
      <c r="C46" s="3"/>
      <c r="D46" s="5"/>
      <c r="E46" s="5"/>
      <c r="F46" s="5"/>
      <c r="G46" s="7"/>
      <c r="H46" s="5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">
      <c r="A47" s="3"/>
      <c r="B47" s="3"/>
      <c r="C47" s="3"/>
      <c r="D47" s="5"/>
      <c r="E47" s="5"/>
      <c r="F47" s="5"/>
      <c r="G47" s="7"/>
      <c r="H47" s="5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">
      <c r="A48" s="3"/>
      <c r="B48" s="3"/>
      <c r="C48" s="3"/>
      <c r="D48" s="5"/>
      <c r="E48" s="5"/>
      <c r="F48" s="5"/>
      <c r="G48" s="7"/>
      <c r="H48" s="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3"/>
      <c r="B49" s="3"/>
      <c r="C49" s="3"/>
      <c r="D49" s="5"/>
      <c r="E49" s="5"/>
      <c r="F49" s="5"/>
      <c r="G49" s="7"/>
      <c r="H49" s="5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">
      <c r="A50" s="3"/>
      <c r="B50" s="3"/>
      <c r="C50" s="3"/>
      <c r="D50" s="5"/>
      <c r="E50" s="5"/>
      <c r="F50" s="5"/>
      <c r="G50" s="7"/>
      <c r="H50" s="5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">
      <c r="A51" s="3"/>
      <c r="B51" s="3"/>
      <c r="C51" s="3"/>
      <c r="D51" s="5"/>
      <c r="E51" s="5"/>
      <c r="F51" s="5"/>
      <c r="G51" s="7"/>
      <c r="H51" s="5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">
      <c r="A52" s="3"/>
      <c r="B52" s="3"/>
      <c r="C52" s="3"/>
      <c r="D52" s="5"/>
      <c r="E52" s="5"/>
      <c r="F52" s="5"/>
      <c r="G52" s="7"/>
      <c r="H52" s="5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">
      <c r="A53" s="3"/>
      <c r="B53" s="3"/>
      <c r="C53" s="3"/>
      <c r="D53" s="5"/>
      <c r="E53" s="5"/>
      <c r="F53" s="5"/>
      <c r="G53" s="7"/>
      <c r="H53" s="5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">
      <c r="A54" s="3"/>
      <c r="B54" s="3"/>
      <c r="C54" s="3"/>
      <c r="D54" s="5"/>
      <c r="E54" s="5"/>
      <c r="F54" s="5"/>
      <c r="G54" s="7"/>
      <c r="H54" s="5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">
      <c r="A55" s="3"/>
      <c r="B55" s="3"/>
      <c r="C55" s="3"/>
      <c r="D55" s="5"/>
      <c r="E55" s="5"/>
      <c r="F55" s="5"/>
      <c r="G55" s="7"/>
      <c r="H55" s="5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">
      <c r="A56" s="3"/>
      <c r="B56" s="3"/>
      <c r="C56" s="3"/>
      <c r="D56" s="5"/>
      <c r="E56" s="5"/>
      <c r="F56" s="5"/>
      <c r="G56" s="7"/>
      <c r="H56" s="5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">
      <c r="A57" s="3"/>
      <c r="B57" s="3"/>
      <c r="C57" s="3"/>
      <c r="D57" s="5"/>
      <c r="E57" s="5"/>
      <c r="F57" s="5"/>
      <c r="G57" s="7"/>
      <c r="H57" s="5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">
      <c r="A58" s="3"/>
      <c r="B58" s="3"/>
      <c r="C58" s="3"/>
      <c r="D58" s="5"/>
      <c r="E58" s="5"/>
      <c r="F58" s="5"/>
      <c r="G58" s="7"/>
      <c r="H58" s="5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">
      <c r="A59" s="3"/>
      <c r="B59" s="3"/>
      <c r="C59" s="3"/>
      <c r="D59" s="5"/>
      <c r="E59" s="5"/>
      <c r="F59" s="5"/>
      <c r="G59" s="7"/>
      <c r="H59" s="5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">
      <c r="A60" s="3"/>
      <c r="B60" s="3"/>
      <c r="C60" s="3"/>
      <c r="D60" s="5"/>
      <c r="E60" s="5"/>
      <c r="F60" s="5"/>
      <c r="G60" s="7"/>
      <c r="H60" s="5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">
      <c r="A61" s="3"/>
      <c r="B61" s="3"/>
      <c r="C61" s="3"/>
      <c r="D61" s="5"/>
      <c r="E61" s="5"/>
      <c r="F61" s="5"/>
      <c r="G61" s="7"/>
      <c r="H61" s="5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">
      <c r="A62" s="3"/>
      <c r="B62" s="3"/>
      <c r="C62" s="3"/>
      <c r="D62" s="5"/>
      <c r="E62" s="5"/>
      <c r="F62" s="5"/>
      <c r="G62" s="7"/>
      <c r="H62" s="5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">
      <c r="A63" s="3"/>
      <c r="B63" s="3"/>
      <c r="C63" s="3"/>
      <c r="D63" s="5"/>
      <c r="E63" s="5"/>
      <c r="F63" s="5"/>
      <c r="G63" s="7"/>
      <c r="H63" s="5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">
      <c r="A64" s="3"/>
      <c r="B64" s="3"/>
      <c r="C64" s="3"/>
      <c r="D64" s="5"/>
      <c r="E64" s="5"/>
      <c r="F64" s="5"/>
      <c r="G64" s="7"/>
      <c r="H64" s="5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">
      <c r="A65" s="3"/>
      <c r="B65" s="3"/>
      <c r="C65" s="3"/>
      <c r="D65" s="5"/>
      <c r="E65" s="5"/>
      <c r="F65" s="5"/>
      <c r="G65" s="7"/>
      <c r="H65" s="5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">
      <c r="A66" s="3"/>
      <c r="B66" s="3"/>
      <c r="C66" s="3"/>
      <c r="D66" s="5"/>
      <c r="E66" s="5"/>
      <c r="F66" s="5"/>
      <c r="G66" s="7"/>
      <c r="H66" s="5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">
      <c r="A67" s="3"/>
      <c r="B67" s="3"/>
      <c r="C67" s="3"/>
      <c r="D67" s="5"/>
      <c r="E67" s="5"/>
      <c r="F67" s="5"/>
      <c r="G67" s="7"/>
      <c r="H67" s="5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">
      <c r="A68" s="3"/>
      <c r="B68" s="3"/>
      <c r="C68" s="3"/>
      <c r="D68" s="5"/>
      <c r="E68" s="5"/>
      <c r="F68" s="5"/>
      <c r="G68" s="7"/>
      <c r="H68" s="5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">
      <c r="A69" s="3"/>
      <c r="B69" s="3"/>
      <c r="C69" s="3"/>
      <c r="D69" s="5"/>
      <c r="E69" s="5"/>
      <c r="F69" s="5"/>
      <c r="G69" s="7"/>
      <c r="H69" s="5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">
      <c r="A70" s="3"/>
      <c r="B70" s="3"/>
      <c r="C70" s="3"/>
      <c r="D70" s="5"/>
      <c r="E70" s="5"/>
      <c r="F70" s="5"/>
      <c r="G70" s="7"/>
      <c r="H70" s="5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">
      <c r="A71" s="3"/>
      <c r="B71" s="3"/>
      <c r="C71" s="3"/>
      <c r="D71" s="5"/>
      <c r="E71" s="5"/>
      <c r="F71" s="5"/>
      <c r="G71" s="7"/>
      <c r="H71" s="5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">
      <c r="A72" s="3"/>
      <c r="B72" s="3"/>
      <c r="C72" s="3"/>
      <c r="D72" s="5"/>
      <c r="E72" s="5"/>
      <c r="F72" s="5"/>
      <c r="G72" s="7"/>
      <c r="H72" s="5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">
      <c r="A73" s="3"/>
      <c r="B73" s="3"/>
      <c r="C73" s="3"/>
      <c r="D73" s="5"/>
      <c r="E73" s="5"/>
      <c r="F73" s="5"/>
      <c r="G73" s="7"/>
      <c r="H73" s="5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">
      <c r="A74" s="3"/>
      <c r="B74" s="3"/>
      <c r="C74" s="3"/>
      <c r="D74" s="5"/>
      <c r="E74" s="5"/>
      <c r="F74" s="5"/>
      <c r="G74" s="7"/>
      <c r="H74" s="5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">
      <c r="A75" s="3"/>
      <c r="B75" s="3"/>
      <c r="C75" s="3"/>
      <c r="D75" s="5"/>
      <c r="E75" s="5"/>
      <c r="F75" s="5"/>
      <c r="G75" s="7"/>
      <c r="H75" s="5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">
      <c r="A76" s="3"/>
      <c r="B76" s="3"/>
      <c r="C76" s="3"/>
      <c r="D76" s="5"/>
      <c r="E76" s="5"/>
      <c r="F76" s="5"/>
      <c r="G76" s="7"/>
      <c r="H76" s="5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">
      <c r="A77" s="3"/>
      <c r="B77" s="3"/>
      <c r="C77" s="3"/>
      <c r="D77" s="5"/>
      <c r="E77" s="5"/>
      <c r="F77" s="5"/>
      <c r="G77" s="7"/>
      <c r="H77" s="5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">
      <c r="A78" s="3"/>
      <c r="B78" s="3"/>
      <c r="C78" s="3"/>
      <c r="D78" s="5"/>
      <c r="E78" s="5"/>
      <c r="F78" s="5"/>
      <c r="G78" s="7"/>
      <c r="H78" s="5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">
      <c r="A79" s="3"/>
      <c r="B79" s="3"/>
      <c r="C79" s="3"/>
      <c r="D79" s="5"/>
      <c r="E79" s="5"/>
      <c r="F79" s="5"/>
      <c r="G79" s="7"/>
      <c r="H79" s="5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">
      <c r="A80" s="3"/>
      <c r="B80" s="3"/>
      <c r="C80" s="3"/>
      <c r="D80" s="5"/>
      <c r="E80" s="5"/>
      <c r="F80" s="5"/>
      <c r="G80" s="7"/>
      <c r="H80" s="5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">
      <c r="A81" s="3"/>
      <c r="B81" s="3"/>
      <c r="C81" s="3"/>
      <c r="D81" s="5"/>
      <c r="E81" s="5"/>
      <c r="F81" s="5"/>
      <c r="G81" s="7"/>
      <c r="H81" s="5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">
      <c r="A82" s="3"/>
      <c r="B82" s="3"/>
      <c r="C82" s="3"/>
      <c r="D82" s="5"/>
      <c r="E82" s="5"/>
      <c r="F82" s="5"/>
      <c r="G82" s="7"/>
      <c r="H82" s="5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">
      <c r="A83" s="3"/>
      <c r="B83" s="3"/>
      <c r="C83" s="3"/>
      <c r="D83" s="5"/>
      <c r="E83" s="5"/>
      <c r="F83" s="5"/>
      <c r="G83" s="7"/>
      <c r="H83" s="5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">
      <c r="A84" s="3"/>
      <c r="B84" s="3"/>
      <c r="C84" s="3"/>
      <c r="D84" s="5"/>
      <c r="E84" s="5"/>
      <c r="F84" s="5"/>
      <c r="G84" s="7"/>
      <c r="H84" s="5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">
      <c r="A85" s="3"/>
      <c r="B85" s="3"/>
      <c r="C85" s="3"/>
      <c r="D85" s="5"/>
      <c r="E85" s="5"/>
      <c r="F85" s="5"/>
      <c r="G85" s="7"/>
      <c r="H85" s="5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">
      <c r="A86" s="3"/>
      <c r="B86" s="3"/>
      <c r="C86" s="3"/>
      <c r="D86" s="5"/>
      <c r="E86" s="5"/>
      <c r="F86" s="5"/>
      <c r="G86" s="7"/>
      <c r="H86" s="5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">
      <c r="A87" s="3"/>
      <c r="B87" s="3"/>
      <c r="C87" s="3"/>
      <c r="D87" s="5"/>
      <c r="E87" s="5"/>
      <c r="F87" s="5"/>
      <c r="G87" s="7"/>
      <c r="H87" s="5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">
      <c r="A88" s="3"/>
      <c r="B88" s="3"/>
      <c r="C88" s="3"/>
      <c r="D88" s="5"/>
      <c r="E88" s="5"/>
      <c r="F88" s="5"/>
      <c r="G88" s="7"/>
      <c r="H88" s="5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">
      <c r="A89" s="3"/>
      <c r="B89" s="3"/>
      <c r="C89" s="3"/>
      <c r="D89" s="5"/>
      <c r="E89" s="5"/>
      <c r="F89" s="5"/>
      <c r="G89" s="7"/>
      <c r="H89" s="5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">
      <c r="A90" s="3"/>
      <c r="B90" s="3"/>
      <c r="C90" s="3"/>
      <c r="D90" s="5"/>
      <c r="E90" s="5"/>
      <c r="F90" s="5"/>
      <c r="G90" s="7"/>
      <c r="H90" s="5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">
      <c r="A91" s="3"/>
      <c r="B91" s="3"/>
      <c r="C91" s="3"/>
      <c r="D91" s="5"/>
      <c r="E91" s="5"/>
      <c r="F91" s="5"/>
      <c r="G91" s="7"/>
      <c r="H91" s="5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">
      <c r="A92" s="3"/>
      <c r="B92" s="3"/>
      <c r="C92" s="3"/>
      <c r="D92" s="5"/>
      <c r="E92" s="5"/>
      <c r="F92" s="5"/>
      <c r="G92" s="7"/>
      <c r="H92" s="5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">
      <c r="A93" s="3"/>
      <c r="B93" s="3"/>
      <c r="C93" s="3"/>
      <c r="D93" s="5"/>
      <c r="E93" s="5"/>
      <c r="F93" s="5"/>
      <c r="G93" s="7"/>
      <c r="H93" s="5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">
      <c r="A94" s="3"/>
      <c r="B94" s="3"/>
      <c r="C94" s="3"/>
      <c r="D94" s="5"/>
      <c r="E94" s="5"/>
      <c r="F94" s="5"/>
      <c r="G94" s="7"/>
      <c r="H94" s="5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">
      <c r="A95" s="3"/>
      <c r="B95" s="3"/>
      <c r="C95" s="3"/>
      <c r="D95" s="5"/>
      <c r="E95" s="5"/>
      <c r="F95" s="5"/>
      <c r="G95" s="7"/>
      <c r="H95" s="5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">
      <c r="A96" s="3"/>
      <c r="B96" s="3"/>
      <c r="C96" s="3"/>
      <c r="D96" s="5"/>
      <c r="E96" s="5"/>
      <c r="F96" s="5"/>
      <c r="G96" s="7"/>
      <c r="H96" s="5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">
      <c r="A97" s="3"/>
      <c r="B97" s="3"/>
      <c r="C97" s="3"/>
      <c r="D97" s="5"/>
      <c r="E97" s="5"/>
      <c r="F97" s="5"/>
      <c r="G97" s="7"/>
      <c r="H97" s="5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">
      <c r="A98" s="3"/>
      <c r="B98" s="3"/>
      <c r="C98" s="3"/>
      <c r="D98" s="5"/>
      <c r="E98" s="5"/>
      <c r="F98" s="5"/>
      <c r="G98" s="7"/>
      <c r="H98" s="5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">
      <c r="A99" s="3"/>
      <c r="B99" s="3"/>
      <c r="C99" s="3"/>
      <c r="D99" s="5"/>
      <c r="E99" s="5"/>
      <c r="F99" s="5"/>
      <c r="G99" s="7"/>
      <c r="H99" s="5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">
      <c r="A100" s="3"/>
      <c r="B100" s="3"/>
      <c r="C100" s="3"/>
      <c r="D100" s="5"/>
      <c r="E100" s="5"/>
      <c r="F100" s="5"/>
      <c r="G100" s="7"/>
      <c r="H100" s="5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">
      <c r="A101" s="3"/>
      <c r="B101" s="3"/>
      <c r="C101" s="3"/>
      <c r="D101" s="5"/>
      <c r="E101" s="5"/>
      <c r="F101" s="5"/>
      <c r="G101" s="7"/>
      <c r="H101" s="5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">
      <c r="A102" s="3"/>
      <c r="B102" s="3"/>
      <c r="C102" s="3"/>
      <c r="D102" s="5"/>
      <c r="E102" s="5"/>
      <c r="F102" s="5"/>
      <c r="G102" s="7"/>
      <c r="H102" s="5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">
      <c r="A103" s="3"/>
      <c r="B103" s="3"/>
      <c r="C103" s="3"/>
      <c r="D103" s="5"/>
      <c r="E103" s="5"/>
      <c r="F103" s="5"/>
      <c r="G103" s="7"/>
      <c r="H103" s="5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">
      <c r="A104" s="3"/>
      <c r="B104" s="3"/>
      <c r="C104" s="3"/>
      <c r="D104" s="5"/>
      <c r="E104" s="5"/>
      <c r="F104" s="5"/>
      <c r="G104" s="7"/>
      <c r="H104" s="5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">
      <c r="A105" s="3"/>
      <c r="B105" s="3"/>
      <c r="C105" s="3"/>
      <c r="D105" s="5"/>
      <c r="E105" s="5"/>
      <c r="F105" s="5"/>
      <c r="G105" s="7"/>
      <c r="H105" s="5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">
      <c r="A106" s="3"/>
      <c r="B106" s="3"/>
      <c r="C106" s="3"/>
      <c r="D106" s="5"/>
      <c r="E106" s="5"/>
      <c r="F106" s="5"/>
      <c r="G106" s="7"/>
      <c r="H106" s="5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">
      <c r="A107" s="3"/>
      <c r="B107" s="3"/>
      <c r="C107" s="3"/>
      <c r="D107" s="5"/>
      <c r="E107" s="5"/>
      <c r="F107" s="5"/>
      <c r="G107" s="7"/>
      <c r="H107" s="5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">
      <c r="A108" s="3"/>
      <c r="B108" s="3"/>
      <c r="C108" s="3"/>
      <c r="D108" s="5"/>
      <c r="E108" s="5"/>
      <c r="F108" s="5"/>
      <c r="G108" s="7"/>
      <c r="H108" s="5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">
      <c r="A109" s="3"/>
      <c r="B109" s="3"/>
      <c r="C109" s="3"/>
      <c r="D109" s="5"/>
      <c r="E109" s="5"/>
      <c r="F109" s="5"/>
      <c r="G109" s="7"/>
      <c r="H109" s="5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">
      <c r="A110" s="3"/>
      <c r="B110" s="3"/>
      <c r="C110" s="3"/>
      <c r="D110" s="5"/>
      <c r="E110" s="5"/>
      <c r="F110" s="5"/>
      <c r="G110" s="7"/>
      <c r="H110" s="5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">
      <c r="A111" s="3"/>
      <c r="B111" s="3"/>
      <c r="C111" s="3"/>
      <c r="D111" s="5"/>
      <c r="E111" s="5"/>
      <c r="F111" s="5"/>
      <c r="G111" s="7"/>
      <c r="H111" s="5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">
      <c r="A112" s="3"/>
      <c r="B112" s="3"/>
      <c r="C112" s="3"/>
      <c r="D112" s="5"/>
      <c r="E112" s="5"/>
      <c r="F112" s="5"/>
      <c r="G112" s="7"/>
      <c r="H112" s="5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">
      <c r="A113" s="3"/>
      <c r="B113" s="3"/>
      <c r="C113" s="3"/>
      <c r="D113" s="5"/>
      <c r="E113" s="5"/>
      <c r="F113" s="5"/>
      <c r="G113" s="7"/>
      <c r="H113" s="5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">
      <c r="A114" s="3"/>
      <c r="B114" s="3"/>
      <c r="C114" s="3"/>
      <c r="D114" s="5"/>
      <c r="E114" s="5"/>
      <c r="F114" s="5"/>
      <c r="G114" s="7"/>
      <c r="H114" s="5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">
      <c r="A115" s="3"/>
      <c r="B115" s="3"/>
      <c r="C115" s="3"/>
      <c r="D115" s="5"/>
      <c r="E115" s="5"/>
      <c r="F115" s="5"/>
      <c r="G115" s="7"/>
      <c r="H115" s="5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">
      <c r="A116" s="3"/>
      <c r="B116" s="3"/>
      <c r="C116" s="3"/>
      <c r="D116" s="5"/>
      <c r="E116" s="5"/>
      <c r="F116" s="5"/>
      <c r="G116" s="7"/>
      <c r="H116" s="5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">
      <c r="A117" s="3"/>
      <c r="B117" s="3"/>
      <c r="C117" s="3"/>
      <c r="D117" s="5"/>
      <c r="E117" s="5"/>
      <c r="F117" s="5"/>
      <c r="G117" s="7"/>
      <c r="H117" s="5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">
      <c r="A118" s="3"/>
      <c r="B118" s="3"/>
      <c r="C118" s="3"/>
      <c r="D118" s="5"/>
      <c r="E118" s="5"/>
      <c r="F118" s="5"/>
      <c r="G118" s="7"/>
      <c r="H118" s="5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">
      <c r="A119" s="3"/>
      <c r="B119" s="3"/>
      <c r="C119" s="3"/>
      <c r="D119" s="5"/>
      <c r="E119" s="5"/>
      <c r="F119" s="5"/>
      <c r="G119" s="7"/>
      <c r="H119" s="5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">
      <c r="A120" s="3"/>
      <c r="B120" s="3"/>
      <c r="C120" s="3"/>
      <c r="D120" s="5"/>
      <c r="E120" s="5"/>
      <c r="F120" s="5"/>
      <c r="G120" s="7"/>
      <c r="H120" s="5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">
      <c r="A121" s="3"/>
      <c r="B121" s="3"/>
      <c r="C121" s="3"/>
      <c r="D121" s="5"/>
      <c r="E121" s="5"/>
      <c r="F121" s="5"/>
      <c r="G121" s="7"/>
      <c r="H121" s="5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">
      <c r="A122" s="3"/>
      <c r="B122" s="3"/>
      <c r="C122" s="3"/>
      <c r="D122" s="5"/>
      <c r="E122" s="5"/>
      <c r="F122" s="5"/>
      <c r="G122" s="7"/>
      <c r="H122" s="5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">
      <c r="A123" s="3"/>
      <c r="B123" s="3"/>
      <c r="C123" s="3"/>
      <c r="D123" s="5"/>
      <c r="E123" s="5"/>
      <c r="F123" s="5"/>
      <c r="G123" s="7"/>
      <c r="H123" s="5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">
      <c r="A124" s="3"/>
      <c r="B124" s="3"/>
      <c r="C124" s="3"/>
      <c r="D124" s="5"/>
      <c r="E124" s="5"/>
      <c r="F124" s="5"/>
      <c r="G124" s="7"/>
      <c r="H124" s="5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">
      <c r="A125" s="3"/>
      <c r="B125" s="3"/>
      <c r="C125" s="3"/>
      <c r="D125" s="5"/>
      <c r="E125" s="5"/>
      <c r="F125" s="5"/>
      <c r="G125" s="7"/>
      <c r="H125" s="5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">
      <c r="A126" s="3"/>
      <c r="B126" s="3"/>
      <c r="C126" s="3"/>
      <c r="D126" s="5"/>
      <c r="E126" s="5"/>
      <c r="F126" s="5"/>
      <c r="G126" s="7"/>
      <c r="H126" s="5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">
      <c r="A127" s="3"/>
      <c r="B127" s="3"/>
      <c r="C127" s="3"/>
      <c r="D127" s="5"/>
      <c r="E127" s="5"/>
      <c r="F127" s="5"/>
      <c r="G127" s="7"/>
      <c r="H127" s="5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">
      <c r="A128" s="3"/>
      <c r="B128" s="3"/>
      <c r="C128" s="3"/>
      <c r="D128" s="5"/>
      <c r="E128" s="5"/>
      <c r="F128" s="5"/>
      <c r="G128" s="7"/>
      <c r="H128" s="5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">
      <c r="A129" s="3"/>
      <c r="B129" s="3"/>
      <c r="C129" s="3"/>
      <c r="D129" s="5"/>
      <c r="E129" s="5"/>
      <c r="F129" s="5"/>
      <c r="G129" s="7"/>
      <c r="H129" s="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">
      <c r="A130" s="3"/>
      <c r="B130" s="3"/>
      <c r="C130" s="3"/>
      <c r="D130" s="5"/>
      <c r="E130" s="5"/>
      <c r="F130" s="5"/>
      <c r="G130" s="7"/>
      <c r="H130" s="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">
      <c r="A131" s="3"/>
      <c r="B131" s="3"/>
      <c r="C131" s="3"/>
      <c r="D131" s="5"/>
      <c r="E131" s="5"/>
      <c r="F131" s="5"/>
      <c r="G131" s="7"/>
      <c r="H131" s="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">
      <c r="A132" s="3"/>
      <c r="B132" s="3"/>
      <c r="C132" s="3"/>
      <c r="D132" s="5"/>
      <c r="E132" s="5"/>
      <c r="F132" s="5"/>
      <c r="G132" s="7"/>
      <c r="H132" s="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">
      <c r="A133" s="3"/>
      <c r="B133" s="3"/>
      <c r="C133" s="3"/>
      <c r="D133" s="5"/>
      <c r="E133" s="5"/>
      <c r="F133" s="5"/>
      <c r="G133" s="7"/>
      <c r="H133" s="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">
      <c r="A134" s="3"/>
      <c r="B134" s="3"/>
      <c r="C134" s="3"/>
      <c r="D134" s="5"/>
      <c r="E134" s="5"/>
      <c r="F134" s="5"/>
      <c r="G134" s="7"/>
      <c r="H134" s="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">
      <c r="A135" s="3"/>
      <c r="B135" s="3"/>
      <c r="C135" s="3"/>
      <c r="D135" s="5"/>
      <c r="E135" s="5"/>
      <c r="F135" s="5"/>
      <c r="G135" s="7"/>
      <c r="H135" s="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">
      <c r="A136" s="3"/>
      <c r="B136" s="3"/>
      <c r="C136" s="3"/>
      <c r="D136" s="5"/>
      <c r="E136" s="5"/>
      <c r="F136" s="5"/>
      <c r="G136" s="7"/>
      <c r="H136" s="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">
      <c r="A137" s="3"/>
      <c r="B137" s="3"/>
      <c r="C137" s="3"/>
      <c r="D137" s="5"/>
      <c r="E137" s="5"/>
      <c r="F137" s="5"/>
      <c r="G137" s="7"/>
      <c r="H137" s="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">
      <c r="A138" s="3"/>
      <c r="B138" s="3"/>
      <c r="C138" s="3"/>
      <c r="D138" s="5"/>
      <c r="E138" s="5"/>
      <c r="F138" s="5"/>
      <c r="G138" s="7"/>
      <c r="H138" s="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">
      <c r="A139" s="3"/>
      <c r="B139" s="3"/>
      <c r="C139" s="3"/>
      <c r="D139" s="5"/>
      <c r="E139" s="5"/>
      <c r="F139" s="5"/>
      <c r="G139" s="7"/>
      <c r="H139" s="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">
      <c r="A140" s="3"/>
      <c r="B140" s="3"/>
      <c r="C140" s="3"/>
      <c r="D140" s="5"/>
      <c r="E140" s="5"/>
      <c r="F140" s="5"/>
      <c r="G140" s="7"/>
      <c r="H140" s="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">
      <c r="A141" s="3"/>
      <c r="B141" s="3"/>
      <c r="C141" s="3"/>
      <c r="D141" s="5"/>
      <c r="E141" s="5"/>
      <c r="F141" s="5"/>
      <c r="G141" s="7"/>
      <c r="H141" s="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">
      <c r="A142" s="3"/>
      <c r="B142" s="3"/>
      <c r="C142" s="3"/>
      <c r="D142" s="5"/>
      <c r="E142" s="5"/>
      <c r="F142" s="5"/>
      <c r="G142" s="7"/>
      <c r="H142" s="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">
      <c r="A143" s="3"/>
      <c r="B143" s="3"/>
      <c r="C143" s="3"/>
      <c r="D143" s="5"/>
      <c r="E143" s="5"/>
      <c r="F143" s="5"/>
      <c r="G143" s="7"/>
      <c r="H143" s="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">
      <c r="A144" s="3"/>
      <c r="B144" s="3"/>
      <c r="C144" s="3"/>
      <c r="D144" s="5"/>
      <c r="E144" s="5"/>
      <c r="F144" s="5"/>
      <c r="G144" s="7"/>
      <c r="H144" s="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">
      <c r="A145" s="3"/>
      <c r="B145" s="3"/>
      <c r="C145" s="3"/>
      <c r="D145" s="5"/>
      <c r="E145" s="5"/>
      <c r="F145" s="5"/>
      <c r="G145" s="7"/>
      <c r="H145" s="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">
      <c r="A146" s="3"/>
      <c r="B146" s="3"/>
      <c r="C146" s="3"/>
      <c r="D146" s="5"/>
      <c r="E146" s="5"/>
      <c r="F146" s="5"/>
      <c r="G146" s="7"/>
      <c r="H146" s="5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">
      <c r="A147" s="3"/>
      <c r="B147" s="3"/>
      <c r="C147" s="3"/>
      <c r="D147" s="5"/>
      <c r="E147" s="5"/>
      <c r="F147" s="5"/>
      <c r="G147" s="7"/>
      <c r="H147" s="5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">
      <c r="A148" s="3"/>
      <c r="B148" s="3"/>
      <c r="C148" s="3"/>
      <c r="D148" s="5"/>
      <c r="E148" s="5"/>
      <c r="F148" s="5"/>
      <c r="G148" s="7"/>
      <c r="H148" s="5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">
      <c r="A149" s="3"/>
      <c r="B149" s="3"/>
      <c r="C149" s="3"/>
      <c r="D149" s="5"/>
      <c r="E149" s="5"/>
      <c r="F149" s="5"/>
      <c r="G149" s="7"/>
      <c r="H149" s="5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">
      <c r="A150" s="3"/>
      <c r="B150" s="3"/>
      <c r="C150" s="3"/>
      <c r="D150" s="5"/>
      <c r="E150" s="5"/>
      <c r="F150" s="5"/>
      <c r="G150" s="7"/>
      <c r="H150" s="5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">
      <c r="A151" s="3"/>
      <c r="B151" s="3"/>
      <c r="C151" s="3"/>
      <c r="D151" s="5"/>
      <c r="E151" s="5"/>
      <c r="F151" s="5"/>
      <c r="G151" s="7"/>
      <c r="H151" s="5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">
      <c r="A152" s="3"/>
      <c r="B152" s="3"/>
      <c r="C152" s="3"/>
      <c r="D152" s="5"/>
      <c r="E152" s="5"/>
      <c r="F152" s="5"/>
      <c r="G152" s="7"/>
      <c r="H152" s="5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">
      <c r="A153" s="3"/>
      <c r="B153" s="3"/>
      <c r="C153" s="3"/>
      <c r="D153" s="5"/>
      <c r="E153" s="5"/>
      <c r="F153" s="5"/>
      <c r="G153" s="7"/>
      <c r="H153" s="5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">
      <c r="A154" s="3"/>
      <c r="B154" s="3"/>
      <c r="C154" s="3"/>
      <c r="D154" s="5"/>
      <c r="E154" s="5"/>
      <c r="F154" s="5"/>
      <c r="G154" s="7"/>
      <c r="H154" s="5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">
      <c r="A155" s="3"/>
      <c r="B155" s="3"/>
      <c r="C155" s="3"/>
      <c r="D155" s="5"/>
      <c r="E155" s="5"/>
      <c r="F155" s="5"/>
      <c r="G155" s="7"/>
      <c r="H155" s="5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">
      <c r="A156" s="3"/>
      <c r="B156" s="3"/>
      <c r="C156" s="3"/>
      <c r="D156" s="5"/>
      <c r="E156" s="5"/>
      <c r="F156" s="5"/>
      <c r="G156" s="7"/>
      <c r="H156" s="5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">
      <c r="A157" s="3"/>
      <c r="B157" s="3"/>
      <c r="C157" s="3"/>
      <c r="D157" s="5"/>
      <c r="E157" s="5"/>
      <c r="F157" s="5"/>
      <c r="G157" s="7"/>
      <c r="H157" s="5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">
      <c r="A158" s="3"/>
      <c r="B158" s="3"/>
      <c r="C158" s="3"/>
      <c r="D158" s="5"/>
      <c r="E158" s="5"/>
      <c r="F158" s="5"/>
      <c r="G158" s="7"/>
      <c r="H158" s="5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">
      <c r="A159" s="3"/>
      <c r="B159" s="3"/>
      <c r="C159" s="3"/>
      <c r="D159" s="5"/>
      <c r="E159" s="5"/>
      <c r="F159" s="5"/>
      <c r="G159" s="7"/>
      <c r="H159" s="5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">
      <c r="A160" s="3"/>
      <c r="B160" s="3"/>
      <c r="C160" s="3"/>
      <c r="D160" s="5"/>
      <c r="E160" s="5"/>
      <c r="F160" s="5"/>
      <c r="G160" s="7"/>
      <c r="H160" s="5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">
      <c r="A161" s="3"/>
      <c r="B161" s="3"/>
      <c r="C161" s="3"/>
      <c r="D161" s="5"/>
      <c r="E161" s="5"/>
      <c r="F161" s="5"/>
      <c r="G161" s="7"/>
      <c r="H161" s="5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">
      <c r="A162" s="3"/>
      <c r="B162" s="3"/>
      <c r="C162" s="3"/>
      <c r="D162" s="5"/>
      <c r="E162" s="5"/>
      <c r="F162" s="5"/>
      <c r="G162" s="7"/>
      <c r="H162" s="5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">
      <c r="A163" s="3"/>
      <c r="B163" s="3"/>
      <c r="C163" s="3"/>
      <c r="D163" s="5"/>
      <c r="E163" s="5"/>
      <c r="F163" s="5"/>
      <c r="G163" s="7"/>
      <c r="H163" s="5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">
      <c r="A164" s="3"/>
      <c r="B164" s="3"/>
      <c r="C164" s="3"/>
      <c r="D164" s="5"/>
      <c r="E164" s="5"/>
      <c r="F164" s="5"/>
      <c r="G164" s="7"/>
      <c r="H164" s="5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">
      <c r="A165" s="3"/>
      <c r="B165" s="3"/>
      <c r="C165" s="3"/>
      <c r="D165" s="5"/>
      <c r="E165" s="5"/>
      <c r="F165" s="5"/>
      <c r="G165" s="7"/>
      <c r="H165" s="5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">
      <c r="A166" s="3"/>
      <c r="B166" s="3"/>
      <c r="C166" s="3"/>
      <c r="D166" s="5"/>
      <c r="E166" s="5"/>
      <c r="F166" s="5"/>
      <c r="G166" s="7"/>
      <c r="H166" s="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">
      <c r="A167" s="3"/>
      <c r="B167" s="3"/>
      <c r="C167" s="3"/>
      <c r="D167" s="5"/>
      <c r="E167" s="5"/>
      <c r="F167" s="5"/>
      <c r="G167" s="7"/>
      <c r="H167" s="5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">
      <c r="A168" s="3"/>
      <c r="B168" s="3"/>
      <c r="C168" s="3"/>
      <c r="D168" s="5"/>
      <c r="E168" s="5"/>
      <c r="F168" s="5"/>
      <c r="G168" s="7"/>
      <c r="H168" s="5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">
      <c r="A169" s="3"/>
      <c r="B169" s="3"/>
      <c r="C169" s="3"/>
      <c r="D169" s="5"/>
      <c r="E169" s="5"/>
      <c r="F169" s="5"/>
      <c r="G169" s="7"/>
      <c r="H169" s="5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">
      <c r="A170" s="3"/>
      <c r="B170" s="3"/>
      <c r="C170" s="3"/>
      <c r="D170" s="5"/>
      <c r="E170" s="5"/>
      <c r="F170" s="5"/>
      <c r="G170" s="7"/>
      <c r="H170" s="5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">
      <c r="A171" s="3"/>
      <c r="B171" s="3"/>
      <c r="C171" s="3"/>
      <c r="D171" s="5"/>
      <c r="E171" s="5"/>
      <c r="F171" s="5"/>
      <c r="G171" s="7"/>
      <c r="H171" s="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">
      <c r="A172" s="3"/>
      <c r="B172" s="3"/>
      <c r="C172" s="3"/>
      <c r="D172" s="5"/>
      <c r="E172" s="5"/>
      <c r="F172" s="5"/>
      <c r="G172" s="7"/>
      <c r="H172" s="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">
      <c r="A173" s="3"/>
      <c r="B173" s="3"/>
      <c r="C173" s="3"/>
      <c r="D173" s="5"/>
      <c r="E173" s="5"/>
      <c r="F173" s="5"/>
      <c r="G173" s="7"/>
      <c r="H173" s="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">
      <c r="A174" s="3"/>
      <c r="B174" s="3"/>
      <c r="C174" s="3"/>
      <c r="D174" s="5"/>
      <c r="E174" s="5"/>
      <c r="F174" s="5"/>
      <c r="G174" s="7"/>
      <c r="H174" s="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">
      <c r="A175" s="3"/>
      <c r="B175" s="3"/>
      <c r="C175" s="3"/>
      <c r="D175" s="5"/>
      <c r="E175" s="5"/>
      <c r="F175" s="5"/>
      <c r="G175" s="7"/>
      <c r="H175" s="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">
      <c r="A176" s="3"/>
      <c r="B176" s="3"/>
      <c r="C176" s="3"/>
      <c r="D176" s="5"/>
      <c r="E176" s="5"/>
      <c r="F176" s="5"/>
      <c r="G176" s="7"/>
      <c r="H176" s="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">
      <c r="A177" s="3"/>
      <c r="B177" s="3"/>
      <c r="C177" s="3"/>
      <c r="D177" s="5"/>
      <c r="E177" s="5"/>
      <c r="F177" s="5"/>
      <c r="G177" s="7"/>
      <c r="H177" s="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">
      <c r="A178" s="3"/>
      <c r="B178" s="3"/>
      <c r="C178" s="3"/>
      <c r="D178" s="5"/>
      <c r="E178" s="5"/>
      <c r="F178" s="5"/>
      <c r="G178" s="7"/>
      <c r="H178" s="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">
      <c r="A179" s="3"/>
      <c r="B179" s="3"/>
      <c r="C179" s="3"/>
      <c r="D179" s="5"/>
      <c r="E179" s="5"/>
      <c r="F179" s="5"/>
      <c r="G179" s="7"/>
      <c r="H179" s="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">
      <c r="A180" s="3"/>
      <c r="B180" s="3"/>
      <c r="C180" s="3"/>
      <c r="D180" s="5"/>
      <c r="E180" s="5"/>
      <c r="F180" s="5"/>
      <c r="G180" s="7"/>
      <c r="H180" s="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">
      <c r="A181" s="3"/>
      <c r="B181" s="3"/>
      <c r="C181" s="3"/>
      <c r="D181" s="5"/>
      <c r="E181" s="5"/>
      <c r="F181" s="5"/>
      <c r="G181" s="7"/>
      <c r="H181" s="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">
      <c r="A182" s="3"/>
      <c r="B182" s="3"/>
      <c r="C182" s="3"/>
      <c r="D182" s="5"/>
      <c r="E182" s="5"/>
      <c r="F182" s="5"/>
      <c r="G182" s="7"/>
      <c r="H182" s="5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">
      <c r="A183" s="3"/>
      <c r="B183" s="3"/>
      <c r="C183" s="3"/>
      <c r="D183" s="5"/>
      <c r="E183" s="5"/>
      <c r="F183" s="5"/>
      <c r="G183" s="7"/>
      <c r="H183" s="5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">
      <c r="A184" s="3"/>
      <c r="B184" s="3"/>
      <c r="C184" s="3"/>
      <c r="D184" s="5"/>
      <c r="E184" s="5"/>
      <c r="F184" s="5"/>
      <c r="G184" s="7"/>
      <c r="H184" s="5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">
      <c r="A185" s="3"/>
      <c r="B185" s="3"/>
      <c r="C185" s="3"/>
      <c r="D185" s="5"/>
      <c r="E185" s="5"/>
      <c r="F185" s="5"/>
      <c r="G185" s="7"/>
      <c r="H185" s="5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">
      <c r="A186" s="3"/>
      <c r="B186" s="3"/>
      <c r="C186" s="3"/>
      <c r="D186" s="5"/>
      <c r="E186" s="5"/>
      <c r="F186" s="5"/>
      <c r="G186" s="7"/>
      <c r="H186" s="5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">
      <c r="A187" s="3"/>
      <c r="B187" s="3"/>
      <c r="C187" s="3"/>
      <c r="D187" s="5"/>
      <c r="E187" s="5"/>
      <c r="F187" s="5"/>
      <c r="G187" s="7"/>
      <c r="H187" s="5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">
      <c r="A188" s="3"/>
      <c r="B188" s="3"/>
      <c r="C188" s="3"/>
      <c r="D188" s="5"/>
      <c r="E188" s="5"/>
      <c r="F188" s="5"/>
      <c r="G188" s="7"/>
      <c r="H188" s="5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">
      <c r="A189" s="3"/>
      <c r="B189" s="3"/>
      <c r="C189" s="3"/>
      <c r="D189" s="5"/>
      <c r="E189" s="5"/>
      <c r="F189" s="5"/>
      <c r="G189" s="7"/>
      <c r="H189" s="5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">
      <c r="A190" s="3"/>
      <c r="B190" s="3"/>
      <c r="C190" s="3"/>
      <c r="D190" s="5"/>
      <c r="E190" s="5"/>
      <c r="F190" s="5"/>
      <c r="G190" s="7"/>
      <c r="H190" s="5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">
      <c r="A191" s="3"/>
      <c r="B191" s="3"/>
      <c r="C191" s="3"/>
      <c r="D191" s="5"/>
      <c r="E191" s="5"/>
      <c r="F191" s="5"/>
      <c r="G191" s="7"/>
      <c r="H191" s="5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">
      <c r="A192" s="3"/>
      <c r="B192" s="3"/>
      <c r="C192" s="3"/>
      <c r="D192" s="5"/>
      <c r="E192" s="5"/>
      <c r="F192" s="5"/>
      <c r="G192" s="7"/>
      <c r="H192" s="5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">
      <c r="A193" s="3"/>
      <c r="B193" s="3"/>
      <c r="C193" s="3"/>
      <c r="D193" s="5"/>
      <c r="E193" s="5"/>
      <c r="F193" s="5"/>
      <c r="G193" s="7"/>
      <c r="H193" s="5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">
      <c r="A194" s="3"/>
      <c r="B194" s="3"/>
      <c r="C194" s="3"/>
      <c r="D194" s="5"/>
      <c r="E194" s="5"/>
      <c r="F194" s="5"/>
      <c r="G194" s="7"/>
      <c r="H194" s="5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">
      <c r="A195" s="3"/>
      <c r="B195" s="3"/>
      <c r="C195" s="3"/>
      <c r="D195" s="5"/>
      <c r="E195" s="5"/>
      <c r="F195" s="5"/>
      <c r="G195" s="7"/>
      <c r="H195" s="5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">
      <c r="A196" s="3"/>
      <c r="B196" s="3"/>
      <c r="C196" s="3"/>
      <c r="D196" s="5"/>
      <c r="E196" s="5"/>
      <c r="F196" s="5"/>
      <c r="G196" s="7"/>
      <c r="H196" s="5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">
      <c r="A197" s="3"/>
      <c r="B197" s="3"/>
      <c r="C197" s="3"/>
      <c r="D197" s="5"/>
      <c r="E197" s="5"/>
      <c r="F197" s="5"/>
      <c r="G197" s="7"/>
      <c r="H197" s="5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">
      <c r="A198" s="3"/>
      <c r="B198" s="3"/>
      <c r="C198" s="3"/>
      <c r="D198" s="5"/>
      <c r="E198" s="5"/>
      <c r="F198" s="5"/>
      <c r="G198" s="7"/>
      <c r="H198" s="5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">
      <c r="A199" s="3"/>
      <c r="B199" s="3"/>
      <c r="C199" s="3"/>
      <c r="D199" s="5"/>
      <c r="E199" s="5"/>
      <c r="F199" s="5"/>
      <c r="G199" s="7"/>
      <c r="H199" s="5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">
      <c r="A200" s="3"/>
      <c r="B200" s="3"/>
      <c r="C200" s="3"/>
      <c r="D200" s="5"/>
      <c r="E200" s="5"/>
      <c r="F200" s="5"/>
      <c r="G200" s="7"/>
      <c r="H200" s="5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">
      <c r="A201" s="3"/>
      <c r="B201" s="3"/>
      <c r="C201" s="3"/>
      <c r="D201" s="5"/>
      <c r="E201" s="5"/>
      <c r="F201" s="5"/>
      <c r="G201" s="7"/>
      <c r="H201" s="5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">
      <c r="A202" s="3"/>
      <c r="B202" s="3"/>
      <c r="C202" s="3"/>
      <c r="D202" s="5"/>
      <c r="E202" s="5"/>
      <c r="F202" s="5"/>
      <c r="G202" s="7"/>
      <c r="H202" s="5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">
      <c r="A203" s="3"/>
      <c r="B203" s="3"/>
      <c r="C203" s="3"/>
      <c r="D203" s="5"/>
      <c r="E203" s="5"/>
      <c r="F203" s="5"/>
      <c r="G203" s="7"/>
      <c r="H203" s="5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">
      <c r="A204" s="3"/>
      <c r="B204" s="3"/>
      <c r="C204" s="3"/>
      <c r="D204" s="5"/>
      <c r="E204" s="5"/>
      <c r="F204" s="5"/>
      <c r="G204" s="7"/>
      <c r="H204" s="5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">
      <c r="A205" s="3"/>
      <c r="B205" s="3"/>
      <c r="C205" s="3"/>
      <c r="D205" s="5"/>
      <c r="E205" s="5"/>
      <c r="F205" s="5"/>
      <c r="G205" s="7"/>
      <c r="H205" s="5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">
      <c r="A206" s="3"/>
      <c r="B206" s="3"/>
      <c r="C206" s="3"/>
      <c r="D206" s="5"/>
      <c r="E206" s="5"/>
      <c r="F206" s="5"/>
      <c r="G206" s="7"/>
      <c r="H206" s="5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">
      <c r="A207" s="3"/>
      <c r="B207" s="3"/>
      <c r="C207" s="3"/>
      <c r="D207" s="5"/>
      <c r="E207" s="5"/>
      <c r="F207" s="5"/>
      <c r="G207" s="7"/>
      <c r="H207" s="5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">
      <c r="A208" s="3"/>
      <c r="B208" s="3"/>
      <c r="C208" s="3"/>
      <c r="D208" s="5"/>
      <c r="E208" s="5"/>
      <c r="F208" s="5"/>
      <c r="G208" s="7"/>
      <c r="H208" s="5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">
      <c r="A209" s="3"/>
      <c r="B209" s="3"/>
      <c r="C209" s="3"/>
      <c r="D209" s="5"/>
      <c r="E209" s="5"/>
      <c r="F209" s="5"/>
      <c r="G209" s="7"/>
      <c r="H209" s="5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">
      <c r="A210" s="3"/>
      <c r="B210" s="3"/>
      <c r="C210" s="3"/>
      <c r="D210" s="5"/>
      <c r="E210" s="5"/>
      <c r="F210" s="5"/>
      <c r="G210" s="7"/>
      <c r="H210" s="5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">
      <c r="A211" s="3"/>
      <c r="B211" s="3"/>
      <c r="C211" s="3"/>
      <c r="D211" s="5"/>
      <c r="E211" s="5"/>
      <c r="F211" s="5"/>
      <c r="G211" s="7"/>
      <c r="H211" s="5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">
      <c r="A212" s="3"/>
      <c r="B212" s="3"/>
      <c r="C212" s="3"/>
      <c r="D212" s="5"/>
      <c r="E212" s="5"/>
      <c r="F212" s="5"/>
      <c r="G212" s="7"/>
      <c r="H212" s="5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">
      <c r="A213" s="3"/>
      <c r="B213" s="3"/>
      <c r="C213" s="3"/>
      <c r="D213" s="5"/>
      <c r="E213" s="5"/>
      <c r="F213" s="5"/>
      <c r="G213" s="7"/>
      <c r="H213" s="5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">
      <c r="A214" s="3"/>
      <c r="B214" s="3"/>
      <c r="C214" s="3"/>
      <c r="D214" s="5"/>
      <c r="E214" s="5"/>
      <c r="F214" s="5"/>
      <c r="G214" s="7"/>
      <c r="H214" s="5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">
      <c r="A215" s="3"/>
      <c r="B215" s="3"/>
      <c r="C215" s="3"/>
      <c r="D215" s="5"/>
      <c r="E215" s="5"/>
      <c r="F215" s="5"/>
      <c r="G215" s="7"/>
      <c r="H215" s="5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">
      <c r="A216" s="3"/>
      <c r="B216" s="3"/>
      <c r="C216" s="3"/>
      <c r="D216" s="5"/>
      <c r="E216" s="5"/>
      <c r="F216" s="5"/>
      <c r="G216" s="7"/>
      <c r="H216" s="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">
      <c r="A217" s="3"/>
      <c r="B217" s="3"/>
      <c r="C217" s="3"/>
      <c r="D217" s="5"/>
      <c r="E217" s="5"/>
      <c r="F217" s="5"/>
      <c r="G217" s="7"/>
      <c r="H217" s="5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">
      <c r="A218" s="3"/>
      <c r="B218" s="3"/>
      <c r="C218" s="3"/>
      <c r="D218" s="5"/>
      <c r="E218" s="5"/>
      <c r="F218" s="5"/>
      <c r="G218" s="7"/>
      <c r="H218" s="5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">
      <c r="A219" s="3"/>
      <c r="B219" s="3"/>
      <c r="C219" s="3"/>
      <c r="D219" s="5"/>
      <c r="E219" s="5"/>
      <c r="F219" s="5"/>
      <c r="G219" s="7"/>
      <c r="H219" s="5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">
      <c r="A220" s="3"/>
      <c r="B220" s="3"/>
      <c r="C220" s="3"/>
      <c r="D220" s="5"/>
      <c r="E220" s="5"/>
      <c r="F220" s="5"/>
      <c r="G220" s="7"/>
      <c r="H220" s="5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">
      <c r="A221" s="3"/>
      <c r="B221" s="3"/>
      <c r="C221" s="3"/>
      <c r="D221" s="5"/>
      <c r="E221" s="5"/>
      <c r="F221" s="5"/>
      <c r="G221" s="7"/>
      <c r="H221" s="5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">
      <c r="A222" s="3"/>
      <c r="B222" s="3"/>
      <c r="C222" s="3"/>
      <c r="D222" s="5"/>
      <c r="E222" s="5"/>
      <c r="F222" s="5"/>
      <c r="G222" s="7"/>
      <c r="H222" s="5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">
      <c r="A223" s="3"/>
      <c r="B223" s="3"/>
      <c r="C223" s="3"/>
      <c r="D223" s="5"/>
      <c r="E223" s="5"/>
      <c r="F223" s="5"/>
      <c r="G223" s="7"/>
      <c r="H223" s="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">
      <c r="A224" s="3"/>
      <c r="B224" s="3"/>
      <c r="C224" s="3"/>
      <c r="D224" s="5"/>
      <c r="E224" s="5"/>
      <c r="F224" s="5"/>
      <c r="G224" s="7"/>
      <c r="H224" s="5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">
      <c r="A225" s="3"/>
      <c r="B225" s="3"/>
      <c r="C225" s="3"/>
      <c r="D225" s="5"/>
      <c r="E225" s="5"/>
      <c r="F225" s="5"/>
      <c r="G225" s="7"/>
      <c r="H225" s="5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">
      <c r="A226" s="3"/>
      <c r="B226" s="3"/>
      <c r="C226" s="3"/>
      <c r="D226" s="5"/>
      <c r="E226" s="5"/>
      <c r="F226" s="5"/>
      <c r="G226" s="7"/>
      <c r="H226" s="5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">
      <c r="A227" s="3"/>
      <c r="B227" s="3"/>
      <c r="C227" s="3"/>
      <c r="D227" s="5"/>
      <c r="E227" s="5"/>
      <c r="F227" s="5"/>
      <c r="G227" s="7"/>
      <c r="H227" s="5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">
      <c r="A228" s="3"/>
      <c r="B228" s="3"/>
      <c r="C228" s="3"/>
      <c r="D228" s="5"/>
      <c r="E228" s="5"/>
      <c r="F228" s="5"/>
      <c r="G228" s="7"/>
      <c r="H228" s="5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">
      <c r="A229" s="3"/>
      <c r="B229" s="3"/>
      <c r="C229" s="3"/>
      <c r="D229" s="5"/>
      <c r="E229" s="5"/>
      <c r="F229" s="5"/>
      <c r="G229" s="7"/>
      <c r="H229" s="5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">
      <c r="A230" s="3"/>
      <c r="B230" s="3"/>
      <c r="C230" s="3"/>
      <c r="D230" s="5"/>
      <c r="E230" s="5"/>
      <c r="F230" s="5"/>
      <c r="G230" s="7"/>
      <c r="H230" s="5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">
      <c r="A231" s="3"/>
      <c r="B231" s="3"/>
      <c r="C231" s="3"/>
      <c r="D231" s="5"/>
      <c r="E231" s="5"/>
      <c r="F231" s="5"/>
      <c r="G231" s="7"/>
      <c r="H231" s="5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">
      <c r="A232" s="3"/>
      <c r="B232" s="3"/>
      <c r="C232" s="3"/>
      <c r="D232" s="5"/>
      <c r="E232" s="5"/>
      <c r="F232" s="5"/>
      <c r="G232" s="7"/>
      <c r="H232" s="5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">
      <c r="A233" s="3"/>
      <c r="B233" s="3"/>
      <c r="C233" s="3"/>
      <c r="D233" s="5"/>
      <c r="E233" s="5"/>
      <c r="F233" s="5"/>
      <c r="G233" s="7"/>
      <c r="H233" s="5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">
      <c r="A234" s="3"/>
      <c r="B234" s="3"/>
      <c r="C234" s="3"/>
      <c r="D234" s="5"/>
      <c r="E234" s="5"/>
      <c r="F234" s="5"/>
      <c r="G234" s="7"/>
      <c r="H234" s="5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">
      <c r="A235" s="3"/>
      <c r="B235" s="3"/>
      <c r="C235" s="3"/>
      <c r="D235" s="5"/>
      <c r="E235" s="5"/>
      <c r="F235" s="5"/>
      <c r="G235" s="7"/>
      <c r="H235" s="5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">
      <c r="A236" s="3"/>
      <c r="B236" s="3"/>
      <c r="C236" s="3"/>
      <c r="D236" s="5"/>
      <c r="E236" s="5"/>
      <c r="F236" s="5"/>
      <c r="G236" s="7"/>
      <c r="H236" s="5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">
      <c r="A237" s="3"/>
      <c r="B237" s="3"/>
      <c r="C237" s="3"/>
      <c r="D237" s="5"/>
      <c r="E237" s="5"/>
      <c r="F237" s="5"/>
      <c r="G237" s="7"/>
      <c r="H237" s="5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">
      <c r="A238" s="3"/>
      <c r="B238" s="3"/>
      <c r="C238" s="3"/>
      <c r="D238" s="5"/>
      <c r="E238" s="5"/>
      <c r="F238" s="5"/>
      <c r="G238" s="7"/>
      <c r="H238" s="5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">
      <c r="A239" s="3"/>
      <c r="B239" s="3"/>
      <c r="C239" s="3"/>
      <c r="D239" s="5"/>
      <c r="E239" s="5"/>
      <c r="F239" s="5"/>
      <c r="G239" s="7"/>
      <c r="H239" s="5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">
      <c r="A240" s="3"/>
      <c r="B240" s="3"/>
      <c r="C240" s="3"/>
      <c r="D240" s="5"/>
      <c r="E240" s="5"/>
      <c r="F240" s="5"/>
      <c r="G240" s="7"/>
      <c r="H240" s="5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">
      <c r="A241" s="3"/>
      <c r="B241" s="3"/>
      <c r="C241" s="3"/>
      <c r="D241" s="5"/>
      <c r="E241" s="5"/>
      <c r="F241" s="5"/>
      <c r="G241" s="7"/>
      <c r="H241" s="5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">
      <c r="A242" s="3"/>
      <c r="B242" s="3"/>
      <c r="C242" s="3"/>
      <c r="D242" s="5"/>
      <c r="E242" s="5"/>
      <c r="F242" s="5"/>
      <c r="G242" s="7"/>
      <c r="H242" s="5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">
      <c r="A243" s="3"/>
      <c r="B243" s="3"/>
      <c r="C243" s="3"/>
      <c r="D243" s="5"/>
      <c r="E243" s="5"/>
      <c r="F243" s="5"/>
      <c r="G243" s="7"/>
      <c r="H243" s="5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">
      <c r="A244" s="3"/>
      <c r="B244" s="3"/>
      <c r="C244" s="3"/>
      <c r="D244" s="5"/>
      <c r="E244" s="5"/>
      <c r="F244" s="5"/>
      <c r="G244" s="7"/>
      <c r="H244" s="5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">
      <c r="A245" s="3"/>
      <c r="B245" s="3"/>
      <c r="C245" s="3"/>
      <c r="D245" s="5"/>
      <c r="E245" s="5"/>
      <c r="F245" s="5"/>
      <c r="G245" s="7"/>
      <c r="H245" s="5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">
      <c r="A246" s="3"/>
      <c r="B246" s="3"/>
      <c r="C246" s="3"/>
      <c r="D246" s="5"/>
      <c r="E246" s="5"/>
      <c r="F246" s="5"/>
      <c r="G246" s="7"/>
      <c r="H246" s="5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">
      <c r="A247" s="3"/>
      <c r="B247" s="3"/>
      <c r="C247" s="3"/>
      <c r="D247" s="5"/>
      <c r="E247" s="5"/>
      <c r="F247" s="5"/>
      <c r="G247" s="7"/>
      <c r="H247" s="5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">
      <c r="A248" s="3"/>
      <c r="B248" s="3"/>
      <c r="C248" s="3"/>
      <c r="D248" s="5"/>
      <c r="E248" s="5"/>
      <c r="F248" s="5"/>
      <c r="G248" s="7"/>
      <c r="H248" s="5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">
      <c r="A249" s="3"/>
      <c r="B249" s="3"/>
      <c r="C249" s="3"/>
      <c r="D249" s="5"/>
      <c r="E249" s="5"/>
      <c r="F249" s="5"/>
      <c r="G249" s="7"/>
      <c r="H249" s="5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">
      <c r="A250" s="3"/>
      <c r="B250" s="3"/>
      <c r="C250" s="3"/>
      <c r="D250" s="5"/>
      <c r="E250" s="5"/>
      <c r="F250" s="5"/>
      <c r="G250" s="7"/>
      <c r="H250" s="5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">
      <c r="A251" s="3"/>
      <c r="B251" s="3"/>
      <c r="C251" s="3"/>
      <c r="D251" s="5"/>
      <c r="E251" s="5"/>
      <c r="F251" s="5"/>
      <c r="G251" s="7"/>
      <c r="H251" s="5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">
      <c r="A252" s="3"/>
      <c r="B252" s="3"/>
      <c r="C252" s="3"/>
      <c r="D252" s="5"/>
      <c r="E252" s="5"/>
      <c r="F252" s="5"/>
      <c r="G252" s="7"/>
      <c r="H252" s="5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">
      <c r="A253" s="3"/>
      <c r="B253" s="3"/>
      <c r="C253" s="3"/>
      <c r="D253" s="5"/>
      <c r="E253" s="5"/>
      <c r="F253" s="5"/>
      <c r="G253" s="7"/>
      <c r="H253" s="5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">
      <c r="A254" s="3"/>
      <c r="B254" s="3"/>
      <c r="C254" s="3"/>
      <c r="D254" s="5"/>
      <c r="E254" s="5"/>
      <c r="F254" s="5"/>
      <c r="G254" s="7"/>
      <c r="H254" s="5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">
      <c r="A255" s="3"/>
      <c r="B255" s="3"/>
      <c r="C255" s="3"/>
      <c r="D255" s="5"/>
      <c r="E255" s="5"/>
      <c r="F255" s="5"/>
      <c r="G255" s="7"/>
      <c r="H255" s="5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">
      <c r="A256" s="3"/>
      <c r="B256" s="3"/>
      <c r="C256" s="3"/>
      <c r="D256" s="5"/>
      <c r="E256" s="5"/>
      <c r="F256" s="5"/>
      <c r="G256" s="7"/>
      <c r="H256" s="5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">
      <c r="A257" s="3"/>
      <c r="B257" s="3"/>
      <c r="C257" s="3"/>
      <c r="D257" s="5"/>
      <c r="E257" s="5"/>
      <c r="F257" s="5"/>
      <c r="G257" s="7"/>
      <c r="H257" s="5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">
      <c r="A258" s="3"/>
      <c r="B258" s="3"/>
      <c r="C258" s="3"/>
      <c r="D258" s="5"/>
      <c r="E258" s="5"/>
      <c r="F258" s="5"/>
      <c r="G258" s="7"/>
      <c r="H258" s="5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">
      <c r="A259" s="3"/>
      <c r="B259" s="3"/>
      <c r="C259" s="3"/>
      <c r="D259" s="5"/>
      <c r="E259" s="5"/>
      <c r="F259" s="5"/>
      <c r="G259" s="7"/>
      <c r="H259" s="5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">
      <c r="A260" s="3"/>
      <c r="B260" s="3"/>
      <c r="C260" s="3"/>
      <c r="D260" s="5"/>
      <c r="E260" s="5"/>
      <c r="F260" s="5"/>
      <c r="G260" s="7"/>
      <c r="H260" s="5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">
      <c r="A261" s="3"/>
      <c r="B261" s="3"/>
      <c r="C261" s="3"/>
      <c r="D261" s="5"/>
      <c r="E261" s="5"/>
      <c r="F261" s="5"/>
      <c r="G261" s="7"/>
      <c r="H261" s="5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">
      <c r="A262" s="3"/>
      <c r="B262" s="3"/>
      <c r="C262" s="3"/>
      <c r="D262" s="5"/>
      <c r="E262" s="5"/>
      <c r="F262" s="5"/>
      <c r="G262" s="7"/>
      <c r="H262" s="5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">
      <c r="A263" s="3"/>
      <c r="B263" s="3"/>
      <c r="C263" s="3"/>
      <c r="D263" s="5"/>
      <c r="E263" s="5"/>
      <c r="F263" s="5"/>
      <c r="G263" s="7"/>
      <c r="H263" s="5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">
      <c r="A264" s="3"/>
      <c r="B264" s="3"/>
      <c r="C264" s="3"/>
      <c r="D264" s="5"/>
      <c r="E264" s="5"/>
      <c r="F264" s="5"/>
      <c r="G264" s="7"/>
      <c r="H264" s="5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">
      <c r="A265" s="3"/>
      <c r="B265" s="3"/>
      <c r="C265" s="3"/>
      <c r="D265" s="5"/>
      <c r="E265" s="5"/>
      <c r="F265" s="5"/>
      <c r="G265" s="7"/>
      <c r="H265" s="5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">
      <c r="A266" s="3"/>
      <c r="B266" s="3"/>
      <c r="C266" s="3"/>
      <c r="D266" s="5"/>
      <c r="E266" s="5"/>
      <c r="F266" s="5"/>
      <c r="G266" s="7"/>
      <c r="H266" s="5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">
      <c r="A267" s="3"/>
      <c r="B267" s="3"/>
      <c r="C267" s="3"/>
      <c r="D267" s="5"/>
      <c r="E267" s="5"/>
      <c r="F267" s="5"/>
      <c r="G267" s="7"/>
      <c r="H267" s="5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">
      <c r="A268" s="3"/>
      <c r="B268" s="3"/>
      <c r="C268" s="3"/>
      <c r="D268" s="5"/>
      <c r="E268" s="5"/>
      <c r="F268" s="5"/>
      <c r="G268" s="7"/>
      <c r="H268" s="5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">
      <c r="A269" s="3"/>
      <c r="B269" s="3"/>
      <c r="C269" s="3"/>
      <c r="D269" s="5"/>
      <c r="E269" s="5"/>
      <c r="F269" s="5"/>
      <c r="G269" s="7"/>
      <c r="H269" s="5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">
      <c r="A270" s="3"/>
      <c r="B270" s="3"/>
      <c r="C270" s="3"/>
      <c r="D270" s="5"/>
      <c r="E270" s="5"/>
      <c r="F270" s="5"/>
      <c r="G270" s="7"/>
      <c r="H270" s="5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">
      <c r="A271" s="3"/>
      <c r="B271" s="3"/>
      <c r="C271" s="3"/>
      <c r="D271" s="5"/>
      <c r="E271" s="5"/>
      <c r="F271" s="5"/>
      <c r="G271" s="7"/>
      <c r="H271" s="5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">
      <c r="A272" s="3"/>
      <c r="B272" s="3"/>
      <c r="C272" s="3"/>
      <c r="D272" s="5"/>
      <c r="E272" s="5"/>
      <c r="F272" s="5"/>
      <c r="G272" s="7"/>
      <c r="H272" s="5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">
      <c r="A273" s="3"/>
      <c r="B273" s="3"/>
      <c r="C273" s="3"/>
      <c r="D273" s="5"/>
      <c r="E273" s="5"/>
      <c r="F273" s="5"/>
      <c r="G273" s="7"/>
      <c r="H273" s="5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">
      <c r="A274" s="3"/>
      <c r="B274" s="3"/>
      <c r="C274" s="3"/>
      <c r="D274" s="5"/>
      <c r="E274" s="5"/>
      <c r="F274" s="5"/>
      <c r="G274" s="7"/>
      <c r="H274" s="5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">
      <c r="A275" s="3"/>
      <c r="B275" s="3"/>
      <c r="C275" s="3"/>
      <c r="D275" s="5"/>
      <c r="E275" s="5"/>
      <c r="F275" s="5"/>
      <c r="G275" s="7"/>
      <c r="H275" s="5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">
      <c r="A276" s="3"/>
      <c r="B276" s="3"/>
      <c r="C276" s="3"/>
      <c r="D276" s="5"/>
      <c r="E276" s="5"/>
      <c r="F276" s="5"/>
      <c r="G276" s="7"/>
      <c r="H276" s="5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">
      <c r="A277" s="3"/>
      <c r="B277" s="3"/>
      <c r="C277" s="3"/>
      <c r="D277" s="5"/>
      <c r="E277" s="5"/>
      <c r="F277" s="5"/>
      <c r="G277" s="7"/>
      <c r="H277" s="5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">
      <c r="A278" s="3"/>
      <c r="B278" s="3"/>
      <c r="C278" s="3"/>
      <c r="D278" s="5"/>
      <c r="E278" s="5"/>
      <c r="F278" s="5"/>
      <c r="G278" s="7"/>
      <c r="H278" s="5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">
      <c r="A279" s="3"/>
      <c r="B279" s="3"/>
      <c r="C279" s="3"/>
      <c r="D279" s="5"/>
      <c r="E279" s="5"/>
      <c r="F279" s="5"/>
      <c r="G279" s="7"/>
      <c r="H279" s="5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">
      <c r="A280" s="3"/>
      <c r="B280" s="3"/>
      <c r="C280" s="3"/>
      <c r="D280" s="5"/>
      <c r="E280" s="5"/>
      <c r="F280" s="5"/>
      <c r="G280" s="7"/>
      <c r="H280" s="5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">
      <c r="A281" s="3"/>
      <c r="B281" s="3"/>
      <c r="C281" s="3"/>
      <c r="D281" s="5"/>
      <c r="E281" s="5"/>
      <c r="F281" s="5"/>
      <c r="G281" s="7"/>
      <c r="H281" s="5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">
      <c r="A282" s="3"/>
      <c r="B282" s="3"/>
      <c r="C282" s="3"/>
      <c r="D282" s="5"/>
      <c r="E282" s="5"/>
      <c r="F282" s="5"/>
      <c r="G282" s="7"/>
      <c r="H282" s="5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">
      <c r="A283" s="3"/>
      <c r="B283" s="3"/>
      <c r="C283" s="3"/>
      <c r="D283" s="5"/>
      <c r="E283" s="5"/>
      <c r="F283" s="5"/>
      <c r="G283" s="7"/>
      <c r="H283" s="5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">
      <c r="A284" s="3"/>
      <c r="B284" s="3"/>
      <c r="C284" s="3"/>
      <c r="D284" s="5"/>
      <c r="E284" s="5"/>
      <c r="F284" s="5"/>
      <c r="G284" s="7"/>
      <c r="H284" s="5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">
      <c r="A285" s="3"/>
      <c r="B285" s="3"/>
      <c r="C285" s="3"/>
      <c r="D285" s="5"/>
      <c r="E285" s="5"/>
      <c r="F285" s="5"/>
      <c r="G285" s="7"/>
      <c r="H285" s="5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">
      <c r="A286" s="3"/>
      <c r="B286" s="3"/>
      <c r="C286" s="3"/>
      <c r="D286" s="5"/>
      <c r="E286" s="5"/>
      <c r="F286" s="5"/>
      <c r="G286" s="7"/>
      <c r="H286" s="5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">
      <c r="A287" s="3"/>
      <c r="B287" s="3"/>
      <c r="C287" s="3"/>
      <c r="D287" s="5"/>
      <c r="E287" s="5"/>
      <c r="F287" s="5"/>
      <c r="G287" s="7"/>
      <c r="H287" s="5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">
      <c r="A288" s="3"/>
      <c r="B288" s="3"/>
      <c r="C288" s="3"/>
      <c r="D288" s="5"/>
      <c r="E288" s="5"/>
      <c r="F288" s="5"/>
      <c r="G288" s="7"/>
      <c r="H288" s="5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">
      <c r="A289" s="3"/>
      <c r="B289" s="3"/>
      <c r="C289" s="3"/>
      <c r="D289" s="5"/>
      <c r="E289" s="5"/>
      <c r="F289" s="5"/>
      <c r="G289" s="7"/>
      <c r="H289" s="5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">
      <c r="A290" s="3"/>
      <c r="B290" s="3"/>
      <c r="C290" s="3"/>
      <c r="D290" s="5"/>
      <c r="E290" s="5"/>
      <c r="F290" s="5"/>
      <c r="G290" s="7"/>
      <c r="H290" s="5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">
      <c r="A291" s="3"/>
      <c r="B291" s="3"/>
      <c r="C291" s="3"/>
      <c r="D291" s="5"/>
      <c r="E291" s="5"/>
      <c r="F291" s="5"/>
      <c r="G291" s="7"/>
      <c r="H291" s="5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">
      <c r="A292" s="3"/>
      <c r="B292" s="3"/>
      <c r="C292" s="3"/>
      <c r="D292" s="5"/>
      <c r="E292" s="5"/>
      <c r="F292" s="5"/>
      <c r="G292" s="7"/>
      <c r="H292" s="5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">
      <c r="A293" s="3"/>
      <c r="B293" s="3"/>
      <c r="C293" s="3"/>
      <c r="D293" s="5"/>
      <c r="E293" s="5"/>
      <c r="F293" s="5"/>
      <c r="G293" s="7"/>
      <c r="H293" s="5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">
      <c r="A294" s="3"/>
      <c r="B294" s="3"/>
      <c r="C294" s="3"/>
      <c r="D294" s="5"/>
      <c r="E294" s="5"/>
      <c r="F294" s="5"/>
      <c r="G294" s="7"/>
      <c r="H294" s="5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">
      <c r="A295" s="3"/>
      <c r="B295" s="3"/>
      <c r="C295" s="3"/>
      <c r="D295" s="5"/>
      <c r="E295" s="5"/>
      <c r="F295" s="5"/>
      <c r="G295" s="7"/>
      <c r="H295" s="5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">
      <c r="A296" s="3"/>
      <c r="B296" s="3"/>
      <c r="C296" s="3"/>
      <c r="D296" s="5"/>
      <c r="E296" s="5"/>
      <c r="F296" s="5"/>
      <c r="G296" s="7"/>
      <c r="H296" s="5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">
      <c r="A297" s="3"/>
      <c r="B297" s="3"/>
      <c r="C297" s="3"/>
      <c r="D297" s="5"/>
      <c r="E297" s="5"/>
      <c r="F297" s="5"/>
      <c r="G297" s="7"/>
      <c r="H297" s="5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">
      <c r="A298" s="3"/>
      <c r="B298" s="3"/>
      <c r="C298" s="3"/>
      <c r="D298" s="5"/>
      <c r="E298" s="5"/>
      <c r="F298" s="5"/>
      <c r="G298" s="7"/>
      <c r="H298" s="5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">
      <c r="A299" s="3"/>
      <c r="B299" s="3"/>
      <c r="C299" s="3"/>
      <c r="D299" s="5"/>
      <c r="E299" s="5"/>
      <c r="F299" s="5"/>
      <c r="G299" s="7"/>
      <c r="H299" s="5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">
      <c r="A300" s="3"/>
      <c r="B300" s="3"/>
      <c r="C300" s="3"/>
      <c r="D300" s="5"/>
      <c r="E300" s="5"/>
      <c r="F300" s="5"/>
      <c r="G300" s="7"/>
      <c r="H300" s="5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">
      <c r="A301" s="3"/>
      <c r="B301" s="3"/>
      <c r="C301" s="3"/>
      <c r="D301" s="5"/>
      <c r="E301" s="5"/>
      <c r="F301" s="5"/>
      <c r="G301" s="7"/>
      <c r="H301" s="5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">
      <c r="A302" s="3"/>
      <c r="B302" s="3"/>
      <c r="C302" s="3"/>
      <c r="D302" s="5"/>
      <c r="E302" s="5"/>
      <c r="F302" s="5"/>
      <c r="G302" s="7"/>
      <c r="H302" s="5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">
      <c r="A303" s="3"/>
      <c r="B303" s="3"/>
      <c r="C303" s="3"/>
      <c r="D303" s="5"/>
      <c r="E303" s="5"/>
      <c r="F303" s="5"/>
      <c r="G303" s="7"/>
      <c r="H303" s="5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">
      <c r="A304" s="3"/>
      <c r="B304" s="3"/>
      <c r="C304" s="3"/>
      <c r="D304" s="5"/>
      <c r="E304" s="5"/>
      <c r="F304" s="5"/>
      <c r="G304" s="7"/>
      <c r="H304" s="5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">
      <c r="A305" s="3"/>
      <c r="B305" s="3"/>
      <c r="C305" s="3"/>
      <c r="D305" s="5"/>
      <c r="E305" s="5"/>
      <c r="F305" s="5"/>
      <c r="G305" s="7"/>
      <c r="H305" s="5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">
      <c r="A306" s="3"/>
      <c r="B306" s="3"/>
      <c r="C306" s="3"/>
      <c r="D306" s="5"/>
      <c r="E306" s="5"/>
      <c r="F306" s="5"/>
      <c r="G306" s="7"/>
      <c r="H306" s="5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">
      <c r="A307" s="3"/>
      <c r="B307" s="3"/>
      <c r="C307" s="3"/>
      <c r="D307" s="5"/>
      <c r="E307" s="5"/>
      <c r="F307" s="5"/>
      <c r="G307" s="7"/>
      <c r="H307" s="5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">
      <c r="A308" s="3"/>
      <c r="B308" s="3"/>
      <c r="C308" s="3"/>
      <c r="D308" s="5"/>
      <c r="E308" s="5"/>
      <c r="F308" s="5"/>
      <c r="G308" s="7"/>
      <c r="H308" s="5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">
      <c r="A309" s="3"/>
      <c r="B309" s="3"/>
      <c r="C309" s="3"/>
      <c r="D309" s="5"/>
      <c r="E309" s="5"/>
      <c r="F309" s="5"/>
      <c r="G309" s="7"/>
      <c r="H309" s="5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">
      <c r="A310" s="3"/>
      <c r="B310" s="3"/>
      <c r="C310" s="3"/>
      <c r="D310" s="5"/>
      <c r="E310" s="5"/>
      <c r="F310" s="5"/>
      <c r="G310" s="7"/>
      <c r="H310" s="5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">
      <c r="A311" s="3"/>
      <c r="B311" s="3"/>
      <c r="C311" s="3"/>
      <c r="D311" s="5"/>
      <c r="E311" s="5"/>
      <c r="F311" s="5"/>
      <c r="G311" s="7"/>
      <c r="H311" s="5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">
      <c r="A312" s="3"/>
      <c r="B312" s="3"/>
      <c r="C312" s="3"/>
      <c r="D312" s="5"/>
      <c r="E312" s="5"/>
      <c r="F312" s="5"/>
      <c r="G312" s="7"/>
      <c r="H312" s="5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">
      <c r="A313" s="3"/>
      <c r="B313" s="3"/>
      <c r="C313" s="3"/>
      <c r="D313" s="5"/>
      <c r="E313" s="5"/>
      <c r="F313" s="5"/>
      <c r="G313" s="7"/>
      <c r="H313" s="5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">
      <c r="A314" s="3"/>
      <c r="B314" s="3"/>
      <c r="C314" s="3"/>
      <c r="D314" s="5"/>
      <c r="E314" s="5"/>
      <c r="F314" s="5"/>
      <c r="G314" s="7"/>
      <c r="H314" s="5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">
      <c r="A315" s="3"/>
      <c r="B315" s="3"/>
      <c r="C315" s="3"/>
      <c r="D315" s="5"/>
      <c r="E315" s="5"/>
      <c r="F315" s="5"/>
      <c r="G315" s="7"/>
      <c r="H315" s="5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">
      <c r="A316" s="3"/>
      <c r="B316" s="3"/>
      <c r="C316" s="3"/>
      <c r="D316" s="5"/>
      <c r="E316" s="5"/>
      <c r="F316" s="5"/>
      <c r="G316" s="7"/>
      <c r="H316" s="5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">
      <c r="A317" s="3"/>
      <c r="B317" s="3"/>
      <c r="C317" s="3"/>
      <c r="D317" s="5"/>
      <c r="E317" s="5"/>
      <c r="F317" s="5"/>
      <c r="G317" s="7"/>
      <c r="H317" s="5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">
      <c r="A318" s="3"/>
      <c r="B318" s="3"/>
      <c r="C318" s="3"/>
      <c r="D318" s="5"/>
      <c r="E318" s="5"/>
      <c r="F318" s="5"/>
      <c r="G318" s="7"/>
      <c r="H318" s="5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">
      <c r="A319" s="3"/>
      <c r="B319" s="3"/>
      <c r="C319" s="3"/>
      <c r="D319" s="5"/>
      <c r="E319" s="5"/>
      <c r="F319" s="5"/>
      <c r="G319" s="7"/>
      <c r="H319" s="5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">
      <c r="A320" s="3"/>
      <c r="B320" s="3"/>
      <c r="C320" s="3"/>
      <c r="D320" s="5"/>
      <c r="E320" s="5"/>
      <c r="F320" s="5"/>
      <c r="G320" s="7"/>
      <c r="H320" s="5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">
      <c r="A321" s="3"/>
      <c r="B321" s="3"/>
      <c r="C321" s="3"/>
      <c r="D321" s="5"/>
      <c r="E321" s="5"/>
      <c r="F321" s="5"/>
      <c r="G321" s="7"/>
      <c r="H321" s="5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">
      <c r="A322" s="3"/>
      <c r="B322" s="3"/>
      <c r="C322" s="3"/>
      <c r="D322" s="5"/>
      <c r="E322" s="5"/>
      <c r="F322" s="5"/>
      <c r="G322" s="7"/>
      <c r="H322" s="5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">
      <c r="A323" s="3"/>
      <c r="B323" s="3"/>
      <c r="C323" s="3"/>
      <c r="D323" s="5"/>
      <c r="E323" s="5"/>
      <c r="F323" s="5"/>
      <c r="G323" s="7"/>
      <c r="H323" s="5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">
      <c r="A324" s="3"/>
      <c r="B324" s="3"/>
      <c r="C324" s="3"/>
      <c r="D324" s="5"/>
      <c r="E324" s="5"/>
      <c r="F324" s="5"/>
      <c r="G324" s="7"/>
      <c r="H324" s="5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">
      <c r="A325" s="3"/>
      <c r="B325" s="3"/>
      <c r="C325" s="3"/>
      <c r="D325" s="5"/>
      <c r="E325" s="5"/>
      <c r="F325" s="5"/>
      <c r="G325" s="7"/>
      <c r="H325" s="5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">
      <c r="A326" s="3"/>
      <c r="B326" s="3"/>
      <c r="C326" s="3"/>
      <c r="D326" s="5"/>
      <c r="E326" s="5"/>
      <c r="F326" s="5"/>
      <c r="G326" s="7"/>
      <c r="H326" s="5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">
      <c r="A327" s="3"/>
      <c r="B327" s="3"/>
      <c r="C327" s="3"/>
      <c r="D327" s="5"/>
      <c r="E327" s="5"/>
      <c r="F327" s="5"/>
      <c r="G327" s="7"/>
      <c r="H327" s="5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">
      <c r="A328" s="3"/>
      <c r="B328" s="3"/>
      <c r="C328" s="3"/>
      <c r="D328" s="5"/>
      <c r="E328" s="5"/>
      <c r="F328" s="5"/>
      <c r="G328" s="7"/>
      <c r="H328" s="5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">
      <c r="A329" s="3"/>
      <c r="B329" s="3"/>
      <c r="C329" s="3"/>
      <c r="D329" s="5"/>
      <c r="E329" s="5"/>
      <c r="F329" s="5"/>
      <c r="G329" s="7"/>
      <c r="H329" s="5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">
      <c r="A330" s="3"/>
      <c r="B330" s="3"/>
      <c r="C330" s="3"/>
      <c r="D330" s="5"/>
      <c r="E330" s="5"/>
      <c r="F330" s="5"/>
      <c r="G330" s="7"/>
      <c r="H330" s="5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">
      <c r="A331" s="3"/>
      <c r="B331" s="3"/>
      <c r="C331" s="3"/>
      <c r="D331" s="5"/>
      <c r="E331" s="5"/>
      <c r="F331" s="5"/>
      <c r="G331" s="7"/>
      <c r="H331" s="5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">
      <c r="A332" s="3"/>
      <c r="B332" s="3"/>
      <c r="C332" s="3"/>
      <c r="D332" s="5"/>
      <c r="E332" s="5"/>
      <c r="F332" s="5"/>
      <c r="G332" s="7"/>
      <c r="H332" s="5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">
      <c r="A333" s="3"/>
      <c r="B333" s="3"/>
      <c r="C333" s="3"/>
      <c r="D333" s="5"/>
      <c r="E333" s="5"/>
      <c r="F333" s="5"/>
      <c r="G333" s="7"/>
      <c r="H333" s="5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">
      <c r="A334" s="3"/>
      <c r="B334" s="3"/>
      <c r="C334" s="3"/>
      <c r="D334" s="5"/>
      <c r="E334" s="5"/>
      <c r="F334" s="5"/>
      <c r="G334" s="7"/>
      <c r="H334" s="5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">
      <c r="A335" s="3"/>
      <c r="B335" s="3"/>
      <c r="C335" s="3"/>
      <c r="D335" s="5"/>
      <c r="E335" s="5"/>
      <c r="F335" s="5"/>
      <c r="G335" s="7"/>
      <c r="H335" s="5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">
      <c r="A336" s="3"/>
      <c r="B336" s="3"/>
      <c r="C336" s="3"/>
      <c r="D336" s="5"/>
      <c r="E336" s="5"/>
      <c r="F336" s="5"/>
      <c r="G336" s="7"/>
      <c r="H336" s="5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">
      <c r="A337" s="3"/>
      <c r="B337" s="3"/>
      <c r="C337" s="3"/>
      <c r="D337" s="5"/>
      <c r="E337" s="5"/>
      <c r="F337" s="5"/>
      <c r="G337" s="7"/>
      <c r="H337" s="5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">
      <c r="A338" s="3"/>
      <c r="B338" s="3"/>
      <c r="C338" s="3"/>
      <c r="D338" s="5"/>
      <c r="E338" s="5"/>
      <c r="F338" s="5"/>
      <c r="G338" s="7"/>
      <c r="H338" s="5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">
      <c r="A339" s="3"/>
      <c r="B339" s="3"/>
      <c r="C339" s="3"/>
      <c r="D339" s="5"/>
      <c r="E339" s="5"/>
      <c r="F339" s="5"/>
      <c r="G339" s="7"/>
      <c r="H339" s="5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">
      <c r="A340" s="3"/>
      <c r="B340" s="3"/>
      <c r="C340" s="3"/>
      <c r="D340" s="5"/>
      <c r="E340" s="5"/>
      <c r="F340" s="5"/>
      <c r="G340" s="7"/>
      <c r="H340" s="5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">
      <c r="A341" s="3"/>
      <c r="B341" s="3"/>
      <c r="C341" s="3"/>
      <c r="D341" s="5"/>
      <c r="E341" s="5"/>
      <c r="F341" s="5"/>
      <c r="G341" s="7"/>
      <c r="H341" s="5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">
      <c r="A342" s="3"/>
      <c r="B342" s="3"/>
      <c r="C342" s="3"/>
      <c r="D342" s="5"/>
      <c r="E342" s="5"/>
      <c r="F342" s="5"/>
      <c r="G342" s="7"/>
      <c r="H342" s="5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">
      <c r="A343" s="3"/>
      <c r="B343" s="3"/>
      <c r="C343" s="3"/>
      <c r="D343" s="5"/>
      <c r="E343" s="5"/>
      <c r="F343" s="5"/>
      <c r="G343" s="7"/>
      <c r="H343" s="5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">
      <c r="A344" s="3"/>
      <c r="B344" s="3"/>
      <c r="C344" s="3"/>
      <c r="D344" s="5"/>
      <c r="E344" s="5"/>
      <c r="F344" s="5"/>
      <c r="G344" s="7"/>
      <c r="H344" s="5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">
      <c r="A345" s="3"/>
      <c r="B345" s="3"/>
      <c r="C345" s="3"/>
      <c r="D345" s="5"/>
      <c r="E345" s="5"/>
      <c r="F345" s="5"/>
      <c r="G345" s="7"/>
      <c r="H345" s="5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">
      <c r="A346" s="3"/>
      <c r="B346" s="3"/>
      <c r="C346" s="3"/>
      <c r="D346" s="5"/>
      <c r="E346" s="5"/>
      <c r="F346" s="5"/>
      <c r="G346" s="7"/>
      <c r="H346" s="5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">
      <c r="A347" s="3"/>
      <c r="B347" s="3"/>
      <c r="C347" s="3"/>
      <c r="D347" s="5"/>
      <c r="E347" s="5"/>
      <c r="F347" s="5"/>
      <c r="G347" s="7"/>
      <c r="H347" s="5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">
      <c r="A348" s="3"/>
      <c r="B348" s="3"/>
      <c r="C348" s="3"/>
      <c r="D348" s="5"/>
      <c r="E348" s="5"/>
      <c r="F348" s="5"/>
      <c r="G348" s="7"/>
      <c r="H348" s="5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">
      <c r="A349" s="3"/>
      <c r="B349" s="3"/>
      <c r="C349" s="3"/>
      <c r="D349" s="5"/>
      <c r="E349" s="5"/>
      <c r="F349" s="5"/>
      <c r="G349" s="7"/>
      <c r="H349" s="5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">
      <c r="A350" s="3"/>
      <c r="B350" s="3"/>
      <c r="C350" s="3"/>
      <c r="D350" s="5"/>
      <c r="E350" s="5"/>
      <c r="F350" s="5"/>
      <c r="G350" s="7"/>
      <c r="H350" s="5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">
      <c r="A351" s="3"/>
      <c r="B351" s="3"/>
      <c r="C351" s="3"/>
      <c r="D351" s="5"/>
      <c r="E351" s="5"/>
      <c r="F351" s="5"/>
      <c r="G351" s="7"/>
      <c r="H351" s="5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">
      <c r="A352" s="3"/>
      <c r="B352" s="3"/>
      <c r="C352" s="3"/>
      <c r="D352" s="5"/>
      <c r="E352" s="5"/>
      <c r="F352" s="5"/>
      <c r="G352" s="7"/>
      <c r="H352" s="5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">
      <c r="A353" s="3"/>
      <c r="B353" s="3"/>
      <c r="C353" s="3"/>
      <c r="D353" s="5"/>
      <c r="E353" s="5"/>
      <c r="F353" s="5"/>
      <c r="G353" s="7"/>
      <c r="H353" s="5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">
      <c r="A354" s="3"/>
      <c r="B354" s="3"/>
      <c r="C354" s="3"/>
      <c r="D354" s="5"/>
      <c r="E354" s="5"/>
      <c r="F354" s="5"/>
      <c r="G354" s="7"/>
      <c r="H354" s="5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">
      <c r="A355" s="3"/>
      <c r="B355" s="3"/>
      <c r="C355" s="3"/>
      <c r="D355" s="5"/>
      <c r="E355" s="5"/>
      <c r="F355" s="5"/>
      <c r="G355" s="7"/>
      <c r="H355" s="5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">
      <c r="A356" s="3"/>
      <c r="B356" s="3"/>
      <c r="C356" s="3"/>
      <c r="D356" s="5"/>
      <c r="E356" s="5"/>
      <c r="F356" s="5"/>
      <c r="G356" s="7"/>
      <c r="H356" s="5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">
      <c r="A357" s="3"/>
      <c r="B357" s="3"/>
      <c r="C357" s="3"/>
      <c r="D357" s="5"/>
      <c r="E357" s="5"/>
      <c r="F357" s="5"/>
      <c r="G357" s="7"/>
      <c r="H357" s="5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">
      <c r="A358" s="3"/>
      <c r="B358" s="3"/>
      <c r="C358" s="3"/>
      <c r="D358" s="5"/>
      <c r="E358" s="5"/>
      <c r="F358" s="5"/>
      <c r="G358" s="7"/>
      <c r="H358" s="5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">
      <c r="A359" s="3"/>
      <c r="B359" s="3"/>
      <c r="C359" s="3"/>
      <c r="D359" s="5"/>
      <c r="E359" s="5"/>
      <c r="F359" s="5"/>
      <c r="G359" s="7"/>
      <c r="H359" s="5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">
      <c r="A360" s="3"/>
      <c r="B360" s="3"/>
      <c r="C360" s="3"/>
      <c r="D360" s="5"/>
      <c r="E360" s="5"/>
      <c r="F360" s="5"/>
      <c r="G360" s="7"/>
      <c r="H360" s="5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">
      <c r="A361" s="3"/>
      <c r="B361" s="3"/>
      <c r="C361" s="3"/>
      <c r="D361" s="5"/>
      <c r="E361" s="5"/>
      <c r="F361" s="5"/>
      <c r="G361" s="7"/>
      <c r="H361" s="5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">
      <c r="A362" s="3"/>
      <c r="B362" s="3"/>
      <c r="C362" s="3"/>
      <c r="D362" s="5"/>
      <c r="E362" s="5"/>
      <c r="F362" s="5"/>
      <c r="G362" s="7"/>
      <c r="H362" s="5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">
      <c r="A363" s="3"/>
      <c r="B363" s="3"/>
      <c r="C363" s="3"/>
      <c r="D363" s="5"/>
      <c r="E363" s="5"/>
      <c r="F363" s="5"/>
      <c r="G363" s="7"/>
      <c r="H363" s="5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">
      <c r="A364" s="3"/>
      <c r="B364" s="3"/>
      <c r="C364" s="3"/>
      <c r="D364" s="5"/>
      <c r="E364" s="5"/>
      <c r="F364" s="5"/>
      <c r="G364" s="7"/>
      <c r="H364" s="5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">
      <c r="A365" s="3"/>
      <c r="B365" s="3"/>
      <c r="C365" s="3"/>
      <c r="D365" s="5"/>
      <c r="E365" s="5"/>
      <c r="F365" s="5"/>
      <c r="G365" s="7"/>
      <c r="H365" s="5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">
      <c r="A366" s="3"/>
      <c r="B366" s="3"/>
      <c r="C366" s="3"/>
      <c r="D366" s="5"/>
      <c r="E366" s="5"/>
      <c r="F366" s="5"/>
      <c r="G366" s="7"/>
      <c r="H366" s="5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">
      <c r="A367" s="3"/>
      <c r="B367" s="3"/>
      <c r="C367" s="3"/>
      <c r="D367" s="5"/>
      <c r="E367" s="5"/>
      <c r="F367" s="5"/>
      <c r="G367" s="7"/>
      <c r="H367" s="5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">
      <c r="A368" s="3"/>
      <c r="B368" s="3"/>
      <c r="C368" s="3"/>
      <c r="D368" s="5"/>
      <c r="E368" s="5"/>
      <c r="F368" s="5"/>
      <c r="G368" s="7"/>
      <c r="H368" s="5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">
      <c r="A369" s="3"/>
      <c r="B369" s="3"/>
      <c r="C369" s="3"/>
      <c r="D369" s="5"/>
      <c r="E369" s="5"/>
      <c r="F369" s="5"/>
      <c r="G369" s="7"/>
      <c r="H369" s="5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">
      <c r="A370" s="3"/>
      <c r="B370" s="3"/>
      <c r="C370" s="3"/>
      <c r="D370" s="5"/>
      <c r="E370" s="5"/>
      <c r="F370" s="5"/>
      <c r="G370" s="7"/>
      <c r="H370" s="5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">
      <c r="A371" s="3"/>
      <c r="B371" s="3"/>
      <c r="C371" s="3"/>
      <c r="D371" s="5"/>
      <c r="E371" s="5"/>
      <c r="F371" s="5"/>
      <c r="G371" s="7"/>
      <c r="H371" s="5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">
      <c r="A372" s="3"/>
      <c r="B372" s="3"/>
      <c r="C372" s="3"/>
      <c r="D372" s="5"/>
      <c r="E372" s="5"/>
      <c r="F372" s="5"/>
      <c r="G372" s="7"/>
      <c r="H372" s="5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">
      <c r="A373" s="3"/>
      <c r="B373" s="3"/>
      <c r="C373" s="3"/>
      <c r="D373" s="5"/>
      <c r="E373" s="5"/>
      <c r="F373" s="5"/>
      <c r="G373" s="7"/>
      <c r="H373" s="5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">
      <c r="A374" s="3"/>
      <c r="B374" s="3"/>
      <c r="C374" s="3"/>
      <c r="D374" s="5"/>
      <c r="E374" s="5"/>
      <c r="F374" s="5"/>
      <c r="G374" s="7"/>
      <c r="H374" s="5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">
      <c r="A375" s="3"/>
      <c r="B375" s="3"/>
      <c r="C375" s="3"/>
      <c r="D375" s="5"/>
      <c r="E375" s="5"/>
      <c r="F375" s="5"/>
      <c r="G375" s="7"/>
      <c r="H375" s="5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">
      <c r="A376" s="3"/>
      <c r="B376" s="3"/>
      <c r="C376" s="3"/>
      <c r="D376" s="5"/>
      <c r="E376" s="5"/>
      <c r="F376" s="5"/>
      <c r="G376" s="7"/>
      <c r="H376" s="5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">
      <c r="A377" s="3"/>
      <c r="B377" s="3"/>
      <c r="C377" s="3"/>
      <c r="D377" s="5"/>
      <c r="E377" s="5"/>
      <c r="F377" s="5"/>
      <c r="G377" s="7"/>
      <c r="H377" s="5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">
      <c r="A378" s="3"/>
      <c r="B378" s="3"/>
      <c r="C378" s="3"/>
      <c r="D378" s="5"/>
      <c r="E378" s="5"/>
      <c r="F378" s="5"/>
      <c r="G378" s="7"/>
      <c r="H378" s="5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">
      <c r="A379" s="3"/>
      <c r="B379" s="3"/>
      <c r="C379" s="3"/>
      <c r="D379" s="5"/>
      <c r="E379" s="5"/>
      <c r="F379" s="5"/>
      <c r="G379" s="7"/>
      <c r="H379" s="5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">
      <c r="A380" s="3"/>
      <c r="B380" s="3"/>
      <c r="C380" s="3"/>
      <c r="D380" s="5"/>
      <c r="E380" s="5"/>
      <c r="F380" s="5"/>
      <c r="G380" s="7"/>
      <c r="H380" s="5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">
      <c r="A381" s="3"/>
      <c r="B381" s="3"/>
      <c r="C381" s="3"/>
      <c r="D381" s="5"/>
      <c r="E381" s="5"/>
      <c r="F381" s="5"/>
      <c r="G381" s="7"/>
      <c r="H381" s="5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">
      <c r="A382" s="3"/>
      <c r="B382" s="3"/>
      <c r="C382" s="3"/>
      <c r="D382" s="5"/>
      <c r="E382" s="5"/>
      <c r="F382" s="5"/>
      <c r="G382" s="7"/>
      <c r="H382" s="5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">
      <c r="A383" s="3"/>
      <c r="B383" s="3"/>
      <c r="C383" s="3"/>
      <c r="D383" s="5"/>
      <c r="E383" s="5"/>
      <c r="F383" s="5"/>
      <c r="G383" s="7"/>
      <c r="H383" s="5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">
      <c r="A384" s="3"/>
      <c r="B384" s="3"/>
      <c r="C384" s="3"/>
      <c r="D384" s="5"/>
      <c r="E384" s="5"/>
      <c r="F384" s="5"/>
      <c r="G384" s="7"/>
      <c r="H384" s="5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">
      <c r="A385" s="3"/>
      <c r="B385" s="3"/>
      <c r="C385" s="3"/>
      <c r="D385" s="5"/>
      <c r="E385" s="5"/>
      <c r="F385" s="5"/>
      <c r="G385" s="7"/>
      <c r="H385" s="5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">
      <c r="A386" s="3"/>
      <c r="B386" s="3"/>
      <c r="C386" s="3"/>
      <c r="D386" s="5"/>
      <c r="E386" s="5"/>
      <c r="F386" s="5"/>
      <c r="G386" s="7"/>
      <c r="H386" s="5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">
      <c r="A387" s="3"/>
      <c r="B387" s="3"/>
      <c r="C387" s="3"/>
      <c r="D387" s="5"/>
      <c r="E387" s="5"/>
      <c r="F387" s="5"/>
      <c r="G387" s="7"/>
      <c r="H387" s="5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">
      <c r="A388" s="3"/>
      <c r="B388" s="3"/>
      <c r="C388" s="3"/>
      <c r="D388" s="5"/>
      <c r="E388" s="5"/>
      <c r="F388" s="5"/>
      <c r="G388" s="7"/>
      <c r="H388" s="5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">
      <c r="A389" s="3"/>
      <c r="B389" s="3"/>
      <c r="C389" s="3"/>
      <c r="D389" s="5"/>
      <c r="E389" s="5"/>
      <c r="F389" s="5"/>
      <c r="G389" s="7"/>
      <c r="H389" s="5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">
      <c r="A390" s="3"/>
      <c r="B390" s="3"/>
      <c r="C390" s="3"/>
      <c r="D390" s="5"/>
      <c r="E390" s="5"/>
      <c r="F390" s="5"/>
      <c r="G390" s="7"/>
      <c r="H390" s="5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">
      <c r="A391" s="3"/>
      <c r="B391" s="3"/>
      <c r="C391" s="3"/>
      <c r="D391" s="5"/>
      <c r="E391" s="5"/>
      <c r="F391" s="5"/>
      <c r="G391" s="7"/>
      <c r="H391" s="5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">
      <c r="A392" s="3"/>
      <c r="B392" s="3"/>
      <c r="C392" s="3"/>
      <c r="D392" s="5"/>
      <c r="E392" s="5"/>
      <c r="F392" s="5"/>
      <c r="G392" s="7"/>
      <c r="H392" s="5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">
      <c r="A393" s="3"/>
      <c r="B393" s="3"/>
      <c r="C393" s="3"/>
      <c r="D393" s="5"/>
      <c r="E393" s="5"/>
      <c r="F393" s="5"/>
      <c r="G393" s="7"/>
      <c r="H393" s="5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">
      <c r="A394" s="3"/>
      <c r="B394" s="3"/>
      <c r="C394" s="3"/>
      <c r="D394" s="5"/>
      <c r="E394" s="5"/>
      <c r="F394" s="5"/>
      <c r="G394" s="7"/>
      <c r="H394" s="5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">
      <c r="A395" s="3"/>
      <c r="B395" s="3"/>
      <c r="C395" s="3"/>
      <c r="D395" s="5"/>
      <c r="E395" s="5"/>
      <c r="F395" s="5"/>
      <c r="G395" s="7"/>
      <c r="H395" s="5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">
      <c r="A396" s="3"/>
      <c r="B396" s="3"/>
      <c r="C396" s="3"/>
      <c r="D396" s="5"/>
      <c r="E396" s="5"/>
      <c r="F396" s="5"/>
      <c r="G396" s="7"/>
      <c r="H396" s="5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">
      <c r="A397" s="3"/>
      <c r="B397" s="3"/>
      <c r="C397" s="3"/>
      <c r="D397" s="5"/>
      <c r="E397" s="5"/>
      <c r="F397" s="5"/>
      <c r="G397" s="7"/>
      <c r="H397" s="5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">
      <c r="A398" s="3"/>
      <c r="B398" s="3"/>
      <c r="C398" s="3"/>
      <c r="D398" s="5"/>
      <c r="E398" s="5"/>
      <c r="F398" s="5"/>
      <c r="G398" s="7"/>
      <c r="H398" s="5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">
      <c r="A399" s="3"/>
      <c r="B399" s="3"/>
      <c r="C399" s="3"/>
      <c r="D399" s="5"/>
      <c r="E399" s="5"/>
      <c r="F399" s="5"/>
      <c r="G399" s="7"/>
      <c r="H399" s="5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">
      <c r="A400" s="3"/>
      <c r="B400" s="3"/>
      <c r="C400" s="3"/>
      <c r="D400" s="5"/>
      <c r="E400" s="5"/>
      <c r="F400" s="5"/>
      <c r="G400" s="7"/>
      <c r="H400" s="5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">
      <c r="A401" s="3"/>
      <c r="B401" s="3"/>
      <c r="C401" s="3"/>
      <c r="D401" s="5"/>
      <c r="E401" s="5"/>
      <c r="F401" s="5"/>
      <c r="G401" s="7"/>
      <c r="H401" s="5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">
      <c r="A402" s="3"/>
      <c r="B402" s="3"/>
      <c r="C402" s="3"/>
      <c r="D402" s="5"/>
      <c r="E402" s="5"/>
      <c r="F402" s="5"/>
      <c r="G402" s="7"/>
      <c r="H402" s="5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">
      <c r="A403" s="3"/>
      <c r="B403" s="3"/>
      <c r="C403" s="3"/>
      <c r="D403" s="5"/>
      <c r="E403" s="5"/>
      <c r="F403" s="5"/>
      <c r="G403" s="7"/>
      <c r="H403" s="5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">
      <c r="A404" s="3"/>
      <c r="B404" s="3"/>
      <c r="C404" s="3"/>
      <c r="D404" s="5"/>
      <c r="E404" s="5"/>
      <c r="F404" s="5"/>
      <c r="G404" s="7"/>
      <c r="H404" s="5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">
      <c r="A405" s="3"/>
      <c r="B405" s="3"/>
      <c r="C405" s="3"/>
      <c r="D405" s="5"/>
      <c r="E405" s="5"/>
      <c r="F405" s="5"/>
      <c r="G405" s="7"/>
      <c r="H405" s="5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">
      <c r="A406" s="3"/>
      <c r="B406" s="3"/>
      <c r="C406" s="3"/>
      <c r="D406" s="5"/>
      <c r="E406" s="5"/>
      <c r="F406" s="5"/>
      <c r="G406" s="7"/>
      <c r="H406" s="5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">
      <c r="A407" s="3"/>
      <c r="B407" s="3"/>
      <c r="C407" s="3"/>
      <c r="D407" s="5"/>
      <c r="E407" s="5"/>
      <c r="F407" s="5"/>
      <c r="G407" s="7"/>
      <c r="H407" s="5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">
      <c r="A408" s="3"/>
      <c r="B408" s="3"/>
      <c r="C408" s="3"/>
      <c r="D408" s="5"/>
      <c r="E408" s="5"/>
      <c r="F408" s="5"/>
      <c r="G408" s="7"/>
      <c r="H408" s="5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">
      <c r="A409" s="3"/>
      <c r="B409" s="3"/>
      <c r="C409" s="3"/>
      <c r="D409" s="5"/>
      <c r="E409" s="5"/>
      <c r="F409" s="5"/>
      <c r="G409" s="7"/>
      <c r="H409" s="5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">
      <c r="A410" s="3"/>
      <c r="B410" s="3"/>
      <c r="C410" s="3"/>
      <c r="D410" s="5"/>
      <c r="E410" s="5"/>
      <c r="F410" s="5"/>
      <c r="G410" s="7"/>
      <c r="H410" s="5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">
      <c r="A411" s="3"/>
      <c r="B411" s="3"/>
      <c r="C411" s="3"/>
      <c r="D411" s="5"/>
      <c r="E411" s="5"/>
      <c r="F411" s="5"/>
      <c r="G411" s="7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">
      <c r="A412" s="3"/>
      <c r="B412" s="3"/>
      <c r="C412" s="3"/>
      <c r="D412" s="5"/>
      <c r="E412" s="5"/>
      <c r="F412" s="5"/>
      <c r="G412" s="7"/>
      <c r="H412" s="5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">
      <c r="A413" s="3"/>
      <c r="B413" s="3"/>
      <c r="C413" s="3"/>
      <c r="D413" s="5"/>
      <c r="E413" s="5"/>
      <c r="F413" s="5"/>
      <c r="G413" s="7"/>
      <c r="H413" s="5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">
      <c r="A414" s="3"/>
      <c r="B414" s="3"/>
      <c r="C414" s="3"/>
      <c r="D414" s="5"/>
      <c r="E414" s="5"/>
      <c r="F414" s="5"/>
      <c r="G414" s="7"/>
      <c r="H414" s="5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">
      <c r="A415" s="3"/>
      <c r="B415" s="3"/>
      <c r="C415" s="3"/>
      <c r="D415" s="5"/>
      <c r="E415" s="5"/>
      <c r="F415" s="5"/>
      <c r="G415" s="7"/>
      <c r="H415" s="5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">
      <c r="A416" s="3"/>
      <c r="B416" s="3"/>
      <c r="C416" s="3"/>
      <c r="D416" s="5"/>
      <c r="E416" s="5"/>
      <c r="F416" s="5"/>
      <c r="G416" s="7"/>
      <c r="H416" s="5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">
      <c r="A417" s="3"/>
      <c r="B417" s="3"/>
      <c r="C417" s="3"/>
      <c r="D417" s="5"/>
      <c r="E417" s="5"/>
      <c r="F417" s="5"/>
      <c r="G417" s="7"/>
      <c r="H417" s="5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">
      <c r="A418" s="3"/>
      <c r="B418" s="3"/>
      <c r="C418" s="3"/>
      <c r="D418" s="5"/>
      <c r="E418" s="5"/>
      <c r="F418" s="5"/>
      <c r="G418" s="7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">
      <c r="A419" s="3"/>
      <c r="B419" s="3"/>
      <c r="C419" s="3"/>
      <c r="D419" s="5"/>
      <c r="E419" s="5"/>
      <c r="F419" s="5"/>
      <c r="G419" s="7"/>
      <c r="H419" s="5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">
      <c r="A420" s="3"/>
      <c r="B420" s="3"/>
      <c r="C420" s="3"/>
      <c r="D420" s="5"/>
      <c r="E420" s="5"/>
      <c r="F420" s="5"/>
      <c r="G420" s="7"/>
      <c r="H420" s="5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">
      <c r="A421" s="3"/>
      <c r="B421" s="3"/>
      <c r="C421" s="3"/>
      <c r="D421" s="5"/>
      <c r="E421" s="5"/>
      <c r="F421" s="5"/>
      <c r="G421" s="7"/>
      <c r="H421" s="5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">
      <c r="A422" s="3"/>
      <c r="B422" s="3"/>
      <c r="C422" s="3"/>
      <c r="D422" s="5"/>
      <c r="E422" s="5"/>
      <c r="F422" s="5"/>
      <c r="G422" s="7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">
      <c r="A423" s="3"/>
      <c r="B423" s="3"/>
      <c r="C423" s="3"/>
      <c r="D423" s="5"/>
      <c r="E423" s="5"/>
      <c r="F423" s="5"/>
      <c r="G423" s="7"/>
      <c r="H423" s="5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">
      <c r="A424" s="3"/>
      <c r="B424" s="3"/>
      <c r="C424" s="3"/>
      <c r="D424" s="5"/>
      <c r="E424" s="5"/>
      <c r="F424" s="5"/>
      <c r="G424" s="7"/>
      <c r="H424" s="5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">
      <c r="A425" s="3"/>
      <c r="B425" s="3"/>
      <c r="C425" s="3"/>
      <c r="D425" s="5"/>
      <c r="E425" s="5"/>
      <c r="F425" s="5"/>
      <c r="G425" s="7"/>
      <c r="H425" s="5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">
      <c r="A426" s="3"/>
      <c r="B426" s="3"/>
      <c r="C426" s="3"/>
      <c r="D426" s="5"/>
      <c r="E426" s="5"/>
      <c r="F426" s="5"/>
      <c r="G426" s="7"/>
      <c r="H426" s="5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">
      <c r="A427" s="3"/>
      <c r="B427" s="3"/>
      <c r="C427" s="3"/>
      <c r="D427" s="5"/>
      <c r="E427" s="5"/>
      <c r="F427" s="5"/>
      <c r="G427" s="7"/>
      <c r="H427" s="5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">
      <c r="A428" s="3"/>
      <c r="B428" s="3"/>
      <c r="C428" s="3"/>
      <c r="D428" s="5"/>
      <c r="E428" s="5"/>
      <c r="F428" s="5"/>
      <c r="G428" s="7"/>
      <c r="H428" s="5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">
      <c r="A429" s="3"/>
      <c r="B429" s="3"/>
      <c r="C429" s="3"/>
      <c r="D429" s="5"/>
      <c r="E429" s="5"/>
      <c r="F429" s="5"/>
      <c r="G429" s="7"/>
      <c r="H429" s="5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">
      <c r="A430" s="3"/>
      <c r="B430" s="3"/>
      <c r="C430" s="3"/>
      <c r="D430" s="5"/>
      <c r="E430" s="5"/>
      <c r="F430" s="5"/>
      <c r="G430" s="7"/>
      <c r="H430" s="5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">
      <c r="A431" s="3"/>
      <c r="B431" s="3"/>
      <c r="C431" s="3"/>
      <c r="D431" s="5"/>
      <c r="E431" s="5"/>
      <c r="F431" s="5"/>
      <c r="G431" s="7"/>
      <c r="H431" s="5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">
      <c r="A432" s="3"/>
      <c r="B432" s="3"/>
      <c r="C432" s="3"/>
      <c r="D432" s="5"/>
      <c r="E432" s="5"/>
      <c r="F432" s="5"/>
      <c r="G432" s="7"/>
      <c r="H432" s="5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">
      <c r="A433" s="3"/>
      <c r="B433" s="3"/>
      <c r="C433" s="3"/>
      <c r="D433" s="5"/>
      <c r="E433" s="5"/>
      <c r="F433" s="5"/>
      <c r="G433" s="7"/>
      <c r="H433" s="5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">
      <c r="A434" s="3"/>
      <c r="B434" s="3"/>
      <c r="C434" s="3"/>
      <c r="D434" s="5"/>
      <c r="E434" s="5"/>
      <c r="F434" s="5"/>
      <c r="G434" s="7"/>
      <c r="H434" s="5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">
      <c r="A435" s="3"/>
      <c r="B435" s="3"/>
      <c r="C435" s="3"/>
      <c r="D435" s="5"/>
      <c r="E435" s="5"/>
      <c r="F435" s="5"/>
      <c r="G435" s="7"/>
      <c r="H435" s="5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">
      <c r="A436" s="3"/>
      <c r="B436" s="3"/>
      <c r="C436" s="3"/>
      <c r="D436" s="5"/>
      <c r="E436" s="5"/>
      <c r="F436" s="5"/>
      <c r="G436" s="7"/>
      <c r="H436" s="5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">
      <c r="A437" s="3"/>
      <c r="B437" s="3"/>
      <c r="C437" s="3"/>
      <c r="D437" s="5"/>
      <c r="E437" s="5"/>
      <c r="F437" s="5"/>
      <c r="G437" s="7"/>
      <c r="H437" s="5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">
      <c r="A438" s="3"/>
      <c r="B438" s="3"/>
      <c r="C438" s="3"/>
      <c r="D438" s="5"/>
      <c r="E438" s="5"/>
      <c r="F438" s="5"/>
      <c r="G438" s="7"/>
      <c r="H438" s="5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">
      <c r="A439" s="3"/>
      <c r="B439" s="3"/>
      <c r="C439" s="3"/>
      <c r="D439" s="5"/>
      <c r="E439" s="5"/>
      <c r="F439" s="5"/>
      <c r="G439" s="7"/>
      <c r="H439" s="5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">
      <c r="A440" s="3"/>
      <c r="B440" s="3"/>
      <c r="C440" s="3"/>
      <c r="D440" s="5"/>
      <c r="E440" s="5"/>
      <c r="F440" s="5"/>
      <c r="G440" s="7"/>
      <c r="H440" s="5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">
      <c r="A441" s="3"/>
      <c r="B441" s="3"/>
      <c r="C441" s="3"/>
      <c r="D441" s="5"/>
      <c r="E441" s="5"/>
      <c r="F441" s="5"/>
      <c r="G441" s="7"/>
      <c r="H441" s="5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">
      <c r="A442" s="3"/>
      <c r="B442" s="3"/>
      <c r="C442" s="3"/>
      <c r="D442" s="5"/>
      <c r="E442" s="5"/>
      <c r="F442" s="5"/>
      <c r="G442" s="7"/>
      <c r="H442" s="5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">
      <c r="A443" s="3"/>
      <c r="B443" s="3"/>
      <c r="C443" s="3"/>
      <c r="D443" s="5"/>
      <c r="E443" s="5"/>
      <c r="F443" s="5"/>
      <c r="G443" s="7"/>
      <c r="H443" s="5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">
      <c r="A444" s="3"/>
      <c r="B444" s="3"/>
      <c r="C444" s="3"/>
      <c r="D444" s="5"/>
      <c r="E444" s="5"/>
      <c r="F444" s="5"/>
      <c r="G444" s="7"/>
      <c r="H444" s="5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">
      <c r="A445" s="3"/>
      <c r="B445" s="3"/>
      <c r="C445" s="3"/>
      <c r="D445" s="5"/>
      <c r="E445" s="5"/>
      <c r="F445" s="5"/>
      <c r="G445" s="7"/>
      <c r="H445" s="5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">
      <c r="A446" s="3"/>
      <c r="B446" s="3"/>
      <c r="C446" s="3"/>
      <c r="D446" s="5"/>
      <c r="E446" s="5"/>
      <c r="F446" s="5"/>
      <c r="G446" s="7"/>
      <c r="H446" s="5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">
      <c r="A447" s="3"/>
      <c r="B447" s="3"/>
      <c r="C447" s="3"/>
      <c r="D447" s="5"/>
      <c r="E447" s="5"/>
      <c r="F447" s="5"/>
      <c r="G447" s="7"/>
      <c r="H447" s="5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">
      <c r="A448" s="3"/>
      <c r="B448" s="3"/>
      <c r="C448" s="3"/>
      <c r="D448" s="5"/>
      <c r="E448" s="5"/>
      <c r="F448" s="5"/>
      <c r="G448" s="7"/>
      <c r="H448" s="5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">
      <c r="A449" s="3"/>
      <c r="B449" s="3"/>
      <c r="C449" s="3"/>
      <c r="D449" s="5"/>
      <c r="E449" s="5"/>
      <c r="F449" s="5"/>
      <c r="G449" s="7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">
      <c r="A450" s="3"/>
      <c r="B450" s="3"/>
      <c r="C450" s="3"/>
      <c r="D450" s="5"/>
      <c r="E450" s="5"/>
      <c r="F450" s="5"/>
      <c r="G450" s="7"/>
      <c r="H450" s="5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">
      <c r="A451" s="3"/>
      <c r="B451" s="3"/>
      <c r="C451" s="3"/>
      <c r="D451" s="5"/>
      <c r="E451" s="5"/>
      <c r="F451" s="5"/>
      <c r="G451" s="7"/>
      <c r="H451" s="5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">
      <c r="A452" s="3"/>
      <c r="B452" s="3"/>
      <c r="C452" s="3"/>
      <c r="D452" s="5"/>
      <c r="E452" s="5"/>
      <c r="F452" s="5"/>
      <c r="G452" s="7"/>
      <c r="H452" s="5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">
      <c r="A453" s="3"/>
      <c r="B453" s="3"/>
      <c r="C453" s="3"/>
      <c r="D453" s="5"/>
      <c r="E453" s="5"/>
      <c r="F453" s="5"/>
      <c r="G453" s="7"/>
      <c r="H453" s="5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">
      <c r="A454" s="3"/>
      <c r="B454" s="3"/>
      <c r="C454" s="3"/>
      <c r="D454" s="5"/>
      <c r="E454" s="5"/>
      <c r="F454" s="5"/>
      <c r="G454" s="7"/>
      <c r="H454" s="5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">
      <c r="A455" s="3"/>
      <c r="B455" s="3"/>
      <c r="C455" s="3"/>
      <c r="D455" s="5"/>
      <c r="E455" s="5"/>
      <c r="F455" s="5"/>
      <c r="G455" s="7"/>
      <c r="H455" s="5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">
      <c r="A456" s="3"/>
      <c r="B456" s="3"/>
      <c r="C456" s="3"/>
      <c r="D456" s="5"/>
      <c r="E456" s="5"/>
      <c r="F456" s="5"/>
      <c r="G456" s="7"/>
      <c r="H456" s="5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">
      <c r="A457" s="3"/>
      <c r="B457" s="3"/>
      <c r="C457" s="3"/>
      <c r="D457" s="5"/>
      <c r="E457" s="5"/>
      <c r="F457" s="5"/>
      <c r="G457" s="7"/>
      <c r="H457" s="5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">
      <c r="A458" s="3"/>
      <c r="B458" s="3"/>
      <c r="C458" s="3"/>
      <c r="D458" s="5"/>
      <c r="E458" s="5"/>
      <c r="F458" s="5"/>
      <c r="G458" s="7"/>
      <c r="H458" s="5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">
      <c r="A459" s="3"/>
      <c r="B459" s="3"/>
      <c r="C459" s="3"/>
      <c r="D459" s="5"/>
      <c r="E459" s="5"/>
      <c r="F459" s="5"/>
      <c r="G459" s="7"/>
      <c r="H459" s="5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">
      <c r="A460" s="3"/>
      <c r="B460" s="3"/>
      <c r="C460" s="3"/>
      <c r="D460" s="5"/>
      <c r="E460" s="5"/>
      <c r="F460" s="5"/>
      <c r="G460" s="7"/>
      <c r="H460" s="5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">
      <c r="A461" s="3"/>
      <c r="B461" s="3"/>
      <c r="C461" s="3"/>
      <c r="D461" s="5"/>
      <c r="E461" s="5"/>
      <c r="F461" s="5"/>
      <c r="G461" s="7"/>
      <c r="H461" s="5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">
      <c r="A462" s="3"/>
      <c r="B462" s="3"/>
      <c r="C462" s="3"/>
      <c r="D462" s="5"/>
      <c r="E462" s="5"/>
      <c r="F462" s="5"/>
      <c r="G462" s="7"/>
      <c r="H462" s="5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">
      <c r="A463" s="3"/>
      <c r="B463" s="3"/>
      <c r="C463" s="3"/>
      <c r="D463" s="5"/>
      <c r="E463" s="5"/>
      <c r="F463" s="5"/>
      <c r="G463" s="7"/>
      <c r="H463" s="5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">
      <c r="A464" s="3"/>
      <c r="B464" s="3"/>
      <c r="C464" s="3"/>
      <c r="D464" s="5"/>
      <c r="E464" s="5"/>
      <c r="F464" s="5"/>
      <c r="G464" s="7"/>
      <c r="H464" s="5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">
      <c r="A465" s="3"/>
      <c r="B465" s="3"/>
      <c r="C465" s="3"/>
      <c r="D465" s="5"/>
      <c r="E465" s="5"/>
      <c r="F465" s="5"/>
      <c r="G465" s="7"/>
      <c r="H465" s="5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">
      <c r="A466" s="3"/>
      <c r="B466" s="3"/>
      <c r="C466" s="3"/>
      <c r="D466" s="5"/>
      <c r="E466" s="5"/>
      <c r="F466" s="5"/>
      <c r="G466" s="7"/>
      <c r="H466" s="5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">
      <c r="A467" s="3"/>
      <c r="B467" s="3"/>
      <c r="C467" s="3"/>
      <c r="D467" s="5"/>
      <c r="E467" s="5"/>
      <c r="F467" s="5"/>
      <c r="G467" s="7"/>
      <c r="H467" s="5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">
      <c r="A468" s="3"/>
      <c r="B468" s="3"/>
      <c r="C468" s="3"/>
      <c r="D468" s="5"/>
      <c r="E468" s="5"/>
      <c r="F468" s="5"/>
      <c r="G468" s="7"/>
      <c r="H468" s="5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">
      <c r="A469" s="3"/>
      <c r="B469" s="3"/>
      <c r="C469" s="3"/>
      <c r="D469" s="5"/>
      <c r="E469" s="5"/>
      <c r="F469" s="5"/>
      <c r="G469" s="7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">
      <c r="A470" s="3"/>
      <c r="B470" s="3"/>
      <c r="C470" s="3"/>
      <c r="D470" s="5"/>
      <c r="E470" s="5"/>
      <c r="F470" s="5"/>
      <c r="G470" s="7"/>
      <c r="H470" s="5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">
      <c r="A471" s="3"/>
      <c r="B471" s="3"/>
      <c r="C471" s="3"/>
      <c r="D471" s="5"/>
      <c r="E471" s="5"/>
      <c r="F471" s="5"/>
      <c r="G471" s="7"/>
      <c r="H471" s="5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">
      <c r="A472" s="3"/>
      <c r="B472" s="3"/>
      <c r="C472" s="3"/>
      <c r="D472" s="5"/>
      <c r="E472" s="5"/>
      <c r="F472" s="5"/>
      <c r="G472" s="7"/>
      <c r="H472" s="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">
      <c r="A473" s="3"/>
      <c r="B473" s="3"/>
      <c r="C473" s="3"/>
      <c r="D473" s="5"/>
      <c r="E473" s="5"/>
      <c r="F473" s="5"/>
      <c r="G473" s="7"/>
      <c r="H473" s="5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">
      <c r="A474" s="3"/>
      <c r="B474" s="3"/>
      <c r="C474" s="3"/>
      <c r="D474" s="5"/>
      <c r="E474" s="5"/>
      <c r="F474" s="5"/>
      <c r="G474" s="7"/>
      <c r="H474" s="5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">
      <c r="A475" s="3"/>
      <c r="B475" s="3"/>
      <c r="C475" s="3"/>
      <c r="D475" s="5"/>
      <c r="E475" s="5"/>
      <c r="F475" s="5"/>
      <c r="G475" s="7"/>
      <c r="H475" s="5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">
      <c r="A476" s="3"/>
      <c r="B476" s="3"/>
      <c r="C476" s="3"/>
      <c r="D476" s="5"/>
      <c r="E476" s="5"/>
      <c r="F476" s="5"/>
      <c r="G476" s="7"/>
      <c r="H476" s="5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">
      <c r="A477" s="3"/>
      <c r="B477" s="3"/>
      <c r="C477" s="3"/>
      <c r="D477" s="5"/>
      <c r="E477" s="5"/>
      <c r="F477" s="5"/>
      <c r="G477" s="7"/>
      <c r="H477" s="5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">
      <c r="A478" s="3"/>
      <c r="B478" s="3"/>
      <c r="C478" s="3"/>
      <c r="D478" s="5"/>
      <c r="E478" s="5"/>
      <c r="F478" s="5"/>
      <c r="G478" s="7"/>
      <c r="H478" s="5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">
      <c r="A479" s="3"/>
      <c r="B479" s="3"/>
      <c r="C479" s="3"/>
      <c r="D479" s="5"/>
      <c r="E479" s="5"/>
      <c r="F479" s="5"/>
      <c r="G479" s="7"/>
      <c r="H479" s="5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">
      <c r="A480" s="3"/>
      <c r="B480" s="3"/>
      <c r="C480" s="3"/>
      <c r="D480" s="5"/>
      <c r="E480" s="5"/>
      <c r="F480" s="5"/>
      <c r="G480" s="7"/>
      <c r="H480" s="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">
      <c r="A481" s="3"/>
      <c r="B481" s="3"/>
      <c r="C481" s="3"/>
      <c r="D481" s="5"/>
      <c r="E481" s="5"/>
      <c r="F481" s="5"/>
      <c r="G481" s="7"/>
      <c r="H481" s="5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">
      <c r="A482" s="3"/>
      <c r="B482" s="3"/>
      <c r="C482" s="3"/>
      <c r="D482" s="5"/>
      <c r="E482" s="5"/>
      <c r="F482" s="5"/>
      <c r="G482" s="7"/>
      <c r="H482" s="5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">
      <c r="A483" s="3"/>
      <c r="B483" s="3"/>
      <c r="C483" s="3"/>
      <c r="D483" s="5"/>
      <c r="E483" s="5"/>
      <c r="F483" s="5"/>
      <c r="G483" s="7"/>
      <c r="H483" s="5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">
      <c r="A484" s="3"/>
      <c r="B484" s="3"/>
      <c r="C484" s="3"/>
      <c r="D484" s="5"/>
      <c r="E484" s="5"/>
      <c r="F484" s="5"/>
      <c r="G484" s="7"/>
      <c r="H484" s="5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">
      <c r="A485" s="3"/>
      <c r="B485" s="3"/>
      <c r="C485" s="3"/>
      <c r="D485" s="5"/>
      <c r="E485" s="5"/>
      <c r="F485" s="5"/>
      <c r="G485" s="7"/>
      <c r="H485" s="5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">
      <c r="A486" s="3"/>
      <c r="B486" s="3"/>
      <c r="C486" s="3"/>
      <c r="D486" s="5"/>
      <c r="E486" s="5"/>
      <c r="F486" s="5"/>
      <c r="G486" s="7"/>
      <c r="H486" s="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">
      <c r="A487" s="3"/>
      <c r="B487" s="3"/>
      <c r="C487" s="3"/>
      <c r="D487" s="5"/>
      <c r="E487" s="5"/>
      <c r="F487" s="5"/>
      <c r="G487" s="7"/>
      <c r="H487" s="5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">
      <c r="A488" s="3"/>
      <c r="B488" s="3"/>
      <c r="C488" s="3"/>
      <c r="D488" s="5"/>
      <c r="E488" s="5"/>
      <c r="F488" s="5"/>
      <c r="G488" s="7"/>
      <c r="H488" s="5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">
      <c r="A489" s="3"/>
      <c r="B489" s="3"/>
      <c r="C489" s="3"/>
      <c r="D489" s="5"/>
      <c r="E489" s="5"/>
      <c r="F489" s="5"/>
      <c r="G489" s="7"/>
      <c r="H489" s="5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">
      <c r="A490" s="3"/>
      <c r="B490" s="3"/>
      <c r="C490" s="3"/>
      <c r="D490" s="5"/>
      <c r="E490" s="5"/>
      <c r="F490" s="5"/>
      <c r="G490" s="7"/>
      <c r="H490" s="5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">
      <c r="A491" s="3"/>
      <c r="B491" s="3"/>
      <c r="C491" s="3"/>
      <c r="D491" s="5"/>
      <c r="E491" s="5"/>
      <c r="F491" s="5"/>
      <c r="G491" s="7"/>
      <c r="H491" s="5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">
      <c r="A492" s="3"/>
      <c r="B492" s="3"/>
      <c r="C492" s="3"/>
      <c r="D492" s="5"/>
      <c r="E492" s="5"/>
      <c r="F492" s="5"/>
      <c r="G492" s="7"/>
      <c r="H492" s="5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">
      <c r="A493" s="3"/>
      <c r="B493" s="3"/>
      <c r="C493" s="3"/>
      <c r="D493" s="5"/>
      <c r="E493" s="5"/>
      <c r="F493" s="5"/>
      <c r="G493" s="7"/>
      <c r="H493" s="5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">
      <c r="A494" s="3"/>
      <c r="B494" s="3"/>
      <c r="C494" s="3"/>
      <c r="D494" s="5"/>
      <c r="E494" s="5"/>
      <c r="F494" s="5"/>
      <c r="G494" s="7"/>
      <c r="H494" s="5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">
      <c r="A495" s="3"/>
      <c r="B495" s="3"/>
      <c r="C495" s="3"/>
      <c r="D495" s="5"/>
      <c r="E495" s="5"/>
      <c r="F495" s="5"/>
      <c r="G495" s="7"/>
      <c r="H495" s="5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">
      <c r="A496" s="3"/>
      <c r="B496" s="3"/>
      <c r="C496" s="3"/>
      <c r="D496" s="5"/>
      <c r="E496" s="5"/>
      <c r="F496" s="5"/>
      <c r="G496" s="7"/>
      <c r="H496" s="5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">
      <c r="A497" s="3"/>
      <c r="B497" s="3"/>
      <c r="C497" s="3"/>
      <c r="D497" s="5"/>
      <c r="E497" s="5"/>
      <c r="F497" s="5"/>
      <c r="G497" s="7"/>
      <c r="H497" s="5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">
      <c r="A498" s="3"/>
      <c r="B498" s="3"/>
      <c r="C498" s="3"/>
      <c r="D498" s="5"/>
      <c r="E498" s="5"/>
      <c r="F498" s="5"/>
      <c r="G498" s="7"/>
      <c r="H498" s="5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">
      <c r="A499" s="3"/>
      <c r="B499" s="3"/>
      <c r="C499" s="3"/>
      <c r="D499" s="5"/>
      <c r="E499" s="5"/>
      <c r="F499" s="5"/>
      <c r="G499" s="7"/>
      <c r="H499" s="5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">
      <c r="A500" s="3"/>
      <c r="B500" s="3"/>
      <c r="C500" s="3"/>
      <c r="D500" s="5"/>
      <c r="E500" s="5"/>
      <c r="F500" s="5"/>
      <c r="G500" s="7"/>
      <c r="H500" s="5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">
      <c r="A501" s="3"/>
      <c r="B501" s="3"/>
      <c r="C501" s="3"/>
      <c r="D501" s="5"/>
      <c r="E501" s="5"/>
      <c r="F501" s="5"/>
      <c r="G501" s="7"/>
      <c r="H501" s="5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">
      <c r="A502" s="3"/>
      <c r="B502" s="3"/>
      <c r="C502" s="3"/>
      <c r="D502" s="5"/>
      <c r="E502" s="5"/>
      <c r="F502" s="5"/>
      <c r="G502" s="7"/>
      <c r="H502" s="5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">
      <c r="A503" s="3"/>
      <c r="B503" s="3"/>
      <c r="C503" s="3"/>
      <c r="D503" s="5"/>
      <c r="E503" s="5"/>
      <c r="F503" s="5"/>
      <c r="G503" s="7"/>
      <c r="H503" s="5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">
      <c r="A504" s="3"/>
      <c r="B504" s="3"/>
      <c r="C504" s="3"/>
      <c r="D504" s="5"/>
      <c r="E504" s="5"/>
      <c r="F504" s="5"/>
      <c r="G504" s="7"/>
      <c r="H504" s="5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">
      <c r="A505" s="3"/>
      <c r="B505" s="3"/>
      <c r="C505" s="3"/>
      <c r="D505" s="5"/>
      <c r="E505" s="5"/>
      <c r="F505" s="5"/>
      <c r="G505" s="7"/>
      <c r="H505" s="5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">
      <c r="A506" s="3"/>
      <c r="B506" s="3"/>
      <c r="C506" s="3"/>
      <c r="D506" s="5"/>
      <c r="E506" s="5"/>
      <c r="F506" s="5"/>
      <c r="G506" s="7"/>
      <c r="H506" s="5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">
      <c r="A507" s="3"/>
      <c r="B507" s="3"/>
      <c r="C507" s="3"/>
      <c r="D507" s="5"/>
      <c r="E507" s="5"/>
      <c r="F507" s="5"/>
      <c r="G507" s="7"/>
      <c r="H507" s="5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">
      <c r="A508" s="3"/>
      <c r="B508" s="3"/>
      <c r="C508" s="3"/>
      <c r="D508" s="5"/>
      <c r="E508" s="5"/>
      <c r="F508" s="5"/>
      <c r="G508" s="7"/>
      <c r="H508" s="5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">
      <c r="A509" s="3"/>
      <c r="B509" s="3"/>
      <c r="C509" s="3"/>
      <c r="D509" s="5"/>
      <c r="E509" s="5"/>
      <c r="F509" s="5"/>
      <c r="G509" s="7"/>
      <c r="H509" s="5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">
      <c r="A510" s="3"/>
      <c r="B510" s="3"/>
      <c r="C510" s="3"/>
      <c r="D510" s="5"/>
      <c r="E510" s="5"/>
      <c r="F510" s="5"/>
      <c r="G510" s="7"/>
      <c r="H510" s="5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">
      <c r="A511" s="3"/>
      <c r="B511" s="3"/>
      <c r="C511" s="3"/>
      <c r="D511" s="5"/>
      <c r="E511" s="5"/>
      <c r="F511" s="5"/>
      <c r="G511" s="7"/>
      <c r="H511" s="5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">
      <c r="A512" s="3"/>
      <c r="B512" s="3"/>
      <c r="C512" s="3"/>
      <c r="D512" s="5"/>
      <c r="E512" s="5"/>
      <c r="F512" s="5"/>
      <c r="G512" s="7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">
      <c r="A513" s="3"/>
      <c r="B513" s="3"/>
      <c r="C513" s="3"/>
      <c r="D513" s="5"/>
      <c r="E513" s="5"/>
      <c r="F513" s="5"/>
      <c r="G513" s="7"/>
      <c r="H513" s="5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">
      <c r="A514" s="3"/>
      <c r="B514" s="3"/>
      <c r="C514" s="3"/>
      <c r="D514" s="5"/>
      <c r="E514" s="5"/>
      <c r="F514" s="5"/>
      <c r="G514" s="7"/>
      <c r="H514" s="5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">
      <c r="A515" s="3"/>
      <c r="B515" s="3"/>
      <c r="C515" s="3"/>
      <c r="D515" s="5"/>
      <c r="E515" s="5"/>
      <c r="F515" s="5"/>
      <c r="G515" s="7"/>
      <c r="H515" s="5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">
      <c r="A516" s="3"/>
      <c r="B516" s="3"/>
      <c r="C516" s="3"/>
      <c r="D516" s="5"/>
      <c r="E516" s="5"/>
      <c r="F516" s="5"/>
      <c r="G516" s="7"/>
      <c r="H516" s="5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">
      <c r="A517" s="3"/>
      <c r="B517" s="3"/>
      <c r="C517" s="3"/>
      <c r="D517" s="5"/>
      <c r="E517" s="5"/>
      <c r="F517" s="5"/>
      <c r="G517" s="7"/>
      <c r="H517" s="5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">
      <c r="A518" s="3"/>
      <c r="B518" s="3"/>
      <c r="C518" s="3"/>
      <c r="D518" s="5"/>
      <c r="E518" s="5"/>
      <c r="F518" s="5"/>
      <c r="G518" s="7"/>
      <c r="H518" s="5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">
      <c r="A519" s="3"/>
      <c r="B519" s="3"/>
      <c r="C519" s="3"/>
      <c r="D519" s="5"/>
      <c r="E519" s="5"/>
      <c r="F519" s="5"/>
      <c r="G519" s="7"/>
      <c r="H519" s="5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">
      <c r="A520" s="3"/>
      <c r="B520" s="3"/>
      <c r="C520" s="3"/>
      <c r="D520" s="5"/>
      <c r="E520" s="5"/>
      <c r="F520" s="5"/>
      <c r="G520" s="7"/>
      <c r="H520" s="5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">
      <c r="A521" s="3"/>
      <c r="B521" s="3"/>
      <c r="C521" s="3"/>
      <c r="D521" s="5"/>
      <c r="E521" s="5"/>
      <c r="F521" s="5"/>
      <c r="G521" s="7"/>
      <c r="H521" s="5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">
      <c r="A522" s="3"/>
      <c r="B522" s="3"/>
      <c r="C522" s="3"/>
      <c r="D522" s="5"/>
      <c r="E522" s="5"/>
      <c r="F522" s="5"/>
      <c r="G522" s="7"/>
      <c r="H522" s="5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">
      <c r="A523" s="3"/>
      <c r="B523" s="3"/>
      <c r="C523" s="3"/>
      <c r="D523" s="5"/>
      <c r="E523" s="5"/>
      <c r="F523" s="5"/>
      <c r="G523" s="7"/>
      <c r="H523" s="5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">
      <c r="A524" s="3"/>
      <c r="B524" s="3"/>
      <c r="C524" s="3"/>
      <c r="D524" s="5"/>
      <c r="E524" s="5"/>
      <c r="F524" s="5"/>
      <c r="G524" s="7"/>
      <c r="H524" s="5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">
      <c r="A525" s="3"/>
      <c r="B525" s="3"/>
      <c r="C525" s="3"/>
      <c r="D525" s="5"/>
      <c r="E525" s="5"/>
      <c r="F525" s="5"/>
      <c r="G525" s="7"/>
      <c r="H525" s="5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">
      <c r="A526" s="3"/>
      <c r="B526" s="3"/>
      <c r="C526" s="3"/>
      <c r="D526" s="5"/>
      <c r="E526" s="5"/>
      <c r="F526" s="5"/>
      <c r="G526" s="7"/>
      <c r="H526" s="5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">
      <c r="A527" s="3"/>
      <c r="B527" s="3"/>
      <c r="C527" s="3"/>
      <c r="D527" s="5"/>
      <c r="E527" s="5"/>
      <c r="F527" s="5"/>
      <c r="G527" s="7"/>
      <c r="H527" s="5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">
      <c r="A528" s="3"/>
      <c r="B528" s="3"/>
      <c r="C528" s="3"/>
      <c r="D528" s="5"/>
      <c r="E528" s="5"/>
      <c r="F528" s="5"/>
      <c r="G528" s="7"/>
      <c r="H528" s="5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">
      <c r="A529" s="3"/>
      <c r="B529" s="3"/>
      <c r="C529" s="3"/>
      <c r="D529" s="5"/>
      <c r="E529" s="5"/>
      <c r="F529" s="5"/>
      <c r="G529" s="7"/>
      <c r="H529" s="5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">
      <c r="A530" s="3"/>
      <c r="B530" s="3"/>
      <c r="C530" s="3"/>
      <c r="D530" s="5"/>
      <c r="E530" s="5"/>
      <c r="F530" s="5"/>
      <c r="G530" s="7"/>
      <c r="H530" s="5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">
      <c r="A531" s="3"/>
      <c r="B531" s="3"/>
      <c r="C531" s="3"/>
      <c r="D531" s="5"/>
      <c r="E531" s="5"/>
      <c r="F531" s="5"/>
      <c r="G531" s="7"/>
      <c r="H531" s="5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">
      <c r="A532" s="3"/>
      <c r="B532" s="3"/>
      <c r="C532" s="3"/>
      <c r="D532" s="5"/>
      <c r="E532" s="5"/>
      <c r="F532" s="5"/>
      <c r="G532" s="7"/>
      <c r="H532" s="5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">
      <c r="A533" s="3"/>
      <c r="B533" s="3"/>
      <c r="C533" s="3"/>
      <c r="D533" s="5"/>
      <c r="E533" s="5"/>
      <c r="F533" s="5"/>
      <c r="G533" s="7"/>
      <c r="H533" s="5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">
      <c r="A534" s="3"/>
      <c r="B534" s="3"/>
      <c r="C534" s="3"/>
      <c r="D534" s="5"/>
      <c r="E534" s="5"/>
      <c r="F534" s="5"/>
      <c r="G534" s="7"/>
      <c r="H534" s="5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">
      <c r="A535" s="3"/>
      <c r="B535" s="3"/>
      <c r="C535" s="3"/>
      <c r="D535" s="5"/>
      <c r="E535" s="5"/>
      <c r="F535" s="5"/>
      <c r="G535" s="7"/>
      <c r="H535" s="5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">
      <c r="A536" s="3"/>
      <c r="B536" s="3"/>
      <c r="C536" s="3"/>
      <c r="D536" s="5"/>
      <c r="E536" s="5"/>
      <c r="F536" s="5"/>
      <c r="G536" s="7"/>
      <c r="H536" s="5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">
      <c r="A537" s="3"/>
      <c r="B537" s="3"/>
      <c r="C537" s="3"/>
      <c r="D537" s="5"/>
      <c r="E537" s="5"/>
      <c r="F537" s="5"/>
      <c r="G537" s="7"/>
      <c r="H537" s="5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">
      <c r="A538" s="3"/>
      <c r="B538" s="3"/>
      <c r="C538" s="3"/>
      <c r="D538" s="5"/>
      <c r="E538" s="5"/>
      <c r="F538" s="5"/>
      <c r="G538" s="7"/>
      <c r="H538" s="5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">
      <c r="A539" s="3"/>
      <c r="B539" s="3"/>
      <c r="C539" s="3"/>
      <c r="D539" s="5"/>
      <c r="E539" s="5"/>
      <c r="F539" s="5"/>
      <c r="G539" s="7"/>
      <c r="H539" s="5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">
      <c r="A540" s="3"/>
      <c r="B540" s="3"/>
      <c r="C540" s="3"/>
      <c r="D540" s="5"/>
      <c r="E540" s="5"/>
      <c r="F540" s="5"/>
      <c r="G540" s="7"/>
      <c r="H540" s="5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">
      <c r="A541" s="3"/>
      <c r="B541" s="3"/>
      <c r="C541" s="3"/>
      <c r="D541" s="5"/>
      <c r="E541" s="5"/>
      <c r="F541" s="5"/>
      <c r="G541" s="7"/>
      <c r="H541" s="5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">
      <c r="A542" s="3"/>
      <c r="B542" s="3"/>
      <c r="C542" s="3"/>
      <c r="D542" s="5"/>
      <c r="E542" s="5"/>
      <c r="F542" s="5"/>
      <c r="G542" s="7"/>
      <c r="H542" s="5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">
      <c r="A543" s="3"/>
      <c r="B543" s="3"/>
      <c r="C543" s="3"/>
      <c r="D543" s="5"/>
      <c r="E543" s="5"/>
      <c r="F543" s="5"/>
      <c r="G543" s="7"/>
      <c r="H543" s="5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">
      <c r="A544" s="3"/>
      <c r="B544" s="3"/>
      <c r="C544" s="3"/>
      <c r="D544" s="5"/>
      <c r="E544" s="5"/>
      <c r="F544" s="5"/>
      <c r="G544" s="7"/>
      <c r="H544" s="5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">
      <c r="A545" s="3"/>
      <c r="B545" s="3"/>
      <c r="C545" s="3"/>
      <c r="D545" s="5"/>
      <c r="E545" s="5"/>
      <c r="F545" s="5"/>
      <c r="G545" s="7"/>
      <c r="H545" s="5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">
      <c r="A546" s="3"/>
      <c r="B546" s="3"/>
      <c r="C546" s="3"/>
      <c r="D546" s="5"/>
      <c r="E546" s="5"/>
      <c r="F546" s="5"/>
      <c r="G546" s="7"/>
      <c r="H546" s="5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">
      <c r="A547" s="3"/>
      <c r="B547" s="3"/>
      <c r="C547" s="3"/>
      <c r="D547" s="5"/>
      <c r="E547" s="5"/>
      <c r="F547" s="5"/>
      <c r="G547" s="7"/>
      <c r="H547" s="5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">
      <c r="A548" s="3"/>
      <c r="B548" s="3"/>
      <c r="C548" s="3"/>
      <c r="D548" s="5"/>
      <c r="E548" s="5"/>
      <c r="F548" s="5"/>
      <c r="G548" s="7"/>
      <c r="H548" s="5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">
      <c r="A549" s="3"/>
      <c r="B549" s="3"/>
      <c r="C549" s="3"/>
      <c r="D549" s="5"/>
      <c r="E549" s="5"/>
      <c r="F549" s="5"/>
      <c r="G549" s="7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">
      <c r="A550" s="3"/>
      <c r="B550" s="3"/>
      <c r="C550" s="3"/>
      <c r="D550" s="5"/>
      <c r="E550" s="5"/>
      <c r="F550" s="5"/>
      <c r="G550" s="7"/>
      <c r="H550" s="5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">
      <c r="A551" s="3"/>
      <c r="B551" s="3"/>
      <c r="C551" s="3"/>
      <c r="D551" s="5"/>
      <c r="E551" s="5"/>
      <c r="F551" s="5"/>
      <c r="G551" s="7"/>
      <c r="H551" s="5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">
      <c r="A552" s="3"/>
      <c r="B552" s="3"/>
      <c r="C552" s="3"/>
      <c r="D552" s="5"/>
      <c r="E552" s="5"/>
      <c r="F552" s="5"/>
      <c r="G552" s="7"/>
      <c r="H552" s="5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">
      <c r="A553" s="3"/>
      <c r="B553" s="3"/>
      <c r="C553" s="3"/>
      <c r="D553" s="5"/>
      <c r="E553" s="5"/>
      <c r="F553" s="5"/>
      <c r="G553" s="7"/>
      <c r="H553" s="5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">
      <c r="A554" s="3"/>
      <c r="B554" s="3"/>
      <c r="C554" s="3"/>
      <c r="D554" s="5"/>
      <c r="E554" s="5"/>
      <c r="F554" s="5"/>
      <c r="G554" s="7"/>
      <c r="H554" s="5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">
      <c r="A555" s="3"/>
      <c r="B555" s="3"/>
      <c r="C555" s="3"/>
      <c r="D555" s="5"/>
      <c r="E555" s="5"/>
      <c r="F555" s="5"/>
      <c r="G555" s="7"/>
      <c r="H555" s="5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">
      <c r="A556" s="3"/>
      <c r="B556" s="3"/>
      <c r="C556" s="3"/>
      <c r="D556" s="5"/>
      <c r="E556" s="5"/>
      <c r="F556" s="5"/>
      <c r="G556" s="7"/>
      <c r="H556" s="5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">
      <c r="A557" s="3"/>
      <c r="B557" s="3"/>
      <c r="C557" s="3"/>
      <c r="D557" s="5"/>
      <c r="E557" s="5"/>
      <c r="F557" s="5"/>
      <c r="G557" s="7"/>
      <c r="H557" s="5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">
      <c r="A558" s="3"/>
      <c r="B558" s="3"/>
      <c r="C558" s="3"/>
      <c r="D558" s="5"/>
      <c r="E558" s="5"/>
      <c r="F558" s="5"/>
      <c r="G558" s="7"/>
      <c r="H558" s="5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">
      <c r="A559" s="3"/>
      <c r="B559" s="3"/>
      <c r="C559" s="3"/>
      <c r="D559" s="5"/>
      <c r="E559" s="5"/>
      <c r="F559" s="5"/>
      <c r="G559" s="7"/>
      <c r="H559" s="5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">
      <c r="A560" s="3"/>
      <c r="B560" s="3"/>
      <c r="C560" s="3"/>
      <c r="D560" s="5"/>
      <c r="E560" s="5"/>
      <c r="F560" s="5"/>
      <c r="G560" s="7"/>
      <c r="H560" s="5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">
      <c r="A561" s="3"/>
      <c r="B561" s="3"/>
      <c r="C561" s="3"/>
      <c r="D561" s="5"/>
      <c r="E561" s="5"/>
      <c r="F561" s="5"/>
      <c r="G561" s="7"/>
      <c r="H561" s="5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">
      <c r="A562" s="3"/>
      <c r="B562" s="3"/>
      <c r="C562" s="3"/>
      <c r="D562" s="5"/>
      <c r="E562" s="5"/>
      <c r="F562" s="5"/>
      <c r="G562" s="7"/>
      <c r="H562" s="5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">
      <c r="A563" s="3"/>
      <c r="B563" s="3"/>
      <c r="C563" s="3"/>
      <c r="D563" s="5"/>
      <c r="E563" s="5"/>
      <c r="F563" s="5"/>
      <c r="G563" s="7"/>
      <c r="H563" s="5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">
      <c r="A564" s="3"/>
      <c r="B564" s="3"/>
      <c r="C564" s="3"/>
      <c r="D564" s="5"/>
      <c r="E564" s="5"/>
      <c r="F564" s="5"/>
      <c r="G564" s="7"/>
      <c r="H564" s="5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">
      <c r="A565" s="3"/>
      <c r="B565" s="3"/>
      <c r="C565" s="3"/>
      <c r="D565" s="5"/>
      <c r="E565" s="5"/>
      <c r="F565" s="5"/>
      <c r="G565" s="7"/>
      <c r="H565" s="5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">
      <c r="A566" s="3"/>
      <c r="B566" s="3"/>
      <c r="C566" s="3"/>
      <c r="D566" s="5"/>
      <c r="E566" s="5"/>
      <c r="F566" s="5"/>
      <c r="G566" s="7"/>
      <c r="H566" s="5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">
      <c r="A567" s="3"/>
      <c r="B567" s="3"/>
      <c r="C567" s="3"/>
      <c r="D567" s="5"/>
      <c r="E567" s="5"/>
      <c r="F567" s="5"/>
      <c r="G567" s="7"/>
      <c r="H567" s="5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">
      <c r="A568" s="3"/>
      <c r="B568" s="3"/>
      <c r="C568" s="3"/>
      <c r="D568" s="5"/>
      <c r="E568" s="5"/>
      <c r="F568" s="5"/>
      <c r="G568" s="7"/>
      <c r="H568" s="5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">
      <c r="A569" s="3"/>
      <c r="B569" s="3"/>
      <c r="C569" s="3"/>
      <c r="D569" s="5"/>
      <c r="E569" s="5"/>
      <c r="F569" s="5"/>
      <c r="G569" s="7"/>
      <c r="H569" s="5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">
      <c r="A570" s="3"/>
      <c r="B570" s="3"/>
      <c r="C570" s="3"/>
      <c r="D570" s="5"/>
      <c r="E570" s="5"/>
      <c r="F570" s="5"/>
      <c r="G570" s="7"/>
      <c r="H570" s="5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">
      <c r="A571" s="3"/>
      <c r="B571" s="3"/>
      <c r="C571" s="3"/>
      <c r="D571" s="5"/>
      <c r="E571" s="5"/>
      <c r="F571" s="5"/>
      <c r="G571" s="7"/>
      <c r="H571" s="5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">
      <c r="A572" s="3"/>
      <c r="B572" s="3"/>
      <c r="C572" s="3"/>
      <c r="D572" s="5"/>
      <c r="E572" s="5"/>
      <c r="F572" s="5"/>
      <c r="G572" s="7"/>
      <c r="H572" s="5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">
      <c r="A573" s="3"/>
      <c r="B573" s="3"/>
      <c r="C573" s="3"/>
      <c r="D573" s="5"/>
      <c r="E573" s="5"/>
      <c r="F573" s="5"/>
      <c r="G573" s="7"/>
      <c r="H573" s="5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">
      <c r="A574" s="3"/>
      <c r="B574" s="3"/>
      <c r="C574" s="3"/>
      <c r="D574" s="5"/>
      <c r="E574" s="5"/>
      <c r="F574" s="5"/>
      <c r="G574" s="7"/>
      <c r="H574" s="5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">
      <c r="A575" s="3"/>
      <c r="B575" s="3"/>
      <c r="C575" s="3"/>
      <c r="D575" s="5"/>
      <c r="E575" s="5"/>
      <c r="F575" s="5"/>
      <c r="G575" s="7"/>
      <c r="H575" s="5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">
      <c r="A576" s="3"/>
      <c r="B576" s="3"/>
      <c r="C576" s="3"/>
      <c r="D576" s="5"/>
      <c r="E576" s="5"/>
      <c r="F576" s="5"/>
      <c r="G576" s="7"/>
      <c r="H576" s="5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">
      <c r="A577" s="3"/>
      <c r="B577" s="3"/>
      <c r="C577" s="3"/>
      <c r="D577" s="5"/>
      <c r="E577" s="5"/>
      <c r="F577" s="5"/>
      <c r="G577" s="7"/>
      <c r="H577" s="5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">
      <c r="A578" s="3"/>
      <c r="B578" s="3"/>
      <c r="C578" s="3"/>
      <c r="D578" s="5"/>
      <c r="E578" s="5"/>
      <c r="F578" s="5"/>
      <c r="G578" s="7"/>
      <c r="H578" s="5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">
      <c r="A579" s="3"/>
      <c r="B579" s="3"/>
      <c r="C579" s="3"/>
      <c r="D579" s="5"/>
      <c r="E579" s="5"/>
      <c r="F579" s="5"/>
      <c r="G579" s="7"/>
      <c r="H579" s="5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">
      <c r="A580" s="3"/>
      <c r="B580" s="3"/>
      <c r="C580" s="3"/>
      <c r="D580" s="5"/>
      <c r="E580" s="5"/>
      <c r="F580" s="5"/>
      <c r="G580" s="7"/>
      <c r="H580" s="5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">
      <c r="A581" s="3"/>
      <c r="B581" s="3"/>
      <c r="C581" s="3"/>
      <c r="D581" s="5"/>
      <c r="E581" s="5"/>
      <c r="F581" s="5"/>
      <c r="G581" s="7"/>
      <c r="H581" s="5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">
      <c r="A582" s="3"/>
      <c r="B582" s="3"/>
      <c r="C582" s="3"/>
      <c r="D582" s="5"/>
      <c r="E582" s="5"/>
      <c r="F582" s="5"/>
      <c r="G582" s="7"/>
      <c r="H582" s="5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">
      <c r="A583" s="3"/>
      <c r="B583" s="3"/>
      <c r="C583" s="3"/>
      <c r="D583" s="5"/>
      <c r="E583" s="5"/>
      <c r="F583" s="5"/>
      <c r="G583" s="7"/>
      <c r="H583" s="5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">
      <c r="A584" s="3"/>
      <c r="B584" s="3"/>
      <c r="C584" s="3"/>
      <c r="D584" s="5"/>
      <c r="E584" s="5"/>
      <c r="F584" s="5"/>
      <c r="G584" s="7"/>
      <c r="H584" s="5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">
      <c r="A585" s="3"/>
      <c r="B585" s="3"/>
      <c r="C585" s="3"/>
      <c r="D585" s="5"/>
      <c r="E585" s="5"/>
      <c r="F585" s="5"/>
      <c r="G585" s="7"/>
      <c r="H585" s="5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">
      <c r="A586" s="3"/>
      <c r="B586" s="3"/>
      <c r="C586" s="3"/>
      <c r="D586" s="5"/>
      <c r="E586" s="5"/>
      <c r="F586" s="5"/>
      <c r="G586" s="7"/>
      <c r="H586" s="5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">
      <c r="A587" s="3"/>
      <c r="B587" s="3"/>
      <c r="C587" s="3"/>
      <c r="D587" s="5"/>
      <c r="E587" s="5"/>
      <c r="F587" s="5"/>
      <c r="G587" s="7"/>
      <c r="H587" s="5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">
      <c r="A588" s="3"/>
      <c r="B588" s="3"/>
      <c r="C588" s="3"/>
      <c r="D588" s="5"/>
      <c r="E588" s="5"/>
      <c r="F588" s="5"/>
      <c r="G588" s="7"/>
      <c r="H588" s="5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">
      <c r="A589" s="3"/>
      <c r="B589" s="3"/>
      <c r="C589" s="3"/>
      <c r="D589" s="5"/>
      <c r="E589" s="5"/>
      <c r="F589" s="5"/>
      <c r="G589" s="7"/>
      <c r="H589" s="5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">
      <c r="A590" s="3"/>
      <c r="B590" s="3"/>
      <c r="C590" s="3"/>
      <c r="D590" s="5"/>
      <c r="E590" s="5"/>
      <c r="F590" s="5"/>
      <c r="G590" s="7"/>
      <c r="H590" s="5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">
      <c r="A591" s="3"/>
      <c r="B591" s="3"/>
      <c r="C591" s="3"/>
      <c r="D591" s="5"/>
      <c r="E591" s="5"/>
      <c r="F591" s="5"/>
      <c r="G591" s="7"/>
      <c r="H591" s="5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">
      <c r="A592" s="3"/>
      <c r="B592" s="3"/>
      <c r="C592" s="3"/>
      <c r="D592" s="5"/>
      <c r="E592" s="5"/>
      <c r="F592" s="5"/>
      <c r="G592" s="7"/>
      <c r="H592" s="5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">
      <c r="A593" s="3"/>
      <c r="B593" s="3"/>
      <c r="C593" s="3"/>
      <c r="D593" s="5"/>
      <c r="E593" s="5"/>
      <c r="F593" s="5"/>
      <c r="G593" s="7"/>
      <c r="H593" s="5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">
      <c r="A594" s="3"/>
      <c r="B594" s="3"/>
      <c r="C594" s="3"/>
      <c r="D594" s="5"/>
      <c r="E594" s="5"/>
      <c r="F594" s="5"/>
      <c r="G594" s="7"/>
      <c r="H594" s="5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">
      <c r="A595" s="3"/>
      <c r="B595" s="3"/>
      <c r="C595" s="3"/>
      <c r="D595" s="5"/>
      <c r="E595" s="5"/>
      <c r="F595" s="5"/>
      <c r="G595" s="7"/>
      <c r="H595" s="5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">
      <c r="A596" s="3"/>
      <c r="B596" s="3"/>
      <c r="C596" s="3"/>
      <c r="D596" s="5"/>
      <c r="E596" s="5"/>
      <c r="F596" s="5"/>
      <c r="G596" s="7"/>
      <c r="H596" s="5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">
      <c r="A597" s="3"/>
      <c r="B597" s="3"/>
      <c r="C597" s="3"/>
      <c r="D597" s="5"/>
      <c r="E597" s="5"/>
      <c r="F597" s="5"/>
      <c r="G597" s="7"/>
      <c r="H597" s="5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">
      <c r="A598" s="3"/>
      <c r="B598" s="3"/>
      <c r="C598" s="3"/>
      <c r="D598" s="5"/>
      <c r="E598" s="5"/>
      <c r="F598" s="5"/>
      <c r="G598" s="7"/>
      <c r="H598" s="5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">
      <c r="A599" s="3"/>
      <c r="B599" s="3"/>
      <c r="C599" s="3"/>
      <c r="D599" s="5"/>
      <c r="E599" s="5"/>
      <c r="F599" s="5"/>
      <c r="G599" s="7"/>
      <c r="H599" s="5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">
      <c r="A600" s="3"/>
      <c r="B600" s="3"/>
      <c r="C600" s="3"/>
      <c r="D600" s="5"/>
      <c r="E600" s="5"/>
      <c r="F600" s="5"/>
      <c r="G600" s="7"/>
      <c r="H600" s="5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">
      <c r="A601" s="3"/>
      <c r="B601" s="3"/>
      <c r="C601" s="3"/>
      <c r="D601" s="5"/>
      <c r="E601" s="5"/>
      <c r="F601" s="5"/>
      <c r="G601" s="7"/>
      <c r="H601" s="5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">
      <c r="A602" s="3"/>
      <c r="B602" s="3"/>
      <c r="C602" s="3"/>
      <c r="D602" s="5"/>
      <c r="E602" s="5"/>
      <c r="F602" s="5"/>
      <c r="G602" s="7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">
      <c r="A603" s="3"/>
      <c r="B603" s="3"/>
      <c r="C603" s="3"/>
      <c r="D603" s="5"/>
      <c r="E603" s="5"/>
      <c r="F603" s="5"/>
      <c r="G603" s="7"/>
      <c r="H603" s="5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">
      <c r="A604" s="3"/>
      <c r="B604" s="3"/>
      <c r="C604" s="3"/>
      <c r="D604" s="5"/>
      <c r="E604" s="5"/>
      <c r="F604" s="5"/>
      <c r="G604" s="7"/>
      <c r="H604" s="5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">
      <c r="A605" s="3"/>
      <c r="B605" s="3"/>
      <c r="C605" s="3"/>
      <c r="D605" s="5"/>
      <c r="E605" s="5"/>
      <c r="F605" s="5"/>
      <c r="G605" s="7"/>
      <c r="H605" s="5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">
      <c r="A606" s="3"/>
      <c r="B606" s="3"/>
      <c r="C606" s="3"/>
      <c r="D606" s="5"/>
      <c r="E606" s="5"/>
      <c r="F606" s="5"/>
      <c r="G606" s="7"/>
      <c r="H606" s="5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">
      <c r="A607" s="3"/>
      <c r="B607" s="3"/>
      <c r="C607" s="3"/>
      <c r="D607" s="5"/>
      <c r="E607" s="5"/>
      <c r="F607" s="5"/>
      <c r="G607" s="7"/>
      <c r="H607" s="5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">
      <c r="A608" s="3"/>
      <c r="B608" s="3"/>
      <c r="C608" s="3"/>
      <c r="D608" s="5"/>
      <c r="E608" s="5"/>
      <c r="F608" s="5"/>
      <c r="G608" s="7"/>
      <c r="H608" s="5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">
      <c r="A609" s="3"/>
      <c r="B609" s="3"/>
      <c r="C609" s="3"/>
      <c r="D609" s="5"/>
      <c r="E609" s="5"/>
      <c r="F609" s="5"/>
      <c r="G609" s="7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">
      <c r="A610" s="3"/>
      <c r="B610" s="3"/>
      <c r="C610" s="3"/>
      <c r="D610" s="5"/>
      <c r="E610" s="5"/>
      <c r="F610" s="5"/>
      <c r="G610" s="7"/>
      <c r="H610" s="5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">
      <c r="A611" s="3"/>
      <c r="B611" s="3"/>
      <c r="C611" s="3"/>
      <c r="D611" s="5"/>
      <c r="E611" s="5"/>
      <c r="F611" s="5"/>
      <c r="G611" s="7"/>
      <c r="H611" s="5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">
      <c r="A612" s="3"/>
      <c r="B612" s="3"/>
      <c r="C612" s="3"/>
      <c r="D612" s="5"/>
      <c r="E612" s="5"/>
      <c r="F612" s="5"/>
      <c r="G612" s="7"/>
      <c r="H612" s="5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">
      <c r="A613" s="3"/>
      <c r="B613" s="3"/>
      <c r="C613" s="3"/>
      <c r="D613" s="5"/>
      <c r="E613" s="5"/>
      <c r="F613" s="5"/>
      <c r="G613" s="7"/>
      <c r="H613" s="5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">
      <c r="A614" s="3"/>
      <c r="B614" s="3"/>
      <c r="C614" s="3"/>
      <c r="D614" s="5"/>
      <c r="E614" s="5"/>
      <c r="F614" s="5"/>
      <c r="G614" s="7"/>
      <c r="H614" s="5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">
      <c r="A615" s="3"/>
      <c r="B615" s="3"/>
      <c r="C615" s="3"/>
      <c r="D615" s="5"/>
      <c r="E615" s="5"/>
      <c r="F615" s="5"/>
      <c r="G615" s="7"/>
      <c r="H615" s="5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">
      <c r="A616" s="3"/>
      <c r="B616" s="3"/>
      <c r="C616" s="3"/>
      <c r="D616" s="5"/>
      <c r="E616" s="5"/>
      <c r="F616" s="5"/>
      <c r="G616" s="7"/>
      <c r="H616" s="5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">
      <c r="A617" s="3"/>
      <c r="B617" s="3"/>
      <c r="C617" s="3"/>
      <c r="D617" s="5"/>
      <c r="E617" s="5"/>
      <c r="F617" s="5"/>
      <c r="G617" s="7"/>
      <c r="H617" s="5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">
      <c r="A618" s="3"/>
      <c r="B618" s="3"/>
      <c r="C618" s="3"/>
      <c r="D618" s="5"/>
      <c r="E618" s="5"/>
      <c r="F618" s="5"/>
      <c r="G618" s="7"/>
      <c r="H618" s="5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">
      <c r="A619" s="3"/>
      <c r="B619" s="3"/>
      <c r="C619" s="3"/>
      <c r="D619" s="5"/>
      <c r="E619" s="5"/>
      <c r="F619" s="5"/>
      <c r="G619" s="7"/>
      <c r="H619" s="5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">
      <c r="A620" s="3"/>
      <c r="B620" s="3"/>
      <c r="C620" s="3"/>
      <c r="D620" s="5"/>
      <c r="E620" s="5"/>
      <c r="F620" s="5"/>
      <c r="G620" s="7"/>
      <c r="H620" s="5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">
      <c r="A621" s="3"/>
      <c r="B621" s="3"/>
      <c r="C621" s="3"/>
      <c r="D621" s="5"/>
      <c r="E621" s="5"/>
      <c r="F621" s="5"/>
      <c r="G621" s="7"/>
      <c r="H621" s="5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">
      <c r="A622" s="3"/>
      <c r="B622" s="3"/>
      <c r="C622" s="3"/>
      <c r="D622" s="5"/>
      <c r="E622" s="5"/>
      <c r="F622" s="5"/>
      <c r="G622" s="7"/>
      <c r="H622" s="5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">
      <c r="A623" s="3"/>
      <c r="B623" s="3"/>
      <c r="C623" s="3"/>
      <c r="D623" s="5"/>
      <c r="E623" s="5"/>
      <c r="F623" s="5"/>
      <c r="G623" s="7"/>
      <c r="H623" s="5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">
      <c r="A624" s="3"/>
      <c r="B624" s="3"/>
      <c r="C624" s="3"/>
      <c r="D624" s="5"/>
      <c r="E624" s="5"/>
      <c r="F624" s="5"/>
      <c r="G624" s="7"/>
      <c r="H624" s="5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">
      <c r="A625" s="3"/>
      <c r="B625" s="3"/>
      <c r="C625" s="3"/>
      <c r="D625" s="5"/>
      <c r="E625" s="5"/>
      <c r="F625" s="5"/>
      <c r="G625" s="7"/>
      <c r="H625" s="5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">
      <c r="A626" s="3"/>
      <c r="B626" s="3"/>
      <c r="C626" s="3"/>
      <c r="D626" s="5"/>
      <c r="E626" s="5"/>
      <c r="F626" s="5"/>
      <c r="G626" s="7"/>
      <c r="H626" s="5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">
      <c r="A627" s="3"/>
      <c r="B627" s="3"/>
      <c r="C627" s="3"/>
      <c r="D627" s="5"/>
      <c r="E627" s="5"/>
      <c r="F627" s="5"/>
      <c r="G627" s="7"/>
      <c r="H627" s="5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">
      <c r="A628" s="3"/>
      <c r="B628" s="3"/>
      <c r="C628" s="3"/>
      <c r="D628" s="5"/>
      <c r="E628" s="5"/>
      <c r="F628" s="5"/>
      <c r="G628" s="7"/>
      <c r="H628" s="5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">
      <c r="A629" s="3"/>
      <c r="B629" s="3"/>
      <c r="C629" s="3"/>
      <c r="D629" s="5"/>
      <c r="E629" s="5"/>
      <c r="F629" s="5"/>
      <c r="G629" s="7"/>
      <c r="H629" s="5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">
      <c r="A630" s="3"/>
      <c r="B630" s="3"/>
      <c r="C630" s="3"/>
      <c r="D630" s="5"/>
      <c r="E630" s="5"/>
      <c r="F630" s="5"/>
      <c r="G630" s="7"/>
      <c r="H630" s="5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">
      <c r="A631" s="3"/>
      <c r="B631" s="3"/>
      <c r="C631" s="3"/>
      <c r="D631" s="5"/>
      <c r="E631" s="5"/>
      <c r="F631" s="5"/>
      <c r="G631" s="7"/>
      <c r="H631" s="5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">
      <c r="A632" s="3"/>
      <c r="B632" s="3"/>
      <c r="C632" s="3"/>
      <c r="D632" s="5"/>
      <c r="E632" s="5"/>
      <c r="F632" s="5"/>
      <c r="G632" s="7"/>
      <c r="H632" s="5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">
      <c r="A633" s="3"/>
      <c r="B633" s="3"/>
      <c r="C633" s="3"/>
      <c r="D633" s="5"/>
      <c r="E633" s="5"/>
      <c r="F633" s="5"/>
      <c r="G633" s="7"/>
      <c r="H633" s="5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">
      <c r="A634" s="3"/>
      <c r="B634" s="3"/>
      <c r="C634" s="3"/>
      <c r="D634" s="5"/>
      <c r="E634" s="5"/>
      <c r="F634" s="5"/>
      <c r="G634" s="7"/>
      <c r="H634" s="5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">
      <c r="A635" s="3"/>
      <c r="B635" s="3"/>
      <c r="C635" s="3"/>
      <c r="D635" s="5"/>
      <c r="E635" s="5"/>
      <c r="F635" s="5"/>
      <c r="G635" s="7"/>
      <c r="H635" s="5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">
      <c r="A636" s="3"/>
      <c r="B636" s="3"/>
      <c r="C636" s="3"/>
      <c r="D636" s="5"/>
      <c r="E636" s="5"/>
      <c r="F636" s="5"/>
      <c r="G636" s="7"/>
      <c r="H636" s="5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">
      <c r="A637" s="3"/>
      <c r="B637" s="3"/>
      <c r="C637" s="3"/>
      <c r="D637" s="5"/>
      <c r="E637" s="5"/>
      <c r="F637" s="5"/>
      <c r="G637" s="7"/>
      <c r="H637" s="5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">
      <c r="A638" s="3"/>
      <c r="B638" s="3"/>
      <c r="C638" s="3"/>
      <c r="D638" s="5"/>
      <c r="E638" s="5"/>
      <c r="F638" s="5"/>
      <c r="G638" s="7"/>
      <c r="H638" s="5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">
      <c r="A639" s="3"/>
      <c r="B639" s="3"/>
      <c r="C639" s="3"/>
      <c r="D639" s="5"/>
      <c r="E639" s="5"/>
      <c r="F639" s="5"/>
      <c r="G639" s="7"/>
      <c r="H639" s="5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">
      <c r="A640" s="3"/>
      <c r="B640" s="3"/>
      <c r="C640" s="3"/>
      <c r="D640" s="5"/>
      <c r="E640" s="5"/>
      <c r="F640" s="5"/>
      <c r="G640" s="7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">
      <c r="A641" s="3"/>
      <c r="B641" s="3"/>
      <c r="C641" s="3"/>
      <c r="D641" s="5"/>
      <c r="E641" s="5"/>
      <c r="F641" s="5"/>
      <c r="G641" s="7"/>
      <c r="H641" s="5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">
      <c r="A642" s="3"/>
      <c r="B642" s="3"/>
      <c r="C642" s="3"/>
      <c r="D642" s="5"/>
      <c r="E642" s="5"/>
      <c r="F642" s="5"/>
      <c r="G642" s="7"/>
      <c r="H642" s="5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">
      <c r="A643" s="3"/>
      <c r="B643" s="3"/>
      <c r="C643" s="3"/>
      <c r="D643" s="5"/>
      <c r="E643" s="5"/>
      <c r="F643" s="5"/>
      <c r="G643" s="7"/>
      <c r="H643" s="5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">
      <c r="A644" s="3"/>
      <c r="B644" s="3"/>
      <c r="C644" s="3"/>
      <c r="D644" s="5"/>
      <c r="E644" s="5"/>
      <c r="F644" s="5"/>
      <c r="G644" s="7"/>
      <c r="H644" s="5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">
      <c r="A645" s="3"/>
      <c r="B645" s="3"/>
      <c r="C645" s="3"/>
      <c r="D645" s="5"/>
      <c r="E645" s="5"/>
      <c r="F645" s="5"/>
      <c r="G645" s="7"/>
      <c r="H645" s="5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">
      <c r="A646" s="3"/>
      <c r="B646" s="3"/>
      <c r="C646" s="3"/>
      <c r="D646" s="5"/>
      <c r="E646" s="5"/>
      <c r="F646" s="5"/>
      <c r="G646" s="7"/>
      <c r="H646" s="5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">
      <c r="A647" s="3"/>
      <c r="B647" s="3"/>
      <c r="C647" s="3"/>
      <c r="D647" s="5"/>
      <c r="E647" s="5"/>
      <c r="F647" s="5"/>
      <c r="G647" s="7"/>
      <c r="H647" s="5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">
      <c r="A648" s="3"/>
      <c r="B648" s="3"/>
      <c r="C648" s="3"/>
      <c r="D648" s="5"/>
      <c r="E648" s="5"/>
      <c r="F648" s="5"/>
      <c r="G648" s="7"/>
      <c r="H648" s="5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">
      <c r="A649" s="3"/>
      <c r="B649" s="3"/>
      <c r="C649" s="3"/>
      <c r="D649" s="5"/>
      <c r="E649" s="5"/>
      <c r="F649" s="5"/>
      <c r="G649" s="7"/>
      <c r="H649" s="5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">
      <c r="A650" s="3"/>
      <c r="B650" s="3"/>
      <c r="C650" s="3"/>
      <c r="D650" s="5"/>
      <c r="E650" s="5"/>
      <c r="F650" s="5"/>
      <c r="G650" s="7"/>
      <c r="H650" s="5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">
      <c r="A651" s="3"/>
      <c r="B651" s="3"/>
      <c r="C651" s="3"/>
      <c r="D651" s="5"/>
      <c r="E651" s="5"/>
      <c r="F651" s="5"/>
      <c r="G651" s="7"/>
      <c r="H651" s="5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">
      <c r="A652" s="3"/>
      <c r="B652" s="3"/>
      <c r="C652" s="3"/>
      <c r="D652" s="5"/>
      <c r="E652" s="5"/>
      <c r="F652" s="5"/>
      <c r="G652" s="7"/>
      <c r="H652" s="5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">
      <c r="A653" s="3"/>
      <c r="B653" s="3"/>
      <c r="C653" s="3"/>
      <c r="D653" s="5"/>
      <c r="E653" s="5"/>
      <c r="F653" s="5"/>
      <c r="G653" s="7"/>
      <c r="H653" s="5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">
      <c r="A654" s="3"/>
      <c r="B654" s="3"/>
      <c r="C654" s="3"/>
      <c r="D654" s="5"/>
      <c r="E654" s="5"/>
      <c r="F654" s="5"/>
      <c r="G654" s="7"/>
      <c r="H654" s="5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">
      <c r="A655" s="3"/>
      <c r="B655" s="3"/>
      <c r="C655" s="3"/>
      <c r="D655" s="5"/>
      <c r="E655" s="5"/>
      <c r="F655" s="5"/>
      <c r="G655" s="7"/>
      <c r="H655" s="5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">
      <c r="A656" s="3"/>
      <c r="B656" s="3"/>
      <c r="C656" s="3"/>
      <c r="D656" s="5"/>
      <c r="E656" s="5"/>
      <c r="F656" s="5"/>
      <c r="G656" s="7"/>
      <c r="H656" s="5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">
      <c r="A657" s="3"/>
      <c r="B657" s="3"/>
      <c r="C657" s="3"/>
      <c r="D657" s="5"/>
      <c r="E657" s="5"/>
      <c r="F657" s="5"/>
      <c r="G657" s="7"/>
      <c r="H657" s="5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">
      <c r="A658" s="3"/>
      <c r="B658" s="3"/>
      <c r="C658" s="3"/>
      <c r="D658" s="5"/>
      <c r="E658" s="5"/>
      <c r="F658" s="5"/>
      <c r="G658" s="7"/>
      <c r="H658" s="5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">
      <c r="A659" s="3"/>
      <c r="B659" s="3"/>
      <c r="C659" s="3"/>
      <c r="D659" s="5"/>
      <c r="E659" s="5"/>
      <c r="F659" s="5"/>
      <c r="G659" s="7"/>
      <c r="H659" s="5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">
      <c r="A660" s="3"/>
      <c r="B660" s="3"/>
      <c r="C660" s="3"/>
      <c r="D660" s="5"/>
      <c r="E660" s="5"/>
      <c r="F660" s="5"/>
      <c r="G660" s="7"/>
      <c r="H660" s="5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">
      <c r="A661" s="3"/>
      <c r="B661" s="3"/>
      <c r="C661" s="3"/>
      <c r="D661" s="5"/>
      <c r="E661" s="5"/>
      <c r="F661" s="5"/>
      <c r="G661" s="7"/>
      <c r="H661" s="5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">
      <c r="A662" s="3"/>
      <c r="B662" s="3"/>
      <c r="C662" s="3"/>
      <c r="D662" s="5"/>
      <c r="E662" s="5"/>
      <c r="F662" s="5"/>
      <c r="G662" s="7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">
      <c r="A663" s="3"/>
      <c r="B663" s="3"/>
      <c r="C663" s="3"/>
      <c r="D663" s="5"/>
      <c r="E663" s="5"/>
      <c r="F663" s="5"/>
      <c r="G663" s="7"/>
      <c r="H663" s="5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">
      <c r="A664" s="3"/>
      <c r="B664" s="3"/>
      <c r="C664" s="3"/>
      <c r="D664" s="5"/>
      <c r="E664" s="5"/>
      <c r="F664" s="5"/>
      <c r="G664" s="7"/>
      <c r="H664" s="5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">
      <c r="A665" s="3"/>
      <c r="B665" s="3"/>
      <c r="C665" s="3"/>
      <c r="D665" s="5"/>
      <c r="E665" s="5"/>
      <c r="F665" s="5"/>
      <c r="G665" s="7"/>
      <c r="H665" s="5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">
      <c r="A666" s="3"/>
      <c r="B666" s="3"/>
      <c r="C666" s="3"/>
      <c r="D666" s="5"/>
      <c r="E666" s="5"/>
      <c r="F666" s="5"/>
      <c r="G666" s="7"/>
      <c r="H666" s="5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">
      <c r="A667" s="3"/>
      <c r="B667" s="3"/>
      <c r="C667" s="3"/>
      <c r="D667" s="5"/>
      <c r="E667" s="5"/>
      <c r="F667" s="5"/>
      <c r="G667" s="7"/>
      <c r="H667" s="5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">
      <c r="A668" s="3"/>
      <c r="B668" s="3"/>
      <c r="C668" s="3"/>
      <c r="D668" s="5"/>
      <c r="E668" s="5"/>
      <c r="F668" s="5"/>
      <c r="G668" s="7"/>
      <c r="H668" s="5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">
      <c r="A669" s="3"/>
      <c r="B669" s="3"/>
      <c r="C669" s="3"/>
      <c r="D669" s="5"/>
      <c r="E669" s="5"/>
      <c r="F669" s="5"/>
      <c r="G669" s="7"/>
      <c r="H669" s="5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">
      <c r="A670" s="3"/>
      <c r="B670" s="3"/>
      <c r="C670" s="3"/>
      <c r="D670" s="5"/>
      <c r="E670" s="5"/>
      <c r="F670" s="5"/>
      <c r="G670" s="7"/>
      <c r="H670" s="5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">
      <c r="A671" s="3"/>
      <c r="B671" s="3"/>
      <c r="C671" s="3"/>
      <c r="D671" s="5"/>
      <c r="E671" s="5"/>
      <c r="F671" s="5"/>
      <c r="G671" s="7"/>
      <c r="H671" s="5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">
      <c r="A672" s="3"/>
      <c r="B672" s="3"/>
      <c r="C672" s="3"/>
      <c r="D672" s="5"/>
      <c r="E672" s="5"/>
      <c r="F672" s="5"/>
      <c r="G672" s="7"/>
      <c r="H672" s="5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">
      <c r="A673" s="3"/>
      <c r="B673" s="3"/>
      <c r="C673" s="3"/>
      <c r="D673" s="5"/>
      <c r="E673" s="5"/>
      <c r="F673" s="5"/>
      <c r="G673" s="7"/>
      <c r="H673" s="5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">
      <c r="A674" s="3"/>
      <c r="B674" s="3"/>
      <c r="C674" s="3"/>
      <c r="D674" s="5"/>
      <c r="E674" s="5"/>
      <c r="F674" s="5"/>
      <c r="G674" s="7"/>
      <c r="H674" s="5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">
      <c r="A675" s="3"/>
      <c r="B675" s="3"/>
      <c r="C675" s="3"/>
      <c r="D675" s="5"/>
      <c r="E675" s="5"/>
      <c r="F675" s="5"/>
      <c r="G675" s="7"/>
      <c r="H675" s="5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">
      <c r="A676" s="3"/>
      <c r="B676" s="3"/>
      <c r="C676" s="3"/>
      <c r="D676" s="5"/>
      <c r="E676" s="5"/>
      <c r="F676" s="5"/>
      <c r="G676" s="7"/>
      <c r="H676" s="5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">
      <c r="A677" s="3"/>
      <c r="B677" s="3"/>
      <c r="C677" s="3"/>
      <c r="D677" s="5"/>
      <c r="E677" s="5"/>
      <c r="F677" s="5"/>
      <c r="G677" s="7"/>
      <c r="H677" s="5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">
      <c r="A678" s="3"/>
      <c r="B678" s="3"/>
      <c r="C678" s="3"/>
      <c r="D678" s="5"/>
      <c r="E678" s="5"/>
      <c r="F678" s="5"/>
      <c r="G678" s="7"/>
      <c r="H678" s="5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">
      <c r="A679" s="3"/>
      <c r="B679" s="3"/>
      <c r="C679" s="3"/>
      <c r="D679" s="5"/>
      <c r="E679" s="5"/>
      <c r="F679" s="5"/>
      <c r="G679" s="7"/>
      <c r="H679" s="5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">
      <c r="A680" s="3"/>
      <c r="B680" s="3"/>
      <c r="C680" s="3"/>
      <c r="D680" s="5"/>
      <c r="E680" s="5"/>
      <c r="F680" s="5"/>
      <c r="G680" s="7"/>
      <c r="H680" s="5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">
      <c r="A681" s="3"/>
      <c r="B681" s="3"/>
      <c r="C681" s="3"/>
      <c r="D681" s="5"/>
      <c r="E681" s="5"/>
      <c r="F681" s="5"/>
      <c r="G681" s="7"/>
      <c r="H681" s="5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">
      <c r="A682" s="3"/>
      <c r="B682" s="3"/>
      <c r="C682" s="3"/>
      <c r="D682" s="5"/>
      <c r="E682" s="5"/>
      <c r="F682" s="5"/>
      <c r="G682" s="7"/>
      <c r="H682" s="5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">
      <c r="A683" s="3"/>
      <c r="B683" s="3"/>
      <c r="C683" s="3"/>
      <c r="D683" s="5"/>
      <c r="E683" s="5"/>
      <c r="F683" s="5"/>
      <c r="G683" s="7"/>
      <c r="H683" s="5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">
      <c r="A684" s="3"/>
      <c r="B684" s="3"/>
      <c r="C684" s="3"/>
      <c r="D684" s="5"/>
      <c r="E684" s="5"/>
      <c r="F684" s="5"/>
      <c r="G684" s="7"/>
      <c r="H684" s="5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">
      <c r="A685" s="3"/>
      <c r="B685" s="3"/>
      <c r="C685" s="3"/>
      <c r="D685" s="5"/>
      <c r="E685" s="5"/>
      <c r="F685" s="5"/>
      <c r="G685" s="7"/>
      <c r="H685" s="5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">
      <c r="A686" s="3"/>
      <c r="B686" s="3"/>
      <c r="C686" s="3"/>
      <c r="D686" s="5"/>
      <c r="E686" s="5"/>
      <c r="F686" s="5"/>
      <c r="G686" s="7"/>
      <c r="H686" s="5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">
      <c r="A687" s="3"/>
      <c r="B687" s="3"/>
      <c r="C687" s="3"/>
      <c r="D687" s="5"/>
      <c r="E687" s="5"/>
      <c r="F687" s="5"/>
      <c r="G687" s="7"/>
      <c r="H687" s="5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">
      <c r="A688" s="3"/>
      <c r="B688" s="3"/>
      <c r="C688" s="3"/>
      <c r="D688" s="5"/>
      <c r="E688" s="5"/>
      <c r="F688" s="5"/>
      <c r="G688" s="7"/>
      <c r="H688" s="5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">
      <c r="A689" s="3"/>
      <c r="B689" s="3"/>
      <c r="C689" s="3"/>
      <c r="D689" s="5"/>
      <c r="E689" s="5"/>
      <c r="F689" s="5"/>
      <c r="G689" s="7"/>
      <c r="H689" s="5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">
      <c r="A690" s="3"/>
      <c r="B690" s="3"/>
      <c r="C690" s="3"/>
      <c r="D690" s="5"/>
      <c r="E690" s="5"/>
      <c r="F690" s="5"/>
      <c r="G690" s="7"/>
      <c r="H690" s="5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">
      <c r="A691" s="3"/>
      <c r="B691" s="3"/>
      <c r="C691" s="3"/>
      <c r="D691" s="5"/>
      <c r="E691" s="5"/>
      <c r="F691" s="5"/>
      <c r="G691" s="7"/>
      <c r="H691" s="5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">
      <c r="A692" s="3"/>
      <c r="B692" s="3"/>
      <c r="C692" s="3"/>
      <c r="D692" s="5"/>
      <c r="E692" s="5"/>
      <c r="F692" s="5"/>
      <c r="G692" s="7"/>
      <c r="H692" s="5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">
      <c r="A693" s="3"/>
      <c r="B693" s="3"/>
      <c r="C693" s="3"/>
      <c r="D693" s="5"/>
      <c r="E693" s="5"/>
      <c r="F693" s="5"/>
      <c r="G693" s="7"/>
      <c r="H693" s="5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">
      <c r="A694" s="3"/>
      <c r="B694" s="3"/>
      <c r="C694" s="3"/>
      <c r="D694" s="5"/>
      <c r="E694" s="5"/>
      <c r="F694" s="5"/>
      <c r="G694" s="7"/>
      <c r="H694" s="5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">
      <c r="A695" s="3"/>
      <c r="B695" s="3"/>
      <c r="C695" s="3"/>
      <c r="D695" s="5"/>
      <c r="E695" s="5"/>
      <c r="F695" s="5"/>
      <c r="G695" s="7"/>
      <c r="H695" s="5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">
      <c r="A696" s="3"/>
      <c r="B696" s="3"/>
      <c r="C696" s="3"/>
      <c r="D696" s="5"/>
      <c r="E696" s="5"/>
      <c r="F696" s="5"/>
      <c r="G696" s="7"/>
      <c r="H696" s="5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">
      <c r="A697" s="3"/>
      <c r="B697" s="3"/>
      <c r="C697" s="3"/>
      <c r="D697" s="5"/>
      <c r="E697" s="5"/>
      <c r="F697" s="5"/>
      <c r="G697" s="7"/>
      <c r="H697" s="5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">
      <c r="A698" s="3"/>
      <c r="B698" s="3"/>
      <c r="C698" s="3"/>
      <c r="D698" s="5"/>
      <c r="E698" s="5"/>
      <c r="F698" s="5"/>
      <c r="G698" s="7"/>
      <c r="H698" s="5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">
      <c r="A699" s="3"/>
      <c r="B699" s="3"/>
      <c r="C699" s="3"/>
      <c r="D699" s="5"/>
      <c r="E699" s="5"/>
      <c r="F699" s="5"/>
      <c r="G699" s="7"/>
      <c r="H699" s="5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">
      <c r="A700" s="3"/>
      <c r="B700" s="3"/>
      <c r="C700" s="3"/>
      <c r="D700" s="5"/>
      <c r="E700" s="5"/>
      <c r="F700" s="5"/>
      <c r="G700" s="7"/>
      <c r="H700" s="5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">
      <c r="A701" s="3"/>
      <c r="B701" s="3"/>
      <c r="C701" s="3"/>
      <c r="D701" s="5"/>
      <c r="E701" s="5"/>
      <c r="F701" s="5"/>
      <c r="G701" s="7"/>
      <c r="H701" s="5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">
      <c r="A702" s="3"/>
      <c r="B702" s="3"/>
      <c r="C702" s="3"/>
      <c r="D702" s="5"/>
      <c r="E702" s="5"/>
      <c r="F702" s="5"/>
      <c r="G702" s="7"/>
      <c r="H702" s="5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">
      <c r="A703" s="3"/>
      <c r="B703" s="3"/>
      <c r="C703" s="3"/>
      <c r="D703" s="5"/>
      <c r="E703" s="5"/>
      <c r="F703" s="5"/>
      <c r="G703" s="7"/>
      <c r="H703" s="5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">
      <c r="A704" s="3"/>
      <c r="B704" s="3"/>
      <c r="C704" s="3"/>
      <c r="D704" s="5"/>
      <c r="E704" s="5"/>
      <c r="F704" s="5"/>
      <c r="G704" s="7"/>
      <c r="H704" s="5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">
      <c r="A705" s="3"/>
      <c r="B705" s="3"/>
      <c r="C705" s="3"/>
      <c r="D705" s="5"/>
      <c r="E705" s="5"/>
      <c r="F705" s="5"/>
      <c r="G705" s="7"/>
      <c r="H705" s="5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">
      <c r="A706" s="3"/>
      <c r="B706" s="3"/>
      <c r="C706" s="3"/>
      <c r="D706" s="5"/>
      <c r="E706" s="5"/>
      <c r="F706" s="5"/>
      <c r="G706" s="7"/>
      <c r="H706" s="5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">
      <c r="A707" s="3"/>
      <c r="B707" s="3"/>
      <c r="C707" s="3"/>
      <c r="D707" s="5"/>
      <c r="E707" s="5"/>
      <c r="F707" s="5"/>
      <c r="G707" s="7"/>
      <c r="H707" s="5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">
      <c r="A708" s="3"/>
      <c r="B708" s="3"/>
      <c r="C708" s="3"/>
      <c r="D708" s="5"/>
      <c r="E708" s="5"/>
      <c r="F708" s="5"/>
      <c r="G708" s="7"/>
      <c r="H708" s="5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">
      <c r="A709" s="3"/>
      <c r="B709" s="3"/>
      <c r="C709" s="3"/>
      <c r="D709" s="5"/>
      <c r="E709" s="5"/>
      <c r="F709" s="5"/>
      <c r="G709" s="7"/>
      <c r="H709" s="5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">
      <c r="A710" s="3"/>
      <c r="B710" s="3"/>
      <c r="C710" s="3"/>
      <c r="D710" s="5"/>
      <c r="E710" s="5"/>
      <c r="F710" s="5"/>
      <c r="G710" s="7"/>
      <c r="H710" s="5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">
      <c r="A711" s="3"/>
      <c r="B711" s="3"/>
      <c r="C711" s="3"/>
      <c r="D711" s="5"/>
      <c r="E711" s="5"/>
      <c r="F711" s="5"/>
      <c r="G711" s="7"/>
      <c r="H711" s="5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">
      <c r="A712" s="3"/>
      <c r="B712" s="3"/>
      <c r="C712" s="3"/>
      <c r="D712" s="5"/>
      <c r="E712" s="5"/>
      <c r="F712" s="5"/>
      <c r="G712" s="7"/>
      <c r="H712" s="5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">
      <c r="A713" s="3"/>
      <c r="B713" s="3"/>
      <c r="C713" s="3"/>
      <c r="D713" s="5"/>
      <c r="E713" s="5"/>
      <c r="F713" s="5"/>
      <c r="G713" s="7"/>
      <c r="H713" s="5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">
      <c r="A714" s="3"/>
      <c r="B714" s="3"/>
      <c r="C714" s="3"/>
      <c r="D714" s="5"/>
      <c r="E714" s="5"/>
      <c r="F714" s="5"/>
      <c r="G714" s="7"/>
      <c r="H714" s="5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">
      <c r="A715" s="3"/>
      <c r="B715" s="3"/>
      <c r="C715" s="3"/>
      <c r="D715" s="5"/>
      <c r="E715" s="5"/>
      <c r="F715" s="5"/>
      <c r="G715" s="7"/>
      <c r="H715" s="5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">
      <c r="A716" s="3"/>
      <c r="B716" s="3"/>
      <c r="C716" s="3"/>
      <c r="D716" s="5"/>
      <c r="E716" s="5"/>
      <c r="F716" s="5"/>
      <c r="G716" s="7"/>
      <c r="H716" s="5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">
      <c r="A717" s="3"/>
      <c r="B717" s="3"/>
      <c r="C717" s="3"/>
      <c r="D717" s="5"/>
      <c r="E717" s="5"/>
      <c r="F717" s="5"/>
      <c r="G717" s="7"/>
      <c r="H717" s="5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">
      <c r="A718" s="3"/>
      <c r="B718" s="3"/>
      <c r="C718" s="3"/>
      <c r="D718" s="5"/>
      <c r="E718" s="5"/>
      <c r="F718" s="5"/>
      <c r="G718" s="7"/>
      <c r="H718" s="5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">
      <c r="A719" s="3"/>
      <c r="B719" s="3"/>
      <c r="C719" s="3"/>
      <c r="D719" s="5"/>
      <c r="E719" s="5"/>
      <c r="F719" s="5"/>
      <c r="G719" s="7"/>
      <c r="H719" s="5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">
      <c r="A720" s="3"/>
      <c r="B720" s="3"/>
      <c r="C720" s="3"/>
      <c r="D720" s="5"/>
      <c r="E720" s="5"/>
      <c r="F720" s="5"/>
      <c r="G720" s="7"/>
      <c r="H720" s="5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">
      <c r="A721" s="3"/>
      <c r="B721" s="3"/>
      <c r="C721" s="3"/>
      <c r="D721" s="5"/>
      <c r="E721" s="5"/>
      <c r="F721" s="5"/>
      <c r="G721" s="7"/>
      <c r="H721" s="5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">
      <c r="A722" s="3"/>
      <c r="B722" s="3"/>
      <c r="C722" s="3"/>
      <c r="D722" s="5"/>
      <c r="E722" s="5"/>
      <c r="F722" s="5"/>
      <c r="G722" s="7"/>
      <c r="H722" s="5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">
      <c r="A723" s="3"/>
      <c r="B723" s="3"/>
      <c r="C723" s="3"/>
      <c r="D723" s="5"/>
      <c r="E723" s="5"/>
      <c r="F723" s="5"/>
      <c r="G723" s="7"/>
      <c r="H723" s="5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">
      <c r="A724" s="3"/>
      <c r="B724" s="3"/>
      <c r="C724" s="3"/>
      <c r="D724" s="5"/>
      <c r="E724" s="5"/>
      <c r="F724" s="5"/>
      <c r="G724" s="7"/>
      <c r="H724" s="5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">
      <c r="A725" s="3"/>
      <c r="B725" s="3"/>
      <c r="C725" s="3"/>
      <c r="D725" s="5"/>
      <c r="E725" s="5"/>
      <c r="F725" s="5"/>
      <c r="G725" s="7"/>
      <c r="H725" s="5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">
      <c r="A726" s="3"/>
      <c r="B726" s="3"/>
      <c r="C726" s="3"/>
      <c r="D726" s="5"/>
      <c r="E726" s="5"/>
      <c r="F726" s="5"/>
      <c r="G726" s="7"/>
      <c r="H726" s="5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">
      <c r="A727" s="3"/>
      <c r="B727" s="3"/>
      <c r="C727" s="3"/>
      <c r="D727" s="5"/>
      <c r="E727" s="5"/>
      <c r="F727" s="5"/>
      <c r="G727" s="7"/>
      <c r="H727" s="5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">
      <c r="A728" s="3"/>
      <c r="B728" s="3"/>
      <c r="C728" s="3"/>
      <c r="D728" s="5"/>
      <c r="E728" s="5"/>
      <c r="F728" s="5"/>
      <c r="G728" s="7"/>
      <c r="H728" s="5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">
      <c r="A729" s="3"/>
      <c r="B729" s="3"/>
      <c r="C729" s="3"/>
      <c r="D729" s="5"/>
      <c r="E729" s="5"/>
      <c r="F729" s="5"/>
      <c r="G729" s="7"/>
      <c r="H729" s="5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">
      <c r="A730" s="3"/>
      <c r="B730" s="3"/>
      <c r="C730" s="3"/>
      <c r="D730" s="5"/>
      <c r="E730" s="5"/>
      <c r="F730" s="5"/>
      <c r="G730" s="7"/>
      <c r="H730" s="5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">
      <c r="A731" s="3"/>
      <c r="B731" s="3"/>
      <c r="C731" s="3"/>
      <c r="D731" s="5"/>
      <c r="E731" s="5"/>
      <c r="F731" s="5"/>
      <c r="G731" s="7"/>
      <c r="H731" s="5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">
      <c r="A732" s="3"/>
      <c r="B732" s="3"/>
      <c r="C732" s="3"/>
      <c r="D732" s="5"/>
      <c r="E732" s="5"/>
      <c r="F732" s="5"/>
      <c r="G732" s="7"/>
      <c r="H732" s="5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">
      <c r="A733" s="3"/>
      <c r="B733" s="3"/>
      <c r="C733" s="3"/>
      <c r="D733" s="5"/>
      <c r="E733" s="5"/>
      <c r="F733" s="5"/>
      <c r="G733" s="7"/>
      <c r="H733" s="5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">
      <c r="A734" s="3"/>
      <c r="B734" s="3"/>
      <c r="C734" s="3"/>
      <c r="D734" s="5"/>
      <c r="E734" s="5"/>
      <c r="F734" s="5"/>
      <c r="G734" s="7"/>
      <c r="H734" s="5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">
      <c r="A735" s="3"/>
      <c r="B735" s="3"/>
      <c r="C735" s="3"/>
      <c r="D735" s="5"/>
      <c r="E735" s="5"/>
      <c r="F735" s="5"/>
      <c r="G735" s="7"/>
      <c r="H735" s="5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">
      <c r="A736" s="3"/>
      <c r="B736" s="3"/>
      <c r="C736" s="3"/>
      <c r="D736" s="5"/>
      <c r="E736" s="5"/>
      <c r="F736" s="5"/>
      <c r="G736" s="7"/>
      <c r="H736" s="5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">
      <c r="A737" s="3"/>
      <c r="B737" s="3"/>
      <c r="C737" s="3"/>
      <c r="D737" s="5"/>
      <c r="E737" s="5"/>
      <c r="F737" s="5"/>
      <c r="G737" s="7"/>
      <c r="H737" s="5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">
      <c r="A738" s="3"/>
      <c r="B738" s="3"/>
      <c r="C738" s="3"/>
      <c r="D738" s="5"/>
      <c r="E738" s="5"/>
      <c r="F738" s="5"/>
      <c r="G738" s="7"/>
      <c r="H738" s="5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">
      <c r="A739" s="3"/>
      <c r="B739" s="3"/>
      <c r="C739" s="3"/>
      <c r="D739" s="5"/>
      <c r="E739" s="5"/>
      <c r="F739" s="5"/>
      <c r="G739" s="7"/>
      <c r="H739" s="5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">
      <c r="A740" s="3"/>
      <c r="B740" s="3"/>
      <c r="C740" s="3"/>
      <c r="D740" s="5"/>
      <c r="E740" s="5"/>
      <c r="F740" s="5"/>
      <c r="G740" s="7"/>
      <c r="H740" s="5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">
      <c r="A741" s="3"/>
      <c r="B741" s="3"/>
      <c r="C741" s="3"/>
      <c r="D741" s="5"/>
      <c r="E741" s="5"/>
      <c r="F741" s="5"/>
      <c r="G741" s="7"/>
      <c r="H741" s="5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">
      <c r="A742" s="3"/>
      <c r="B742" s="3"/>
      <c r="C742" s="3"/>
      <c r="D742" s="5"/>
      <c r="E742" s="5"/>
      <c r="F742" s="5"/>
      <c r="G742" s="7"/>
      <c r="H742" s="5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">
      <c r="A743" s="3"/>
      <c r="B743" s="3"/>
      <c r="C743" s="3"/>
      <c r="D743" s="5"/>
      <c r="E743" s="5"/>
      <c r="F743" s="5"/>
      <c r="G743" s="7"/>
      <c r="H743" s="5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">
      <c r="A744" s="3"/>
      <c r="B744" s="3"/>
      <c r="C744" s="3"/>
      <c r="D744" s="5"/>
      <c r="E744" s="5"/>
      <c r="F744" s="5"/>
      <c r="G744" s="7"/>
      <c r="H744" s="5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">
      <c r="A745" s="3"/>
      <c r="B745" s="3"/>
      <c r="C745" s="3"/>
      <c r="D745" s="5"/>
      <c r="E745" s="5"/>
      <c r="F745" s="5"/>
      <c r="G745" s="7"/>
      <c r="H745" s="5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">
      <c r="A746" s="3"/>
      <c r="B746" s="3"/>
      <c r="C746" s="3"/>
      <c r="D746" s="5"/>
      <c r="E746" s="5"/>
      <c r="F746" s="5"/>
      <c r="G746" s="7"/>
      <c r="H746" s="5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">
      <c r="A747" s="3"/>
      <c r="B747" s="3"/>
      <c r="C747" s="3"/>
      <c r="D747" s="5"/>
      <c r="E747" s="5"/>
      <c r="F747" s="5"/>
      <c r="G747" s="7"/>
      <c r="H747" s="5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">
      <c r="A748" s="3"/>
      <c r="B748" s="3"/>
      <c r="C748" s="3"/>
      <c r="D748" s="5"/>
      <c r="E748" s="5"/>
      <c r="F748" s="5"/>
      <c r="G748" s="7"/>
      <c r="H748" s="5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">
      <c r="A749" s="3"/>
      <c r="B749" s="3"/>
      <c r="C749" s="3"/>
      <c r="D749" s="5"/>
      <c r="E749" s="5"/>
      <c r="F749" s="5"/>
      <c r="G749" s="7"/>
      <c r="H749" s="5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">
      <c r="A750" s="3"/>
      <c r="B750" s="3"/>
      <c r="C750" s="3"/>
      <c r="D750" s="5"/>
      <c r="E750" s="5"/>
      <c r="F750" s="5"/>
      <c r="G750" s="7"/>
      <c r="H750" s="5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">
      <c r="A751" s="3"/>
      <c r="B751" s="3"/>
      <c r="C751" s="3"/>
      <c r="D751" s="5"/>
      <c r="E751" s="5"/>
      <c r="F751" s="5"/>
      <c r="G751" s="7"/>
      <c r="H751" s="5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">
      <c r="A752" s="3"/>
      <c r="B752" s="3"/>
      <c r="C752" s="3"/>
      <c r="D752" s="5"/>
      <c r="E752" s="5"/>
      <c r="F752" s="5"/>
      <c r="G752" s="7"/>
      <c r="H752" s="5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">
      <c r="A753" s="3"/>
      <c r="B753" s="3"/>
      <c r="C753" s="3"/>
      <c r="D753" s="5"/>
      <c r="E753" s="5"/>
      <c r="F753" s="5"/>
      <c r="G753" s="7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">
      <c r="A754" s="3"/>
      <c r="B754" s="3"/>
      <c r="C754" s="3"/>
      <c r="D754" s="5"/>
      <c r="E754" s="5"/>
      <c r="F754" s="5"/>
      <c r="G754" s="7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">
      <c r="A755" s="3"/>
      <c r="B755" s="3"/>
      <c r="C755" s="3"/>
      <c r="D755" s="5"/>
      <c r="E755" s="5"/>
      <c r="F755" s="5"/>
      <c r="G755" s="7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">
      <c r="A756" s="3"/>
      <c r="B756" s="3"/>
      <c r="C756" s="3"/>
      <c r="D756" s="5"/>
      <c r="E756" s="5"/>
      <c r="F756" s="5"/>
      <c r="G756" s="7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">
      <c r="A757" s="3"/>
      <c r="B757" s="3"/>
      <c r="C757" s="3"/>
      <c r="D757" s="5"/>
      <c r="E757" s="5"/>
      <c r="F757" s="5"/>
      <c r="G757" s="7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">
      <c r="A758" s="3"/>
      <c r="B758" s="3"/>
      <c r="C758" s="3"/>
      <c r="D758" s="5"/>
      <c r="E758" s="5"/>
      <c r="F758" s="5"/>
      <c r="G758" s="7"/>
      <c r="H758" s="5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">
      <c r="A759" s="3"/>
      <c r="B759" s="3"/>
      <c r="C759" s="3"/>
      <c r="D759" s="5"/>
      <c r="E759" s="5"/>
      <c r="F759" s="5"/>
      <c r="G759" s="7"/>
      <c r="H759" s="5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">
      <c r="A760" s="3"/>
      <c r="B760" s="3"/>
      <c r="C760" s="3"/>
      <c r="D760" s="5"/>
      <c r="E760" s="5"/>
      <c r="F760" s="5"/>
      <c r="G760" s="7"/>
      <c r="H760" s="5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">
      <c r="A761" s="3"/>
      <c r="B761" s="3"/>
      <c r="C761" s="3"/>
      <c r="D761" s="5"/>
      <c r="E761" s="5"/>
      <c r="F761" s="5"/>
      <c r="G761" s="7"/>
      <c r="H761" s="5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">
      <c r="A762" s="3"/>
      <c r="B762" s="3"/>
      <c r="C762" s="3"/>
      <c r="D762" s="5"/>
      <c r="E762" s="5"/>
      <c r="F762" s="5"/>
      <c r="G762" s="7"/>
      <c r="H762" s="5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">
      <c r="A763" s="3"/>
      <c r="B763" s="3"/>
      <c r="C763" s="3"/>
      <c r="D763" s="5"/>
      <c r="E763" s="5"/>
      <c r="F763" s="5"/>
      <c r="G763" s="7"/>
      <c r="H763" s="5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">
      <c r="A764" s="3"/>
      <c r="B764" s="3"/>
      <c r="C764" s="3"/>
      <c r="D764" s="5"/>
      <c r="E764" s="5"/>
      <c r="F764" s="5"/>
      <c r="G764" s="7"/>
      <c r="H764" s="5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">
      <c r="A765" s="3"/>
      <c r="B765" s="3"/>
      <c r="C765" s="3"/>
      <c r="D765" s="5"/>
      <c r="E765" s="5"/>
      <c r="F765" s="5"/>
      <c r="G765" s="7"/>
      <c r="H765" s="5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">
      <c r="A766" s="3"/>
      <c r="B766" s="3"/>
      <c r="C766" s="3"/>
      <c r="D766" s="5"/>
      <c r="E766" s="5"/>
      <c r="F766" s="5"/>
      <c r="G766" s="7"/>
      <c r="H766" s="5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">
      <c r="A767" s="3"/>
      <c r="B767" s="3"/>
      <c r="C767" s="3"/>
      <c r="D767" s="5"/>
      <c r="E767" s="5"/>
      <c r="F767" s="5"/>
      <c r="G767" s="7"/>
      <c r="H767" s="5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">
      <c r="A768" s="3"/>
      <c r="B768" s="3"/>
      <c r="C768" s="3"/>
      <c r="D768" s="5"/>
      <c r="E768" s="5"/>
      <c r="F768" s="5"/>
      <c r="G768" s="7"/>
      <c r="H768" s="5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">
      <c r="A769" s="3"/>
      <c r="B769" s="3"/>
      <c r="C769" s="3"/>
      <c r="D769" s="5"/>
      <c r="E769" s="5"/>
      <c r="F769" s="5"/>
      <c r="G769" s="7"/>
      <c r="H769" s="5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">
      <c r="A770" s="3"/>
      <c r="B770" s="3"/>
      <c r="C770" s="3"/>
      <c r="D770" s="5"/>
      <c r="E770" s="5"/>
      <c r="F770" s="5"/>
      <c r="G770" s="7"/>
      <c r="H770" s="5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">
      <c r="A771" s="3"/>
      <c r="B771" s="3"/>
      <c r="C771" s="3"/>
      <c r="D771" s="5"/>
      <c r="E771" s="5"/>
      <c r="F771" s="5"/>
      <c r="G771" s="7"/>
      <c r="H771" s="5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">
      <c r="A772" s="3"/>
      <c r="B772" s="3"/>
      <c r="C772" s="3"/>
      <c r="D772" s="5"/>
      <c r="E772" s="5"/>
      <c r="F772" s="5"/>
      <c r="G772" s="7"/>
      <c r="H772" s="5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">
      <c r="A773" s="3"/>
      <c r="B773" s="3"/>
      <c r="C773" s="3"/>
      <c r="D773" s="5"/>
      <c r="E773" s="5"/>
      <c r="F773" s="5"/>
      <c r="G773" s="7"/>
      <c r="H773" s="5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">
      <c r="A774" s="3"/>
      <c r="B774" s="3"/>
      <c r="C774" s="3"/>
      <c r="D774" s="5"/>
      <c r="E774" s="5"/>
      <c r="F774" s="5"/>
      <c r="G774" s="7"/>
      <c r="H774" s="5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">
      <c r="A775" s="3"/>
      <c r="B775" s="3"/>
      <c r="C775" s="3"/>
      <c r="D775" s="5"/>
      <c r="E775" s="5"/>
      <c r="F775" s="5"/>
      <c r="G775" s="7"/>
      <c r="H775" s="5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">
      <c r="A776" s="3"/>
      <c r="B776" s="3"/>
      <c r="C776" s="3"/>
      <c r="D776" s="5"/>
      <c r="E776" s="5"/>
      <c r="F776" s="5"/>
      <c r="G776" s="7"/>
      <c r="H776" s="5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">
      <c r="A777" s="3"/>
      <c r="B777" s="3"/>
      <c r="C777" s="3"/>
      <c r="D777" s="5"/>
      <c r="E777" s="5"/>
      <c r="F777" s="5"/>
      <c r="G777" s="7"/>
      <c r="H777" s="5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">
      <c r="A778" s="3"/>
      <c r="B778" s="3"/>
      <c r="C778" s="3"/>
      <c r="D778" s="5"/>
      <c r="E778" s="5"/>
      <c r="F778" s="5"/>
      <c r="G778" s="7"/>
      <c r="H778" s="5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">
      <c r="A779" s="3"/>
      <c r="B779" s="3"/>
      <c r="C779" s="3"/>
      <c r="D779" s="5"/>
      <c r="E779" s="5"/>
      <c r="F779" s="5"/>
      <c r="G779" s="7"/>
      <c r="H779" s="5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">
      <c r="A780" s="3"/>
      <c r="B780" s="3"/>
      <c r="C780" s="3"/>
      <c r="D780" s="5"/>
      <c r="E780" s="5"/>
      <c r="F780" s="5"/>
      <c r="G780" s="7"/>
      <c r="H780" s="5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">
      <c r="A781" s="3"/>
      <c r="B781" s="3"/>
      <c r="C781" s="3"/>
      <c r="D781" s="5"/>
      <c r="E781" s="5"/>
      <c r="F781" s="5"/>
      <c r="G781" s="7"/>
      <c r="H781" s="5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">
      <c r="A782" s="3"/>
      <c r="B782" s="3"/>
      <c r="C782" s="3"/>
      <c r="D782" s="5"/>
      <c r="E782" s="5"/>
      <c r="F782" s="5"/>
      <c r="G782" s="7"/>
      <c r="H782" s="5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">
      <c r="A783" s="3"/>
      <c r="B783" s="3"/>
      <c r="C783" s="3"/>
      <c r="D783" s="5"/>
      <c r="E783" s="5"/>
      <c r="F783" s="5"/>
      <c r="G783" s="7"/>
      <c r="H783" s="5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">
      <c r="A784" s="3"/>
      <c r="B784" s="3"/>
      <c r="C784" s="3"/>
      <c r="D784" s="5"/>
      <c r="E784" s="5"/>
      <c r="F784" s="5"/>
      <c r="G784" s="7"/>
      <c r="H784" s="5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">
      <c r="A785" s="3"/>
      <c r="B785" s="3"/>
      <c r="C785" s="3"/>
      <c r="D785" s="5"/>
      <c r="E785" s="5"/>
      <c r="F785" s="5"/>
      <c r="G785" s="7"/>
      <c r="H785" s="5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">
      <c r="A786" s="3"/>
      <c r="B786" s="3"/>
      <c r="C786" s="3"/>
      <c r="D786" s="5"/>
      <c r="E786" s="5"/>
      <c r="F786" s="5"/>
      <c r="G786" s="7"/>
      <c r="H786" s="5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">
      <c r="A787" s="3"/>
      <c r="B787" s="3"/>
      <c r="C787" s="3"/>
      <c r="D787" s="5"/>
      <c r="E787" s="5"/>
      <c r="F787" s="5"/>
      <c r="G787" s="7"/>
      <c r="H787" s="5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">
      <c r="A788" s="3"/>
      <c r="B788" s="3"/>
      <c r="C788" s="3"/>
      <c r="D788" s="5"/>
      <c r="E788" s="5"/>
      <c r="F788" s="5"/>
      <c r="G788" s="7"/>
      <c r="H788" s="5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">
      <c r="A789" s="3"/>
      <c r="B789" s="3"/>
      <c r="C789" s="3"/>
      <c r="D789" s="5"/>
      <c r="E789" s="5"/>
      <c r="F789" s="5"/>
      <c r="G789" s="7"/>
      <c r="H789" s="5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">
      <c r="A790" s="3"/>
      <c r="B790" s="3"/>
      <c r="C790" s="3"/>
      <c r="D790" s="5"/>
      <c r="E790" s="5"/>
      <c r="F790" s="5"/>
      <c r="G790" s="7"/>
      <c r="H790" s="5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">
      <c r="A791" s="3"/>
      <c r="B791" s="3"/>
      <c r="C791" s="3"/>
      <c r="D791" s="5"/>
      <c r="E791" s="5"/>
      <c r="F791" s="5"/>
      <c r="G791" s="7"/>
      <c r="H791" s="5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">
      <c r="A792" s="3"/>
      <c r="B792" s="3"/>
      <c r="C792" s="3"/>
      <c r="D792" s="5"/>
      <c r="E792" s="5"/>
      <c r="F792" s="5"/>
      <c r="G792" s="7"/>
      <c r="H792" s="5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">
      <c r="A793" s="3"/>
      <c r="B793" s="3"/>
      <c r="C793" s="3"/>
      <c r="D793" s="5"/>
      <c r="E793" s="5"/>
      <c r="F793" s="5"/>
      <c r="G793" s="7"/>
      <c r="H793" s="5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">
      <c r="A794" s="3"/>
      <c r="B794" s="3"/>
      <c r="C794" s="3"/>
      <c r="D794" s="5"/>
      <c r="E794" s="5"/>
      <c r="F794" s="5"/>
      <c r="G794" s="7"/>
      <c r="H794" s="5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">
      <c r="A795" s="3"/>
      <c r="B795" s="3"/>
      <c r="C795" s="3"/>
      <c r="D795" s="5"/>
      <c r="E795" s="5"/>
      <c r="F795" s="5"/>
      <c r="G795" s="7"/>
      <c r="H795" s="5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">
      <c r="A796" s="3"/>
      <c r="B796" s="3"/>
      <c r="C796" s="3"/>
      <c r="D796" s="5"/>
      <c r="E796" s="5"/>
      <c r="F796" s="5"/>
      <c r="G796" s="7"/>
      <c r="H796" s="5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">
      <c r="A797" s="3"/>
      <c r="B797" s="3"/>
      <c r="C797" s="3"/>
      <c r="D797" s="5"/>
      <c r="E797" s="5"/>
      <c r="F797" s="5"/>
      <c r="G797" s="7"/>
      <c r="H797" s="5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">
      <c r="A798" s="3"/>
      <c r="B798" s="3"/>
      <c r="C798" s="3"/>
      <c r="D798" s="5"/>
      <c r="E798" s="5"/>
      <c r="F798" s="5"/>
      <c r="G798" s="7"/>
      <c r="H798" s="5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">
      <c r="A799" s="3"/>
      <c r="B799" s="3"/>
      <c r="C799" s="3"/>
      <c r="D799" s="5"/>
      <c r="E799" s="5"/>
      <c r="F799" s="5"/>
      <c r="G799" s="7"/>
      <c r="H799" s="5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">
      <c r="A800" s="3"/>
      <c r="B800" s="3"/>
      <c r="C800" s="3"/>
      <c r="D800" s="5"/>
      <c r="E800" s="5"/>
      <c r="F800" s="5"/>
      <c r="G800" s="7"/>
      <c r="H800" s="5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">
      <c r="A801" s="3"/>
      <c r="B801" s="3"/>
      <c r="C801" s="3"/>
      <c r="D801" s="5"/>
      <c r="E801" s="5"/>
      <c r="F801" s="5"/>
      <c r="G801" s="7"/>
      <c r="H801" s="5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">
      <c r="A802" s="3"/>
      <c r="B802" s="3"/>
      <c r="C802" s="3"/>
      <c r="D802" s="5"/>
      <c r="E802" s="5"/>
      <c r="F802" s="5"/>
      <c r="G802" s="7"/>
      <c r="H802" s="5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">
      <c r="A803" s="3"/>
      <c r="B803" s="3"/>
      <c r="C803" s="3"/>
      <c r="D803" s="5"/>
      <c r="E803" s="5"/>
      <c r="F803" s="5"/>
      <c r="G803" s="7"/>
      <c r="H803" s="5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">
      <c r="A804" s="3"/>
      <c r="B804" s="3"/>
      <c r="C804" s="3"/>
      <c r="D804" s="5"/>
      <c r="E804" s="5"/>
      <c r="F804" s="5"/>
      <c r="G804" s="7"/>
      <c r="H804" s="5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">
      <c r="A805" s="3"/>
      <c r="B805" s="3"/>
      <c r="C805" s="3"/>
      <c r="D805" s="5"/>
      <c r="E805" s="5"/>
      <c r="F805" s="5"/>
      <c r="G805" s="7"/>
      <c r="H805" s="5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">
      <c r="A806" s="3"/>
      <c r="B806" s="3"/>
      <c r="C806" s="3"/>
      <c r="D806" s="5"/>
      <c r="E806" s="5"/>
      <c r="F806" s="5"/>
      <c r="G806" s="7"/>
      <c r="H806" s="5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">
      <c r="A807" s="3"/>
      <c r="B807" s="3"/>
      <c r="C807" s="3"/>
      <c r="D807" s="5"/>
      <c r="E807" s="5"/>
      <c r="F807" s="5"/>
      <c r="G807" s="7"/>
      <c r="H807" s="5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">
      <c r="A808" s="3"/>
      <c r="B808" s="3"/>
      <c r="C808" s="3"/>
      <c r="D808" s="5"/>
      <c r="E808" s="5"/>
      <c r="F808" s="5"/>
      <c r="G808" s="7"/>
      <c r="H808" s="5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">
      <c r="A809" s="3"/>
      <c r="B809" s="3"/>
      <c r="C809" s="3"/>
      <c r="D809" s="5"/>
      <c r="E809" s="5"/>
      <c r="F809" s="5"/>
      <c r="G809" s="7"/>
      <c r="H809" s="5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">
      <c r="A810" s="3"/>
      <c r="B810" s="3"/>
      <c r="C810" s="3"/>
      <c r="D810" s="5"/>
      <c r="E810" s="5"/>
      <c r="F810" s="5"/>
      <c r="G810" s="7"/>
      <c r="H810" s="5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">
      <c r="A811" s="3"/>
      <c r="B811" s="3"/>
      <c r="C811" s="3"/>
      <c r="D811" s="5"/>
      <c r="E811" s="5"/>
      <c r="F811" s="5"/>
      <c r="G811" s="7"/>
      <c r="H811" s="5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">
      <c r="A812" s="3"/>
      <c r="B812" s="3"/>
      <c r="C812" s="3"/>
      <c r="D812" s="5"/>
      <c r="E812" s="5"/>
      <c r="F812" s="5"/>
      <c r="G812" s="7"/>
      <c r="H812" s="5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">
      <c r="A813" s="3"/>
      <c r="B813" s="3"/>
      <c r="C813" s="3"/>
      <c r="D813" s="5"/>
      <c r="E813" s="5"/>
      <c r="F813" s="5"/>
      <c r="G813" s="7"/>
      <c r="H813" s="5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">
      <c r="A814" s="3"/>
      <c r="B814" s="3"/>
      <c r="C814" s="3"/>
      <c r="D814" s="5"/>
      <c r="E814" s="5"/>
      <c r="F814" s="5"/>
      <c r="G814" s="7"/>
      <c r="H814" s="5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">
      <c r="A815" s="3"/>
      <c r="B815" s="3"/>
      <c r="C815" s="3"/>
      <c r="D815" s="5"/>
      <c r="E815" s="5"/>
      <c r="F815" s="5"/>
      <c r="G815" s="7"/>
      <c r="H815" s="5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">
      <c r="A816" s="3"/>
      <c r="B816" s="3"/>
      <c r="C816" s="3"/>
      <c r="D816" s="5"/>
      <c r="E816" s="5"/>
      <c r="F816" s="5"/>
      <c r="G816" s="7"/>
      <c r="H816" s="5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">
      <c r="A817" s="3"/>
      <c r="B817" s="3"/>
      <c r="C817" s="3"/>
      <c r="D817" s="5"/>
      <c r="E817" s="5"/>
      <c r="F817" s="5"/>
      <c r="G817" s="7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">
      <c r="A818" s="3"/>
      <c r="B818" s="3"/>
      <c r="C818" s="3"/>
      <c r="D818" s="5"/>
      <c r="E818" s="5"/>
      <c r="F818" s="5"/>
      <c r="G818" s="7"/>
      <c r="H818" s="5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">
      <c r="A819" s="3"/>
      <c r="B819" s="3"/>
      <c r="C819" s="3"/>
      <c r="D819" s="5"/>
      <c r="E819" s="5"/>
      <c r="F819" s="5"/>
      <c r="G819" s="7"/>
      <c r="H819" s="5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">
      <c r="A820" s="3"/>
      <c r="B820" s="3"/>
      <c r="C820" s="3"/>
      <c r="D820" s="5"/>
      <c r="E820" s="5"/>
      <c r="F820" s="5"/>
      <c r="G820" s="7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">
      <c r="A821" s="3"/>
      <c r="B821" s="3"/>
      <c r="C821" s="3"/>
      <c r="D821" s="5"/>
      <c r="E821" s="5"/>
      <c r="F821" s="5"/>
      <c r="G821" s="7"/>
      <c r="H821" s="5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">
      <c r="A822" s="3"/>
      <c r="B822" s="3"/>
      <c r="C822" s="3"/>
      <c r="D822" s="5"/>
      <c r="E822" s="5"/>
      <c r="F822" s="5"/>
      <c r="G822" s="7"/>
      <c r="H822" s="5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">
      <c r="A823" s="3"/>
      <c r="B823" s="3"/>
      <c r="C823" s="3"/>
      <c r="D823" s="5"/>
      <c r="E823" s="5"/>
      <c r="F823" s="5"/>
      <c r="G823" s="7"/>
      <c r="H823" s="5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">
      <c r="A824" s="3"/>
      <c r="B824" s="3"/>
      <c r="C824" s="3"/>
      <c r="D824" s="5"/>
      <c r="E824" s="5"/>
      <c r="F824" s="5"/>
      <c r="G824" s="7"/>
      <c r="H824" s="5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">
      <c r="A825" s="3"/>
      <c r="B825" s="3"/>
      <c r="C825" s="3"/>
      <c r="D825" s="5"/>
      <c r="E825" s="5"/>
      <c r="F825" s="5"/>
      <c r="G825" s="7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">
      <c r="A826" s="3"/>
      <c r="B826" s="3"/>
      <c r="C826" s="3"/>
      <c r="D826" s="5"/>
      <c r="E826" s="5"/>
      <c r="F826" s="5"/>
      <c r="G826" s="7"/>
      <c r="H826" s="5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">
      <c r="A827" s="3"/>
      <c r="B827" s="3"/>
      <c r="C827" s="3"/>
      <c r="D827" s="5"/>
      <c r="E827" s="5"/>
      <c r="F827" s="5"/>
      <c r="G827" s="7"/>
      <c r="H827" s="5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">
      <c r="A828" s="3"/>
      <c r="B828" s="3"/>
      <c r="C828" s="3"/>
      <c r="D828" s="5"/>
      <c r="E828" s="5"/>
      <c r="F828" s="5"/>
      <c r="G828" s="7"/>
      <c r="H828" s="5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">
      <c r="A829" s="3"/>
      <c r="B829" s="3"/>
      <c r="C829" s="3"/>
      <c r="D829" s="5"/>
      <c r="E829" s="5"/>
      <c r="F829" s="5"/>
      <c r="G829" s="7"/>
      <c r="H829" s="5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">
      <c r="A830" s="3"/>
      <c r="B830" s="3"/>
      <c r="C830" s="3"/>
      <c r="D830" s="5"/>
      <c r="E830" s="5"/>
      <c r="F830" s="5"/>
      <c r="G830" s="7"/>
      <c r="H830" s="5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">
      <c r="A831" s="3"/>
      <c r="B831" s="3"/>
      <c r="C831" s="3"/>
      <c r="D831" s="5"/>
      <c r="E831" s="5"/>
      <c r="F831" s="5"/>
      <c r="G831" s="7"/>
      <c r="H831" s="5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">
      <c r="A832" s="3"/>
      <c r="B832" s="3"/>
      <c r="C832" s="3"/>
      <c r="D832" s="5"/>
      <c r="E832" s="5"/>
      <c r="F832" s="5"/>
      <c r="G832" s="7"/>
      <c r="H832" s="5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">
      <c r="A833" s="3"/>
      <c r="B833" s="3"/>
      <c r="C833" s="3"/>
      <c r="D833" s="5"/>
      <c r="E833" s="5"/>
      <c r="F833" s="5"/>
      <c r="G833" s="7"/>
      <c r="H833" s="5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">
      <c r="A834" s="3"/>
      <c r="B834" s="3"/>
      <c r="C834" s="3"/>
      <c r="D834" s="5"/>
      <c r="E834" s="5"/>
      <c r="F834" s="5"/>
      <c r="G834" s="7"/>
      <c r="H834" s="5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">
      <c r="A835" s="3"/>
      <c r="B835" s="3"/>
      <c r="C835" s="3"/>
      <c r="D835" s="5"/>
      <c r="E835" s="5"/>
      <c r="F835" s="5"/>
      <c r="G835" s="7"/>
      <c r="H835" s="5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">
      <c r="A836" s="3"/>
      <c r="B836" s="3"/>
      <c r="C836" s="3"/>
      <c r="D836" s="5"/>
      <c r="E836" s="5"/>
      <c r="F836" s="5"/>
      <c r="G836" s="7"/>
      <c r="H836" s="5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">
      <c r="A837" s="3"/>
      <c r="B837" s="3"/>
      <c r="C837" s="3"/>
      <c r="D837" s="5"/>
      <c r="E837" s="5"/>
      <c r="F837" s="5"/>
      <c r="G837" s="7"/>
      <c r="H837" s="5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">
      <c r="A838" s="3"/>
      <c r="B838" s="3"/>
      <c r="C838" s="3"/>
      <c r="D838" s="5"/>
      <c r="E838" s="5"/>
      <c r="F838" s="5"/>
      <c r="G838" s="7"/>
      <c r="H838" s="5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">
      <c r="A839" s="3"/>
      <c r="B839" s="3"/>
      <c r="C839" s="3"/>
      <c r="D839" s="5"/>
      <c r="E839" s="5"/>
      <c r="F839" s="5"/>
      <c r="G839" s="7"/>
      <c r="H839" s="5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">
      <c r="A840" s="3"/>
      <c r="B840" s="3"/>
      <c r="C840" s="3"/>
      <c r="D840" s="5"/>
      <c r="E840" s="5"/>
      <c r="F840" s="5"/>
      <c r="G840" s="7"/>
      <c r="H840" s="5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">
      <c r="A841" s="3"/>
      <c r="B841" s="3"/>
      <c r="C841" s="3"/>
      <c r="D841" s="5"/>
      <c r="E841" s="5"/>
      <c r="F841" s="5"/>
      <c r="G841" s="7"/>
      <c r="H841" s="5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">
      <c r="A842" s="3"/>
      <c r="B842" s="3"/>
      <c r="C842" s="3"/>
      <c r="D842" s="5"/>
      <c r="E842" s="5"/>
      <c r="F842" s="5"/>
      <c r="G842" s="7"/>
      <c r="H842" s="5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">
      <c r="A843" s="3"/>
      <c r="B843" s="3"/>
      <c r="C843" s="3"/>
      <c r="D843" s="5"/>
      <c r="E843" s="5"/>
      <c r="F843" s="5"/>
      <c r="G843" s="7"/>
      <c r="H843" s="5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">
      <c r="A844" s="3"/>
      <c r="B844" s="3"/>
      <c r="C844" s="3"/>
      <c r="D844" s="5"/>
      <c r="E844" s="5"/>
      <c r="F844" s="5"/>
      <c r="G844" s="7"/>
      <c r="H844" s="5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">
      <c r="A845" s="3"/>
      <c r="B845" s="3"/>
      <c r="C845" s="3"/>
      <c r="D845" s="5"/>
      <c r="E845" s="5"/>
      <c r="F845" s="5"/>
      <c r="G845" s="7"/>
      <c r="H845" s="5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">
      <c r="A846" s="3"/>
      <c r="B846" s="3"/>
      <c r="C846" s="3"/>
      <c r="D846" s="5"/>
      <c r="E846" s="5"/>
      <c r="F846" s="5"/>
      <c r="G846" s="7"/>
      <c r="H846" s="5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">
      <c r="A847" s="3"/>
      <c r="B847" s="3"/>
      <c r="C847" s="3"/>
      <c r="D847" s="5"/>
      <c r="E847" s="5"/>
      <c r="F847" s="5"/>
      <c r="G847" s="7"/>
      <c r="H847" s="5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">
      <c r="A848" s="3"/>
      <c r="B848" s="3"/>
      <c r="C848" s="3"/>
      <c r="D848" s="5"/>
      <c r="E848" s="5"/>
      <c r="F848" s="5"/>
      <c r="G848" s="7"/>
      <c r="H848" s="5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">
      <c r="A849" s="3"/>
      <c r="B849" s="3"/>
      <c r="C849" s="3"/>
      <c r="D849" s="5"/>
      <c r="E849" s="5"/>
      <c r="F849" s="5"/>
      <c r="G849" s="7"/>
      <c r="H849" s="5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">
      <c r="A850" s="3"/>
      <c r="B850" s="3"/>
      <c r="C850" s="3"/>
      <c r="D850" s="5"/>
      <c r="E850" s="5"/>
      <c r="F850" s="5"/>
      <c r="G850" s="7"/>
      <c r="H850" s="5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">
      <c r="A851" s="3"/>
      <c r="B851" s="3"/>
      <c r="C851" s="3"/>
      <c r="D851" s="5"/>
      <c r="E851" s="5"/>
      <c r="F851" s="5"/>
      <c r="G851" s="7"/>
      <c r="H851" s="5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">
      <c r="A852" s="3"/>
      <c r="B852" s="3"/>
      <c r="C852" s="3"/>
      <c r="D852" s="5"/>
      <c r="E852" s="5"/>
      <c r="F852" s="5"/>
      <c r="G852" s="7"/>
      <c r="H852" s="5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">
      <c r="A853" s="3"/>
      <c r="B853" s="3"/>
      <c r="C853" s="3"/>
      <c r="D853" s="5"/>
      <c r="E853" s="5"/>
      <c r="F853" s="5"/>
      <c r="G853" s="7"/>
      <c r="H853" s="5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">
      <c r="A854" s="3"/>
      <c r="B854" s="3"/>
      <c r="C854" s="3"/>
      <c r="D854" s="5"/>
      <c r="E854" s="5"/>
      <c r="F854" s="5"/>
      <c r="G854" s="7"/>
      <c r="H854" s="5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">
      <c r="A855" s="3"/>
      <c r="B855" s="3"/>
      <c r="C855" s="3"/>
      <c r="D855" s="5"/>
      <c r="E855" s="5"/>
      <c r="F855" s="5"/>
      <c r="G855" s="7"/>
      <c r="H855" s="5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">
      <c r="A856" s="3"/>
      <c r="B856" s="3"/>
      <c r="C856" s="3"/>
      <c r="D856" s="5"/>
      <c r="E856" s="5"/>
      <c r="F856" s="5"/>
      <c r="G856" s="7"/>
      <c r="H856" s="5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">
      <c r="A857" s="3"/>
      <c r="B857" s="3"/>
      <c r="C857" s="3"/>
      <c r="D857" s="5"/>
      <c r="E857" s="5"/>
      <c r="F857" s="5"/>
      <c r="G857" s="7"/>
      <c r="H857" s="5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">
      <c r="A858" s="3"/>
      <c r="B858" s="3"/>
      <c r="C858" s="3"/>
      <c r="D858" s="5"/>
      <c r="E858" s="5"/>
      <c r="F858" s="5"/>
      <c r="G858" s="7"/>
      <c r="H858" s="5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">
      <c r="A859" s="3"/>
      <c r="B859" s="3"/>
      <c r="C859" s="3"/>
      <c r="D859" s="5"/>
      <c r="E859" s="5"/>
      <c r="F859" s="5"/>
      <c r="G859" s="7"/>
      <c r="H859" s="5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">
      <c r="A860" s="3"/>
      <c r="B860" s="3"/>
      <c r="C860" s="3"/>
      <c r="D860" s="5"/>
      <c r="E860" s="5"/>
      <c r="F860" s="5"/>
      <c r="G860" s="7"/>
      <c r="H860" s="5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">
      <c r="A861" s="3"/>
      <c r="B861" s="3"/>
      <c r="C861" s="3"/>
      <c r="D861" s="5"/>
      <c r="E861" s="5"/>
      <c r="F861" s="5"/>
      <c r="G861" s="7"/>
      <c r="H861" s="5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">
      <c r="A862" s="3"/>
      <c r="B862" s="3"/>
      <c r="C862" s="3"/>
      <c r="D862" s="5"/>
      <c r="E862" s="5"/>
      <c r="F862" s="5"/>
      <c r="G862" s="7"/>
      <c r="H862" s="5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">
      <c r="A863" s="3"/>
      <c r="B863" s="3"/>
      <c r="C863" s="3"/>
      <c r="D863" s="5"/>
      <c r="E863" s="5"/>
      <c r="F863" s="5"/>
      <c r="G863" s="7"/>
      <c r="H863" s="5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">
      <c r="A864" s="3"/>
      <c r="B864" s="3"/>
      <c r="C864" s="3"/>
      <c r="D864" s="5"/>
      <c r="E864" s="5"/>
      <c r="F864" s="5"/>
      <c r="G864" s="7"/>
      <c r="H864" s="5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">
      <c r="A865" s="3"/>
      <c r="B865" s="3"/>
      <c r="C865" s="3"/>
      <c r="D865" s="5"/>
      <c r="E865" s="5"/>
      <c r="F865" s="5"/>
      <c r="G865" s="7"/>
      <c r="H865" s="5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">
      <c r="A866" s="3"/>
      <c r="B866" s="3"/>
      <c r="C866" s="3"/>
      <c r="D866" s="5"/>
      <c r="E866" s="5"/>
      <c r="F866" s="5"/>
      <c r="G866" s="7"/>
      <c r="H866" s="5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">
      <c r="A867" s="3"/>
      <c r="B867" s="3"/>
      <c r="C867" s="3"/>
      <c r="D867" s="5"/>
      <c r="E867" s="5"/>
      <c r="F867" s="5"/>
      <c r="G867" s="7"/>
      <c r="H867" s="5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">
      <c r="A868" s="3"/>
      <c r="B868" s="3"/>
      <c r="C868" s="3"/>
      <c r="D868" s="5"/>
      <c r="E868" s="5"/>
      <c r="F868" s="5"/>
      <c r="G868" s="7"/>
      <c r="H868" s="5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">
      <c r="A869" s="3"/>
      <c r="B869" s="3"/>
      <c r="C869" s="3"/>
      <c r="D869" s="5"/>
      <c r="E869" s="5"/>
      <c r="F869" s="5"/>
      <c r="G869" s="7"/>
      <c r="H869" s="5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">
      <c r="A870" s="3"/>
      <c r="B870" s="3"/>
      <c r="C870" s="3"/>
      <c r="D870" s="5"/>
      <c r="E870" s="5"/>
      <c r="F870" s="5"/>
      <c r="G870" s="7"/>
      <c r="H870" s="5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">
      <c r="A871" s="3"/>
      <c r="B871" s="3"/>
      <c r="C871" s="3"/>
      <c r="D871" s="5"/>
      <c r="E871" s="5"/>
      <c r="F871" s="5"/>
      <c r="G871" s="7"/>
      <c r="H871" s="5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">
      <c r="A872" s="3"/>
      <c r="B872" s="3"/>
      <c r="C872" s="3"/>
      <c r="D872" s="5"/>
      <c r="E872" s="5"/>
      <c r="F872" s="5"/>
      <c r="G872" s="7"/>
      <c r="H872" s="5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">
      <c r="A873" s="3"/>
      <c r="B873" s="3"/>
      <c r="C873" s="3"/>
      <c r="D873" s="5"/>
      <c r="E873" s="5"/>
      <c r="F873" s="5"/>
      <c r="G873" s="7"/>
      <c r="H873" s="5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">
      <c r="A874" s="3"/>
      <c r="B874" s="3"/>
      <c r="C874" s="3"/>
      <c r="D874" s="5"/>
      <c r="E874" s="5"/>
      <c r="F874" s="5"/>
      <c r="G874" s="7"/>
      <c r="H874" s="5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">
      <c r="A875" s="3"/>
      <c r="B875" s="3"/>
      <c r="C875" s="3"/>
      <c r="D875" s="5"/>
      <c r="E875" s="5"/>
      <c r="F875" s="5"/>
      <c r="G875" s="7"/>
      <c r="H875" s="5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">
      <c r="A876" s="3"/>
      <c r="B876" s="3"/>
      <c r="C876" s="3"/>
      <c r="D876" s="5"/>
      <c r="E876" s="5"/>
      <c r="F876" s="5"/>
      <c r="G876" s="7"/>
      <c r="H876" s="5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">
      <c r="A877" s="3"/>
      <c r="B877" s="3"/>
      <c r="C877" s="3"/>
      <c r="D877" s="5"/>
      <c r="E877" s="5"/>
      <c r="F877" s="5"/>
      <c r="G877" s="7"/>
      <c r="H877" s="5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">
      <c r="A878" s="3"/>
      <c r="B878" s="3"/>
      <c r="C878" s="3"/>
      <c r="D878" s="5"/>
      <c r="E878" s="5"/>
      <c r="F878" s="5"/>
      <c r="G878" s="7"/>
      <c r="H878" s="5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">
      <c r="A879" s="3"/>
      <c r="B879" s="3"/>
      <c r="C879" s="3"/>
      <c r="D879" s="5"/>
      <c r="E879" s="5"/>
      <c r="F879" s="5"/>
      <c r="G879" s="7"/>
      <c r="H879" s="5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">
      <c r="A880" s="3"/>
      <c r="B880" s="3"/>
      <c r="C880" s="3"/>
      <c r="D880" s="5"/>
      <c r="E880" s="5"/>
      <c r="F880" s="5"/>
      <c r="G880" s="7"/>
      <c r="H880" s="5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">
      <c r="A881" s="3"/>
      <c r="B881" s="3"/>
      <c r="C881" s="3"/>
      <c r="D881" s="5"/>
      <c r="E881" s="5"/>
      <c r="F881" s="5"/>
      <c r="G881" s="7"/>
      <c r="H881" s="5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">
      <c r="A882" s="3"/>
      <c r="B882" s="3"/>
      <c r="C882" s="3"/>
      <c r="D882" s="5"/>
      <c r="E882" s="5"/>
      <c r="F882" s="5"/>
      <c r="G882" s="7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">
      <c r="A883" s="3"/>
      <c r="B883" s="3"/>
      <c r="C883" s="3"/>
      <c r="D883" s="5"/>
      <c r="E883" s="5"/>
      <c r="F883" s="5"/>
      <c r="G883" s="7"/>
      <c r="H883" s="5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">
      <c r="A884" s="3"/>
      <c r="B884" s="3"/>
      <c r="C884" s="3"/>
      <c r="D884" s="5"/>
      <c r="E884" s="5"/>
      <c r="F884" s="5"/>
      <c r="G884" s="7"/>
      <c r="H884" s="5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">
      <c r="A885" s="3"/>
      <c r="B885" s="3"/>
      <c r="C885" s="3"/>
      <c r="D885" s="5"/>
      <c r="E885" s="5"/>
      <c r="F885" s="5"/>
      <c r="G885" s="7"/>
      <c r="H885" s="5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">
      <c r="A886" s="3"/>
      <c r="B886" s="3"/>
      <c r="C886" s="3"/>
      <c r="D886" s="5"/>
      <c r="E886" s="5"/>
      <c r="F886" s="5"/>
      <c r="G886" s="7"/>
      <c r="H886" s="5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">
      <c r="A887" s="3"/>
      <c r="B887" s="3"/>
      <c r="C887" s="3"/>
      <c r="D887" s="5"/>
      <c r="E887" s="5"/>
      <c r="F887" s="5"/>
      <c r="G887" s="7"/>
      <c r="H887" s="5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">
      <c r="A888" s="3"/>
      <c r="B888" s="3"/>
      <c r="C888" s="3"/>
      <c r="D888" s="5"/>
      <c r="E888" s="5"/>
      <c r="F888" s="5"/>
      <c r="G888" s="7"/>
      <c r="H888" s="5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">
      <c r="A889" s="3"/>
      <c r="B889" s="3"/>
      <c r="C889" s="3"/>
      <c r="D889" s="5"/>
      <c r="E889" s="5"/>
      <c r="F889" s="5"/>
      <c r="G889" s="7"/>
      <c r="H889" s="5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">
      <c r="A890" s="3"/>
      <c r="B890" s="3"/>
      <c r="C890" s="3"/>
      <c r="D890" s="5"/>
      <c r="E890" s="5"/>
      <c r="F890" s="5"/>
      <c r="G890" s="7"/>
      <c r="H890" s="5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">
      <c r="A891" s="3"/>
      <c r="B891" s="3"/>
      <c r="C891" s="3"/>
      <c r="D891" s="5"/>
      <c r="E891" s="5"/>
      <c r="F891" s="5"/>
      <c r="G891" s="7"/>
      <c r="H891" s="5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">
      <c r="A892" s="3"/>
      <c r="B892" s="3"/>
      <c r="C892" s="3"/>
      <c r="D892" s="5"/>
      <c r="E892" s="5"/>
      <c r="F892" s="5"/>
      <c r="G892" s="7"/>
      <c r="H892" s="5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">
      <c r="A893" s="3"/>
      <c r="B893" s="3"/>
      <c r="C893" s="3"/>
      <c r="D893" s="5"/>
      <c r="E893" s="5"/>
      <c r="F893" s="5"/>
      <c r="G893" s="7"/>
      <c r="H893" s="5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">
      <c r="A894" s="3"/>
      <c r="B894" s="3"/>
      <c r="C894" s="3"/>
      <c r="D894" s="5"/>
      <c r="E894" s="5"/>
      <c r="F894" s="5"/>
      <c r="G894" s="7"/>
      <c r="H894" s="5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">
      <c r="A895" s="3"/>
      <c r="B895" s="3"/>
      <c r="C895" s="3"/>
      <c r="D895" s="5"/>
      <c r="E895" s="5"/>
      <c r="F895" s="5"/>
      <c r="G895" s="7"/>
      <c r="H895" s="5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">
      <c r="A896" s="3"/>
      <c r="B896" s="3"/>
      <c r="C896" s="3"/>
      <c r="D896" s="5"/>
      <c r="E896" s="5"/>
      <c r="F896" s="5"/>
      <c r="G896" s="7"/>
      <c r="H896" s="5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">
      <c r="A897" s="3"/>
      <c r="B897" s="3"/>
      <c r="C897" s="3"/>
      <c r="D897" s="5"/>
      <c r="E897" s="5"/>
      <c r="F897" s="5"/>
      <c r="G897" s="7"/>
      <c r="H897" s="5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">
      <c r="A898" s="3"/>
      <c r="B898" s="3"/>
      <c r="C898" s="3"/>
      <c r="D898" s="5"/>
      <c r="E898" s="5"/>
      <c r="F898" s="5"/>
      <c r="G898" s="7"/>
      <c r="H898" s="5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">
      <c r="A899" s="3"/>
      <c r="B899" s="3"/>
      <c r="C899" s="3"/>
      <c r="D899" s="5"/>
      <c r="E899" s="5"/>
      <c r="F899" s="5"/>
      <c r="G899" s="7"/>
      <c r="H899" s="5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">
      <c r="A900" s="3"/>
      <c r="B900" s="3"/>
      <c r="C900" s="3"/>
      <c r="D900" s="5"/>
      <c r="E900" s="5"/>
      <c r="F900" s="5"/>
      <c r="G900" s="7"/>
      <c r="H900" s="5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">
      <c r="A901" s="3"/>
      <c r="B901" s="3"/>
      <c r="C901" s="3"/>
      <c r="D901" s="5"/>
      <c r="E901" s="5"/>
      <c r="F901" s="5"/>
      <c r="G901" s="7"/>
      <c r="H901" s="5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">
      <c r="A902" s="3"/>
      <c r="B902" s="3"/>
      <c r="C902" s="3"/>
      <c r="D902" s="5"/>
      <c r="E902" s="5"/>
      <c r="F902" s="5"/>
      <c r="G902" s="7"/>
      <c r="H902" s="5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">
      <c r="A903" s="3"/>
      <c r="B903" s="3"/>
      <c r="C903" s="3"/>
      <c r="D903" s="5"/>
      <c r="E903" s="5"/>
      <c r="F903" s="5"/>
      <c r="G903" s="7"/>
      <c r="H903" s="5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">
      <c r="A904" s="3"/>
      <c r="B904" s="3"/>
      <c r="C904" s="3"/>
      <c r="D904" s="5"/>
      <c r="E904" s="5"/>
      <c r="F904" s="5"/>
      <c r="G904" s="7"/>
      <c r="H904" s="5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">
      <c r="A905" s="3"/>
      <c r="B905" s="3"/>
      <c r="C905" s="3"/>
      <c r="D905" s="5"/>
      <c r="E905" s="5"/>
      <c r="F905" s="5"/>
      <c r="G905" s="7"/>
      <c r="H905" s="5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">
      <c r="A906" s="3"/>
      <c r="B906" s="3"/>
      <c r="C906" s="3"/>
      <c r="D906" s="5"/>
      <c r="E906" s="5"/>
      <c r="F906" s="5"/>
      <c r="G906" s="7"/>
      <c r="H906" s="5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">
      <c r="A907" s="3"/>
      <c r="B907" s="3"/>
      <c r="C907" s="3"/>
      <c r="D907" s="5"/>
      <c r="E907" s="5"/>
      <c r="F907" s="5"/>
      <c r="G907" s="7"/>
      <c r="H907" s="5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">
      <c r="A908" s="3"/>
      <c r="B908" s="3"/>
      <c r="C908" s="3"/>
      <c r="D908" s="5"/>
      <c r="E908" s="5"/>
      <c r="F908" s="5"/>
      <c r="G908" s="7"/>
      <c r="H908" s="5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">
      <c r="A909" s="3"/>
      <c r="B909" s="3"/>
      <c r="C909" s="3"/>
      <c r="D909" s="5"/>
      <c r="E909" s="5"/>
      <c r="F909" s="5"/>
      <c r="G909" s="7"/>
      <c r="H909" s="5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">
      <c r="A910" s="3"/>
      <c r="B910" s="3"/>
      <c r="C910" s="3"/>
      <c r="D910" s="5"/>
      <c r="E910" s="5"/>
      <c r="F910" s="5"/>
      <c r="G910" s="7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">
      <c r="A911" s="3"/>
      <c r="B911" s="3"/>
      <c r="C911" s="3"/>
      <c r="D911" s="5"/>
      <c r="E911" s="5"/>
      <c r="F911" s="5"/>
      <c r="G911" s="7"/>
      <c r="H911" s="5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">
      <c r="A912" s="3"/>
      <c r="B912" s="3"/>
      <c r="C912" s="3"/>
      <c r="D912" s="5"/>
      <c r="E912" s="5"/>
      <c r="F912" s="5"/>
      <c r="G912" s="7"/>
      <c r="H912" s="5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">
      <c r="A913" s="3"/>
      <c r="B913" s="3"/>
      <c r="C913" s="3"/>
      <c r="D913" s="5"/>
      <c r="E913" s="5"/>
      <c r="F913" s="5"/>
      <c r="G913" s="7"/>
      <c r="H913" s="5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">
      <c r="A914" s="3"/>
      <c r="B914" s="3"/>
      <c r="C914" s="3"/>
      <c r="D914" s="5"/>
      <c r="E914" s="5"/>
      <c r="F914" s="5"/>
      <c r="G914" s="7"/>
      <c r="H914" s="5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">
      <c r="A915" s="3"/>
      <c r="B915" s="3"/>
      <c r="C915" s="3"/>
      <c r="D915" s="5"/>
      <c r="E915" s="5"/>
      <c r="F915" s="5"/>
      <c r="G915" s="7"/>
      <c r="H915" s="5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">
      <c r="A916" s="3"/>
      <c r="B916" s="3"/>
      <c r="C916" s="3"/>
      <c r="D916" s="5"/>
      <c r="E916" s="5"/>
      <c r="F916" s="5"/>
      <c r="G916" s="7"/>
      <c r="H916" s="5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">
      <c r="A917" s="3"/>
      <c r="B917" s="3"/>
      <c r="C917" s="3"/>
      <c r="D917" s="5"/>
      <c r="E917" s="5"/>
      <c r="F917" s="5"/>
      <c r="G917" s="7"/>
      <c r="H917" s="5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">
      <c r="A918" s="3"/>
      <c r="B918" s="3"/>
      <c r="C918" s="3"/>
      <c r="D918" s="5"/>
      <c r="E918" s="5"/>
      <c r="F918" s="5"/>
      <c r="G918" s="7"/>
      <c r="H918" s="5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">
      <c r="A919" s="3"/>
      <c r="B919" s="3"/>
      <c r="C919" s="3"/>
      <c r="D919" s="5"/>
      <c r="E919" s="5"/>
      <c r="F919" s="5"/>
      <c r="G919" s="7"/>
      <c r="H919" s="5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">
      <c r="A920" s="3"/>
      <c r="B920" s="3"/>
      <c r="C920" s="3"/>
      <c r="D920" s="5"/>
      <c r="E920" s="5"/>
      <c r="F920" s="5"/>
      <c r="G920" s="7"/>
      <c r="H920" s="5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">
      <c r="A921" s="3"/>
      <c r="B921" s="3"/>
      <c r="C921" s="3"/>
      <c r="D921" s="5"/>
      <c r="E921" s="5"/>
      <c r="F921" s="5"/>
      <c r="G921" s="7"/>
      <c r="H921" s="5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">
      <c r="A922" s="3"/>
      <c r="B922" s="3"/>
      <c r="C922" s="3"/>
      <c r="D922" s="5"/>
      <c r="E922" s="5"/>
      <c r="F922" s="5"/>
      <c r="G922" s="7"/>
      <c r="H922" s="5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">
      <c r="A923" s="3"/>
      <c r="B923" s="3"/>
      <c r="C923" s="3"/>
      <c r="D923" s="5"/>
      <c r="E923" s="5"/>
      <c r="F923" s="5"/>
      <c r="G923" s="7"/>
      <c r="H923" s="5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">
      <c r="A924" s="3"/>
      <c r="B924" s="3"/>
      <c r="C924" s="3"/>
      <c r="D924" s="5"/>
      <c r="E924" s="5"/>
      <c r="F924" s="5"/>
      <c r="G924" s="7"/>
      <c r="H924" s="5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">
      <c r="A925" s="3"/>
      <c r="B925" s="3"/>
      <c r="C925" s="3"/>
      <c r="D925" s="5"/>
      <c r="E925" s="5"/>
      <c r="F925" s="5"/>
      <c r="G925" s="7"/>
      <c r="H925" s="5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">
      <c r="A926" s="3"/>
      <c r="B926" s="3"/>
      <c r="C926" s="3"/>
      <c r="D926" s="5"/>
      <c r="E926" s="5"/>
      <c r="F926" s="5"/>
      <c r="G926" s="7"/>
      <c r="H926" s="5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">
      <c r="A927" s="3"/>
      <c r="B927" s="3"/>
      <c r="C927" s="3"/>
      <c r="D927" s="5"/>
      <c r="E927" s="5"/>
      <c r="F927" s="5"/>
      <c r="G927" s="7"/>
      <c r="H927" s="5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">
      <c r="A928" s="3"/>
      <c r="B928" s="3"/>
      <c r="C928" s="3"/>
      <c r="D928" s="5"/>
      <c r="E928" s="5"/>
      <c r="F928" s="5"/>
      <c r="G928" s="7"/>
      <c r="H928" s="5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">
      <c r="A929" s="3"/>
      <c r="B929" s="3"/>
      <c r="C929" s="3"/>
      <c r="D929" s="5"/>
      <c r="E929" s="5"/>
      <c r="F929" s="5"/>
      <c r="G929" s="7"/>
      <c r="H929" s="5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">
      <c r="A930" s="3"/>
      <c r="B930" s="3"/>
      <c r="C930" s="3"/>
      <c r="D930" s="5"/>
      <c r="E930" s="5"/>
      <c r="F930" s="5"/>
      <c r="G930" s="7"/>
      <c r="H930" s="5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">
      <c r="A931" s="3"/>
      <c r="B931" s="3"/>
      <c r="C931" s="3"/>
      <c r="D931" s="5"/>
      <c r="E931" s="5"/>
      <c r="F931" s="5"/>
      <c r="G931" s="7"/>
      <c r="H931" s="5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">
      <c r="A932" s="3"/>
      <c r="B932" s="3"/>
      <c r="C932" s="3"/>
      <c r="D932" s="5"/>
      <c r="E932" s="5"/>
      <c r="F932" s="5"/>
      <c r="G932" s="7"/>
      <c r="H932" s="5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">
      <c r="A933" s="3"/>
      <c r="B933" s="3"/>
      <c r="C933" s="3"/>
      <c r="D933" s="5"/>
      <c r="E933" s="5"/>
      <c r="F933" s="5"/>
      <c r="G933" s="7"/>
      <c r="H933" s="5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">
      <c r="A934" s="3"/>
      <c r="B934" s="3"/>
      <c r="C934" s="3"/>
      <c r="D934" s="5"/>
      <c r="E934" s="5"/>
      <c r="F934" s="5"/>
      <c r="G934" s="7"/>
      <c r="H934" s="5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">
      <c r="A935" s="3"/>
      <c r="B935" s="3"/>
      <c r="C935" s="3"/>
      <c r="D935" s="5"/>
      <c r="E935" s="5"/>
      <c r="F935" s="5"/>
      <c r="G935" s="7"/>
      <c r="H935" s="5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">
      <c r="A936" s="3"/>
      <c r="B936" s="3"/>
      <c r="C936" s="3"/>
      <c r="D936" s="5"/>
      <c r="E936" s="5"/>
      <c r="F936" s="5"/>
      <c r="G936" s="7"/>
      <c r="H936" s="5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">
      <c r="A937" s="3"/>
      <c r="B937" s="3"/>
      <c r="C937" s="3"/>
      <c r="D937" s="5"/>
      <c r="E937" s="5"/>
      <c r="F937" s="5"/>
      <c r="G937" s="7"/>
      <c r="H937" s="5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">
      <c r="A938" s="3"/>
      <c r="B938" s="3"/>
      <c r="C938" s="3"/>
      <c r="D938" s="5"/>
      <c r="E938" s="5"/>
      <c r="F938" s="5"/>
      <c r="G938" s="7"/>
      <c r="H938" s="5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">
      <c r="A939" s="3"/>
      <c r="B939" s="3"/>
      <c r="C939" s="3"/>
      <c r="D939" s="5"/>
      <c r="E939" s="5"/>
      <c r="F939" s="5"/>
      <c r="G939" s="7"/>
      <c r="H939" s="5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">
      <c r="A940" s="3"/>
      <c r="B940" s="3"/>
      <c r="C940" s="3"/>
      <c r="D940" s="5"/>
      <c r="E940" s="5"/>
      <c r="F940" s="5"/>
      <c r="G940" s="7"/>
      <c r="H940" s="5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">
      <c r="A941" s="3"/>
      <c r="B941" s="3"/>
      <c r="C941" s="3"/>
      <c r="D941" s="5"/>
      <c r="E941" s="5"/>
      <c r="F941" s="5"/>
      <c r="G941" s="7"/>
      <c r="H941" s="5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">
      <c r="A942" s="3"/>
      <c r="B942" s="3"/>
      <c r="C942" s="3"/>
      <c r="D942" s="5"/>
      <c r="E942" s="5"/>
      <c r="F942" s="5"/>
      <c r="G942" s="7"/>
      <c r="H942" s="5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">
      <c r="A943" s="3"/>
      <c r="B943" s="3"/>
      <c r="C943" s="3"/>
      <c r="D943" s="5"/>
      <c r="E943" s="5"/>
      <c r="F943" s="5"/>
      <c r="G943" s="7"/>
      <c r="H943" s="5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">
      <c r="A944" s="3"/>
      <c r="B944" s="3"/>
      <c r="C944" s="3"/>
      <c r="D944" s="5"/>
      <c r="E944" s="5"/>
      <c r="F944" s="5"/>
      <c r="G944" s="7"/>
      <c r="H944" s="5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">
      <c r="A945" s="3"/>
      <c r="B945" s="3"/>
      <c r="C945" s="3"/>
      <c r="D945" s="5"/>
      <c r="E945" s="5"/>
      <c r="F945" s="5"/>
      <c r="G945" s="7"/>
      <c r="H945" s="5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">
      <c r="A946" s="3"/>
      <c r="B946" s="3"/>
      <c r="C946" s="3"/>
      <c r="D946" s="5"/>
      <c r="E946" s="5"/>
      <c r="F946" s="5"/>
      <c r="G946" s="7"/>
      <c r="H946" s="5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">
      <c r="A947" s="3"/>
      <c r="B947" s="3"/>
      <c r="C947" s="3"/>
      <c r="D947" s="5"/>
      <c r="E947" s="5"/>
      <c r="F947" s="5"/>
      <c r="G947" s="7"/>
      <c r="H947" s="5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">
      <c r="A948" s="3"/>
      <c r="B948" s="3"/>
      <c r="C948" s="3"/>
      <c r="D948" s="5"/>
      <c r="E948" s="5"/>
      <c r="F948" s="5"/>
      <c r="G948" s="7"/>
      <c r="H948" s="5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">
      <c r="A949" s="3"/>
      <c r="B949" s="3"/>
      <c r="C949" s="3"/>
      <c r="D949" s="5"/>
      <c r="E949" s="5"/>
      <c r="F949" s="5"/>
      <c r="G949" s="7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">
      <c r="A950" s="3"/>
      <c r="B950" s="3"/>
      <c r="C950" s="3"/>
      <c r="D950" s="5"/>
      <c r="E950" s="5"/>
      <c r="F950" s="5"/>
      <c r="G950" s="7"/>
      <c r="H950" s="5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">
      <c r="A951" s="3"/>
      <c r="B951" s="3"/>
      <c r="C951" s="3"/>
      <c r="D951" s="5"/>
      <c r="E951" s="5"/>
      <c r="F951" s="5"/>
      <c r="G951" s="7"/>
      <c r="H951" s="5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">
      <c r="A952" s="3"/>
      <c r="B952" s="3"/>
      <c r="C952" s="3"/>
      <c r="D952" s="5"/>
      <c r="E952" s="5"/>
      <c r="F952" s="5"/>
      <c r="G952" s="7"/>
      <c r="H952" s="5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">
      <c r="A953" s="3"/>
      <c r="B953" s="3"/>
      <c r="C953" s="3"/>
      <c r="D953" s="5"/>
      <c r="E953" s="5"/>
      <c r="F953" s="5"/>
      <c r="G953" s="7"/>
      <c r="H953" s="5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">
      <c r="A954" s="3"/>
      <c r="B954" s="3"/>
      <c r="C954" s="3"/>
      <c r="D954" s="5"/>
      <c r="E954" s="5"/>
      <c r="F954" s="5"/>
      <c r="G954" s="7"/>
      <c r="H954" s="5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">
      <c r="A955" s="3"/>
      <c r="B955" s="3"/>
      <c r="C955" s="3"/>
      <c r="D955" s="5"/>
      <c r="E955" s="5"/>
      <c r="F955" s="5"/>
      <c r="G955" s="7"/>
      <c r="H955" s="5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">
      <c r="A956" s="3"/>
      <c r="B956" s="3"/>
      <c r="C956" s="3"/>
      <c r="D956" s="5"/>
      <c r="E956" s="5"/>
      <c r="F956" s="5"/>
      <c r="G956" s="7"/>
      <c r="H956" s="5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">
      <c r="A957" s="3"/>
      <c r="B957" s="3"/>
      <c r="C957" s="3"/>
      <c r="D957" s="5"/>
      <c r="E957" s="5"/>
      <c r="F957" s="5"/>
      <c r="G957" s="7"/>
      <c r="H957" s="5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">
      <c r="A958" s="3"/>
      <c r="B958" s="3"/>
      <c r="C958" s="3"/>
      <c r="D958" s="5"/>
      <c r="E958" s="5"/>
      <c r="F958" s="5"/>
      <c r="G958" s="7"/>
      <c r="H958" s="5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">
      <c r="A959" s="3"/>
      <c r="B959" s="3"/>
      <c r="C959" s="3"/>
      <c r="D959" s="5"/>
      <c r="E959" s="5"/>
      <c r="F959" s="5"/>
      <c r="G959" s="7"/>
      <c r="H959" s="5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">
      <c r="A960" s="3"/>
      <c r="B960" s="3"/>
      <c r="C960" s="3"/>
      <c r="D960" s="5"/>
      <c r="E960" s="5"/>
      <c r="F960" s="5"/>
      <c r="G960" s="7"/>
      <c r="H960" s="5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">
      <c r="A961" s="3"/>
      <c r="B961" s="3"/>
      <c r="C961" s="3"/>
      <c r="D961" s="5"/>
      <c r="E961" s="5"/>
      <c r="F961" s="5"/>
      <c r="G961" s="7"/>
      <c r="H961" s="5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">
      <c r="A962" s="3"/>
      <c r="B962" s="3"/>
      <c r="C962" s="3"/>
      <c r="D962" s="5"/>
      <c r="E962" s="5"/>
      <c r="F962" s="5"/>
      <c r="G962" s="7"/>
      <c r="H962" s="5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">
      <c r="A963" s="3"/>
      <c r="B963" s="3"/>
      <c r="C963" s="3"/>
      <c r="D963" s="5"/>
      <c r="E963" s="5"/>
      <c r="F963" s="5"/>
      <c r="G963" s="7"/>
      <c r="H963" s="5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">
      <c r="A964" s="3"/>
      <c r="B964" s="3"/>
      <c r="C964" s="3"/>
      <c r="D964" s="5"/>
      <c r="E964" s="5"/>
      <c r="F964" s="5"/>
      <c r="G964" s="7"/>
      <c r="H964" s="5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">
      <c r="A965" s="3"/>
      <c r="B965" s="3"/>
      <c r="C965" s="3"/>
      <c r="D965" s="5"/>
      <c r="E965" s="5"/>
      <c r="F965" s="5"/>
      <c r="G965" s="7"/>
      <c r="H965" s="5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">
      <c r="A966" s="3"/>
      <c r="B966" s="3"/>
      <c r="C966" s="3"/>
      <c r="D966" s="5"/>
      <c r="E966" s="5"/>
      <c r="F966" s="5"/>
      <c r="G966" s="7"/>
      <c r="H966" s="5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">
      <c r="A967" s="3"/>
      <c r="B967" s="3"/>
      <c r="C967" s="3"/>
      <c r="D967" s="5"/>
      <c r="E967" s="5"/>
      <c r="F967" s="5"/>
      <c r="G967" s="7"/>
      <c r="H967" s="5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">
      <c r="A968" s="3"/>
      <c r="B968" s="3"/>
      <c r="C968" s="3"/>
      <c r="D968" s="5"/>
      <c r="E968" s="5"/>
      <c r="F968" s="5"/>
      <c r="G968" s="7"/>
      <c r="H968" s="5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">
      <c r="A969" s="3"/>
      <c r="B969" s="3"/>
      <c r="C969" s="3"/>
      <c r="D969" s="5"/>
      <c r="E969" s="5"/>
      <c r="F969" s="5"/>
      <c r="G969" s="7"/>
      <c r="H969" s="5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">
      <c r="A970" s="3"/>
      <c r="B970" s="3"/>
      <c r="C970" s="3"/>
      <c r="D970" s="5"/>
      <c r="E970" s="5"/>
      <c r="F970" s="5"/>
      <c r="G970" s="7"/>
      <c r="H970" s="5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">
      <c r="A971" s="3"/>
      <c r="B971" s="3"/>
      <c r="C971" s="3"/>
      <c r="D971" s="5"/>
      <c r="E971" s="5"/>
      <c r="F971" s="5"/>
      <c r="G971" s="7"/>
      <c r="H971" s="5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">
      <c r="A972" s="3"/>
      <c r="B972" s="3"/>
      <c r="C972" s="3"/>
      <c r="D972" s="5"/>
      <c r="E972" s="5"/>
      <c r="F972" s="5"/>
      <c r="G972" s="7"/>
      <c r="H972" s="5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">
      <c r="A973" s="3"/>
      <c r="B973" s="3"/>
      <c r="C973" s="3"/>
      <c r="D973" s="5"/>
      <c r="E973" s="5"/>
      <c r="F973" s="5"/>
      <c r="G973" s="7"/>
      <c r="H973" s="5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">
      <c r="A974" s="3"/>
      <c r="B974" s="3"/>
      <c r="C974" s="3"/>
      <c r="D974" s="5"/>
      <c r="E974" s="5"/>
      <c r="F974" s="5"/>
      <c r="G974" s="7"/>
      <c r="H974" s="5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">
      <c r="A975" s="3"/>
      <c r="B975" s="3"/>
      <c r="C975" s="3"/>
      <c r="D975" s="5"/>
      <c r="E975" s="5"/>
      <c r="F975" s="5"/>
      <c r="G975" s="7"/>
      <c r="H975" s="5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">
      <c r="A976" s="3"/>
      <c r="B976" s="3"/>
      <c r="C976" s="3"/>
      <c r="D976" s="5"/>
      <c r="E976" s="5"/>
      <c r="F976" s="5"/>
      <c r="G976" s="7"/>
      <c r="H976" s="5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">
      <c r="A977" s="3"/>
      <c r="B977" s="3"/>
      <c r="C977" s="3"/>
      <c r="D977" s="5"/>
      <c r="E977" s="5"/>
      <c r="F977" s="5"/>
      <c r="G977" s="7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">
      <c r="A978" s="3"/>
      <c r="B978" s="3"/>
      <c r="C978" s="3"/>
      <c r="D978" s="5"/>
      <c r="E978" s="5"/>
      <c r="F978" s="5"/>
      <c r="G978" s="7"/>
      <c r="H978" s="5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">
      <c r="A979" s="3"/>
      <c r="B979" s="3"/>
      <c r="C979" s="3"/>
      <c r="D979" s="5"/>
      <c r="E979" s="5"/>
      <c r="F979" s="5"/>
      <c r="G979" s="7"/>
      <c r="H979" s="5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">
      <c r="A980" s="3"/>
      <c r="B980" s="3"/>
      <c r="C980" s="3"/>
      <c r="D980" s="5"/>
      <c r="E980" s="5"/>
      <c r="F980" s="5"/>
      <c r="G980" s="7"/>
      <c r="H980" s="5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">
      <c r="A981" s="3"/>
      <c r="B981" s="3"/>
      <c r="C981" s="3"/>
      <c r="D981" s="5"/>
      <c r="E981" s="5"/>
      <c r="F981" s="5"/>
      <c r="G981" s="7"/>
      <c r="H981" s="5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">
      <c r="A982" s="3"/>
      <c r="B982" s="3"/>
      <c r="C982" s="3"/>
      <c r="D982" s="5"/>
      <c r="E982" s="5"/>
      <c r="F982" s="5"/>
      <c r="G982" s="7"/>
      <c r="H982" s="5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">
      <c r="A983" s="3"/>
      <c r="B983" s="3"/>
      <c r="C983" s="3"/>
      <c r="D983" s="5"/>
      <c r="E983" s="5"/>
      <c r="F983" s="5"/>
      <c r="G983" s="7"/>
      <c r="H983" s="5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">
      <c r="A984" s="3"/>
      <c r="B984" s="3"/>
      <c r="C984" s="3"/>
      <c r="D984" s="5"/>
      <c r="E984" s="5"/>
      <c r="F984" s="5"/>
      <c r="G984" s="7"/>
      <c r="H984" s="5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">
      <c r="A985" s="3"/>
      <c r="B985" s="3"/>
      <c r="C985" s="3"/>
      <c r="D985" s="5"/>
      <c r="E985" s="5"/>
      <c r="F985" s="5"/>
      <c r="G985" s="7"/>
      <c r="H985" s="5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">
      <c r="A986" s="3"/>
      <c r="B986" s="3"/>
      <c r="C986" s="3"/>
      <c r="D986" s="5"/>
      <c r="E986" s="5"/>
      <c r="F986" s="5"/>
      <c r="G986" s="7"/>
      <c r="H986" s="5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">
      <c r="A987" s="3"/>
      <c r="B987" s="3"/>
      <c r="C987" s="3"/>
      <c r="D987" s="5"/>
      <c r="E987" s="5"/>
      <c r="F987" s="5"/>
      <c r="G987" s="7"/>
      <c r="H987" s="5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">
      <c r="A988" s="3"/>
      <c r="B988" s="3"/>
      <c r="C988" s="3"/>
      <c r="D988" s="5"/>
      <c r="E988" s="5"/>
      <c r="F988" s="5"/>
      <c r="G988" s="7"/>
      <c r="H988" s="5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">
      <c r="A989" s="3"/>
      <c r="B989" s="3"/>
      <c r="C989" s="3"/>
      <c r="D989" s="5"/>
      <c r="E989" s="5"/>
      <c r="F989" s="5"/>
      <c r="G989" s="7"/>
      <c r="H989" s="5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">
      <c r="A990" s="3"/>
      <c r="B990" s="3"/>
      <c r="C990" s="3"/>
      <c r="D990" s="5"/>
      <c r="E990" s="5"/>
      <c r="F990" s="5"/>
      <c r="G990" s="7"/>
      <c r="H990" s="5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">
      <c r="A991" s="3"/>
      <c r="B991" s="3"/>
      <c r="C991" s="3"/>
      <c r="D991" s="5"/>
      <c r="E991" s="5"/>
      <c r="F991" s="5"/>
      <c r="G991" s="7"/>
      <c r="H991" s="5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">
      <c r="A992" s="3"/>
      <c r="B992" s="3"/>
      <c r="C992" s="3"/>
      <c r="D992" s="5"/>
      <c r="E992" s="5"/>
      <c r="F992" s="5"/>
      <c r="G992" s="7"/>
      <c r="H992" s="5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">
      <c r="A993" s="3"/>
      <c r="B993" s="3"/>
      <c r="C993" s="3"/>
      <c r="D993" s="5"/>
      <c r="E993" s="5"/>
      <c r="F993" s="5"/>
      <c r="G993" s="7"/>
      <c r="H993" s="5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">
      <c r="A994" s="3"/>
      <c r="B994" s="3"/>
      <c r="C994" s="3"/>
      <c r="D994" s="5"/>
      <c r="E994" s="5"/>
      <c r="F994" s="5"/>
      <c r="G994" s="7"/>
      <c r="H994" s="5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">
      <c r="A995" s="3"/>
      <c r="B995" s="3"/>
      <c r="C995" s="3"/>
      <c r="D995" s="5"/>
      <c r="E995" s="5"/>
      <c r="F995" s="5"/>
      <c r="G995" s="7"/>
      <c r="H995" s="5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">
      <c r="A996" s="3"/>
      <c r="B996" s="3"/>
      <c r="C996" s="3"/>
      <c r="D996" s="5"/>
      <c r="E996" s="5"/>
      <c r="F996" s="5"/>
      <c r="G996" s="7"/>
      <c r="H996" s="5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">
      <c r="A997" s="3"/>
      <c r="B997" s="3"/>
      <c r="C997" s="3"/>
      <c r="D997" s="5"/>
      <c r="E997" s="5"/>
      <c r="F997" s="5"/>
      <c r="G997" s="7"/>
      <c r="H997" s="5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">
      <c r="A998" s="3"/>
      <c r="B998" s="3"/>
      <c r="C998" s="3"/>
      <c r="D998" s="5"/>
      <c r="E998" s="5"/>
      <c r="F998" s="5"/>
      <c r="G998" s="7"/>
      <c r="H998" s="5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">
      <c r="A999" s="3"/>
      <c r="B999" s="3"/>
      <c r="C999" s="3"/>
      <c r="D999" s="5"/>
      <c r="E999" s="5"/>
      <c r="F999" s="5"/>
      <c r="G999" s="7"/>
      <c r="H999" s="5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3">
      <c r="A1000" s="3"/>
      <c r="B1000" s="3"/>
      <c r="C1000" s="3"/>
      <c r="D1000" s="5"/>
      <c r="E1000" s="5"/>
      <c r="F1000" s="5"/>
      <c r="G1000" s="7"/>
      <c r="H1000" s="5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3:H4"/>
    <mergeCell ref="C3:C4"/>
    <mergeCell ref="D3:D4"/>
    <mergeCell ref="E3:E4"/>
    <mergeCell ref="F3:F4"/>
    <mergeCell ref="G3:G4"/>
  </mergeCells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1000"/>
  <sheetViews>
    <sheetView showGridLines="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22" sqref="F22"/>
    </sheetView>
  </sheetViews>
  <sheetFormatPr baseColWidth="10" defaultColWidth="12.59765625" defaultRowHeight="15" customHeight="1" x14ac:dyDescent="0.25"/>
  <cols>
    <col min="1" max="1" width="2.19921875" customWidth="1"/>
    <col min="2" max="2" width="15.19921875" hidden="1" customWidth="1"/>
    <col min="3" max="3" width="38.69921875" customWidth="1"/>
    <col min="4" max="4" width="11.19921875" hidden="1" customWidth="1"/>
    <col min="5" max="5" width="11.5" hidden="1" customWidth="1"/>
    <col min="6" max="6" width="11.5" customWidth="1"/>
    <col min="7" max="7" width="11.8984375" hidden="1" customWidth="1"/>
    <col min="8" max="9" width="10.8984375" customWidth="1"/>
    <col min="10" max="10" width="11.5" customWidth="1"/>
    <col min="11" max="11" width="11.19921875" customWidth="1"/>
    <col min="12" max="12" width="11.5" customWidth="1"/>
    <col min="13" max="13" width="11.19921875" customWidth="1"/>
    <col min="14" max="14" width="11.5" customWidth="1"/>
    <col min="15" max="15" width="11.19921875" customWidth="1"/>
    <col min="16" max="16" width="11.5" customWidth="1"/>
    <col min="17" max="17" width="11.19921875" customWidth="1"/>
    <col min="18" max="18" width="11.5" customWidth="1"/>
    <col min="19" max="19" width="11.19921875" customWidth="1"/>
    <col min="20" max="20" width="11.5" customWidth="1"/>
    <col min="21" max="21" width="11.19921875" customWidth="1"/>
    <col min="22" max="22" width="11.5" customWidth="1"/>
    <col min="23" max="23" width="11.19921875" customWidth="1"/>
    <col min="24" max="27" width="11.19921875" hidden="1" customWidth="1"/>
    <col min="28" max="28" width="11.5" customWidth="1"/>
    <col min="29" max="29" width="13.09765625" customWidth="1"/>
  </cols>
  <sheetData>
    <row r="1" spans="1:29" ht="12.75" customHeight="1" x14ac:dyDescent="0.3">
      <c r="A1" s="3"/>
      <c r="B1" s="3"/>
      <c r="C1" s="4" t="s">
        <v>16</v>
      </c>
      <c r="D1" s="5"/>
      <c r="E1" s="5"/>
      <c r="F1" s="5"/>
      <c r="G1" s="6"/>
      <c r="H1" s="5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2.75" customHeight="1" x14ac:dyDescent="0.3">
      <c r="A2" s="3"/>
      <c r="B2" s="3"/>
      <c r="C2" s="3"/>
      <c r="D2" s="3"/>
      <c r="E2" s="5"/>
      <c r="F2" s="5"/>
      <c r="G2" s="7"/>
      <c r="H2" s="5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2.75" customHeight="1" x14ac:dyDescent="0.3">
      <c r="A3" s="3"/>
      <c r="B3" s="3"/>
      <c r="C3" s="118" t="s">
        <v>17</v>
      </c>
      <c r="D3" s="116" t="s">
        <v>61</v>
      </c>
      <c r="E3" s="116" t="s">
        <v>1</v>
      </c>
      <c r="F3" s="116" t="s">
        <v>2</v>
      </c>
      <c r="G3" s="116" t="s">
        <v>19</v>
      </c>
      <c r="H3" s="116" t="s">
        <v>20</v>
      </c>
      <c r="I3" s="3"/>
      <c r="J3" s="119" t="s">
        <v>62</v>
      </c>
      <c r="K3" s="116" t="s">
        <v>63</v>
      </c>
      <c r="L3" s="119" t="s">
        <v>64</v>
      </c>
      <c r="M3" s="116" t="s">
        <v>65</v>
      </c>
      <c r="N3" s="119" t="s">
        <v>66</v>
      </c>
      <c r="O3" s="116" t="s">
        <v>67</v>
      </c>
      <c r="P3" s="119" t="s">
        <v>68</v>
      </c>
      <c r="Q3" s="116" t="s">
        <v>69</v>
      </c>
      <c r="R3" s="119" t="s">
        <v>70</v>
      </c>
      <c r="S3" s="116" t="s">
        <v>71</v>
      </c>
      <c r="T3" s="119" t="s">
        <v>72</v>
      </c>
      <c r="U3" s="116" t="s">
        <v>73</v>
      </c>
      <c r="V3" s="119" t="s">
        <v>74</v>
      </c>
      <c r="W3" s="116" t="s">
        <v>75</v>
      </c>
      <c r="X3" s="32"/>
      <c r="Y3" s="32"/>
      <c r="Z3" s="32"/>
      <c r="AA3" s="32"/>
      <c r="AB3" s="119" t="s">
        <v>76</v>
      </c>
      <c r="AC3" s="116" t="s">
        <v>77</v>
      </c>
    </row>
    <row r="4" spans="1:29" ht="12.75" customHeight="1" x14ac:dyDescent="0.3">
      <c r="A4" s="3"/>
      <c r="B4" s="3"/>
      <c r="C4" s="117"/>
      <c r="D4" s="117"/>
      <c r="E4" s="117"/>
      <c r="F4" s="117"/>
      <c r="G4" s="117"/>
      <c r="H4" s="117"/>
      <c r="I4" s="3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33"/>
      <c r="Y4" s="33"/>
      <c r="Z4" s="33"/>
      <c r="AA4" s="33"/>
      <c r="AB4" s="117"/>
      <c r="AC4" s="117"/>
    </row>
    <row r="5" spans="1:29" ht="12" customHeight="1" x14ac:dyDescent="0.3">
      <c r="A5" s="3"/>
      <c r="B5" s="3" t="s">
        <v>21</v>
      </c>
      <c r="C5" s="8" t="s">
        <v>22</v>
      </c>
      <c r="D5" s="9">
        <v>459301.43</v>
      </c>
      <c r="E5" s="10">
        <v>559381.01865099987</v>
      </c>
      <c r="F5" s="10">
        <v>551169.52</v>
      </c>
      <c r="G5" s="12" t="s">
        <v>23</v>
      </c>
      <c r="H5" s="11">
        <f t="shared" ref="H5:H24" si="0">F5/12</f>
        <v>45930.793333333335</v>
      </c>
      <c r="I5" s="3"/>
      <c r="J5" s="10">
        <v>29024.43</v>
      </c>
      <c r="K5" s="10">
        <v>45930.793333333335</v>
      </c>
      <c r="L5" s="10">
        <v>29024.43</v>
      </c>
      <c r="M5" s="10">
        <v>45930.793333333335</v>
      </c>
      <c r="N5" s="10">
        <v>36950.92</v>
      </c>
      <c r="O5" s="10">
        <v>45930.793333333335</v>
      </c>
      <c r="P5" s="10">
        <v>29024.43</v>
      </c>
      <c r="Q5" s="10">
        <v>45930.793333333335</v>
      </c>
      <c r="R5" s="10">
        <v>37048.21</v>
      </c>
      <c r="S5" s="10">
        <v>45930.793333333335</v>
      </c>
      <c r="T5" s="10">
        <v>31699.02</v>
      </c>
      <c r="U5" s="10">
        <v>45930.793333333335</v>
      </c>
      <c r="V5" s="10">
        <v>31699.02</v>
      </c>
      <c r="W5" s="10">
        <f t="shared" ref="W5:W24" si="1">U5</f>
        <v>45930.793333333335</v>
      </c>
      <c r="X5" s="10"/>
      <c r="Y5" s="10"/>
      <c r="Z5" s="10"/>
      <c r="AA5" s="10"/>
      <c r="AB5" s="10">
        <f t="shared" ref="AB5:AC5" si="2">J5+L5+N5+P5+R5+T5+V5+X5+Z5</f>
        <v>224470.45999999996</v>
      </c>
      <c r="AC5" s="10">
        <f t="shared" si="2"/>
        <v>321515.55333333334</v>
      </c>
    </row>
    <row r="6" spans="1:29" ht="12.75" customHeight="1" x14ac:dyDescent="0.3">
      <c r="A6" s="3"/>
      <c r="B6" s="3" t="s">
        <v>24</v>
      </c>
      <c r="C6" s="8" t="s">
        <v>25</v>
      </c>
      <c r="D6" s="9">
        <v>24033.68</v>
      </c>
      <c r="E6" s="10">
        <v>16419.402720000002</v>
      </c>
      <c r="F6" s="10">
        <v>25643.5</v>
      </c>
      <c r="G6" s="12" t="s">
        <v>23</v>
      </c>
      <c r="H6" s="11">
        <f t="shared" si="0"/>
        <v>2136.9583333333335</v>
      </c>
      <c r="I6" s="3"/>
      <c r="J6" s="10">
        <v>2137</v>
      </c>
      <c r="K6" s="10">
        <v>2136.9583333333335</v>
      </c>
      <c r="L6" s="10">
        <v>699.32</v>
      </c>
      <c r="M6" s="10">
        <v>2136.9583333333335</v>
      </c>
      <c r="N6" s="10">
        <v>2355.08</v>
      </c>
      <c r="O6" s="10">
        <v>2136.9583333333335</v>
      </c>
      <c r="P6" s="10">
        <v>1247.95</v>
      </c>
      <c r="Q6" s="10">
        <v>2136.9583333333335</v>
      </c>
      <c r="R6" s="10">
        <v>1660.28</v>
      </c>
      <c r="S6" s="10">
        <v>2136.9583333333335</v>
      </c>
      <c r="T6" s="10">
        <v>1385.39</v>
      </c>
      <c r="U6" s="10">
        <v>2136.9583333333335</v>
      </c>
      <c r="V6" s="10">
        <v>1385.39</v>
      </c>
      <c r="W6" s="10">
        <f t="shared" si="1"/>
        <v>2136.9583333333335</v>
      </c>
      <c r="X6" s="10"/>
      <c r="Y6" s="10"/>
      <c r="Z6" s="10"/>
      <c r="AA6" s="10"/>
      <c r="AB6" s="10">
        <f t="shared" ref="AB6:AC6" si="3">J6+L6+N6+P6+R6+T6+V6+X6+Z6</f>
        <v>10870.409999999998</v>
      </c>
      <c r="AC6" s="10">
        <f t="shared" si="3"/>
        <v>14958.708333333336</v>
      </c>
    </row>
    <row r="7" spans="1:29" ht="12.75" customHeight="1" x14ac:dyDescent="0.3">
      <c r="A7" s="3"/>
      <c r="B7" s="3" t="s">
        <v>26</v>
      </c>
      <c r="C7" s="8" t="s">
        <v>27</v>
      </c>
      <c r="D7" s="9">
        <v>18374.150000000001</v>
      </c>
      <c r="E7" s="10">
        <v>22058.217548640005</v>
      </c>
      <c r="F7" s="10">
        <v>20502.54</v>
      </c>
      <c r="G7" s="12" t="s">
        <v>23</v>
      </c>
      <c r="H7" s="11">
        <f t="shared" si="0"/>
        <v>1708.5450000000001</v>
      </c>
      <c r="I7" s="3"/>
      <c r="J7" s="10">
        <v>1457</v>
      </c>
      <c r="K7" s="10">
        <v>1708.5450000000001</v>
      </c>
      <c r="L7" s="10">
        <v>1457</v>
      </c>
      <c r="M7" s="10">
        <v>1708.5450000000001</v>
      </c>
      <c r="N7" s="10">
        <v>1457</v>
      </c>
      <c r="O7" s="10">
        <v>1708.5450000000001</v>
      </c>
      <c r="P7" s="10">
        <v>1457</v>
      </c>
      <c r="Q7" s="10">
        <v>1708.5450000000001</v>
      </c>
      <c r="R7" s="10">
        <v>1457</v>
      </c>
      <c r="S7" s="10">
        <v>1708.5450000000001</v>
      </c>
      <c r="T7" s="10">
        <v>1457</v>
      </c>
      <c r="U7" s="10">
        <v>1708.5450000000001</v>
      </c>
      <c r="V7" s="10">
        <v>1457</v>
      </c>
      <c r="W7" s="10">
        <f t="shared" si="1"/>
        <v>1708.5450000000001</v>
      </c>
      <c r="X7" s="10"/>
      <c r="Y7" s="10"/>
      <c r="Z7" s="10"/>
      <c r="AA7" s="10"/>
      <c r="AB7" s="10">
        <f t="shared" ref="AB7:AC7" si="4">J7+L7+N7+P7+R7+T7+V7+X7+Z7</f>
        <v>10199</v>
      </c>
      <c r="AC7" s="10">
        <f t="shared" si="4"/>
        <v>11959.815000000001</v>
      </c>
    </row>
    <row r="8" spans="1:29" ht="12.75" customHeight="1" x14ac:dyDescent="0.3">
      <c r="A8" s="3"/>
      <c r="B8" s="3" t="s">
        <v>28</v>
      </c>
      <c r="C8" s="8" t="s">
        <v>29</v>
      </c>
      <c r="D8" s="9">
        <v>7328.23</v>
      </c>
      <c r="E8" s="10">
        <v>6898.3215</v>
      </c>
      <c r="F8" s="10">
        <v>8433.3795000000009</v>
      </c>
      <c r="G8" s="12" t="s">
        <v>23</v>
      </c>
      <c r="H8" s="11">
        <f t="shared" si="0"/>
        <v>702.78162500000008</v>
      </c>
      <c r="I8" s="3"/>
      <c r="J8" s="10">
        <v>669.32</v>
      </c>
      <c r="K8" s="10">
        <v>702.78162500000008</v>
      </c>
      <c r="L8" s="10">
        <v>669.32</v>
      </c>
      <c r="M8" s="10">
        <v>702.78162500000008</v>
      </c>
      <c r="N8" s="10">
        <v>669.32</v>
      </c>
      <c r="O8" s="10">
        <v>702.78162500000008</v>
      </c>
      <c r="P8" s="10">
        <v>669.32</v>
      </c>
      <c r="Q8" s="10">
        <v>702.78162500000008</v>
      </c>
      <c r="R8" s="10">
        <v>669.32</v>
      </c>
      <c r="S8" s="10">
        <v>702.78162500000008</v>
      </c>
      <c r="T8" s="10">
        <v>878.08</v>
      </c>
      <c r="U8" s="10">
        <v>702.78162500000008</v>
      </c>
      <c r="V8" s="10">
        <v>878.08</v>
      </c>
      <c r="W8" s="10">
        <f t="shared" si="1"/>
        <v>702.78162500000008</v>
      </c>
      <c r="X8" s="10"/>
      <c r="Y8" s="10"/>
      <c r="Z8" s="10"/>
      <c r="AA8" s="10"/>
      <c r="AB8" s="10">
        <f t="shared" ref="AB8:AC8" si="5">J8+L8+N8+P8+R8+T8+V8+X8+Z8</f>
        <v>5102.76</v>
      </c>
      <c r="AC8" s="10">
        <f t="shared" si="5"/>
        <v>4919.471375000001</v>
      </c>
    </row>
    <row r="9" spans="1:29" ht="12.75" customHeight="1" x14ac:dyDescent="0.3">
      <c r="A9" s="3"/>
      <c r="B9" s="3" t="s">
        <v>30</v>
      </c>
      <c r="C9" s="8" t="s">
        <v>31</v>
      </c>
      <c r="D9" s="9">
        <v>31158.5</v>
      </c>
      <c r="E9" s="10">
        <v>93489.641600000003</v>
      </c>
      <c r="F9" s="10">
        <v>19500</v>
      </c>
      <c r="G9" s="13">
        <v>0.13</v>
      </c>
      <c r="H9" s="11">
        <f t="shared" si="0"/>
        <v>1625</v>
      </c>
      <c r="I9" s="3"/>
      <c r="J9" s="10">
        <v>20.87</v>
      </c>
      <c r="K9" s="10">
        <v>1625</v>
      </c>
      <c r="L9" s="10">
        <v>20.87</v>
      </c>
      <c r="M9" s="10">
        <v>1625</v>
      </c>
      <c r="N9" s="10">
        <v>20.87</v>
      </c>
      <c r="O9" s="10">
        <v>1625</v>
      </c>
      <c r="P9" s="10">
        <v>20.87</v>
      </c>
      <c r="Q9" s="10">
        <v>1625</v>
      </c>
      <c r="R9" s="10">
        <v>20.87</v>
      </c>
      <c r="S9" s="10">
        <v>1625</v>
      </c>
      <c r="T9" s="10">
        <v>20.87</v>
      </c>
      <c r="U9" s="10">
        <v>1625</v>
      </c>
      <c r="V9" s="10">
        <v>20.87</v>
      </c>
      <c r="W9" s="10">
        <f t="shared" si="1"/>
        <v>1625</v>
      </c>
      <c r="X9" s="10"/>
      <c r="Y9" s="10"/>
      <c r="Z9" s="10"/>
      <c r="AA9" s="10"/>
      <c r="AB9" s="10">
        <f t="shared" ref="AB9:AC9" si="6">J9+L9+N9+P9+R9+T9+V9+X9+Z9</f>
        <v>146.09</v>
      </c>
      <c r="AC9" s="10">
        <f t="shared" si="6"/>
        <v>11375</v>
      </c>
    </row>
    <row r="10" spans="1:29" ht="12.75" customHeight="1" x14ac:dyDescent="0.3">
      <c r="A10" s="3"/>
      <c r="B10" s="3" t="s">
        <v>32</v>
      </c>
      <c r="C10" s="8" t="s">
        <v>33</v>
      </c>
      <c r="D10" s="9">
        <v>57091.13</v>
      </c>
      <c r="E10" s="10">
        <v>63536.256000000008</v>
      </c>
      <c r="F10" s="10">
        <v>0</v>
      </c>
      <c r="G10" s="13">
        <v>0.13</v>
      </c>
      <c r="H10" s="11">
        <f t="shared" si="0"/>
        <v>0</v>
      </c>
      <c r="I10" s="3"/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f t="shared" si="1"/>
        <v>0</v>
      </c>
      <c r="X10" s="10"/>
      <c r="Y10" s="10"/>
      <c r="Z10" s="10"/>
      <c r="AA10" s="10"/>
      <c r="AB10" s="10">
        <f t="shared" ref="AB10:AC10" si="7">J10+L10+N10+P10+R10+T10+V10+X10+Z10</f>
        <v>0</v>
      </c>
      <c r="AC10" s="10">
        <f t="shared" si="7"/>
        <v>0</v>
      </c>
    </row>
    <row r="11" spans="1:29" ht="12.75" customHeight="1" x14ac:dyDescent="0.3">
      <c r="A11" s="3"/>
      <c r="B11" s="3" t="s">
        <v>32</v>
      </c>
      <c r="C11" s="8" t="s">
        <v>34</v>
      </c>
      <c r="D11" s="9">
        <v>0</v>
      </c>
      <c r="E11" s="10">
        <v>0</v>
      </c>
      <c r="F11" s="10">
        <v>56180.233200000002</v>
      </c>
      <c r="G11" s="13">
        <v>0.13</v>
      </c>
      <c r="H11" s="11">
        <f t="shared" si="0"/>
        <v>4681.6860999999999</v>
      </c>
      <c r="I11" s="3"/>
      <c r="J11" s="10">
        <v>0</v>
      </c>
      <c r="K11" s="10">
        <v>4681.6860999999999</v>
      </c>
      <c r="L11" s="10">
        <v>0</v>
      </c>
      <c r="M11" s="10">
        <v>4681.6860999999999</v>
      </c>
      <c r="N11" s="10">
        <v>0</v>
      </c>
      <c r="O11" s="10">
        <v>4681.6860999999999</v>
      </c>
      <c r="P11" s="10">
        <v>0</v>
      </c>
      <c r="Q11" s="10">
        <v>4681.6860999999999</v>
      </c>
      <c r="R11" s="10">
        <v>0</v>
      </c>
      <c r="S11" s="10">
        <v>4681.6860999999999</v>
      </c>
      <c r="T11" s="10">
        <v>0</v>
      </c>
      <c r="U11" s="10">
        <v>4681.6860999999999</v>
      </c>
      <c r="V11" s="10">
        <v>0</v>
      </c>
      <c r="W11" s="10">
        <f t="shared" si="1"/>
        <v>4681.6860999999999</v>
      </c>
      <c r="X11" s="10"/>
      <c r="Y11" s="10"/>
      <c r="Z11" s="10"/>
      <c r="AA11" s="10"/>
      <c r="AB11" s="10">
        <f t="shared" ref="AB11:AC11" si="8">J11+L11+N11+P11+R11+T11+V11+X11+Z11</f>
        <v>0</v>
      </c>
      <c r="AC11" s="10">
        <f t="shared" si="8"/>
        <v>32771.8027</v>
      </c>
    </row>
    <row r="12" spans="1:29" ht="12.75" customHeight="1" x14ac:dyDescent="0.3">
      <c r="A12" s="3"/>
      <c r="B12" s="3" t="s">
        <v>35</v>
      </c>
      <c r="C12" s="8" t="s">
        <v>36</v>
      </c>
      <c r="D12" s="9">
        <v>117797.14</v>
      </c>
      <c r="E12" s="10">
        <v>118909.632</v>
      </c>
      <c r="F12" s="10">
        <v>100409.40000000002</v>
      </c>
      <c r="G12" s="13">
        <v>0.13</v>
      </c>
      <c r="H12" s="11">
        <f t="shared" si="0"/>
        <v>8367.4500000000025</v>
      </c>
      <c r="I12" s="3"/>
      <c r="J12" s="10">
        <v>7969</v>
      </c>
      <c r="K12" s="10">
        <v>8367.4500000000025</v>
      </c>
      <c r="L12" s="10">
        <v>7969</v>
      </c>
      <c r="M12" s="10">
        <v>8367.4500000000025</v>
      </c>
      <c r="N12" s="10">
        <v>7969</v>
      </c>
      <c r="O12" s="10">
        <v>8367.4500000000025</v>
      </c>
      <c r="P12" s="10">
        <v>7969</v>
      </c>
      <c r="Q12" s="10">
        <v>8367.4500000000025</v>
      </c>
      <c r="R12" s="10">
        <v>7969</v>
      </c>
      <c r="S12" s="10">
        <v>8367.4500000000025</v>
      </c>
      <c r="T12" s="10">
        <v>7969</v>
      </c>
      <c r="U12" s="10">
        <v>8367.4500000000025</v>
      </c>
      <c r="V12" s="10">
        <v>7969</v>
      </c>
      <c r="W12" s="10">
        <f t="shared" si="1"/>
        <v>8367.4500000000025</v>
      </c>
      <c r="X12" s="10"/>
      <c r="Y12" s="10"/>
      <c r="Z12" s="10"/>
      <c r="AA12" s="10"/>
      <c r="AB12" s="10">
        <f t="shared" ref="AB12:AC12" si="9">J12+L12+N12+P12+R12+T12+V12+X12+Z12</f>
        <v>55783</v>
      </c>
      <c r="AC12" s="10">
        <f t="shared" si="9"/>
        <v>58572.150000000023</v>
      </c>
    </row>
    <row r="13" spans="1:29" ht="12.75" customHeight="1" x14ac:dyDescent="0.3">
      <c r="A13" s="3"/>
      <c r="B13" s="3" t="s">
        <v>37</v>
      </c>
      <c r="C13" s="8" t="s">
        <v>38</v>
      </c>
      <c r="D13" s="9">
        <v>27997.97</v>
      </c>
      <c r="E13" s="10">
        <v>26082.022400000002</v>
      </c>
      <c r="F13" s="10">
        <v>30421.601015</v>
      </c>
      <c r="G13" s="13">
        <v>0.13</v>
      </c>
      <c r="H13" s="11">
        <f t="shared" si="0"/>
        <v>2535.1334179166665</v>
      </c>
      <c r="I13" s="3"/>
      <c r="J13" s="10">
        <v>2917.3999999999996</v>
      </c>
      <c r="K13" s="10">
        <v>2535.1334179166665</v>
      </c>
      <c r="L13" s="10">
        <v>2917.3999999999996</v>
      </c>
      <c r="M13" s="10">
        <v>2535.1334179166665</v>
      </c>
      <c r="N13" s="10">
        <v>3001.43</v>
      </c>
      <c r="O13" s="10">
        <v>2535.1334179166665</v>
      </c>
      <c r="P13" s="10">
        <v>3496.17</v>
      </c>
      <c r="Q13" s="10">
        <v>2535.1334179166665</v>
      </c>
      <c r="R13" s="10">
        <v>4106.82</v>
      </c>
      <c r="S13" s="10">
        <v>2535.1334179166665</v>
      </c>
      <c r="T13" s="10">
        <v>4000.13</v>
      </c>
      <c r="U13" s="10">
        <v>2535.1334179166665</v>
      </c>
      <c r="V13" s="10">
        <v>4582.8900000000003</v>
      </c>
      <c r="W13" s="10">
        <f t="shared" si="1"/>
        <v>2535.1334179166665</v>
      </c>
      <c r="X13" s="10"/>
      <c r="Y13" s="10"/>
      <c r="Z13" s="10"/>
      <c r="AA13" s="10"/>
      <c r="AB13" s="10">
        <f t="shared" ref="AB13:AC13" si="10">J13+L13+N13+P13+R13+T13+V13+X13+Z13</f>
        <v>25022.240000000002</v>
      </c>
      <c r="AC13" s="10">
        <f t="shared" si="10"/>
        <v>17745.933925416666</v>
      </c>
    </row>
    <row r="14" spans="1:29" ht="12.75" customHeight="1" x14ac:dyDescent="0.3">
      <c r="A14" s="3"/>
      <c r="B14" s="3" t="s">
        <v>39</v>
      </c>
      <c r="C14" s="8" t="s">
        <v>40</v>
      </c>
      <c r="D14" s="9">
        <v>52569.18</v>
      </c>
      <c r="E14" s="10">
        <v>56337.120000000003</v>
      </c>
      <c r="F14" s="10">
        <v>62162.1</v>
      </c>
      <c r="G14" s="13">
        <v>0.13</v>
      </c>
      <c r="H14" s="11">
        <f t="shared" si="0"/>
        <v>5180.1750000000002</v>
      </c>
      <c r="I14" s="3"/>
      <c r="J14" s="10">
        <v>3578.47</v>
      </c>
      <c r="K14" s="10">
        <v>5180.1750000000002</v>
      </c>
      <c r="L14" s="10">
        <v>3578.47</v>
      </c>
      <c r="M14" s="10">
        <v>5180.1750000000002</v>
      </c>
      <c r="N14" s="10">
        <v>3578.47</v>
      </c>
      <c r="O14" s="10">
        <v>5180.1750000000002</v>
      </c>
      <c r="P14" s="10">
        <v>3578.47</v>
      </c>
      <c r="Q14" s="10">
        <v>5180.1750000000002</v>
      </c>
      <c r="R14" s="10">
        <v>5468.47</v>
      </c>
      <c r="S14" s="10">
        <v>5180.1750000000002</v>
      </c>
      <c r="T14" s="10">
        <v>3578.43</v>
      </c>
      <c r="U14" s="10">
        <v>5180.1750000000002</v>
      </c>
      <c r="V14" s="10">
        <v>4328.03</v>
      </c>
      <c r="W14" s="10">
        <f t="shared" si="1"/>
        <v>5180.1750000000002</v>
      </c>
      <c r="X14" s="10"/>
      <c r="Y14" s="10"/>
      <c r="Z14" s="10"/>
      <c r="AA14" s="10"/>
      <c r="AB14" s="10">
        <f t="shared" ref="AB14:AC14" si="11">J14+L14+N14+P14+R14+T14+V14+X14+Z14</f>
        <v>27688.809999999998</v>
      </c>
      <c r="AC14" s="10">
        <f t="shared" si="11"/>
        <v>36261.224999999999</v>
      </c>
    </row>
    <row r="15" spans="1:29" ht="12.75" customHeight="1" x14ac:dyDescent="0.3">
      <c r="A15" s="3"/>
      <c r="B15" s="3" t="s">
        <v>41</v>
      </c>
      <c r="C15" s="8" t="s">
        <v>42</v>
      </c>
      <c r="D15" s="9">
        <v>3795.56</v>
      </c>
      <c r="E15" s="10">
        <v>3730.4299199999996</v>
      </c>
      <c r="F15" s="10">
        <v>3243.1035000000002</v>
      </c>
      <c r="G15" s="13">
        <v>0.13</v>
      </c>
      <c r="H15" s="11">
        <f t="shared" si="0"/>
        <v>270.25862499999999</v>
      </c>
      <c r="I15" s="3"/>
      <c r="J15" s="10">
        <v>269.23</v>
      </c>
      <c r="K15" s="10">
        <v>270.25862499999999</v>
      </c>
      <c r="L15" s="10">
        <v>269.23</v>
      </c>
      <c r="M15" s="10">
        <v>270.25862499999999</v>
      </c>
      <c r="N15" s="10">
        <v>269.23</v>
      </c>
      <c r="O15" s="10">
        <v>270.25862499999999</v>
      </c>
      <c r="P15" s="10">
        <v>269.23</v>
      </c>
      <c r="Q15" s="10">
        <v>270.25862499999999</v>
      </c>
      <c r="R15" s="10">
        <v>269.23</v>
      </c>
      <c r="S15" s="10">
        <v>270.25862499999999</v>
      </c>
      <c r="T15" s="10">
        <v>269.23</v>
      </c>
      <c r="U15" s="10">
        <v>270.25862499999999</v>
      </c>
      <c r="V15" s="10">
        <v>269.23</v>
      </c>
      <c r="W15" s="10">
        <f t="shared" si="1"/>
        <v>270.25862499999999</v>
      </c>
      <c r="X15" s="10"/>
      <c r="Y15" s="10"/>
      <c r="Z15" s="10"/>
      <c r="AA15" s="10"/>
      <c r="AB15" s="10">
        <f t="shared" ref="AB15:AC15" si="12">J15+L15+N15+P15+R15+T15+V15+X15+Z15</f>
        <v>1884.6100000000001</v>
      </c>
      <c r="AC15" s="10">
        <f t="shared" si="12"/>
        <v>1891.8103749999998</v>
      </c>
    </row>
    <row r="16" spans="1:29" ht="12.75" customHeight="1" x14ac:dyDescent="0.3">
      <c r="A16" s="3"/>
      <c r="B16" s="3" t="s">
        <v>43</v>
      </c>
      <c r="C16" s="8" t="s">
        <v>44</v>
      </c>
      <c r="D16" s="9">
        <v>1883.96</v>
      </c>
      <c r="E16" s="10">
        <v>1883.52</v>
      </c>
      <c r="F16" s="10">
        <v>1606.8780000000002</v>
      </c>
      <c r="G16" s="13">
        <v>0.13</v>
      </c>
      <c r="H16" s="11">
        <f t="shared" si="0"/>
        <v>133.90650000000002</v>
      </c>
      <c r="I16" s="3"/>
      <c r="J16" s="10">
        <v>134</v>
      </c>
      <c r="K16" s="10">
        <v>133.90650000000002</v>
      </c>
      <c r="L16" s="10">
        <v>134</v>
      </c>
      <c r="M16" s="10">
        <v>133.90650000000002</v>
      </c>
      <c r="N16" s="10">
        <v>134</v>
      </c>
      <c r="O16" s="10">
        <v>133.90650000000002</v>
      </c>
      <c r="P16" s="10">
        <v>134</v>
      </c>
      <c r="Q16" s="10">
        <v>133.90650000000002</v>
      </c>
      <c r="R16" s="10">
        <v>134</v>
      </c>
      <c r="S16" s="10">
        <v>133.90650000000002</v>
      </c>
      <c r="T16" s="10">
        <v>134</v>
      </c>
      <c r="U16" s="10">
        <v>133.90650000000002</v>
      </c>
      <c r="V16" s="10">
        <v>134</v>
      </c>
      <c r="W16" s="10">
        <f t="shared" si="1"/>
        <v>133.90650000000002</v>
      </c>
      <c r="X16" s="10"/>
      <c r="Y16" s="10"/>
      <c r="Z16" s="10"/>
      <c r="AA16" s="10"/>
      <c r="AB16" s="10">
        <f t="shared" ref="AB16:AC16" si="13">J16+L16+N16+P16+R16+T16+V16+X16+Z16</f>
        <v>938</v>
      </c>
      <c r="AC16" s="10">
        <f t="shared" si="13"/>
        <v>937.34550000000024</v>
      </c>
    </row>
    <row r="17" spans="1:29" ht="12.75" customHeight="1" x14ac:dyDescent="0.3">
      <c r="A17" s="3"/>
      <c r="B17" s="3" t="s">
        <v>45</v>
      </c>
      <c r="C17" s="8" t="s">
        <v>46</v>
      </c>
      <c r="D17" s="9">
        <v>67863.839999999997</v>
      </c>
      <c r="E17" s="10">
        <v>67863.814200000008</v>
      </c>
      <c r="F17" s="10">
        <v>65005.200000000012</v>
      </c>
      <c r="G17" s="13">
        <v>0.13</v>
      </c>
      <c r="H17" s="11">
        <f t="shared" si="0"/>
        <v>5417.1000000000013</v>
      </c>
      <c r="I17" s="3"/>
      <c r="J17" s="10">
        <v>5417.1</v>
      </c>
      <c r="K17" s="10">
        <v>5417.1000000000013</v>
      </c>
      <c r="L17" s="10">
        <v>5417.1</v>
      </c>
      <c r="M17" s="10">
        <v>5417.1000000000013</v>
      </c>
      <c r="N17" s="10">
        <v>5417.1</v>
      </c>
      <c r="O17" s="10">
        <v>5417.1000000000013</v>
      </c>
      <c r="P17" s="10">
        <v>5417.1</v>
      </c>
      <c r="Q17" s="10">
        <v>5417.1000000000013</v>
      </c>
      <c r="R17" s="10">
        <v>5417.1</v>
      </c>
      <c r="S17" s="10">
        <v>5417.1000000000013</v>
      </c>
      <c r="T17" s="10">
        <v>5417.1</v>
      </c>
      <c r="U17" s="10">
        <v>5417.1000000000013</v>
      </c>
      <c r="V17" s="10">
        <v>5417.1</v>
      </c>
      <c r="W17" s="10">
        <f t="shared" si="1"/>
        <v>5417.1000000000013</v>
      </c>
      <c r="X17" s="10"/>
      <c r="Y17" s="10"/>
      <c r="Z17" s="10"/>
      <c r="AA17" s="10"/>
      <c r="AB17" s="10">
        <f t="shared" ref="AB17:AC17" si="14">J17+L17+N17+P17+R17+T17+V17+X17+Z17</f>
        <v>37919.699999999997</v>
      </c>
      <c r="AC17" s="10">
        <f t="shared" si="14"/>
        <v>37919.700000000012</v>
      </c>
    </row>
    <row r="18" spans="1:29" ht="12.75" customHeight="1" x14ac:dyDescent="0.3">
      <c r="A18" s="3"/>
      <c r="B18" s="3" t="s">
        <v>47</v>
      </c>
      <c r="C18" s="8" t="s">
        <v>48</v>
      </c>
      <c r="D18" s="9">
        <v>5436.33</v>
      </c>
      <c r="E18" s="10">
        <v>5440</v>
      </c>
      <c r="F18" s="10">
        <v>6342.83</v>
      </c>
      <c r="G18" s="13">
        <v>0.13</v>
      </c>
      <c r="H18" s="11">
        <f t="shared" si="0"/>
        <v>528.56916666666666</v>
      </c>
      <c r="I18" s="3"/>
      <c r="J18" s="10">
        <v>529</v>
      </c>
      <c r="K18" s="10">
        <v>528.56916666666666</v>
      </c>
      <c r="L18" s="10">
        <v>529</v>
      </c>
      <c r="M18" s="10">
        <v>528.56916666666666</v>
      </c>
      <c r="N18" s="10">
        <v>529</v>
      </c>
      <c r="O18" s="10">
        <v>528.56916666666666</v>
      </c>
      <c r="P18" s="10">
        <v>529</v>
      </c>
      <c r="Q18" s="10">
        <v>528.56916666666666</v>
      </c>
      <c r="R18" s="10">
        <v>529</v>
      </c>
      <c r="S18" s="10">
        <v>528.56916666666666</v>
      </c>
      <c r="T18" s="10">
        <v>529</v>
      </c>
      <c r="U18" s="10">
        <v>528.56916666666666</v>
      </c>
      <c r="V18" s="10">
        <v>529</v>
      </c>
      <c r="W18" s="10">
        <f t="shared" si="1"/>
        <v>528.56916666666666</v>
      </c>
      <c r="X18" s="10"/>
      <c r="Y18" s="10"/>
      <c r="Z18" s="10"/>
      <c r="AA18" s="10"/>
      <c r="AB18" s="10">
        <f t="shared" ref="AB18:AC18" si="15">J18+L18+N18+P18+R18+T18+V18+X18+Z18</f>
        <v>3703</v>
      </c>
      <c r="AC18" s="10">
        <f t="shared" si="15"/>
        <v>3699.9841666666666</v>
      </c>
    </row>
    <row r="19" spans="1:29" ht="12.75" customHeight="1" x14ac:dyDescent="0.3">
      <c r="A19" s="3"/>
      <c r="B19" s="3" t="s">
        <v>49</v>
      </c>
      <c r="C19" s="8" t="s">
        <v>50</v>
      </c>
      <c r="D19" s="9">
        <v>52461.14</v>
      </c>
      <c r="E19" s="10">
        <v>63504</v>
      </c>
      <c r="F19" s="10">
        <v>60196.5</v>
      </c>
      <c r="G19" s="13">
        <v>0.13</v>
      </c>
      <c r="H19" s="11">
        <f t="shared" si="0"/>
        <v>5016.375</v>
      </c>
      <c r="I19" s="3"/>
      <c r="J19" s="10">
        <v>3879.49</v>
      </c>
      <c r="K19" s="10">
        <v>5016.375</v>
      </c>
      <c r="L19" s="10">
        <v>3879.49</v>
      </c>
      <c r="M19" s="10">
        <v>5016.375</v>
      </c>
      <c r="N19" s="10">
        <v>3879.49</v>
      </c>
      <c r="O19" s="10">
        <v>5016.375</v>
      </c>
      <c r="P19" s="10">
        <v>4267.4399999999996</v>
      </c>
      <c r="Q19" s="10">
        <v>5016.375</v>
      </c>
      <c r="R19" s="10">
        <v>4267.4399999999996</v>
      </c>
      <c r="S19" s="10">
        <v>5016.375</v>
      </c>
      <c r="T19" s="10">
        <v>4267.4399999999996</v>
      </c>
      <c r="U19" s="10">
        <v>5016.375</v>
      </c>
      <c r="V19" s="10">
        <v>4267.4399999999996</v>
      </c>
      <c r="W19" s="10">
        <f t="shared" si="1"/>
        <v>5016.375</v>
      </c>
      <c r="X19" s="10"/>
      <c r="Y19" s="10"/>
      <c r="Z19" s="10"/>
      <c r="AA19" s="10"/>
      <c r="AB19" s="10">
        <f t="shared" ref="AB19:AC19" si="16">J19+L19+N19+P19+R19+T19+V19+X19+Z19</f>
        <v>28708.229999999996</v>
      </c>
      <c r="AC19" s="10">
        <f t="shared" si="16"/>
        <v>35114.625</v>
      </c>
    </row>
    <row r="20" spans="1:29" ht="12.75" customHeight="1" x14ac:dyDescent="0.3">
      <c r="A20" s="3"/>
      <c r="B20" s="3" t="s">
        <v>51</v>
      </c>
      <c r="C20" s="8" t="s">
        <v>52</v>
      </c>
      <c r="D20" s="9">
        <v>7466.41</v>
      </c>
      <c r="E20" s="10">
        <v>6971.9932799999997</v>
      </c>
      <c r="F20" s="10">
        <v>4017</v>
      </c>
      <c r="G20" s="13">
        <v>0.13</v>
      </c>
      <c r="H20" s="11">
        <f t="shared" si="0"/>
        <v>334.75</v>
      </c>
      <c r="I20" s="3"/>
      <c r="J20" s="10">
        <v>344.77</v>
      </c>
      <c r="K20" s="10">
        <v>334.75</v>
      </c>
      <c r="L20" s="10">
        <v>344.77</v>
      </c>
      <c r="M20" s="10">
        <v>334.75</v>
      </c>
      <c r="N20" s="10">
        <v>344.77</v>
      </c>
      <c r="O20" s="10">
        <v>334.75</v>
      </c>
      <c r="P20" s="10">
        <v>493.92</v>
      </c>
      <c r="Q20" s="10">
        <v>334.75</v>
      </c>
      <c r="R20" s="10">
        <v>521.29</v>
      </c>
      <c r="S20" s="10">
        <v>334.75</v>
      </c>
      <c r="T20" s="10">
        <v>305.32</v>
      </c>
      <c r="U20" s="10">
        <v>334.75</v>
      </c>
      <c r="V20" s="10">
        <v>305.32</v>
      </c>
      <c r="W20" s="10">
        <f t="shared" si="1"/>
        <v>334.75</v>
      </c>
      <c r="X20" s="10"/>
      <c r="Y20" s="10"/>
      <c r="Z20" s="10"/>
      <c r="AA20" s="10"/>
      <c r="AB20" s="10">
        <f t="shared" ref="AB20:AC20" si="17">J20+L20+N20+P20+R20+T20+V20+X20+Z20</f>
        <v>2660.1600000000003</v>
      </c>
      <c r="AC20" s="10">
        <f t="shared" si="17"/>
        <v>2343.25</v>
      </c>
    </row>
    <row r="21" spans="1:29" ht="12.75" customHeight="1" x14ac:dyDescent="0.3">
      <c r="A21" s="3"/>
      <c r="B21" s="3" t="s">
        <v>53</v>
      </c>
      <c r="C21" s="8" t="s">
        <v>54</v>
      </c>
      <c r="D21" s="9">
        <v>107191.80000000002</v>
      </c>
      <c r="E21" s="10">
        <v>107635.08</v>
      </c>
      <c r="F21" s="10">
        <v>108856.3697</v>
      </c>
      <c r="G21" s="13">
        <v>0.13</v>
      </c>
      <c r="H21" s="11">
        <f t="shared" si="0"/>
        <v>9071.3641416666669</v>
      </c>
      <c r="I21" s="3"/>
      <c r="J21" s="10">
        <v>9303.57</v>
      </c>
      <c r="K21" s="10">
        <v>9071.3641416666669</v>
      </c>
      <c r="L21" s="10">
        <v>9303.57</v>
      </c>
      <c r="M21" s="10">
        <v>9071.3641416666669</v>
      </c>
      <c r="N21" s="10">
        <v>9303.57</v>
      </c>
      <c r="O21" s="10">
        <v>9071.3641416666669</v>
      </c>
      <c r="P21" s="10">
        <v>9303.57</v>
      </c>
      <c r="Q21" s="10">
        <v>9071.3641416666669</v>
      </c>
      <c r="R21" s="10">
        <v>10153.870000000001</v>
      </c>
      <c r="S21" s="10">
        <v>9071.3641416666669</v>
      </c>
      <c r="T21" s="10">
        <v>10153.870000000001</v>
      </c>
      <c r="U21" s="10">
        <v>9071.3641416666669</v>
      </c>
      <c r="V21" s="10">
        <v>10153.870000000001</v>
      </c>
      <c r="W21" s="10">
        <f t="shared" si="1"/>
        <v>9071.3641416666669</v>
      </c>
      <c r="X21" s="10"/>
      <c r="Y21" s="10"/>
      <c r="Z21" s="10"/>
      <c r="AA21" s="10"/>
      <c r="AB21" s="10">
        <f t="shared" ref="AB21:AC21" si="18">J21+L21+N21+P21+R21+T21+V21+X21+Z21</f>
        <v>67675.89</v>
      </c>
      <c r="AC21" s="10">
        <f t="shared" si="18"/>
        <v>63499.548991666663</v>
      </c>
    </row>
    <row r="22" spans="1:29" ht="12.75" customHeight="1" x14ac:dyDescent="0.3">
      <c r="A22" s="3"/>
      <c r="B22" s="3" t="s">
        <v>55</v>
      </c>
      <c r="C22" s="8" t="s">
        <v>56</v>
      </c>
      <c r="D22" s="9">
        <v>53835.4</v>
      </c>
      <c r="E22" s="10">
        <v>61699.226400000007</v>
      </c>
      <c r="F22" s="10">
        <v>71982.430800000002</v>
      </c>
      <c r="G22" s="12" t="s">
        <v>23</v>
      </c>
      <c r="H22" s="11">
        <f t="shared" si="0"/>
        <v>5998.5358999999999</v>
      </c>
      <c r="I22" s="3"/>
      <c r="J22" s="10">
        <v>4893.0999999999995</v>
      </c>
      <c r="K22" s="10">
        <v>5998.5358999999999</v>
      </c>
      <c r="L22" s="10">
        <v>4893.0999999999995</v>
      </c>
      <c r="M22" s="10">
        <v>5998.5358999999999</v>
      </c>
      <c r="N22" s="10">
        <v>4893.0999999999995</v>
      </c>
      <c r="O22" s="10">
        <v>5998.5358999999999</v>
      </c>
      <c r="P22" s="10">
        <v>4893.0999999999995</v>
      </c>
      <c r="Q22" s="10">
        <v>5998.5358999999999</v>
      </c>
      <c r="R22" s="10">
        <v>4893.0999999999995</v>
      </c>
      <c r="S22" s="10">
        <v>5998.5358999999999</v>
      </c>
      <c r="T22" s="10">
        <v>4893.0999999999995</v>
      </c>
      <c r="U22" s="10">
        <v>5998.5358999999999</v>
      </c>
      <c r="V22" s="10">
        <v>4893.0999999999995</v>
      </c>
      <c r="W22" s="10">
        <f t="shared" si="1"/>
        <v>5998.5358999999999</v>
      </c>
      <c r="X22" s="10"/>
      <c r="Y22" s="10"/>
      <c r="Z22" s="10"/>
      <c r="AA22" s="10"/>
      <c r="AB22" s="10">
        <f t="shared" ref="AB22:AC22" si="19">J22+L22+N22+P22+R22+T22+V22+X22+Z22</f>
        <v>34251.699999999997</v>
      </c>
      <c r="AC22" s="10">
        <f t="shared" si="19"/>
        <v>41989.751300000004</v>
      </c>
    </row>
    <row r="23" spans="1:29" ht="12.75" customHeight="1" x14ac:dyDescent="0.3">
      <c r="A23" s="3"/>
      <c r="B23" s="3" t="s">
        <v>55</v>
      </c>
      <c r="C23" s="8" t="s">
        <v>57</v>
      </c>
      <c r="D23" s="9">
        <v>8967.69</v>
      </c>
      <c r="E23" s="10">
        <v>8964.648000000001</v>
      </c>
      <c r="F23" s="10">
        <v>9125.5887450000009</v>
      </c>
      <c r="G23" s="13">
        <v>0.13</v>
      </c>
      <c r="H23" s="11">
        <f t="shared" si="0"/>
        <v>760.46572875000004</v>
      </c>
      <c r="I23" s="3"/>
      <c r="J23" s="10">
        <v>715.35</v>
      </c>
      <c r="K23" s="10">
        <v>760.46572875000004</v>
      </c>
      <c r="L23" s="10">
        <v>715.35</v>
      </c>
      <c r="M23" s="10">
        <v>760.46572875000004</v>
      </c>
      <c r="N23" s="10">
        <v>715.35</v>
      </c>
      <c r="O23" s="10">
        <v>760.46572875000004</v>
      </c>
      <c r="P23" s="10">
        <v>715.35</v>
      </c>
      <c r="Q23" s="10">
        <v>760.46572875000004</v>
      </c>
      <c r="R23" s="10">
        <v>715.35</v>
      </c>
      <c r="S23" s="10">
        <v>760.46572875000004</v>
      </c>
      <c r="T23" s="10">
        <v>715.35</v>
      </c>
      <c r="U23" s="10">
        <v>760.46572875000004</v>
      </c>
      <c r="V23" s="10">
        <v>715.35</v>
      </c>
      <c r="W23" s="10">
        <f t="shared" si="1"/>
        <v>760.46572875000004</v>
      </c>
      <c r="X23" s="10"/>
      <c r="Y23" s="10"/>
      <c r="Z23" s="10"/>
      <c r="AA23" s="10"/>
      <c r="AB23" s="10">
        <f t="shared" ref="AB23:AC23" si="20">J23+L23+N23+P23+R23+T23+V23+X23+Z23</f>
        <v>5007.4500000000007</v>
      </c>
      <c r="AC23" s="10">
        <f t="shared" si="20"/>
        <v>5323.2601012500008</v>
      </c>
    </row>
    <row r="24" spans="1:29" ht="12.75" customHeight="1" x14ac:dyDescent="0.3">
      <c r="A24" s="3"/>
      <c r="B24" s="3" t="s">
        <v>58</v>
      </c>
      <c r="C24" s="14" t="s">
        <v>59</v>
      </c>
      <c r="D24" s="15">
        <v>2436719.4</v>
      </c>
      <c r="E24" s="10">
        <v>2436719.3903825916</v>
      </c>
      <c r="F24" s="34">
        <v>2715869.4491061922</v>
      </c>
      <c r="G24" s="13">
        <v>0.13</v>
      </c>
      <c r="H24" s="11">
        <f t="shared" si="0"/>
        <v>226322.45409218268</v>
      </c>
      <c r="I24" s="3"/>
      <c r="J24" s="34">
        <v>226322</v>
      </c>
      <c r="K24" s="34">
        <v>226322.45409218268</v>
      </c>
      <c r="L24" s="34">
        <v>226322</v>
      </c>
      <c r="M24" s="34">
        <v>226322.45409218268</v>
      </c>
      <c r="N24" s="34">
        <v>226322</v>
      </c>
      <c r="O24" s="10">
        <v>226322.45409218268</v>
      </c>
      <c r="P24" s="34">
        <v>226322</v>
      </c>
      <c r="Q24" s="34">
        <v>226322.45409218268</v>
      </c>
      <c r="R24" s="34">
        <v>226322</v>
      </c>
      <c r="S24" s="34">
        <v>226322.45409218268</v>
      </c>
      <c r="T24" s="34">
        <v>226322</v>
      </c>
      <c r="U24" s="34">
        <v>226322.45409218268</v>
      </c>
      <c r="V24" s="34">
        <v>226322</v>
      </c>
      <c r="W24" s="34">
        <f t="shared" si="1"/>
        <v>226322.45409218268</v>
      </c>
      <c r="X24" s="34"/>
      <c r="Y24" s="34"/>
      <c r="Z24" s="34"/>
      <c r="AA24" s="34"/>
      <c r="AB24" s="34">
        <f t="shared" ref="AB24:AC24" si="21">J24+L24+N24+P24+R24+T24+V24+X24+Z24</f>
        <v>1584254</v>
      </c>
      <c r="AC24" s="34">
        <f t="shared" si="21"/>
        <v>1584257.1786452788</v>
      </c>
    </row>
    <row r="25" spans="1:29" ht="3.75" customHeight="1" x14ac:dyDescent="0.3">
      <c r="A25" s="3"/>
      <c r="B25" s="3"/>
      <c r="C25" s="16"/>
      <c r="D25" s="17"/>
      <c r="E25" s="18"/>
      <c r="F25" s="35"/>
      <c r="G25" s="19"/>
      <c r="H25" s="18"/>
      <c r="I25" s="3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</row>
    <row r="26" spans="1:29" ht="12.75" customHeight="1" x14ac:dyDescent="0.3">
      <c r="A26" s="3"/>
      <c r="B26" s="3"/>
      <c r="C26" s="20" t="s">
        <v>60</v>
      </c>
      <c r="D26" s="21">
        <f t="shared" ref="D26:F26" si="22">SUM(D5:D24)</f>
        <v>3541272.94</v>
      </c>
      <c r="E26" s="22">
        <f t="shared" si="22"/>
        <v>3727523.7346022315</v>
      </c>
      <c r="F26" s="21">
        <f t="shared" si="22"/>
        <v>3920667.6235661926</v>
      </c>
      <c r="G26" s="23"/>
      <c r="H26" s="22">
        <f>SUM(H5:H24)</f>
        <v>326722.30196384934</v>
      </c>
      <c r="I26" s="5"/>
      <c r="J26" s="21">
        <f t="shared" ref="J26:W26" si="23">SUM(J5:J24)</f>
        <v>299581.09999999998</v>
      </c>
      <c r="K26" s="21">
        <f t="shared" si="23"/>
        <v>326722.30196384934</v>
      </c>
      <c r="L26" s="21">
        <f t="shared" si="23"/>
        <v>298143.42000000004</v>
      </c>
      <c r="M26" s="21">
        <f t="shared" si="23"/>
        <v>326722.30196384934</v>
      </c>
      <c r="N26" s="21">
        <f t="shared" si="23"/>
        <v>307809.7</v>
      </c>
      <c r="O26" s="21">
        <f t="shared" si="23"/>
        <v>326722.30196384934</v>
      </c>
      <c r="P26" s="21">
        <f t="shared" si="23"/>
        <v>299807.92000000004</v>
      </c>
      <c r="Q26" s="21">
        <f t="shared" si="23"/>
        <v>326722.30196384934</v>
      </c>
      <c r="R26" s="21">
        <f t="shared" si="23"/>
        <v>311622.34999999998</v>
      </c>
      <c r="S26" s="21">
        <f t="shared" si="23"/>
        <v>326722.30196384934</v>
      </c>
      <c r="T26" s="21">
        <f t="shared" si="23"/>
        <v>303994.33</v>
      </c>
      <c r="U26" s="21">
        <f t="shared" si="23"/>
        <v>326722.30196384934</v>
      </c>
      <c r="V26" s="21">
        <f t="shared" si="23"/>
        <v>305326.69</v>
      </c>
      <c r="W26" s="21">
        <f t="shared" si="23"/>
        <v>326722.30196384934</v>
      </c>
      <c r="X26" s="21"/>
      <c r="Y26" s="21"/>
      <c r="Z26" s="21"/>
      <c r="AA26" s="21"/>
      <c r="AB26" s="21">
        <f t="shared" ref="AB26:AC26" si="24">SUM(AB5:AB24)</f>
        <v>2126285.5099999998</v>
      </c>
      <c r="AC26" s="21">
        <f t="shared" si="24"/>
        <v>2287056.1137469457</v>
      </c>
    </row>
    <row r="27" spans="1:29" ht="4.5" customHeight="1" x14ac:dyDescent="0.3">
      <c r="A27" s="3"/>
      <c r="B27" s="24"/>
      <c r="C27" s="14"/>
      <c r="D27" s="25"/>
      <c r="E27" s="26"/>
      <c r="F27" s="36"/>
      <c r="G27" s="27"/>
      <c r="H27" s="26"/>
      <c r="I27" s="3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</row>
    <row r="28" spans="1:29" ht="12.75" customHeight="1" x14ac:dyDescent="0.3">
      <c r="A28" s="3"/>
      <c r="B28" s="3"/>
      <c r="C28" s="3"/>
      <c r="D28" s="3"/>
      <c r="E28" s="5"/>
      <c r="F28" s="5"/>
      <c r="G28" s="28"/>
      <c r="H28" s="5"/>
      <c r="I28" s="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2.75" customHeight="1" x14ac:dyDescent="0.3">
      <c r="A29" s="24"/>
      <c r="B29" s="3"/>
      <c r="C29" s="24"/>
      <c r="D29" s="29"/>
      <c r="E29" s="5"/>
      <c r="F29" s="5"/>
      <c r="G29" s="30"/>
      <c r="H29" s="5"/>
      <c r="I29" s="2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2.75" customHeight="1" x14ac:dyDescent="0.3">
      <c r="A30" s="3"/>
      <c r="B30" s="3"/>
      <c r="C30" s="3"/>
      <c r="D30" s="31"/>
      <c r="E30" s="5"/>
      <c r="F30" s="5"/>
      <c r="G30" s="7"/>
      <c r="H30" s="3"/>
      <c r="I30" s="3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2.75" customHeight="1" x14ac:dyDescent="0.3">
      <c r="A31" s="3"/>
      <c r="B31" s="3"/>
      <c r="C31" s="3"/>
      <c r="D31" s="5"/>
      <c r="E31" s="5"/>
      <c r="F31" s="5"/>
      <c r="G31" s="7"/>
      <c r="H31" s="5"/>
      <c r="I31" s="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2.75" customHeight="1" x14ac:dyDescent="0.3">
      <c r="A32" s="3"/>
      <c r="B32" s="3"/>
      <c r="C32" s="3"/>
      <c r="D32" s="5"/>
      <c r="E32" s="5"/>
      <c r="F32" s="5"/>
      <c r="G32" s="7"/>
      <c r="H32" s="5"/>
      <c r="I32" s="3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2.75" customHeight="1" x14ac:dyDescent="0.3">
      <c r="A33" s="3"/>
      <c r="B33" s="3"/>
      <c r="C33" s="3"/>
      <c r="D33" s="5"/>
      <c r="E33" s="5"/>
      <c r="F33" s="5"/>
      <c r="G33" s="7"/>
      <c r="H33" s="5"/>
      <c r="I33" s="3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2.75" customHeight="1" x14ac:dyDescent="0.3">
      <c r="A34" s="3"/>
      <c r="B34" s="3"/>
      <c r="C34" s="3"/>
      <c r="D34" s="5"/>
      <c r="E34" s="5"/>
      <c r="F34" s="5"/>
      <c r="G34" s="7"/>
      <c r="H34" s="5"/>
      <c r="I34" s="3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2.75" customHeight="1" x14ac:dyDescent="0.3">
      <c r="A35" s="3"/>
      <c r="B35" s="3"/>
      <c r="C35" s="3"/>
      <c r="D35" s="5"/>
      <c r="E35" s="5"/>
      <c r="F35" s="5"/>
      <c r="G35" s="7"/>
      <c r="H35" s="5"/>
      <c r="I35" s="3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2.75" customHeight="1" x14ac:dyDescent="0.3">
      <c r="A36" s="3"/>
      <c r="B36" s="3"/>
      <c r="C36" s="3"/>
      <c r="D36" s="5"/>
      <c r="E36" s="5"/>
      <c r="F36" s="5"/>
      <c r="G36" s="7"/>
      <c r="H36" s="5"/>
      <c r="I36" s="3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2.75" customHeight="1" x14ac:dyDescent="0.3">
      <c r="A37" s="3"/>
      <c r="B37" s="3"/>
      <c r="C37" s="3"/>
      <c r="D37" s="5"/>
      <c r="E37" s="5"/>
      <c r="F37" s="5"/>
      <c r="G37" s="7"/>
      <c r="H37" s="5"/>
      <c r="I37" s="3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2.75" customHeight="1" x14ac:dyDescent="0.3">
      <c r="A38" s="3"/>
      <c r="B38" s="3"/>
      <c r="C38" s="3"/>
      <c r="D38" s="5"/>
      <c r="E38" s="5"/>
      <c r="F38" s="5"/>
      <c r="G38" s="7"/>
      <c r="H38" s="5"/>
      <c r="I38" s="3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2.75" customHeight="1" x14ac:dyDescent="0.3">
      <c r="A39" s="3"/>
      <c r="B39" s="3"/>
      <c r="C39" s="3"/>
      <c r="D39" s="5"/>
      <c r="E39" s="5"/>
      <c r="F39" s="5"/>
      <c r="G39" s="7"/>
      <c r="H39" s="5"/>
      <c r="I39" s="3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2.75" customHeight="1" x14ac:dyDescent="0.3">
      <c r="A40" s="3"/>
      <c r="B40" s="3"/>
      <c r="C40" s="3"/>
      <c r="D40" s="5"/>
      <c r="E40" s="5"/>
      <c r="F40" s="5"/>
      <c r="G40" s="7"/>
      <c r="H40" s="5"/>
      <c r="I40" s="3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2.75" customHeight="1" x14ac:dyDescent="0.3">
      <c r="A41" s="3"/>
      <c r="B41" s="3"/>
      <c r="C41" s="3"/>
      <c r="D41" s="5"/>
      <c r="E41" s="5"/>
      <c r="F41" s="5"/>
      <c r="G41" s="7"/>
      <c r="H41" s="5"/>
      <c r="I41" s="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2.75" customHeight="1" x14ac:dyDescent="0.3">
      <c r="A42" s="3"/>
      <c r="B42" s="3"/>
      <c r="C42" s="3"/>
      <c r="D42" s="5"/>
      <c r="E42" s="5"/>
      <c r="F42" s="5"/>
      <c r="G42" s="7"/>
      <c r="H42" s="5"/>
      <c r="I42" s="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2.75" customHeight="1" x14ac:dyDescent="0.3">
      <c r="A43" s="3"/>
      <c r="B43" s="3"/>
      <c r="C43" s="3"/>
      <c r="D43" s="5"/>
      <c r="E43" s="5"/>
      <c r="F43" s="5"/>
      <c r="G43" s="7"/>
      <c r="H43" s="5"/>
      <c r="I43" s="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2.75" customHeight="1" x14ac:dyDescent="0.3">
      <c r="A44" s="3"/>
      <c r="B44" s="3"/>
      <c r="C44" s="3"/>
      <c r="D44" s="5"/>
      <c r="E44" s="5"/>
      <c r="F44" s="5"/>
      <c r="G44" s="7"/>
      <c r="H44" s="5"/>
      <c r="I44" s="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2.75" customHeight="1" x14ac:dyDescent="0.3">
      <c r="A45" s="3"/>
      <c r="B45" s="3"/>
      <c r="C45" s="3"/>
      <c r="D45" s="5"/>
      <c r="E45" s="5"/>
      <c r="F45" s="5"/>
      <c r="G45" s="7"/>
      <c r="H45" s="5"/>
      <c r="I45" s="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2.75" customHeight="1" x14ac:dyDescent="0.3">
      <c r="A46" s="3"/>
      <c r="B46" s="3"/>
      <c r="C46" s="3"/>
      <c r="D46" s="5"/>
      <c r="E46" s="5"/>
      <c r="F46" s="5"/>
      <c r="G46" s="7"/>
      <c r="H46" s="5"/>
      <c r="I46" s="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2.75" customHeight="1" x14ac:dyDescent="0.3">
      <c r="A47" s="3"/>
      <c r="B47" s="3"/>
      <c r="C47" s="3"/>
      <c r="D47" s="5"/>
      <c r="E47" s="5"/>
      <c r="F47" s="5"/>
      <c r="G47" s="7"/>
      <c r="H47" s="5"/>
      <c r="I47" s="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2.75" customHeight="1" x14ac:dyDescent="0.3">
      <c r="A48" s="3"/>
      <c r="B48" s="3"/>
      <c r="C48" s="3"/>
      <c r="D48" s="5"/>
      <c r="E48" s="5"/>
      <c r="F48" s="5"/>
      <c r="G48" s="7"/>
      <c r="H48" s="5"/>
      <c r="I48" s="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2.75" customHeight="1" x14ac:dyDescent="0.3">
      <c r="A49" s="3"/>
      <c r="B49" s="3"/>
      <c r="C49" s="3"/>
      <c r="D49" s="5"/>
      <c r="E49" s="5"/>
      <c r="F49" s="5"/>
      <c r="G49" s="7"/>
      <c r="H49" s="5"/>
      <c r="I49" s="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2.75" customHeight="1" x14ac:dyDescent="0.3">
      <c r="A50" s="3"/>
      <c r="B50" s="3"/>
      <c r="C50" s="3"/>
      <c r="D50" s="5"/>
      <c r="E50" s="5"/>
      <c r="F50" s="5"/>
      <c r="G50" s="7"/>
      <c r="H50" s="5"/>
      <c r="I50" s="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2.75" customHeight="1" x14ac:dyDescent="0.3">
      <c r="A51" s="3"/>
      <c r="B51" s="3"/>
      <c r="C51" s="3"/>
      <c r="D51" s="5"/>
      <c r="E51" s="5"/>
      <c r="F51" s="5"/>
      <c r="G51" s="7"/>
      <c r="H51" s="5"/>
      <c r="I51" s="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2.75" customHeight="1" x14ac:dyDescent="0.3">
      <c r="A52" s="3"/>
      <c r="B52" s="3"/>
      <c r="C52" s="3"/>
      <c r="D52" s="5"/>
      <c r="E52" s="5"/>
      <c r="F52" s="5"/>
      <c r="G52" s="7"/>
      <c r="H52" s="5"/>
      <c r="I52" s="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2.75" customHeight="1" x14ac:dyDescent="0.3">
      <c r="A53" s="3"/>
      <c r="B53" s="3"/>
      <c r="C53" s="3"/>
      <c r="D53" s="5"/>
      <c r="E53" s="5"/>
      <c r="F53" s="5"/>
      <c r="G53" s="7"/>
      <c r="H53" s="5"/>
      <c r="I53" s="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2.75" customHeight="1" x14ac:dyDescent="0.3">
      <c r="A54" s="3"/>
      <c r="B54" s="3"/>
      <c r="C54" s="3"/>
      <c r="D54" s="5"/>
      <c r="E54" s="5"/>
      <c r="F54" s="5"/>
      <c r="G54" s="7"/>
      <c r="H54" s="5"/>
      <c r="I54" s="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2.75" customHeight="1" x14ac:dyDescent="0.3">
      <c r="A55" s="3"/>
      <c r="B55" s="3"/>
      <c r="C55" s="3"/>
      <c r="D55" s="5"/>
      <c r="E55" s="5"/>
      <c r="F55" s="5"/>
      <c r="G55" s="7"/>
      <c r="H55" s="5"/>
      <c r="I55" s="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2.75" customHeight="1" x14ac:dyDescent="0.3">
      <c r="A56" s="3"/>
      <c r="B56" s="3"/>
      <c r="C56" s="3"/>
      <c r="D56" s="5"/>
      <c r="E56" s="5"/>
      <c r="F56" s="5"/>
      <c r="G56" s="7"/>
      <c r="H56" s="5"/>
      <c r="I56" s="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2.75" customHeight="1" x14ac:dyDescent="0.3">
      <c r="A57" s="3"/>
      <c r="B57" s="3"/>
      <c r="C57" s="3"/>
      <c r="D57" s="5"/>
      <c r="E57" s="5"/>
      <c r="F57" s="5"/>
      <c r="G57" s="7"/>
      <c r="H57" s="5"/>
      <c r="I57" s="3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2.75" customHeight="1" x14ac:dyDescent="0.3">
      <c r="A58" s="3"/>
      <c r="B58" s="3"/>
      <c r="C58" s="3"/>
      <c r="D58" s="5"/>
      <c r="E58" s="5"/>
      <c r="F58" s="5"/>
      <c r="G58" s="7"/>
      <c r="H58" s="5"/>
      <c r="I58" s="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2.75" customHeight="1" x14ac:dyDescent="0.3">
      <c r="A59" s="3"/>
      <c r="B59" s="3"/>
      <c r="C59" s="3"/>
      <c r="D59" s="5"/>
      <c r="E59" s="5"/>
      <c r="F59" s="5"/>
      <c r="G59" s="7"/>
      <c r="H59" s="5"/>
      <c r="I59" s="3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2.75" customHeight="1" x14ac:dyDescent="0.3">
      <c r="A60" s="3"/>
      <c r="B60" s="3"/>
      <c r="C60" s="3"/>
      <c r="D60" s="5"/>
      <c r="E60" s="5"/>
      <c r="F60" s="5"/>
      <c r="G60" s="7"/>
      <c r="H60" s="5"/>
      <c r="I60" s="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2.75" customHeight="1" x14ac:dyDescent="0.3">
      <c r="A61" s="3"/>
      <c r="B61" s="3"/>
      <c r="C61" s="3"/>
      <c r="D61" s="5"/>
      <c r="E61" s="5"/>
      <c r="F61" s="5"/>
      <c r="G61" s="7"/>
      <c r="H61" s="5"/>
      <c r="I61" s="3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2.75" customHeight="1" x14ac:dyDescent="0.3">
      <c r="A62" s="3"/>
      <c r="B62" s="3"/>
      <c r="C62" s="3"/>
      <c r="D62" s="5"/>
      <c r="E62" s="5"/>
      <c r="F62" s="5"/>
      <c r="G62" s="7"/>
      <c r="H62" s="5"/>
      <c r="I62" s="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2.75" customHeight="1" x14ac:dyDescent="0.3">
      <c r="A63" s="3"/>
      <c r="B63" s="3"/>
      <c r="C63" s="3"/>
      <c r="D63" s="5"/>
      <c r="E63" s="5"/>
      <c r="F63" s="5"/>
      <c r="G63" s="7"/>
      <c r="H63" s="5"/>
      <c r="I63" s="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2.75" customHeight="1" x14ac:dyDescent="0.3">
      <c r="A64" s="3"/>
      <c r="B64" s="3"/>
      <c r="C64" s="3"/>
      <c r="D64" s="5"/>
      <c r="E64" s="5"/>
      <c r="F64" s="5"/>
      <c r="G64" s="7"/>
      <c r="H64" s="5"/>
      <c r="I64" s="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2.75" customHeight="1" x14ac:dyDescent="0.3">
      <c r="A65" s="3"/>
      <c r="B65" s="3"/>
      <c r="C65" s="3"/>
      <c r="D65" s="5"/>
      <c r="E65" s="5"/>
      <c r="F65" s="5"/>
      <c r="G65" s="7"/>
      <c r="H65" s="5"/>
      <c r="I65" s="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2.75" customHeight="1" x14ac:dyDescent="0.3">
      <c r="A66" s="3"/>
      <c r="B66" s="3"/>
      <c r="C66" s="3"/>
      <c r="D66" s="5"/>
      <c r="E66" s="5"/>
      <c r="F66" s="5"/>
      <c r="G66" s="7"/>
      <c r="H66" s="5"/>
      <c r="I66" s="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2.75" customHeight="1" x14ac:dyDescent="0.3">
      <c r="A67" s="3"/>
      <c r="B67" s="3"/>
      <c r="C67" s="3"/>
      <c r="D67" s="5"/>
      <c r="E67" s="5"/>
      <c r="F67" s="5"/>
      <c r="G67" s="7"/>
      <c r="H67" s="5"/>
      <c r="I67" s="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2.75" customHeight="1" x14ac:dyDescent="0.3">
      <c r="A68" s="3"/>
      <c r="B68" s="3"/>
      <c r="C68" s="3"/>
      <c r="D68" s="5"/>
      <c r="E68" s="5"/>
      <c r="F68" s="5"/>
      <c r="G68" s="7"/>
      <c r="H68" s="5"/>
      <c r="I68" s="3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2.75" customHeight="1" x14ac:dyDescent="0.3">
      <c r="A69" s="3"/>
      <c r="B69" s="3"/>
      <c r="C69" s="3"/>
      <c r="D69" s="5"/>
      <c r="E69" s="5"/>
      <c r="F69" s="5"/>
      <c r="G69" s="7"/>
      <c r="H69" s="5"/>
      <c r="I69" s="3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2.75" customHeight="1" x14ac:dyDescent="0.3">
      <c r="A70" s="3"/>
      <c r="B70" s="3"/>
      <c r="C70" s="3"/>
      <c r="D70" s="5"/>
      <c r="E70" s="5"/>
      <c r="F70" s="5"/>
      <c r="G70" s="7"/>
      <c r="H70" s="5"/>
      <c r="I70" s="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2.75" customHeight="1" x14ac:dyDescent="0.3">
      <c r="A71" s="3"/>
      <c r="B71" s="3"/>
      <c r="C71" s="3"/>
      <c r="D71" s="5"/>
      <c r="E71" s="5"/>
      <c r="F71" s="5"/>
      <c r="G71" s="7"/>
      <c r="H71" s="5"/>
      <c r="I71" s="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2.75" customHeight="1" x14ac:dyDescent="0.3">
      <c r="A72" s="3"/>
      <c r="B72" s="3"/>
      <c r="C72" s="3"/>
      <c r="D72" s="5"/>
      <c r="E72" s="5"/>
      <c r="F72" s="5"/>
      <c r="G72" s="7"/>
      <c r="H72" s="5"/>
      <c r="I72" s="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2.75" customHeight="1" x14ac:dyDescent="0.3">
      <c r="A73" s="3"/>
      <c r="B73" s="3"/>
      <c r="C73" s="3"/>
      <c r="D73" s="5"/>
      <c r="E73" s="5"/>
      <c r="F73" s="5"/>
      <c r="G73" s="7"/>
      <c r="H73" s="5"/>
      <c r="I73" s="3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2.75" customHeight="1" x14ac:dyDescent="0.3">
      <c r="A74" s="3"/>
      <c r="B74" s="3"/>
      <c r="C74" s="3"/>
      <c r="D74" s="5"/>
      <c r="E74" s="5"/>
      <c r="F74" s="5"/>
      <c r="G74" s="7"/>
      <c r="H74" s="5"/>
      <c r="I74" s="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2.75" customHeight="1" x14ac:dyDescent="0.3">
      <c r="A75" s="3"/>
      <c r="B75" s="3"/>
      <c r="C75" s="3"/>
      <c r="D75" s="5"/>
      <c r="E75" s="5"/>
      <c r="F75" s="5"/>
      <c r="G75" s="7"/>
      <c r="H75" s="5"/>
      <c r="I75" s="3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2.75" customHeight="1" x14ac:dyDescent="0.3">
      <c r="A76" s="3"/>
      <c r="B76" s="3"/>
      <c r="C76" s="3"/>
      <c r="D76" s="5"/>
      <c r="E76" s="5"/>
      <c r="F76" s="5"/>
      <c r="G76" s="7"/>
      <c r="H76" s="5"/>
      <c r="I76" s="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2.75" customHeight="1" x14ac:dyDescent="0.3">
      <c r="A77" s="3"/>
      <c r="B77" s="3"/>
      <c r="C77" s="3"/>
      <c r="D77" s="5"/>
      <c r="E77" s="5"/>
      <c r="F77" s="5"/>
      <c r="G77" s="7"/>
      <c r="H77" s="5"/>
      <c r="I77" s="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2.75" customHeight="1" x14ac:dyDescent="0.3">
      <c r="A78" s="3"/>
      <c r="B78" s="3"/>
      <c r="C78" s="3"/>
      <c r="D78" s="5"/>
      <c r="E78" s="5"/>
      <c r="F78" s="5"/>
      <c r="G78" s="7"/>
      <c r="H78" s="5"/>
      <c r="I78" s="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2.75" customHeight="1" x14ac:dyDescent="0.3">
      <c r="A79" s="3"/>
      <c r="B79" s="3"/>
      <c r="C79" s="3"/>
      <c r="D79" s="5"/>
      <c r="E79" s="5"/>
      <c r="F79" s="5"/>
      <c r="G79" s="7"/>
      <c r="H79" s="5"/>
      <c r="I79" s="3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2.75" customHeight="1" x14ac:dyDescent="0.3">
      <c r="A80" s="3"/>
      <c r="B80" s="3"/>
      <c r="C80" s="3"/>
      <c r="D80" s="5"/>
      <c r="E80" s="5"/>
      <c r="F80" s="5"/>
      <c r="G80" s="7"/>
      <c r="H80" s="5"/>
      <c r="I80" s="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2.75" customHeight="1" x14ac:dyDescent="0.3">
      <c r="A81" s="3"/>
      <c r="B81" s="3"/>
      <c r="C81" s="3"/>
      <c r="D81" s="5"/>
      <c r="E81" s="5"/>
      <c r="F81" s="5"/>
      <c r="G81" s="7"/>
      <c r="H81" s="5"/>
      <c r="I81" s="3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2.75" customHeight="1" x14ac:dyDescent="0.3">
      <c r="A82" s="3"/>
      <c r="B82" s="3"/>
      <c r="C82" s="3"/>
      <c r="D82" s="5"/>
      <c r="E82" s="5"/>
      <c r="F82" s="5"/>
      <c r="G82" s="7"/>
      <c r="H82" s="5"/>
      <c r="I82" s="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2.75" customHeight="1" x14ac:dyDescent="0.3">
      <c r="A83" s="3"/>
      <c r="B83" s="3"/>
      <c r="C83" s="3"/>
      <c r="D83" s="5"/>
      <c r="E83" s="5"/>
      <c r="F83" s="5"/>
      <c r="G83" s="7"/>
      <c r="H83" s="5"/>
      <c r="I83" s="3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2.75" customHeight="1" x14ac:dyDescent="0.3">
      <c r="A84" s="3"/>
      <c r="B84" s="3"/>
      <c r="C84" s="3"/>
      <c r="D84" s="5"/>
      <c r="E84" s="5"/>
      <c r="F84" s="5"/>
      <c r="G84" s="7"/>
      <c r="H84" s="5"/>
      <c r="I84" s="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2.75" customHeight="1" x14ac:dyDescent="0.3">
      <c r="A85" s="3"/>
      <c r="B85" s="3"/>
      <c r="C85" s="3"/>
      <c r="D85" s="5"/>
      <c r="E85" s="5"/>
      <c r="F85" s="5"/>
      <c r="G85" s="7"/>
      <c r="H85" s="5"/>
      <c r="I85" s="3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2.75" customHeight="1" x14ac:dyDescent="0.3">
      <c r="A86" s="3"/>
      <c r="B86" s="3"/>
      <c r="C86" s="3"/>
      <c r="D86" s="5"/>
      <c r="E86" s="5"/>
      <c r="F86" s="5"/>
      <c r="G86" s="7"/>
      <c r="H86" s="5"/>
      <c r="I86" s="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2.75" customHeight="1" x14ac:dyDescent="0.3">
      <c r="A87" s="3"/>
      <c r="B87" s="3"/>
      <c r="C87" s="3"/>
      <c r="D87" s="5"/>
      <c r="E87" s="5"/>
      <c r="F87" s="5"/>
      <c r="G87" s="7"/>
      <c r="H87" s="5"/>
      <c r="I87" s="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2.75" customHeight="1" x14ac:dyDescent="0.3">
      <c r="A88" s="3"/>
      <c r="B88" s="3"/>
      <c r="C88" s="3"/>
      <c r="D88" s="5"/>
      <c r="E88" s="5"/>
      <c r="F88" s="5"/>
      <c r="G88" s="7"/>
      <c r="H88" s="5"/>
      <c r="I88" s="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2.75" customHeight="1" x14ac:dyDescent="0.3">
      <c r="A89" s="3"/>
      <c r="B89" s="3"/>
      <c r="C89" s="3"/>
      <c r="D89" s="5"/>
      <c r="E89" s="5"/>
      <c r="F89" s="5"/>
      <c r="G89" s="7"/>
      <c r="H89" s="5"/>
      <c r="I89" s="3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2.75" customHeight="1" x14ac:dyDescent="0.3">
      <c r="A90" s="3"/>
      <c r="B90" s="3"/>
      <c r="C90" s="3"/>
      <c r="D90" s="5"/>
      <c r="E90" s="5"/>
      <c r="F90" s="5"/>
      <c r="G90" s="7"/>
      <c r="H90" s="5"/>
      <c r="I90" s="3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2.75" customHeight="1" x14ac:dyDescent="0.3">
      <c r="A91" s="3"/>
      <c r="B91" s="3"/>
      <c r="C91" s="3"/>
      <c r="D91" s="5"/>
      <c r="E91" s="5"/>
      <c r="F91" s="5"/>
      <c r="G91" s="7"/>
      <c r="H91" s="5"/>
      <c r="I91" s="3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2.75" customHeight="1" x14ac:dyDescent="0.3">
      <c r="A92" s="3"/>
      <c r="B92" s="3"/>
      <c r="C92" s="3"/>
      <c r="D92" s="5"/>
      <c r="E92" s="5"/>
      <c r="F92" s="5"/>
      <c r="G92" s="7"/>
      <c r="H92" s="5"/>
      <c r="I92" s="3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2.75" customHeight="1" x14ac:dyDescent="0.3">
      <c r="A93" s="3"/>
      <c r="B93" s="3"/>
      <c r="C93" s="3"/>
      <c r="D93" s="5"/>
      <c r="E93" s="5"/>
      <c r="F93" s="5"/>
      <c r="G93" s="7"/>
      <c r="H93" s="5"/>
      <c r="I93" s="3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2.75" customHeight="1" x14ac:dyDescent="0.3">
      <c r="A94" s="3"/>
      <c r="B94" s="3"/>
      <c r="C94" s="3"/>
      <c r="D94" s="5"/>
      <c r="E94" s="5"/>
      <c r="F94" s="5"/>
      <c r="G94" s="7"/>
      <c r="H94" s="5"/>
      <c r="I94" s="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2.75" customHeight="1" x14ac:dyDescent="0.3">
      <c r="A95" s="3"/>
      <c r="B95" s="3"/>
      <c r="C95" s="3"/>
      <c r="D95" s="5"/>
      <c r="E95" s="5"/>
      <c r="F95" s="5"/>
      <c r="G95" s="7"/>
      <c r="H95" s="5"/>
      <c r="I95" s="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2.75" customHeight="1" x14ac:dyDescent="0.3">
      <c r="A96" s="3"/>
      <c r="B96" s="3"/>
      <c r="C96" s="3"/>
      <c r="D96" s="5"/>
      <c r="E96" s="5"/>
      <c r="F96" s="5"/>
      <c r="G96" s="7"/>
      <c r="H96" s="5"/>
      <c r="I96" s="3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2.75" customHeight="1" x14ac:dyDescent="0.3">
      <c r="A97" s="3"/>
      <c r="B97" s="3"/>
      <c r="C97" s="3"/>
      <c r="D97" s="5"/>
      <c r="E97" s="5"/>
      <c r="F97" s="5"/>
      <c r="G97" s="7"/>
      <c r="H97" s="5"/>
      <c r="I97" s="3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2.75" customHeight="1" x14ac:dyDescent="0.3">
      <c r="A98" s="3"/>
      <c r="B98" s="3"/>
      <c r="C98" s="3"/>
      <c r="D98" s="5"/>
      <c r="E98" s="5"/>
      <c r="F98" s="5"/>
      <c r="G98" s="7"/>
      <c r="H98" s="5"/>
      <c r="I98" s="3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2.75" customHeight="1" x14ac:dyDescent="0.3">
      <c r="A99" s="3"/>
      <c r="B99" s="3"/>
      <c r="C99" s="3"/>
      <c r="D99" s="5"/>
      <c r="E99" s="5"/>
      <c r="F99" s="5"/>
      <c r="G99" s="7"/>
      <c r="H99" s="5"/>
      <c r="I99" s="3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2.75" customHeight="1" x14ac:dyDescent="0.3">
      <c r="A100" s="3"/>
      <c r="B100" s="3"/>
      <c r="C100" s="3"/>
      <c r="D100" s="5"/>
      <c r="E100" s="5"/>
      <c r="F100" s="5"/>
      <c r="G100" s="7"/>
      <c r="H100" s="5"/>
      <c r="I100" s="3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2.75" customHeight="1" x14ac:dyDescent="0.3">
      <c r="A101" s="3"/>
      <c r="B101" s="3"/>
      <c r="C101" s="3"/>
      <c r="D101" s="5"/>
      <c r="E101" s="5"/>
      <c r="F101" s="5"/>
      <c r="G101" s="7"/>
      <c r="H101" s="5"/>
      <c r="I101" s="3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2.75" customHeight="1" x14ac:dyDescent="0.3">
      <c r="A102" s="3"/>
      <c r="B102" s="3"/>
      <c r="C102" s="3"/>
      <c r="D102" s="5"/>
      <c r="E102" s="5"/>
      <c r="F102" s="5"/>
      <c r="G102" s="7"/>
      <c r="H102" s="5"/>
      <c r="I102" s="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2.75" customHeight="1" x14ac:dyDescent="0.3">
      <c r="A103" s="3"/>
      <c r="B103" s="3"/>
      <c r="C103" s="3"/>
      <c r="D103" s="5"/>
      <c r="E103" s="5"/>
      <c r="F103" s="5"/>
      <c r="G103" s="7"/>
      <c r="H103" s="5"/>
      <c r="I103" s="3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2.75" customHeight="1" x14ac:dyDescent="0.3">
      <c r="A104" s="3"/>
      <c r="B104" s="3"/>
      <c r="C104" s="3"/>
      <c r="D104" s="5"/>
      <c r="E104" s="5"/>
      <c r="F104" s="5"/>
      <c r="G104" s="7"/>
      <c r="H104" s="5"/>
      <c r="I104" s="3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2.75" customHeight="1" x14ac:dyDescent="0.3">
      <c r="A105" s="3"/>
      <c r="B105" s="3"/>
      <c r="C105" s="3"/>
      <c r="D105" s="5"/>
      <c r="E105" s="5"/>
      <c r="F105" s="5"/>
      <c r="G105" s="7"/>
      <c r="H105" s="5"/>
      <c r="I105" s="3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2.75" customHeight="1" x14ac:dyDescent="0.3">
      <c r="A106" s="3"/>
      <c r="B106" s="3"/>
      <c r="C106" s="3"/>
      <c r="D106" s="5"/>
      <c r="E106" s="5"/>
      <c r="F106" s="5"/>
      <c r="G106" s="7"/>
      <c r="H106" s="5"/>
      <c r="I106" s="3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2.75" customHeight="1" x14ac:dyDescent="0.3">
      <c r="A107" s="3"/>
      <c r="B107" s="3"/>
      <c r="C107" s="3"/>
      <c r="D107" s="5"/>
      <c r="E107" s="5"/>
      <c r="F107" s="5"/>
      <c r="G107" s="7"/>
      <c r="H107" s="5"/>
      <c r="I107" s="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2.75" customHeight="1" x14ac:dyDescent="0.3">
      <c r="A108" s="3"/>
      <c r="B108" s="3"/>
      <c r="C108" s="3"/>
      <c r="D108" s="5"/>
      <c r="E108" s="5"/>
      <c r="F108" s="5"/>
      <c r="G108" s="7"/>
      <c r="H108" s="5"/>
      <c r="I108" s="3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2.75" customHeight="1" x14ac:dyDescent="0.3">
      <c r="A109" s="3"/>
      <c r="B109" s="3"/>
      <c r="C109" s="3"/>
      <c r="D109" s="5"/>
      <c r="E109" s="5"/>
      <c r="F109" s="5"/>
      <c r="G109" s="7"/>
      <c r="H109" s="5"/>
      <c r="I109" s="3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2.75" customHeight="1" x14ac:dyDescent="0.3">
      <c r="A110" s="3"/>
      <c r="B110" s="3"/>
      <c r="C110" s="3"/>
      <c r="D110" s="5"/>
      <c r="E110" s="5"/>
      <c r="F110" s="5"/>
      <c r="G110" s="7"/>
      <c r="H110" s="5"/>
      <c r="I110" s="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2.75" customHeight="1" x14ac:dyDescent="0.3">
      <c r="A111" s="3"/>
      <c r="B111" s="3"/>
      <c r="C111" s="3"/>
      <c r="D111" s="5"/>
      <c r="E111" s="5"/>
      <c r="F111" s="5"/>
      <c r="G111" s="7"/>
      <c r="H111" s="5"/>
      <c r="I111" s="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2.75" customHeight="1" x14ac:dyDescent="0.3">
      <c r="A112" s="3"/>
      <c r="B112" s="3"/>
      <c r="C112" s="3"/>
      <c r="D112" s="5"/>
      <c r="E112" s="5"/>
      <c r="F112" s="5"/>
      <c r="G112" s="7"/>
      <c r="H112" s="5"/>
      <c r="I112" s="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2.75" customHeight="1" x14ac:dyDescent="0.3">
      <c r="A113" s="3"/>
      <c r="B113" s="3"/>
      <c r="C113" s="3"/>
      <c r="D113" s="5"/>
      <c r="E113" s="5"/>
      <c r="F113" s="5"/>
      <c r="G113" s="7"/>
      <c r="H113" s="5"/>
      <c r="I113" s="3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2.75" customHeight="1" x14ac:dyDescent="0.3">
      <c r="A114" s="3"/>
      <c r="B114" s="3"/>
      <c r="C114" s="3"/>
      <c r="D114" s="5"/>
      <c r="E114" s="5"/>
      <c r="F114" s="5"/>
      <c r="G114" s="7"/>
      <c r="H114" s="5"/>
      <c r="I114" s="3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2.75" customHeight="1" x14ac:dyDescent="0.3">
      <c r="A115" s="3"/>
      <c r="B115" s="3"/>
      <c r="C115" s="3"/>
      <c r="D115" s="5"/>
      <c r="E115" s="5"/>
      <c r="F115" s="5"/>
      <c r="G115" s="7"/>
      <c r="H115" s="5"/>
      <c r="I115" s="3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2.75" customHeight="1" x14ac:dyDescent="0.3">
      <c r="A116" s="3"/>
      <c r="B116" s="3"/>
      <c r="C116" s="3"/>
      <c r="D116" s="5"/>
      <c r="E116" s="5"/>
      <c r="F116" s="5"/>
      <c r="G116" s="7"/>
      <c r="H116" s="5"/>
      <c r="I116" s="3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2.75" customHeight="1" x14ac:dyDescent="0.3">
      <c r="A117" s="3"/>
      <c r="B117" s="3"/>
      <c r="C117" s="3"/>
      <c r="D117" s="5"/>
      <c r="E117" s="5"/>
      <c r="F117" s="5"/>
      <c r="G117" s="7"/>
      <c r="H117" s="5"/>
      <c r="I117" s="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2.75" customHeight="1" x14ac:dyDescent="0.3">
      <c r="A118" s="3"/>
      <c r="B118" s="3"/>
      <c r="C118" s="3"/>
      <c r="D118" s="5"/>
      <c r="E118" s="5"/>
      <c r="F118" s="5"/>
      <c r="G118" s="7"/>
      <c r="H118" s="5"/>
      <c r="I118" s="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2.75" customHeight="1" x14ac:dyDescent="0.3">
      <c r="A119" s="3"/>
      <c r="B119" s="3"/>
      <c r="C119" s="3"/>
      <c r="D119" s="5"/>
      <c r="E119" s="5"/>
      <c r="F119" s="5"/>
      <c r="G119" s="7"/>
      <c r="H119" s="5"/>
      <c r="I119" s="3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2.75" customHeight="1" x14ac:dyDescent="0.3">
      <c r="A120" s="3"/>
      <c r="B120" s="3"/>
      <c r="C120" s="3"/>
      <c r="D120" s="5"/>
      <c r="E120" s="5"/>
      <c r="F120" s="5"/>
      <c r="G120" s="7"/>
      <c r="H120" s="5"/>
      <c r="I120" s="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2.75" customHeight="1" x14ac:dyDescent="0.3">
      <c r="A121" s="3"/>
      <c r="B121" s="3"/>
      <c r="C121" s="3"/>
      <c r="D121" s="5"/>
      <c r="E121" s="5"/>
      <c r="F121" s="5"/>
      <c r="G121" s="7"/>
      <c r="H121" s="5"/>
      <c r="I121" s="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2.75" customHeight="1" x14ac:dyDescent="0.3">
      <c r="A122" s="3"/>
      <c r="B122" s="3"/>
      <c r="C122" s="3"/>
      <c r="D122" s="5"/>
      <c r="E122" s="5"/>
      <c r="F122" s="5"/>
      <c r="G122" s="7"/>
      <c r="H122" s="5"/>
      <c r="I122" s="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2.75" customHeight="1" x14ac:dyDescent="0.3">
      <c r="A123" s="3"/>
      <c r="B123" s="3"/>
      <c r="C123" s="3"/>
      <c r="D123" s="5"/>
      <c r="E123" s="5"/>
      <c r="F123" s="5"/>
      <c r="G123" s="7"/>
      <c r="H123" s="5"/>
      <c r="I123" s="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2.75" customHeight="1" x14ac:dyDescent="0.3">
      <c r="A124" s="3"/>
      <c r="B124" s="3"/>
      <c r="C124" s="3"/>
      <c r="D124" s="5"/>
      <c r="E124" s="5"/>
      <c r="F124" s="5"/>
      <c r="G124" s="7"/>
      <c r="H124" s="5"/>
      <c r="I124" s="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2.75" customHeight="1" x14ac:dyDescent="0.3">
      <c r="A125" s="3"/>
      <c r="B125" s="3"/>
      <c r="C125" s="3"/>
      <c r="D125" s="5"/>
      <c r="E125" s="5"/>
      <c r="F125" s="5"/>
      <c r="G125" s="7"/>
      <c r="H125" s="5"/>
      <c r="I125" s="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2.75" customHeight="1" x14ac:dyDescent="0.3">
      <c r="A126" s="3"/>
      <c r="B126" s="3"/>
      <c r="C126" s="3"/>
      <c r="D126" s="5"/>
      <c r="E126" s="5"/>
      <c r="F126" s="5"/>
      <c r="G126" s="7"/>
      <c r="H126" s="5"/>
      <c r="I126" s="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2.75" customHeight="1" x14ac:dyDescent="0.3">
      <c r="A127" s="3"/>
      <c r="B127" s="3"/>
      <c r="C127" s="3"/>
      <c r="D127" s="5"/>
      <c r="E127" s="5"/>
      <c r="F127" s="5"/>
      <c r="G127" s="7"/>
      <c r="H127" s="5"/>
      <c r="I127" s="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2.75" customHeight="1" x14ac:dyDescent="0.3">
      <c r="A128" s="3"/>
      <c r="B128" s="3"/>
      <c r="C128" s="3"/>
      <c r="D128" s="5"/>
      <c r="E128" s="5"/>
      <c r="F128" s="5"/>
      <c r="G128" s="7"/>
      <c r="H128" s="5"/>
      <c r="I128" s="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2.75" customHeight="1" x14ac:dyDescent="0.3">
      <c r="A129" s="3"/>
      <c r="B129" s="3"/>
      <c r="C129" s="3"/>
      <c r="D129" s="5"/>
      <c r="E129" s="5"/>
      <c r="F129" s="5"/>
      <c r="G129" s="7"/>
      <c r="H129" s="5"/>
      <c r="I129" s="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2.75" customHeight="1" x14ac:dyDescent="0.3">
      <c r="A130" s="3"/>
      <c r="B130" s="3"/>
      <c r="C130" s="3"/>
      <c r="D130" s="5"/>
      <c r="E130" s="5"/>
      <c r="F130" s="5"/>
      <c r="G130" s="7"/>
      <c r="H130" s="5"/>
      <c r="I130" s="3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2.75" customHeight="1" x14ac:dyDescent="0.3">
      <c r="A131" s="3"/>
      <c r="B131" s="3"/>
      <c r="C131" s="3"/>
      <c r="D131" s="5"/>
      <c r="E131" s="5"/>
      <c r="F131" s="5"/>
      <c r="G131" s="7"/>
      <c r="H131" s="5"/>
      <c r="I131" s="3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2.75" customHeight="1" x14ac:dyDescent="0.3">
      <c r="A132" s="3"/>
      <c r="B132" s="3"/>
      <c r="C132" s="3"/>
      <c r="D132" s="5"/>
      <c r="E132" s="5"/>
      <c r="F132" s="5"/>
      <c r="G132" s="7"/>
      <c r="H132" s="5"/>
      <c r="I132" s="3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2.75" customHeight="1" x14ac:dyDescent="0.3">
      <c r="A133" s="3"/>
      <c r="B133" s="3"/>
      <c r="C133" s="3"/>
      <c r="D133" s="5"/>
      <c r="E133" s="5"/>
      <c r="F133" s="5"/>
      <c r="G133" s="7"/>
      <c r="H133" s="5"/>
      <c r="I133" s="3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2.75" customHeight="1" x14ac:dyDescent="0.3">
      <c r="A134" s="3"/>
      <c r="B134" s="3"/>
      <c r="C134" s="3"/>
      <c r="D134" s="5"/>
      <c r="E134" s="5"/>
      <c r="F134" s="5"/>
      <c r="G134" s="7"/>
      <c r="H134" s="5"/>
      <c r="I134" s="3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2.75" customHeight="1" x14ac:dyDescent="0.3">
      <c r="A135" s="3"/>
      <c r="B135" s="3"/>
      <c r="C135" s="3"/>
      <c r="D135" s="5"/>
      <c r="E135" s="5"/>
      <c r="F135" s="5"/>
      <c r="G135" s="7"/>
      <c r="H135" s="5"/>
      <c r="I135" s="3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2.75" customHeight="1" x14ac:dyDescent="0.3">
      <c r="A136" s="3"/>
      <c r="B136" s="3"/>
      <c r="C136" s="3"/>
      <c r="D136" s="5"/>
      <c r="E136" s="5"/>
      <c r="F136" s="5"/>
      <c r="G136" s="7"/>
      <c r="H136" s="5"/>
      <c r="I136" s="3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2.75" customHeight="1" x14ac:dyDescent="0.3">
      <c r="A137" s="3"/>
      <c r="B137" s="3"/>
      <c r="C137" s="3"/>
      <c r="D137" s="5"/>
      <c r="E137" s="5"/>
      <c r="F137" s="5"/>
      <c r="G137" s="7"/>
      <c r="H137" s="5"/>
      <c r="I137" s="3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2.75" customHeight="1" x14ac:dyDescent="0.3">
      <c r="A138" s="3"/>
      <c r="B138" s="3"/>
      <c r="C138" s="3"/>
      <c r="D138" s="5"/>
      <c r="E138" s="5"/>
      <c r="F138" s="5"/>
      <c r="G138" s="7"/>
      <c r="H138" s="5"/>
      <c r="I138" s="3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2.75" customHeight="1" x14ac:dyDescent="0.3">
      <c r="A139" s="3"/>
      <c r="B139" s="3"/>
      <c r="C139" s="3"/>
      <c r="D139" s="5"/>
      <c r="E139" s="5"/>
      <c r="F139" s="5"/>
      <c r="G139" s="7"/>
      <c r="H139" s="5"/>
      <c r="I139" s="3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2.75" customHeight="1" x14ac:dyDescent="0.3">
      <c r="A140" s="3"/>
      <c r="B140" s="3"/>
      <c r="C140" s="3"/>
      <c r="D140" s="5"/>
      <c r="E140" s="5"/>
      <c r="F140" s="5"/>
      <c r="G140" s="7"/>
      <c r="H140" s="5"/>
      <c r="I140" s="3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2.75" customHeight="1" x14ac:dyDescent="0.3">
      <c r="A141" s="3"/>
      <c r="B141" s="3"/>
      <c r="C141" s="3"/>
      <c r="D141" s="5"/>
      <c r="E141" s="5"/>
      <c r="F141" s="5"/>
      <c r="G141" s="7"/>
      <c r="H141" s="5"/>
      <c r="I141" s="3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2.75" customHeight="1" x14ac:dyDescent="0.3">
      <c r="A142" s="3"/>
      <c r="B142" s="3"/>
      <c r="C142" s="3"/>
      <c r="D142" s="5"/>
      <c r="E142" s="5"/>
      <c r="F142" s="5"/>
      <c r="G142" s="7"/>
      <c r="H142" s="5"/>
      <c r="I142" s="3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2.75" customHeight="1" x14ac:dyDescent="0.3">
      <c r="A143" s="3"/>
      <c r="B143" s="3"/>
      <c r="C143" s="3"/>
      <c r="D143" s="5"/>
      <c r="E143" s="5"/>
      <c r="F143" s="5"/>
      <c r="G143" s="7"/>
      <c r="H143" s="5"/>
      <c r="I143" s="3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2.75" customHeight="1" x14ac:dyDescent="0.3">
      <c r="A144" s="3"/>
      <c r="B144" s="3"/>
      <c r="C144" s="3"/>
      <c r="D144" s="5"/>
      <c r="E144" s="5"/>
      <c r="F144" s="5"/>
      <c r="G144" s="7"/>
      <c r="H144" s="5"/>
      <c r="I144" s="3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2.75" customHeight="1" x14ac:dyDescent="0.3">
      <c r="A145" s="3"/>
      <c r="B145" s="3"/>
      <c r="C145" s="3"/>
      <c r="D145" s="5"/>
      <c r="E145" s="5"/>
      <c r="F145" s="5"/>
      <c r="G145" s="7"/>
      <c r="H145" s="5"/>
      <c r="I145" s="3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2.75" customHeight="1" x14ac:dyDescent="0.3">
      <c r="A146" s="3"/>
      <c r="B146" s="3"/>
      <c r="C146" s="3"/>
      <c r="D146" s="5"/>
      <c r="E146" s="5"/>
      <c r="F146" s="5"/>
      <c r="G146" s="7"/>
      <c r="H146" s="5"/>
      <c r="I146" s="3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2.75" customHeight="1" x14ac:dyDescent="0.3">
      <c r="A147" s="3"/>
      <c r="B147" s="3"/>
      <c r="C147" s="3"/>
      <c r="D147" s="5"/>
      <c r="E147" s="5"/>
      <c r="F147" s="5"/>
      <c r="G147" s="7"/>
      <c r="H147" s="5"/>
      <c r="I147" s="3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2.75" customHeight="1" x14ac:dyDescent="0.3">
      <c r="A148" s="3"/>
      <c r="B148" s="3"/>
      <c r="C148" s="3"/>
      <c r="D148" s="5"/>
      <c r="E148" s="5"/>
      <c r="F148" s="5"/>
      <c r="G148" s="7"/>
      <c r="H148" s="5"/>
      <c r="I148" s="3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2.75" customHeight="1" x14ac:dyDescent="0.3">
      <c r="A149" s="3"/>
      <c r="B149" s="3"/>
      <c r="C149" s="3"/>
      <c r="D149" s="5"/>
      <c r="E149" s="5"/>
      <c r="F149" s="5"/>
      <c r="G149" s="7"/>
      <c r="H149" s="5"/>
      <c r="I149" s="3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2.75" customHeight="1" x14ac:dyDescent="0.3">
      <c r="A150" s="3"/>
      <c r="B150" s="3"/>
      <c r="C150" s="3"/>
      <c r="D150" s="5"/>
      <c r="E150" s="5"/>
      <c r="F150" s="5"/>
      <c r="G150" s="7"/>
      <c r="H150" s="5"/>
      <c r="I150" s="3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2.75" customHeight="1" x14ac:dyDescent="0.3">
      <c r="A151" s="3"/>
      <c r="B151" s="3"/>
      <c r="C151" s="3"/>
      <c r="D151" s="5"/>
      <c r="E151" s="5"/>
      <c r="F151" s="5"/>
      <c r="G151" s="7"/>
      <c r="H151" s="5"/>
      <c r="I151" s="3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2.75" customHeight="1" x14ac:dyDescent="0.3">
      <c r="A152" s="3"/>
      <c r="B152" s="3"/>
      <c r="C152" s="3"/>
      <c r="D152" s="5"/>
      <c r="E152" s="5"/>
      <c r="F152" s="5"/>
      <c r="G152" s="7"/>
      <c r="H152" s="5"/>
      <c r="I152" s="3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2.75" customHeight="1" x14ac:dyDescent="0.3">
      <c r="A153" s="3"/>
      <c r="B153" s="3"/>
      <c r="C153" s="3"/>
      <c r="D153" s="5"/>
      <c r="E153" s="5"/>
      <c r="F153" s="5"/>
      <c r="G153" s="7"/>
      <c r="H153" s="5"/>
      <c r="I153" s="3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2.75" customHeight="1" x14ac:dyDescent="0.3">
      <c r="A154" s="3"/>
      <c r="B154" s="3"/>
      <c r="C154" s="3"/>
      <c r="D154" s="5"/>
      <c r="E154" s="5"/>
      <c r="F154" s="5"/>
      <c r="G154" s="7"/>
      <c r="H154" s="5"/>
      <c r="I154" s="3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2.75" customHeight="1" x14ac:dyDescent="0.3">
      <c r="A155" s="3"/>
      <c r="B155" s="3"/>
      <c r="C155" s="3"/>
      <c r="D155" s="5"/>
      <c r="E155" s="5"/>
      <c r="F155" s="5"/>
      <c r="G155" s="7"/>
      <c r="H155" s="5"/>
      <c r="I155" s="3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2.75" customHeight="1" x14ac:dyDescent="0.3">
      <c r="A156" s="3"/>
      <c r="B156" s="3"/>
      <c r="C156" s="3"/>
      <c r="D156" s="5"/>
      <c r="E156" s="5"/>
      <c r="F156" s="5"/>
      <c r="G156" s="7"/>
      <c r="H156" s="5"/>
      <c r="I156" s="3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2.75" customHeight="1" x14ac:dyDescent="0.3">
      <c r="A157" s="3"/>
      <c r="B157" s="3"/>
      <c r="C157" s="3"/>
      <c r="D157" s="5"/>
      <c r="E157" s="5"/>
      <c r="F157" s="5"/>
      <c r="G157" s="7"/>
      <c r="H157" s="5"/>
      <c r="I157" s="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2.75" customHeight="1" x14ac:dyDescent="0.3">
      <c r="A158" s="3"/>
      <c r="B158" s="3"/>
      <c r="C158" s="3"/>
      <c r="D158" s="5"/>
      <c r="E158" s="5"/>
      <c r="F158" s="5"/>
      <c r="G158" s="7"/>
      <c r="H158" s="5"/>
      <c r="I158" s="3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2.75" customHeight="1" x14ac:dyDescent="0.3">
      <c r="A159" s="3"/>
      <c r="B159" s="3"/>
      <c r="C159" s="3"/>
      <c r="D159" s="5"/>
      <c r="E159" s="5"/>
      <c r="F159" s="5"/>
      <c r="G159" s="7"/>
      <c r="H159" s="5"/>
      <c r="I159" s="3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2.75" customHeight="1" x14ac:dyDescent="0.3">
      <c r="A160" s="3"/>
      <c r="B160" s="3"/>
      <c r="C160" s="3"/>
      <c r="D160" s="5"/>
      <c r="E160" s="5"/>
      <c r="F160" s="5"/>
      <c r="G160" s="7"/>
      <c r="H160" s="5"/>
      <c r="I160" s="3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2.75" customHeight="1" x14ac:dyDescent="0.3">
      <c r="A161" s="3"/>
      <c r="B161" s="3"/>
      <c r="C161" s="3"/>
      <c r="D161" s="5"/>
      <c r="E161" s="5"/>
      <c r="F161" s="5"/>
      <c r="G161" s="7"/>
      <c r="H161" s="5"/>
      <c r="I161" s="3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2.75" customHeight="1" x14ac:dyDescent="0.3">
      <c r="A162" s="3"/>
      <c r="B162" s="3"/>
      <c r="C162" s="3"/>
      <c r="D162" s="5"/>
      <c r="E162" s="5"/>
      <c r="F162" s="5"/>
      <c r="G162" s="7"/>
      <c r="H162" s="5"/>
      <c r="I162" s="3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2.75" customHeight="1" x14ac:dyDescent="0.3">
      <c r="A163" s="3"/>
      <c r="B163" s="3"/>
      <c r="C163" s="3"/>
      <c r="D163" s="5"/>
      <c r="E163" s="5"/>
      <c r="F163" s="5"/>
      <c r="G163" s="7"/>
      <c r="H163" s="5"/>
      <c r="I163" s="3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2.75" customHeight="1" x14ac:dyDescent="0.3">
      <c r="A164" s="3"/>
      <c r="B164" s="3"/>
      <c r="C164" s="3"/>
      <c r="D164" s="5"/>
      <c r="E164" s="5"/>
      <c r="F164" s="5"/>
      <c r="G164" s="7"/>
      <c r="H164" s="5"/>
      <c r="I164" s="3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2.75" customHeight="1" x14ac:dyDescent="0.3">
      <c r="A165" s="3"/>
      <c r="B165" s="3"/>
      <c r="C165" s="3"/>
      <c r="D165" s="5"/>
      <c r="E165" s="5"/>
      <c r="F165" s="5"/>
      <c r="G165" s="7"/>
      <c r="H165" s="5"/>
      <c r="I165" s="3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2.75" customHeight="1" x14ac:dyDescent="0.3">
      <c r="A166" s="3"/>
      <c r="B166" s="3"/>
      <c r="C166" s="3"/>
      <c r="D166" s="5"/>
      <c r="E166" s="5"/>
      <c r="F166" s="5"/>
      <c r="G166" s="7"/>
      <c r="H166" s="5"/>
      <c r="I166" s="3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2.75" customHeight="1" x14ac:dyDescent="0.3">
      <c r="A167" s="3"/>
      <c r="B167" s="3"/>
      <c r="C167" s="3"/>
      <c r="D167" s="5"/>
      <c r="E167" s="5"/>
      <c r="F167" s="5"/>
      <c r="G167" s="7"/>
      <c r="H167" s="5"/>
      <c r="I167" s="3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2.75" customHeight="1" x14ac:dyDescent="0.3">
      <c r="A168" s="3"/>
      <c r="B168" s="3"/>
      <c r="C168" s="3"/>
      <c r="D168" s="5"/>
      <c r="E168" s="5"/>
      <c r="F168" s="5"/>
      <c r="G168" s="7"/>
      <c r="H168" s="5"/>
      <c r="I168" s="3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2.75" customHeight="1" x14ac:dyDescent="0.3">
      <c r="A169" s="3"/>
      <c r="B169" s="3"/>
      <c r="C169" s="3"/>
      <c r="D169" s="5"/>
      <c r="E169" s="5"/>
      <c r="F169" s="5"/>
      <c r="G169" s="7"/>
      <c r="H169" s="5"/>
      <c r="I169" s="3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2.75" customHeight="1" x14ac:dyDescent="0.3">
      <c r="A170" s="3"/>
      <c r="B170" s="3"/>
      <c r="C170" s="3"/>
      <c r="D170" s="5"/>
      <c r="E170" s="5"/>
      <c r="F170" s="5"/>
      <c r="G170" s="7"/>
      <c r="H170" s="5"/>
      <c r="I170" s="3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2.75" customHeight="1" x14ac:dyDescent="0.3">
      <c r="A171" s="3"/>
      <c r="B171" s="3"/>
      <c r="C171" s="3"/>
      <c r="D171" s="5"/>
      <c r="E171" s="5"/>
      <c r="F171" s="5"/>
      <c r="G171" s="7"/>
      <c r="H171" s="5"/>
      <c r="I171" s="3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2.75" customHeight="1" x14ac:dyDescent="0.3">
      <c r="A172" s="3"/>
      <c r="B172" s="3"/>
      <c r="C172" s="3"/>
      <c r="D172" s="5"/>
      <c r="E172" s="5"/>
      <c r="F172" s="5"/>
      <c r="G172" s="7"/>
      <c r="H172" s="5"/>
      <c r="I172" s="3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2.75" customHeight="1" x14ac:dyDescent="0.3">
      <c r="A173" s="3"/>
      <c r="B173" s="3"/>
      <c r="C173" s="3"/>
      <c r="D173" s="5"/>
      <c r="E173" s="5"/>
      <c r="F173" s="5"/>
      <c r="G173" s="7"/>
      <c r="H173" s="5"/>
      <c r="I173" s="3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2.75" customHeight="1" x14ac:dyDescent="0.3">
      <c r="A174" s="3"/>
      <c r="B174" s="3"/>
      <c r="C174" s="3"/>
      <c r="D174" s="5"/>
      <c r="E174" s="5"/>
      <c r="F174" s="5"/>
      <c r="G174" s="7"/>
      <c r="H174" s="5"/>
      <c r="I174" s="3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2.75" customHeight="1" x14ac:dyDescent="0.3">
      <c r="A175" s="3"/>
      <c r="B175" s="3"/>
      <c r="C175" s="3"/>
      <c r="D175" s="5"/>
      <c r="E175" s="5"/>
      <c r="F175" s="5"/>
      <c r="G175" s="7"/>
      <c r="H175" s="5"/>
      <c r="I175" s="3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2.75" customHeight="1" x14ac:dyDescent="0.3">
      <c r="A176" s="3"/>
      <c r="B176" s="3"/>
      <c r="C176" s="3"/>
      <c r="D176" s="5"/>
      <c r="E176" s="5"/>
      <c r="F176" s="5"/>
      <c r="G176" s="7"/>
      <c r="H176" s="5"/>
      <c r="I176" s="3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2.75" customHeight="1" x14ac:dyDescent="0.3">
      <c r="A177" s="3"/>
      <c r="B177" s="3"/>
      <c r="C177" s="3"/>
      <c r="D177" s="5"/>
      <c r="E177" s="5"/>
      <c r="F177" s="5"/>
      <c r="G177" s="7"/>
      <c r="H177" s="5"/>
      <c r="I177" s="3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2.75" customHeight="1" x14ac:dyDescent="0.3">
      <c r="A178" s="3"/>
      <c r="B178" s="3"/>
      <c r="C178" s="3"/>
      <c r="D178" s="5"/>
      <c r="E178" s="5"/>
      <c r="F178" s="5"/>
      <c r="G178" s="7"/>
      <c r="H178" s="5"/>
      <c r="I178" s="3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2.75" customHeight="1" x14ac:dyDescent="0.3">
      <c r="A179" s="3"/>
      <c r="B179" s="3"/>
      <c r="C179" s="3"/>
      <c r="D179" s="5"/>
      <c r="E179" s="5"/>
      <c r="F179" s="5"/>
      <c r="G179" s="7"/>
      <c r="H179" s="5"/>
      <c r="I179" s="3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2.75" customHeight="1" x14ac:dyDescent="0.3">
      <c r="A180" s="3"/>
      <c r="B180" s="3"/>
      <c r="C180" s="3"/>
      <c r="D180" s="5"/>
      <c r="E180" s="5"/>
      <c r="F180" s="5"/>
      <c r="G180" s="7"/>
      <c r="H180" s="5"/>
      <c r="I180" s="3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2.75" customHeight="1" x14ac:dyDescent="0.3">
      <c r="A181" s="3"/>
      <c r="B181" s="3"/>
      <c r="C181" s="3"/>
      <c r="D181" s="5"/>
      <c r="E181" s="5"/>
      <c r="F181" s="5"/>
      <c r="G181" s="7"/>
      <c r="H181" s="5"/>
      <c r="I181" s="3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2.75" customHeight="1" x14ac:dyDescent="0.3">
      <c r="A182" s="3"/>
      <c r="B182" s="3"/>
      <c r="C182" s="3"/>
      <c r="D182" s="5"/>
      <c r="E182" s="5"/>
      <c r="F182" s="5"/>
      <c r="G182" s="7"/>
      <c r="H182" s="5"/>
      <c r="I182" s="3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2.75" customHeight="1" x14ac:dyDescent="0.3">
      <c r="A183" s="3"/>
      <c r="B183" s="3"/>
      <c r="C183" s="3"/>
      <c r="D183" s="5"/>
      <c r="E183" s="5"/>
      <c r="F183" s="5"/>
      <c r="G183" s="7"/>
      <c r="H183" s="5"/>
      <c r="I183" s="3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2.75" customHeight="1" x14ac:dyDescent="0.3">
      <c r="A184" s="3"/>
      <c r="B184" s="3"/>
      <c r="C184" s="3"/>
      <c r="D184" s="5"/>
      <c r="E184" s="5"/>
      <c r="F184" s="5"/>
      <c r="G184" s="7"/>
      <c r="H184" s="5"/>
      <c r="I184" s="3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2.75" customHeight="1" x14ac:dyDescent="0.3">
      <c r="A185" s="3"/>
      <c r="B185" s="3"/>
      <c r="C185" s="3"/>
      <c r="D185" s="5"/>
      <c r="E185" s="5"/>
      <c r="F185" s="5"/>
      <c r="G185" s="7"/>
      <c r="H185" s="5"/>
      <c r="I185" s="3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2.75" customHeight="1" x14ac:dyDescent="0.3">
      <c r="A186" s="3"/>
      <c r="B186" s="3"/>
      <c r="C186" s="3"/>
      <c r="D186" s="5"/>
      <c r="E186" s="5"/>
      <c r="F186" s="5"/>
      <c r="G186" s="7"/>
      <c r="H186" s="5"/>
      <c r="I186" s="3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2.75" customHeight="1" x14ac:dyDescent="0.3">
      <c r="A187" s="3"/>
      <c r="B187" s="3"/>
      <c r="C187" s="3"/>
      <c r="D187" s="5"/>
      <c r="E187" s="5"/>
      <c r="F187" s="5"/>
      <c r="G187" s="7"/>
      <c r="H187" s="5"/>
      <c r="I187" s="3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2.75" customHeight="1" x14ac:dyDescent="0.3">
      <c r="A188" s="3"/>
      <c r="B188" s="3"/>
      <c r="C188" s="3"/>
      <c r="D188" s="5"/>
      <c r="E188" s="5"/>
      <c r="F188" s="5"/>
      <c r="G188" s="7"/>
      <c r="H188" s="5"/>
      <c r="I188" s="3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2.75" customHeight="1" x14ac:dyDescent="0.3">
      <c r="A189" s="3"/>
      <c r="B189" s="3"/>
      <c r="C189" s="3"/>
      <c r="D189" s="5"/>
      <c r="E189" s="5"/>
      <c r="F189" s="5"/>
      <c r="G189" s="7"/>
      <c r="H189" s="5"/>
      <c r="I189" s="3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2.75" customHeight="1" x14ac:dyDescent="0.3">
      <c r="A190" s="3"/>
      <c r="B190" s="3"/>
      <c r="C190" s="3"/>
      <c r="D190" s="5"/>
      <c r="E190" s="5"/>
      <c r="F190" s="5"/>
      <c r="G190" s="7"/>
      <c r="H190" s="5"/>
      <c r="I190" s="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2.75" customHeight="1" x14ac:dyDescent="0.3">
      <c r="A191" s="3"/>
      <c r="B191" s="3"/>
      <c r="C191" s="3"/>
      <c r="D191" s="5"/>
      <c r="E191" s="5"/>
      <c r="F191" s="5"/>
      <c r="G191" s="7"/>
      <c r="H191" s="5"/>
      <c r="I191" s="3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2.75" customHeight="1" x14ac:dyDescent="0.3">
      <c r="A192" s="3"/>
      <c r="B192" s="3"/>
      <c r="C192" s="3"/>
      <c r="D192" s="5"/>
      <c r="E192" s="5"/>
      <c r="F192" s="5"/>
      <c r="G192" s="7"/>
      <c r="H192" s="5"/>
      <c r="I192" s="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2.75" customHeight="1" x14ac:dyDescent="0.3">
      <c r="A193" s="3"/>
      <c r="B193" s="3"/>
      <c r="C193" s="3"/>
      <c r="D193" s="5"/>
      <c r="E193" s="5"/>
      <c r="F193" s="5"/>
      <c r="G193" s="7"/>
      <c r="H193" s="5"/>
      <c r="I193" s="3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2.75" customHeight="1" x14ac:dyDescent="0.3">
      <c r="A194" s="3"/>
      <c r="B194" s="3"/>
      <c r="C194" s="3"/>
      <c r="D194" s="5"/>
      <c r="E194" s="5"/>
      <c r="F194" s="5"/>
      <c r="G194" s="7"/>
      <c r="H194" s="5"/>
      <c r="I194" s="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2.75" customHeight="1" x14ac:dyDescent="0.3">
      <c r="A195" s="3"/>
      <c r="B195" s="3"/>
      <c r="C195" s="3"/>
      <c r="D195" s="5"/>
      <c r="E195" s="5"/>
      <c r="F195" s="5"/>
      <c r="G195" s="7"/>
      <c r="H195" s="5"/>
      <c r="I195" s="3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2.75" customHeight="1" x14ac:dyDescent="0.3">
      <c r="A196" s="3"/>
      <c r="B196" s="3"/>
      <c r="C196" s="3"/>
      <c r="D196" s="5"/>
      <c r="E196" s="5"/>
      <c r="F196" s="5"/>
      <c r="G196" s="7"/>
      <c r="H196" s="5"/>
      <c r="I196" s="3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2.75" customHeight="1" x14ac:dyDescent="0.3">
      <c r="A197" s="3"/>
      <c r="B197" s="3"/>
      <c r="C197" s="3"/>
      <c r="D197" s="5"/>
      <c r="E197" s="5"/>
      <c r="F197" s="5"/>
      <c r="G197" s="7"/>
      <c r="H197" s="5"/>
      <c r="I197" s="3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2.75" customHeight="1" x14ac:dyDescent="0.3">
      <c r="A198" s="3"/>
      <c r="B198" s="3"/>
      <c r="C198" s="3"/>
      <c r="D198" s="5"/>
      <c r="E198" s="5"/>
      <c r="F198" s="5"/>
      <c r="G198" s="7"/>
      <c r="H198" s="5"/>
      <c r="I198" s="3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2.75" customHeight="1" x14ac:dyDescent="0.3">
      <c r="A199" s="3"/>
      <c r="B199" s="3"/>
      <c r="C199" s="3"/>
      <c r="D199" s="5"/>
      <c r="E199" s="5"/>
      <c r="F199" s="5"/>
      <c r="G199" s="7"/>
      <c r="H199" s="5"/>
      <c r="I199" s="3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2.75" customHeight="1" x14ac:dyDescent="0.3">
      <c r="A200" s="3"/>
      <c r="B200" s="3"/>
      <c r="C200" s="3"/>
      <c r="D200" s="5"/>
      <c r="E200" s="5"/>
      <c r="F200" s="5"/>
      <c r="G200" s="7"/>
      <c r="H200" s="5"/>
      <c r="I200" s="3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2.75" customHeight="1" x14ac:dyDescent="0.3">
      <c r="A201" s="3"/>
      <c r="B201" s="3"/>
      <c r="C201" s="3"/>
      <c r="D201" s="5"/>
      <c r="E201" s="5"/>
      <c r="F201" s="5"/>
      <c r="G201" s="7"/>
      <c r="H201" s="5"/>
      <c r="I201" s="3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2.75" customHeight="1" x14ac:dyDescent="0.3">
      <c r="A202" s="3"/>
      <c r="B202" s="3"/>
      <c r="C202" s="3"/>
      <c r="D202" s="5"/>
      <c r="E202" s="5"/>
      <c r="F202" s="5"/>
      <c r="G202" s="7"/>
      <c r="H202" s="5"/>
      <c r="I202" s="3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2.75" customHeight="1" x14ac:dyDescent="0.3">
      <c r="A203" s="3"/>
      <c r="B203" s="3"/>
      <c r="C203" s="3"/>
      <c r="D203" s="5"/>
      <c r="E203" s="5"/>
      <c r="F203" s="5"/>
      <c r="G203" s="7"/>
      <c r="H203" s="5"/>
      <c r="I203" s="3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2.75" customHeight="1" x14ac:dyDescent="0.3">
      <c r="A204" s="3"/>
      <c r="B204" s="3"/>
      <c r="C204" s="3"/>
      <c r="D204" s="5"/>
      <c r="E204" s="5"/>
      <c r="F204" s="5"/>
      <c r="G204" s="7"/>
      <c r="H204" s="5"/>
      <c r="I204" s="3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2.75" customHeight="1" x14ac:dyDescent="0.3">
      <c r="A205" s="3"/>
      <c r="B205" s="3"/>
      <c r="C205" s="3"/>
      <c r="D205" s="5"/>
      <c r="E205" s="5"/>
      <c r="F205" s="5"/>
      <c r="G205" s="7"/>
      <c r="H205" s="5"/>
      <c r="I205" s="3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2.75" customHeight="1" x14ac:dyDescent="0.3">
      <c r="A206" s="3"/>
      <c r="B206" s="3"/>
      <c r="C206" s="3"/>
      <c r="D206" s="5"/>
      <c r="E206" s="5"/>
      <c r="F206" s="5"/>
      <c r="G206" s="7"/>
      <c r="H206" s="5"/>
      <c r="I206" s="3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2.75" customHeight="1" x14ac:dyDescent="0.3">
      <c r="A207" s="3"/>
      <c r="B207" s="3"/>
      <c r="C207" s="3"/>
      <c r="D207" s="5"/>
      <c r="E207" s="5"/>
      <c r="F207" s="5"/>
      <c r="G207" s="7"/>
      <c r="H207" s="5"/>
      <c r="I207" s="3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2.75" customHeight="1" x14ac:dyDescent="0.3">
      <c r="A208" s="3"/>
      <c r="B208" s="3"/>
      <c r="C208" s="3"/>
      <c r="D208" s="5"/>
      <c r="E208" s="5"/>
      <c r="F208" s="5"/>
      <c r="G208" s="7"/>
      <c r="H208" s="5"/>
      <c r="I208" s="3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2.75" customHeight="1" x14ac:dyDescent="0.3">
      <c r="A209" s="3"/>
      <c r="B209" s="3"/>
      <c r="C209" s="3"/>
      <c r="D209" s="5"/>
      <c r="E209" s="5"/>
      <c r="F209" s="5"/>
      <c r="G209" s="7"/>
      <c r="H209" s="5"/>
      <c r="I209" s="3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2.75" customHeight="1" x14ac:dyDescent="0.3">
      <c r="A210" s="3"/>
      <c r="B210" s="3"/>
      <c r="C210" s="3"/>
      <c r="D210" s="5"/>
      <c r="E210" s="5"/>
      <c r="F210" s="5"/>
      <c r="G210" s="7"/>
      <c r="H210" s="5"/>
      <c r="I210" s="3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2.75" customHeight="1" x14ac:dyDescent="0.3">
      <c r="A211" s="3"/>
      <c r="B211" s="3"/>
      <c r="C211" s="3"/>
      <c r="D211" s="5"/>
      <c r="E211" s="5"/>
      <c r="F211" s="5"/>
      <c r="G211" s="7"/>
      <c r="H211" s="5"/>
      <c r="I211" s="3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2.75" customHeight="1" x14ac:dyDescent="0.3">
      <c r="A212" s="3"/>
      <c r="B212" s="3"/>
      <c r="C212" s="3"/>
      <c r="D212" s="5"/>
      <c r="E212" s="5"/>
      <c r="F212" s="5"/>
      <c r="G212" s="7"/>
      <c r="H212" s="5"/>
      <c r="I212" s="3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2.75" customHeight="1" x14ac:dyDescent="0.3">
      <c r="A213" s="3"/>
      <c r="B213" s="3"/>
      <c r="C213" s="3"/>
      <c r="D213" s="5"/>
      <c r="E213" s="5"/>
      <c r="F213" s="5"/>
      <c r="G213" s="7"/>
      <c r="H213" s="5"/>
      <c r="I213" s="3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2.75" customHeight="1" x14ac:dyDescent="0.3">
      <c r="A214" s="3"/>
      <c r="B214" s="3"/>
      <c r="C214" s="3"/>
      <c r="D214" s="5"/>
      <c r="E214" s="5"/>
      <c r="F214" s="5"/>
      <c r="G214" s="7"/>
      <c r="H214" s="5"/>
      <c r="I214" s="3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2.75" customHeight="1" x14ac:dyDescent="0.3">
      <c r="A215" s="3"/>
      <c r="B215" s="3"/>
      <c r="C215" s="3"/>
      <c r="D215" s="5"/>
      <c r="E215" s="5"/>
      <c r="F215" s="5"/>
      <c r="G215" s="7"/>
      <c r="H215" s="5"/>
      <c r="I215" s="3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2.75" customHeight="1" x14ac:dyDescent="0.3">
      <c r="A216" s="3"/>
      <c r="B216" s="3"/>
      <c r="C216" s="3"/>
      <c r="D216" s="5"/>
      <c r="E216" s="5"/>
      <c r="F216" s="5"/>
      <c r="G216" s="7"/>
      <c r="H216" s="5"/>
      <c r="I216" s="3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2.75" customHeight="1" x14ac:dyDescent="0.3">
      <c r="A217" s="3"/>
      <c r="B217" s="3"/>
      <c r="C217" s="3"/>
      <c r="D217" s="5"/>
      <c r="E217" s="5"/>
      <c r="F217" s="5"/>
      <c r="G217" s="7"/>
      <c r="H217" s="5"/>
      <c r="I217" s="3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2.75" customHeight="1" x14ac:dyDescent="0.3">
      <c r="A218" s="3"/>
      <c r="B218" s="3"/>
      <c r="C218" s="3"/>
      <c r="D218" s="5"/>
      <c r="E218" s="5"/>
      <c r="F218" s="5"/>
      <c r="G218" s="7"/>
      <c r="H218" s="5"/>
      <c r="I218" s="3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2.75" customHeight="1" x14ac:dyDescent="0.3">
      <c r="A219" s="3"/>
      <c r="B219" s="3"/>
      <c r="C219" s="3"/>
      <c r="D219" s="5"/>
      <c r="E219" s="5"/>
      <c r="F219" s="5"/>
      <c r="G219" s="7"/>
      <c r="H219" s="5"/>
      <c r="I219" s="3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2.75" customHeight="1" x14ac:dyDescent="0.3">
      <c r="A220" s="3"/>
      <c r="B220" s="3"/>
      <c r="C220" s="3"/>
      <c r="D220" s="5"/>
      <c r="E220" s="5"/>
      <c r="F220" s="5"/>
      <c r="G220" s="7"/>
      <c r="H220" s="5"/>
      <c r="I220" s="3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2.75" customHeight="1" x14ac:dyDescent="0.3">
      <c r="A221" s="3"/>
      <c r="B221" s="3"/>
      <c r="C221" s="3"/>
      <c r="D221" s="5"/>
      <c r="E221" s="5"/>
      <c r="F221" s="5"/>
      <c r="G221" s="7"/>
      <c r="H221" s="5"/>
      <c r="I221" s="3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2.75" customHeight="1" x14ac:dyDescent="0.3">
      <c r="A222" s="3"/>
      <c r="B222" s="3"/>
      <c r="C222" s="3"/>
      <c r="D222" s="5"/>
      <c r="E222" s="5"/>
      <c r="F222" s="5"/>
      <c r="G222" s="7"/>
      <c r="H222" s="5"/>
      <c r="I222" s="3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2.75" customHeight="1" x14ac:dyDescent="0.3">
      <c r="A223" s="3"/>
      <c r="B223" s="3"/>
      <c r="C223" s="3"/>
      <c r="D223" s="5"/>
      <c r="E223" s="5"/>
      <c r="F223" s="5"/>
      <c r="G223" s="7"/>
      <c r="H223" s="5"/>
      <c r="I223" s="3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2.75" customHeight="1" x14ac:dyDescent="0.3">
      <c r="A224" s="3"/>
      <c r="B224" s="3"/>
      <c r="C224" s="3"/>
      <c r="D224" s="5"/>
      <c r="E224" s="5"/>
      <c r="F224" s="5"/>
      <c r="G224" s="7"/>
      <c r="H224" s="5"/>
      <c r="I224" s="3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2.75" customHeight="1" x14ac:dyDescent="0.3">
      <c r="A225" s="3"/>
      <c r="B225" s="3"/>
      <c r="C225" s="3"/>
      <c r="D225" s="5"/>
      <c r="E225" s="5"/>
      <c r="F225" s="5"/>
      <c r="G225" s="7"/>
      <c r="H225" s="5"/>
      <c r="I225" s="3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2.75" customHeight="1" x14ac:dyDescent="0.3">
      <c r="A226" s="3"/>
      <c r="B226" s="3"/>
      <c r="C226" s="3"/>
      <c r="D226" s="5"/>
      <c r="E226" s="5"/>
      <c r="F226" s="5"/>
      <c r="G226" s="7"/>
      <c r="H226" s="5"/>
      <c r="I226" s="3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2.75" customHeight="1" x14ac:dyDescent="0.3">
      <c r="A227" s="3"/>
      <c r="B227" s="3"/>
      <c r="C227" s="3"/>
      <c r="D227" s="5"/>
      <c r="E227" s="5"/>
      <c r="F227" s="5"/>
      <c r="G227" s="7"/>
      <c r="H227" s="5"/>
      <c r="I227" s="3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2.75" customHeight="1" x14ac:dyDescent="0.3">
      <c r="A228" s="3"/>
      <c r="B228" s="3"/>
      <c r="C228" s="3"/>
      <c r="D228" s="5"/>
      <c r="E228" s="5"/>
      <c r="F228" s="5"/>
      <c r="G228" s="7"/>
      <c r="H228" s="5"/>
      <c r="I228" s="3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2.75" customHeight="1" x14ac:dyDescent="0.3">
      <c r="A229" s="3"/>
      <c r="B229" s="3"/>
      <c r="C229" s="3"/>
      <c r="D229" s="5"/>
      <c r="E229" s="5"/>
      <c r="F229" s="5"/>
      <c r="G229" s="7"/>
      <c r="H229" s="5"/>
      <c r="I229" s="3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2.75" customHeight="1" x14ac:dyDescent="0.3">
      <c r="A230" s="3"/>
      <c r="B230" s="3"/>
      <c r="C230" s="3"/>
      <c r="D230" s="5"/>
      <c r="E230" s="5"/>
      <c r="F230" s="5"/>
      <c r="G230" s="7"/>
      <c r="H230" s="5"/>
      <c r="I230" s="3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2.75" customHeight="1" x14ac:dyDescent="0.3">
      <c r="A231" s="3"/>
      <c r="B231" s="3"/>
      <c r="C231" s="3"/>
      <c r="D231" s="5"/>
      <c r="E231" s="5"/>
      <c r="F231" s="5"/>
      <c r="G231" s="7"/>
      <c r="H231" s="5"/>
      <c r="I231" s="3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2.75" customHeight="1" x14ac:dyDescent="0.3">
      <c r="A232" s="3"/>
      <c r="B232" s="3"/>
      <c r="C232" s="3"/>
      <c r="D232" s="5"/>
      <c r="E232" s="5"/>
      <c r="F232" s="5"/>
      <c r="G232" s="7"/>
      <c r="H232" s="5"/>
      <c r="I232" s="3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2.75" customHeight="1" x14ac:dyDescent="0.3">
      <c r="A233" s="3"/>
      <c r="B233" s="3"/>
      <c r="C233" s="3"/>
      <c r="D233" s="5"/>
      <c r="E233" s="5"/>
      <c r="F233" s="5"/>
      <c r="G233" s="7"/>
      <c r="H233" s="5"/>
      <c r="I233" s="3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2.75" customHeight="1" x14ac:dyDescent="0.3">
      <c r="A234" s="3"/>
      <c r="B234" s="3"/>
      <c r="C234" s="3"/>
      <c r="D234" s="5"/>
      <c r="E234" s="5"/>
      <c r="F234" s="5"/>
      <c r="G234" s="7"/>
      <c r="H234" s="5"/>
      <c r="I234" s="3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2.75" customHeight="1" x14ac:dyDescent="0.3">
      <c r="A235" s="3"/>
      <c r="B235" s="3"/>
      <c r="C235" s="3"/>
      <c r="D235" s="5"/>
      <c r="E235" s="5"/>
      <c r="F235" s="5"/>
      <c r="G235" s="7"/>
      <c r="H235" s="5"/>
      <c r="I235" s="3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2.75" customHeight="1" x14ac:dyDescent="0.3">
      <c r="A236" s="3"/>
      <c r="B236" s="3"/>
      <c r="C236" s="3"/>
      <c r="D236" s="5"/>
      <c r="E236" s="5"/>
      <c r="F236" s="5"/>
      <c r="G236" s="7"/>
      <c r="H236" s="5"/>
      <c r="I236" s="3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2.75" customHeight="1" x14ac:dyDescent="0.3">
      <c r="A237" s="3"/>
      <c r="B237" s="3"/>
      <c r="C237" s="3"/>
      <c r="D237" s="5"/>
      <c r="E237" s="5"/>
      <c r="F237" s="5"/>
      <c r="G237" s="7"/>
      <c r="H237" s="5"/>
      <c r="I237" s="3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2.75" customHeight="1" x14ac:dyDescent="0.3">
      <c r="A238" s="3"/>
      <c r="B238" s="3"/>
      <c r="C238" s="3"/>
      <c r="D238" s="5"/>
      <c r="E238" s="5"/>
      <c r="F238" s="5"/>
      <c r="G238" s="7"/>
      <c r="H238" s="5"/>
      <c r="I238" s="3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2.75" customHeight="1" x14ac:dyDescent="0.3">
      <c r="A239" s="3"/>
      <c r="B239" s="3"/>
      <c r="C239" s="3"/>
      <c r="D239" s="5"/>
      <c r="E239" s="5"/>
      <c r="F239" s="5"/>
      <c r="G239" s="7"/>
      <c r="H239" s="5"/>
      <c r="I239" s="3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2.75" customHeight="1" x14ac:dyDescent="0.3">
      <c r="A240" s="3"/>
      <c r="B240" s="3"/>
      <c r="C240" s="3"/>
      <c r="D240" s="5"/>
      <c r="E240" s="5"/>
      <c r="F240" s="5"/>
      <c r="G240" s="7"/>
      <c r="H240" s="5"/>
      <c r="I240" s="3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2.75" customHeight="1" x14ac:dyDescent="0.3">
      <c r="A241" s="3"/>
      <c r="B241" s="3"/>
      <c r="C241" s="3"/>
      <c r="D241" s="5"/>
      <c r="E241" s="5"/>
      <c r="F241" s="5"/>
      <c r="G241" s="7"/>
      <c r="H241" s="5"/>
      <c r="I241" s="3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2.75" customHeight="1" x14ac:dyDescent="0.3">
      <c r="A242" s="3"/>
      <c r="B242" s="3"/>
      <c r="C242" s="3"/>
      <c r="D242" s="5"/>
      <c r="E242" s="5"/>
      <c r="F242" s="5"/>
      <c r="G242" s="7"/>
      <c r="H242" s="5"/>
      <c r="I242" s="3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2.75" customHeight="1" x14ac:dyDescent="0.3">
      <c r="A243" s="3"/>
      <c r="B243" s="3"/>
      <c r="C243" s="3"/>
      <c r="D243" s="5"/>
      <c r="E243" s="5"/>
      <c r="F243" s="5"/>
      <c r="G243" s="7"/>
      <c r="H243" s="5"/>
      <c r="I243" s="3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2.75" customHeight="1" x14ac:dyDescent="0.3">
      <c r="A244" s="3"/>
      <c r="B244" s="3"/>
      <c r="C244" s="3"/>
      <c r="D244" s="5"/>
      <c r="E244" s="5"/>
      <c r="F244" s="5"/>
      <c r="G244" s="7"/>
      <c r="H244" s="5"/>
      <c r="I244" s="3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2.75" customHeight="1" x14ac:dyDescent="0.3">
      <c r="A245" s="3"/>
      <c r="B245" s="3"/>
      <c r="C245" s="3"/>
      <c r="D245" s="5"/>
      <c r="E245" s="5"/>
      <c r="F245" s="5"/>
      <c r="G245" s="7"/>
      <c r="H245" s="5"/>
      <c r="I245" s="3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2.75" customHeight="1" x14ac:dyDescent="0.3">
      <c r="A246" s="3"/>
      <c r="B246" s="3"/>
      <c r="C246" s="3"/>
      <c r="D246" s="5"/>
      <c r="E246" s="5"/>
      <c r="F246" s="5"/>
      <c r="G246" s="7"/>
      <c r="H246" s="5"/>
      <c r="I246" s="3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2.75" customHeight="1" x14ac:dyDescent="0.3">
      <c r="A247" s="3"/>
      <c r="B247" s="3"/>
      <c r="C247" s="3"/>
      <c r="D247" s="5"/>
      <c r="E247" s="5"/>
      <c r="F247" s="5"/>
      <c r="G247" s="7"/>
      <c r="H247" s="5"/>
      <c r="I247" s="3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2.75" customHeight="1" x14ac:dyDescent="0.3">
      <c r="A248" s="3"/>
      <c r="B248" s="3"/>
      <c r="C248" s="3"/>
      <c r="D248" s="5"/>
      <c r="E248" s="5"/>
      <c r="F248" s="5"/>
      <c r="G248" s="7"/>
      <c r="H248" s="5"/>
      <c r="I248" s="3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2.75" customHeight="1" x14ac:dyDescent="0.3">
      <c r="A249" s="3"/>
      <c r="B249" s="3"/>
      <c r="C249" s="3"/>
      <c r="D249" s="5"/>
      <c r="E249" s="5"/>
      <c r="F249" s="5"/>
      <c r="G249" s="7"/>
      <c r="H249" s="5"/>
      <c r="I249" s="3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2.75" customHeight="1" x14ac:dyDescent="0.3">
      <c r="A250" s="3"/>
      <c r="B250" s="3"/>
      <c r="C250" s="3"/>
      <c r="D250" s="5"/>
      <c r="E250" s="5"/>
      <c r="F250" s="5"/>
      <c r="G250" s="7"/>
      <c r="H250" s="5"/>
      <c r="I250" s="3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2.75" customHeight="1" x14ac:dyDescent="0.3">
      <c r="A251" s="3"/>
      <c r="B251" s="3"/>
      <c r="C251" s="3"/>
      <c r="D251" s="5"/>
      <c r="E251" s="5"/>
      <c r="F251" s="5"/>
      <c r="G251" s="7"/>
      <c r="H251" s="5"/>
      <c r="I251" s="3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2.75" customHeight="1" x14ac:dyDescent="0.3">
      <c r="A252" s="3"/>
      <c r="B252" s="3"/>
      <c r="C252" s="3"/>
      <c r="D252" s="5"/>
      <c r="E252" s="5"/>
      <c r="F252" s="5"/>
      <c r="G252" s="7"/>
      <c r="H252" s="5"/>
      <c r="I252" s="3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2.75" customHeight="1" x14ac:dyDescent="0.3">
      <c r="A253" s="3"/>
      <c r="B253" s="3"/>
      <c r="C253" s="3"/>
      <c r="D253" s="5"/>
      <c r="E253" s="5"/>
      <c r="F253" s="5"/>
      <c r="G253" s="7"/>
      <c r="H253" s="5"/>
      <c r="I253" s="3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2.75" customHeight="1" x14ac:dyDescent="0.3">
      <c r="A254" s="3"/>
      <c r="B254" s="3"/>
      <c r="C254" s="3"/>
      <c r="D254" s="5"/>
      <c r="E254" s="5"/>
      <c r="F254" s="5"/>
      <c r="G254" s="7"/>
      <c r="H254" s="5"/>
      <c r="I254" s="3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2.75" customHeight="1" x14ac:dyDescent="0.3">
      <c r="A255" s="3"/>
      <c r="B255" s="3"/>
      <c r="C255" s="3"/>
      <c r="D255" s="5"/>
      <c r="E255" s="5"/>
      <c r="F255" s="5"/>
      <c r="G255" s="7"/>
      <c r="H255" s="5"/>
      <c r="I255" s="3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2.75" customHeight="1" x14ac:dyDescent="0.3">
      <c r="A256" s="3"/>
      <c r="B256" s="3"/>
      <c r="C256" s="3"/>
      <c r="D256" s="5"/>
      <c r="E256" s="5"/>
      <c r="F256" s="5"/>
      <c r="G256" s="7"/>
      <c r="H256" s="5"/>
      <c r="I256" s="3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2.75" customHeight="1" x14ac:dyDescent="0.3">
      <c r="A257" s="3"/>
      <c r="B257" s="3"/>
      <c r="C257" s="3"/>
      <c r="D257" s="5"/>
      <c r="E257" s="5"/>
      <c r="F257" s="5"/>
      <c r="G257" s="7"/>
      <c r="H257" s="5"/>
      <c r="I257" s="3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2.75" customHeight="1" x14ac:dyDescent="0.3">
      <c r="A258" s="3"/>
      <c r="B258" s="3"/>
      <c r="C258" s="3"/>
      <c r="D258" s="5"/>
      <c r="E258" s="5"/>
      <c r="F258" s="5"/>
      <c r="G258" s="7"/>
      <c r="H258" s="5"/>
      <c r="I258" s="3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2.75" customHeight="1" x14ac:dyDescent="0.3">
      <c r="A259" s="3"/>
      <c r="B259" s="3"/>
      <c r="C259" s="3"/>
      <c r="D259" s="5"/>
      <c r="E259" s="5"/>
      <c r="F259" s="5"/>
      <c r="G259" s="7"/>
      <c r="H259" s="5"/>
      <c r="I259" s="3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2.75" customHeight="1" x14ac:dyDescent="0.3">
      <c r="A260" s="3"/>
      <c r="B260" s="3"/>
      <c r="C260" s="3"/>
      <c r="D260" s="5"/>
      <c r="E260" s="5"/>
      <c r="F260" s="5"/>
      <c r="G260" s="7"/>
      <c r="H260" s="5"/>
      <c r="I260" s="3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2.75" customHeight="1" x14ac:dyDescent="0.3">
      <c r="A261" s="3"/>
      <c r="B261" s="3"/>
      <c r="C261" s="3"/>
      <c r="D261" s="5"/>
      <c r="E261" s="5"/>
      <c r="F261" s="5"/>
      <c r="G261" s="7"/>
      <c r="H261" s="5"/>
      <c r="I261" s="3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2.75" customHeight="1" x14ac:dyDescent="0.3">
      <c r="A262" s="3"/>
      <c r="B262" s="3"/>
      <c r="C262" s="3"/>
      <c r="D262" s="5"/>
      <c r="E262" s="5"/>
      <c r="F262" s="5"/>
      <c r="G262" s="7"/>
      <c r="H262" s="5"/>
      <c r="I262" s="3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2.75" customHeight="1" x14ac:dyDescent="0.3">
      <c r="A263" s="3"/>
      <c r="B263" s="3"/>
      <c r="C263" s="3"/>
      <c r="D263" s="5"/>
      <c r="E263" s="5"/>
      <c r="F263" s="5"/>
      <c r="G263" s="7"/>
      <c r="H263" s="5"/>
      <c r="I263" s="3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2.75" customHeight="1" x14ac:dyDescent="0.3">
      <c r="A264" s="3"/>
      <c r="B264" s="3"/>
      <c r="C264" s="3"/>
      <c r="D264" s="5"/>
      <c r="E264" s="5"/>
      <c r="F264" s="5"/>
      <c r="G264" s="7"/>
      <c r="H264" s="5"/>
      <c r="I264" s="3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2.75" customHeight="1" x14ac:dyDescent="0.3">
      <c r="A265" s="3"/>
      <c r="B265" s="3"/>
      <c r="C265" s="3"/>
      <c r="D265" s="5"/>
      <c r="E265" s="5"/>
      <c r="F265" s="5"/>
      <c r="G265" s="7"/>
      <c r="H265" s="5"/>
      <c r="I265" s="3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2.75" customHeight="1" x14ac:dyDescent="0.3">
      <c r="A266" s="3"/>
      <c r="B266" s="3"/>
      <c r="C266" s="3"/>
      <c r="D266" s="5"/>
      <c r="E266" s="5"/>
      <c r="F266" s="5"/>
      <c r="G266" s="7"/>
      <c r="H266" s="5"/>
      <c r="I266" s="3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2.75" customHeight="1" x14ac:dyDescent="0.3">
      <c r="A267" s="3"/>
      <c r="B267" s="3"/>
      <c r="C267" s="3"/>
      <c r="D267" s="5"/>
      <c r="E267" s="5"/>
      <c r="F267" s="5"/>
      <c r="G267" s="7"/>
      <c r="H267" s="5"/>
      <c r="I267" s="3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2.75" customHeight="1" x14ac:dyDescent="0.3">
      <c r="A268" s="3"/>
      <c r="B268" s="3"/>
      <c r="C268" s="3"/>
      <c r="D268" s="5"/>
      <c r="E268" s="5"/>
      <c r="F268" s="5"/>
      <c r="G268" s="7"/>
      <c r="H268" s="5"/>
      <c r="I268" s="3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2.75" customHeight="1" x14ac:dyDescent="0.3">
      <c r="A269" s="3"/>
      <c r="B269" s="3"/>
      <c r="C269" s="3"/>
      <c r="D269" s="5"/>
      <c r="E269" s="5"/>
      <c r="F269" s="5"/>
      <c r="G269" s="7"/>
      <c r="H269" s="5"/>
      <c r="I269" s="3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2.75" customHeight="1" x14ac:dyDescent="0.3">
      <c r="A270" s="3"/>
      <c r="B270" s="3"/>
      <c r="C270" s="3"/>
      <c r="D270" s="5"/>
      <c r="E270" s="5"/>
      <c r="F270" s="5"/>
      <c r="G270" s="7"/>
      <c r="H270" s="5"/>
      <c r="I270" s="3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2.75" customHeight="1" x14ac:dyDescent="0.3">
      <c r="A271" s="3"/>
      <c r="B271" s="3"/>
      <c r="C271" s="3"/>
      <c r="D271" s="5"/>
      <c r="E271" s="5"/>
      <c r="F271" s="5"/>
      <c r="G271" s="7"/>
      <c r="H271" s="5"/>
      <c r="I271" s="3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2.75" customHeight="1" x14ac:dyDescent="0.3">
      <c r="A272" s="3"/>
      <c r="B272" s="3"/>
      <c r="C272" s="3"/>
      <c r="D272" s="5"/>
      <c r="E272" s="5"/>
      <c r="F272" s="5"/>
      <c r="G272" s="7"/>
      <c r="H272" s="5"/>
      <c r="I272" s="3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2.75" customHeight="1" x14ac:dyDescent="0.3">
      <c r="A273" s="3"/>
      <c r="B273" s="3"/>
      <c r="C273" s="3"/>
      <c r="D273" s="5"/>
      <c r="E273" s="5"/>
      <c r="F273" s="5"/>
      <c r="G273" s="7"/>
      <c r="H273" s="5"/>
      <c r="I273" s="3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2.75" customHeight="1" x14ac:dyDescent="0.3">
      <c r="A274" s="3"/>
      <c r="B274" s="3"/>
      <c r="C274" s="3"/>
      <c r="D274" s="5"/>
      <c r="E274" s="5"/>
      <c r="F274" s="5"/>
      <c r="G274" s="7"/>
      <c r="H274" s="5"/>
      <c r="I274" s="3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2.75" customHeight="1" x14ac:dyDescent="0.3">
      <c r="A275" s="3"/>
      <c r="B275" s="3"/>
      <c r="C275" s="3"/>
      <c r="D275" s="5"/>
      <c r="E275" s="5"/>
      <c r="F275" s="5"/>
      <c r="G275" s="7"/>
      <c r="H275" s="5"/>
      <c r="I275" s="3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2.75" customHeight="1" x14ac:dyDescent="0.3">
      <c r="A276" s="3"/>
      <c r="B276" s="3"/>
      <c r="C276" s="3"/>
      <c r="D276" s="5"/>
      <c r="E276" s="5"/>
      <c r="F276" s="5"/>
      <c r="G276" s="7"/>
      <c r="H276" s="5"/>
      <c r="I276" s="3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2.75" customHeight="1" x14ac:dyDescent="0.3">
      <c r="A277" s="3"/>
      <c r="B277" s="3"/>
      <c r="C277" s="3"/>
      <c r="D277" s="5"/>
      <c r="E277" s="5"/>
      <c r="F277" s="5"/>
      <c r="G277" s="7"/>
      <c r="H277" s="5"/>
      <c r="I277" s="3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2.75" customHeight="1" x14ac:dyDescent="0.3">
      <c r="A278" s="3"/>
      <c r="B278" s="3"/>
      <c r="C278" s="3"/>
      <c r="D278" s="5"/>
      <c r="E278" s="5"/>
      <c r="F278" s="5"/>
      <c r="G278" s="7"/>
      <c r="H278" s="5"/>
      <c r="I278" s="3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2.75" customHeight="1" x14ac:dyDescent="0.3">
      <c r="A279" s="3"/>
      <c r="B279" s="3"/>
      <c r="C279" s="3"/>
      <c r="D279" s="5"/>
      <c r="E279" s="5"/>
      <c r="F279" s="5"/>
      <c r="G279" s="7"/>
      <c r="H279" s="5"/>
      <c r="I279" s="3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2.75" customHeight="1" x14ac:dyDescent="0.3">
      <c r="A280" s="3"/>
      <c r="B280" s="3"/>
      <c r="C280" s="3"/>
      <c r="D280" s="5"/>
      <c r="E280" s="5"/>
      <c r="F280" s="5"/>
      <c r="G280" s="7"/>
      <c r="H280" s="5"/>
      <c r="I280" s="3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2.75" customHeight="1" x14ac:dyDescent="0.3">
      <c r="A281" s="3"/>
      <c r="B281" s="3"/>
      <c r="C281" s="3"/>
      <c r="D281" s="5"/>
      <c r="E281" s="5"/>
      <c r="F281" s="5"/>
      <c r="G281" s="7"/>
      <c r="H281" s="5"/>
      <c r="I281" s="3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2.75" customHeight="1" x14ac:dyDescent="0.3">
      <c r="A282" s="3"/>
      <c r="B282" s="3"/>
      <c r="C282" s="3"/>
      <c r="D282" s="5"/>
      <c r="E282" s="5"/>
      <c r="F282" s="5"/>
      <c r="G282" s="7"/>
      <c r="H282" s="5"/>
      <c r="I282" s="3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2.75" customHeight="1" x14ac:dyDescent="0.3">
      <c r="A283" s="3"/>
      <c r="B283" s="3"/>
      <c r="C283" s="3"/>
      <c r="D283" s="5"/>
      <c r="E283" s="5"/>
      <c r="F283" s="5"/>
      <c r="G283" s="7"/>
      <c r="H283" s="5"/>
      <c r="I283" s="3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2.75" customHeight="1" x14ac:dyDescent="0.3">
      <c r="A284" s="3"/>
      <c r="B284" s="3"/>
      <c r="C284" s="3"/>
      <c r="D284" s="5"/>
      <c r="E284" s="5"/>
      <c r="F284" s="5"/>
      <c r="G284" s="7"/>
      <c r="H284" s="5"/>
      <c r="I284" s="3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2.75" customHeight="1" x14ac:dyDescent="0.3">
      <c r="A285" s="3"/>
      <c r="B285" s="3"/>
      <c r="C285" s="3"/>
      <c r="D285" s="5"/>
      <c r="E285" s="5"/>
      <c r="F285" s="5"/>
      <c r="G285" s="7"/>
      <c r="H285" s="5"/>
      <c r="I285" s="3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2.75" customHeight="1" x14ac:dyDescent="0.3">
      <c r="A286" s="3"/>
      <c r="B286" s="3"/>
      <c r="C286" s="3"/>
      <c r="D286" s="5"/>
      <c r="E286" s="5"/>
      <c r="F286" s="5"/>
      <c r="G286" s="7"/>
      <c r="H286" s="5"/>
      <c r="I286" s="3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2.75" customHeight="1" x14ac:dyDescent="0.3">
      <c r="A287" s="3"/>
      <c r="B287" s="3"/>
      <c r="C287" s="3"/>
      <c r="D287" s="5"/>
      <c r="E287" s="5"/>
      <c r="F287" s="5"/>
      <c r="G287" s="7"/>
      <c r="H287" s="5"/>
      <c r="I287" s="3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2.75" customHeight="1" x14ac:dyDescent="0.3">
      <c r="A288" s="3"/>
      <c r="B288" s="3"/>
      <c r="C288" s="3"/>
      <c r="D288" s="5"/>
      <c r="E288" s="5"/>
      <c r="F288" s="5"/>
      <c r="G288" s="7"/>
      <c r="H288" s="5"/>
      <c r="I288" s="3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2.75" customHeight="1" x14ac:dyDescent="0.3">
      <c r="A289" s="3"/>
      <c r="B289" s="3"/>
      <c r="C289" s="3"/>
      <c r="D289" s="5"/>
      <c r="E289" s="5"/>
      <c r="F289" s="5"/>
      <c r="G289" s="7"/>
      <c r="H289" s="5"/>
      <c r="I289" s="3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2.75" customHeight="1" x14ac:dyDescent="0.3">
      <c r="A290" s="3"/>
      <c r="B290" s="3"/>
      <c r="C290" s="3"/>
      <c r="D290" s="5"/>
      <c r="E290" s="5"/>
      <c r="F290" s="5"/>
      <c r="G290" s="7"/>
      <c r="H290" s="5"/>
      <c r="I290" s="3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2.75" customHeight="1" x14ac:dyDescent="0.3">
      <c r="A291" s="3"/>
      <c r="B291" s="3"/>
      <c r="C291" s="3"/>
      <c r="D291" s="5"/>
      <c r="E291" s="5"/>
      <c r="F291" s="5"/>
      <c r="G291" s="7"/>
      <c r="H291" s="5"/>
      <c r="I291" s="3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2.75" customHeight="1" x14ac:dyDescent="0.3">
      <c r="A292" s="3"/>
      <c r="B292" s="3"/>
      <c r="C292" s="3"/>
      <c r="D292" s="5"/>
      <c r="E292" s="5"/>
      <c r="F292" s="5"/>
      <c r="G292" s="7"/>
      <c r="H292" s="5"/>
      <c r="I292" s="3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2.75" customHeight="1" x14ac:dyDescent="0.3">
      <c r="A293" s="3"/>
      <c r="B293" s="3"/>
      <c r="C293" s="3"/>
      <c r="D293" s="5"/>
      <c r="E293" s="5"/>
      <c r="F293" s="5"/>
      <c r="G293" s="7"/>
      <c r="H293" s="5"/>
      <c r="I293" s="3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2.75" customHeight="1" x14ac:dyDescent="0.3">
      <c r="A294" s="3"/>
      <c r="B294" s="3"/>
      <c r="C294" s="3"/>
      <c r="D294" s="5"/>
      <c r="E294" s="5"/>
      <c r="F294" s="5"/>
      <c r="G294" s="7"/>
      <c r="H294" s="5"/>
      <c r="I294" s="3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2.75" customHeight="1" x14ac:dyDescent="0.3">
      <c r="A295" s="3"/>
      <c r="B295" s="3"/>
      <c r="C295" s="3"/>
      <c r="D295" s="5"/>
      <c r="E295" s="5"/>
      <c r="F295" s="5"/>
      <c r="G295" s="7"/>
      <c r="H295" s="5"/>
      <c r="I295" s="3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2.75" customHeight="1" x14ac:dyDescent="0.3">
      <c r="A296" s="3"/>
      <c r="B296" s="3"/>
      <c r="C296" s="3"/>
      <c r="D296" s="5"/>
      <c r="E296" s="5"/>
      <c r="F296" s="5"/>
      <c r="G296" s="7"/>
      <c r="H296" s="5"/>
      <c r="I296" s="3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2.75" customHeight="1" x14ac:dyDescent="0.3">
      <c r="A297" s="3"/>
      <c r="B297" s="3"/>
      <c r="C297" s="3"/>
      <c r="D297" s="5"/>
      <c r="E297" s="5"/>
      <c r="F297" s="5"/>
      <c r="G297" s="7"/>
      <c r="H297" s="5"/>
      <c r="I297" s="3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2.75" customHeight="1" x14ac:dyDescent="0.3">
      <c r="A298" s="3"/>
      <c r="B298" s="3"/>
      <c r="C298" s="3"/>
      <c r="D298" s="5"/>
      <c r="E298" s="5"/>
      <c r="F298" s="5"/>
      <c r="G298" s="7"/>
      <c r="H298" s="5"/>
      <c r="I298" s="3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2.75" customHeight="1" x14ac:dyDescent="0.3">
      <c r="A299" s="3"/>
      <c r="B299" s="3"/>
      <c r="C299" s="3"/>
      <c r="D299" s="5"/>
      <c r="E299" s="5"/>
      <c r="F299" s="5"/>
      <c r="G299" s="7"/>
      <c r="H299" s="5"/>
      <c r="I299" s="3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2.75" customHeight="1" x14ac:dyDescent="0.3">
      <c r="A300" s="3"/>
      <c r="B300" s="3"/>
      <c r="C300" s="3"/>
      <c r="D300" s="5"/>
      <c r="E300" s="5"/>
      <c r="F300" s="5"/>
      <c r="G300" s="7"/>
      <c r="H300" s="5"/>
      <c r="I300" s="3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2.75" customHeight="1" x14ac:dyDescent="0.3">
      <c r="A301" s="3"/>
      <c r="B301" s="3"/>
      <c r="C301" s="3"/>
      <c r="D301" s="5"/>
      <c r="E301" s="5"/>
      <c r="F301" s="5"/>
      <c r="G301" s="7"/>
      <c r="H301" s="5"/>
      <c r="I301" s="3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2.75" customHeight="1" x14ac:dyDescent="0.3">
      <c r="A302" s="3"/>
      <c r="B302" s="3"/>
      <c r="C302" s="3"/>
      <c r="D302" s="5"/>
      <c r="E302" s="5"/>
      <c r="F302" s="5"/>
      <c r="G302" s="7"/>
      <c r="H302" s="5"/>
      <c r="I302" s="3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2.75" customHeight="1" x14ac:dyDescent="0.3">
      <c r="A303" s="3"/>
      <c r="B303" s="3"/>
      <c r="C303" s="3"/>
      <c r="D303" s="5"/>
      <c r="E303" s="5"/>
      <c r="F303" s="5"/>
      <c r="G303" s="7"/>
      <c r="H303" s="5"/>
      <c r="I303" s="3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2.75" customHeight="1" x14ac:dyDescent="0.3">
      <c r="A304" s="3"/>
      <c r="B304" s="3"/>
      <c r="C304" s="3"/>
      <c r="D304" s="5"/>
      <c r="E304" s="5"/>
      <c r="F304" s="5"/>
      <c r="G304" s="7"/>
      <c r="H304" s="5"/>
      <c r="I304" s="3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2.75" customHeight="1" x14ac:dyDescent="0.3">
      <c r="A305" s="3"/>
      <c r="B305" s="3"/>
      <c r="C305" s="3"/>
      <c r="D305" s="5"/>
      <c r="E305" s="5"/>
      <c r="F305" s="5"/>
      <c r="G305" s="7"/>
      <c r="H305" s="5"/>
      <c r="I305" s="3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2.75" customHeight="1" x14ac:dyDescent="0.3">
      <c r="A306" s="3"/>
      <c r="B306" s="3"/>
      <c r="C306" s="3"/>
      <c r="D306" s="5"/>
      <c r="E306" s="5"/>
      <c r="F306" s="5"/>
      <c r="G306" s="7"/>
      <c r="H306" s="5"/>
      <c r="I306" s="3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2.75" customHeight="1" x14ac:dyDescent="0.3">
      <c r="A307" s="3"/>
      <c r="B307" s="3"/>
      <c r="C307" s="3"/>
      <c r="D307" s="5"/>
      <c r="E307" s="5"/>
      <c r="F307" s="5"/>
      <c r="G307" s="7"/>
      <c r="H307" s="5"/>
      <c r="I307" s="3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2.75" customHeight="1" x14ac:dyDescent="0.3">
      <c r="A308" s="3"/>
      <c r="B308" s="3"/>
      <c r="C308" s="3"/>
      <c r="D308" s="5"/>
      <c r="E308" s="5"/>
      <c r="F308" s="5"/>
      <c r="G308" s="7"/>
      <c r="H308" s="5"/>
      <c r="I308" s="3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2.75" customHeight="1" x14ac:dyDescent="0.3">
      <c r="A309" s="3"/>
      <c r="B309" s="3"/>
      <c r="C309" s="3"/>
      <c r="D309" s="5"/>
      <c r="E309" s="5"/>
      <c r="F309" s="5"/>
      <c r="G309" s="7"/>
      <c r="H309" s="5"/>
      <c r="I309" s="3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2.75" customHeight="1" x14ac:dyDescent="0.3">
      <c r="A310" s="3"/>
      <c r="B310" s="3"/>
      <c r="C310" s="3"/>
      <c r="D310" s="5"/>
      <c r="E310" s="5"/>
      <c r="F310" s="5"/>
      <c r="G310" s="7"/>
      <c r="H310" s="5"/>
      <c r="I310" s="3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2.75" customHeight="1" x14ac:dyDescent="0.3">
      <c r="A311" s="3"/>
      <c r="B311" s="3"/>
      <c r="C311" s="3"/>
      <c r="D311" s="5"/>
      <c r="E311" s="5"/>
      <c r="F311" s="5"/>
      <c r="G311" s="7"/>
      <c r="H311" s="5"/>
      <c r="I311" s="3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2.75" customHeight="1" x14ac:dyDescent="0.3">
      <c r="A312" s="3"/>
      <c r="B312" s="3"/>
      <c r="C312" s="3"/>
      <c r="D312" s="5"/>
      <c r="E312" s="5"/>
      <c r="F312" s="5"/>
      <c r="G312" s="7"/>
      <c r="H312" s="5"/>
      <c r="I312" s="3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2.75" customHeight="1" x14ac:dyDescent="0.3">
      <c r="A313" s="3"/>
      <c r="B313" s="3"/>
      <c r="C313" s="3"/>
      <c r="D313" s="5"/>
      <c r="E313" s="5"/>
      <c r="F313" s="5"/>
      <c r="G313" s="7"/>
      <c r="H313" s="5"/>
      <c r="I313" s="3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2.75" customHeight="1" x14ac:dyDescent="0.3">
      <c r="A314" s="3"/>
      <c r="B314" s="3"/>
      <c r="C314" s="3"/>
      <c r="D314" s="5"/>
      <c r="E314" s="5"/>
      <c r="F314" s="5"/>
      <c r="G314" s="7"/>
      <c r="H314" s="5"/>
      <c r="I314" s="3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2.75" customHeight="1" x14ac:dyDescent="0.3">
      <c r="A315" s="3"/>
      <c r="B315" s="3"/>
      <c r="C315" s="3"/>
      <c r="D315" s="5"/>
      <c r="E315" s="5"/>
      <c r="F315" s="5"/>
      <c r="G315" s="7"/>
      <c r="H315" s="5"/>
      <c r="I315" s="3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2.75" customHeight="1" x14ac:dyDescent="0.3">
      <c r="A316" s="3"/>
      <c r="B316" s="3"/>
      <c r="C316" s="3"/>
      <c r="D316" s="5"/>
      <c r="E316" s="5"/>
      <c r="F316" s="5"/>
      <c r="G316" s="7"/>
      <c r="H316" s="5"/>
      <c r="I316" s="3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2.75" customHeight="1" x14ac:dyDescent="0.3">
      <c r="A317" s="3"/>
      <c r="B317" s="3"/>
      <c r="C317" s="3"/>
      <c r="D317" s="5"/>
      <c r="E317" s="5"/>
      <c r="F317" s="5"/>
      <c r="G317" s="7"/>
      <c r="H317" s="5"/>
      <c r="I317" s="3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2.75" customHeight="1" x14ac:dyDescent="0.3">
      <c r="A318" s="3"/>
      <c r="B318" s="3"/>
      <c r="C318" s="3"/>
      <c r="D318" s="5"/>
      <c r="E318" s="5"/>
      <c r="F318" s="5"/>
      <c r="G318" s="7"/>
      <c r="H318" s="5"/>
      <c r="I318" s="3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2.75" customHeight="1" x14ac:dyDescent="0.3">
      <c r="A319" s="3"/>
      <c r="B319" s="3"/>
      <c r="C319" s="3"/>
      <c r="D319" s="5"/>
      <c r="E319" s="5"/>
      <c r="F319" s="5"/>
      <c r="G319" s="7"/>
      <c r="H319" s="5"/>
      <c r="I319" s="3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2.75" customHeight="1" x14ac:dyDescent="0.3">
      <c r="A320" s="3"/>
      <c r="B320" s="3"/>
      <c r="C320" s="3"/>
      <c r="D320" s="5"/>
      <c r="E320" s="5"/>
      <c r="F320" s="5"/>
      <c r="G320" s="7"/>
      <c r="H320" s="5"/>
      <c r="I320" s="3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2.75" customHeight="1" x14ac:dyDescent="0.3">
      <c r="A321" s="3"/>
      <c r="B321" s="3"/>
      <c r="C321" s="3"/>
      <c r="D321" s="5"/>
      <c r="E321" s="5"/>
      <c r="F321" s="5"/>
      <c r="G321" s="7"/>
      <c r="H321" s="5"/>
      <c r="I321" s="3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2.75" customHeight="1" x14ac:dyDescent="0.3">
      <c r="A322" s="3"/>
      <c r="B322" s="3"/>
      <c r="C322" s="3"/>
      <c r="D322" s="5"/>
      <c r="E322" s="5"/>
      <c r="F322" s="5"/>
      <c r="G322" s="7"/>
      <c r="H322" s="5"/>
      <c r="I322" s="3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2.75" customHeight="1" x14ac:dyDescent="0.3">
      <c r="A323" s="3"/>
      <c r="B323" s="3"/>
      <c r="C323" s="3"/>
      <c r="D323" s="5"/>
      <c r="E323" s="5"/>
      <c r="F323" s="5"/>
      <c r="G323" s="7"/>
      <c r="H323" s="5"/>
      <c r="I323" s="3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2.75" customHeight="1" x14ac:dyDescent="0.3">
      <c r="A324" s="3"/>
      <c r="B324" s="3"/>
      <c r="C324" s="3"/>
      <c r="D324" s="5"/>
      <c r="E324" s="5"/>
      <c r="F324" s="5"/>
      <c r="G324" s="7"/>
      <c r="H324" s="5"/>
      <c r="I324" s="3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2.75" customHeight="1" x14ac:dyDescent="0.3">
      <c r="A325" s="3"/>
      <c r="B325" s="3"/>
      <c r="C325" s="3"/>
      <c r="D325" s="5"/>
      <c r="E325" s="5"/>
      <c r="F325" s="5"/>
      <c r="G325" s="7"/>
      <c r="H325" s="5"/>
      <c r="I325" s="3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2.75" customHeight="1" x14ac:dyDescent="0.3">
      <c r="A326" s="3"/>
      <c r="B326" s="3"/>
      <c r="C326" s="3"/>
      <c r="D326" s="5"/>
      <c r="E326" s="5"/>
      <c r="F326" s="5"/>
      <c r="G326" s="7"/>
      <c r="H326" s="5"/>
      <c r="I326" s="3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2.75" customHeight="1" x14ac:dyDescent="0.3">
      <c r="A327" s="3"/>
      <c r="B327" s="3"/>
      <c r="C327" s="3"/>
      <c r="D327" s="5"/>
      <c r="E327" s="5"/>
      <c r="F327" s="5"/>
      <c r="G327" s="7"/>
      <c r="H327" s="5"/>
      <c r="I327" s="3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2.75" customHeight="1" x14ac:dyDescent="0.3">
      <c r="A328" s="3"/>
      <c r="B328" s="3"/>
      <c r="C328" s="3"/>
      <c r="D328" s="5"/>
      <c r="E328" s="5"/>
      <c r="F328" s="5"/>
      <c r="G328" s="7"/>
      <c r="H328" s="5"/>
      <c r="I328" s="3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2.75" customHeight="1" x14ac:dyDescent="0.3">
      <c r="A329" s="3"/>
      <c r="B329" s="3"/>
      <c r="C329" s="3"/>
      <c r="D329" s="5"/>
      <c r="E329" s="5"/>
      <c r="F329" s="5"/>
      <c r="G329" s="7"/>
      <c r="H329" s="5"/>
      <c r="I329" s="3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2.75" customHeight="1" x14ac:dyDescent="0.3">
      <c r="A330" s="3"/>
      <c r="B330" s="3"/>
      <c r="C330" s="3"/>
      <c r="D330" s="5"/>
      <c r="E330" s="5"/>
      <c r="F330" s="5"/>
      <c r="G330" s="7"/>
      <c r="H330" s="5"/>
      <c r="I330" s="3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2.75" customHeight="1" x14ac:dyDescent="0.3">
      <c r="A331" s="3"/>
      <c r="B331" s="3"/>
      <c r="C331" s="3"/>
      <c r="D331" s="5"/>
      <c r="E331" s="5"/>
      <c r="F331" s="5"/>
      <c r="G331" s="7"/>
      <c r="H331" s="5"/>
      <c r="I331" s="3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2.75" customHeight="1" x14ac:dyDescent="0.3">
      <c r="A332" s="3"/>
      <c r="B332" s="3"/>
      <c r="C332" s="3"/>
      <c r="D332" s="5"/>
      <c r="E332" s="5"/>
      <c r="F332" s="5"/>
      <c r="G332" s="7"/>
      <c r="H332" s="5"/>
      <c r="I332" s="3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2.75" customHeight="1" x14ac:dyDescent="0.3">
      <c r="A333" s="3"/>
      <c r="B333" s="3"/>
      <c r="C333" s="3"/>
      <c r="D333" s="5"/>
      <c r="E333" s="5"/>
      <c r="F333" s="5"/>
      <c r="G333" s="7"/>
      <c r="H333" s="5"/>
      <c r="I333" s="3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2.75" customHeight="1" x14ac:dyDescent="0.3">
      <c r="A334" s="3"/>
      <c r="B334" s="3"/>
      <c r="C334" s="3"/>
      <c r="D334" s="5"/>
      <c r="E334" s="5"/>
      <c r="F334" s="5"/>
      <c r="G334" s="7"/>
      <c r="H334" s="5"/>
      <c r="I334" s="3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2.75" customHeight="1" x14ac:dyDescent="0.3">
      <c r="A335" s="3"/>
      <c r="B335" s="3"/>
      <c r="C335" s="3"/>
      <c r="D335" s="5"/>
      <c r="E335" s="5"/>
      <c r="F335" s="5"/>
      <c r="G335" s="7"/>
      <c r="H335" s="5"/>
      <c r="I335" s="3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2.75" customHeight="1" x14ac:dyDescent="0.3">
      <c r="A336" s="3"/>
      <c r="B336" s="3"/>
      <c r="C336" s="3"/>
      <c r="D336" s="5"/>
      <c r="E336" s="5"/>
      <c r="F336" s="5"/>
      <c r="G336" s="7"/>
      <c r="H336" s="5"/>
      <c r="I336" s="3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2.75" customHeight="1" x14ac:dyDescent="0.3">
      <c r="A337" s="3"/>
      <c r="B337" s="3"/>
      <c r="C337" s="3"/>
      <c r="D337" s="5"/>
      <c r="E337" s="5"/>
      <c r="F337" s="5"/>
      <c r="G337" s="7"/>
      <c r="H337" s="5"/>
      <c r="I337" s="3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2.75" customHeight="1" x14ac:dyDescent="0.3">
      <c r="A338" s="3"/>
      <c r="B338" s="3"/>
      <c r="C338" s="3"/>
      <c r="D338" s="5"/>
      <c r="E338" s="5"/>
      <c r="F338" s="5"/>
      <c r="G338" s="7"/>
      <c r="H338" s="5"/>
      <c r="I338" s="3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2.75" customHeight="1" x14ac:dyDescent="0.3">
      <c r="A339" s="3"/>
      <c r="B339" s="3"/>
      <c r="C339" s="3"/>
      <c r="D339" s="5"/>
      <c r="E339" s="5"/>
      <c r="F339" s="5"/>
      <c r="G339" s="7"/>
      <c r="H339" s="5"/>
      <c r="I339" s="3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2.75" customHeight="1" x14ac:dyDescent="0.3">
      <c r="A340" s="3"/>
      <c r="B340" s="3"/>
      <c r="C340" s="3"/>
      <c r="D340" s="5"/>
      <c r="E340" s="5"/>
      <c r="F340" s="5"/>
      <c r="G340" s="7"/>
      <c r="H340" s="5"/>
      <c r="I340" s="3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2.75" customHeight="1" x14ac:dyDescent="0.3">
      <c r="A341" s="3"/>
      <c r="B341" s="3"/>
      <c r="C341" s="3"/>
      <c r="D341" s="5"/>
      <c r="E341" s="5"/>
      <c r="F341" s="5"/>
      <c r="G341" s="7"/>
      <c r="H341" s="5"/>
      <c r="I341" s="3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2.75" customHeight="1" x14ac:dyDescent="0.3">
      <c r="A342" s="3"/>
      <c r="B342" s="3"/>
      <c r="C342" s="3"/>
      <c r="D342" s="5"/>
      <c r="E342" s="5"/>
      <c r="F342" s="5"/>
      <c r="G342" s="7"/>
      <c r="H342" s="5"/>
      <c r="I342" s="3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2.75" customHeight="1" x14ac:dyDescent="0.3">
      <c r="A343" s="3"/>
      <c r="B343" s="3"/>
      <c r="C343" s="3"/>
      <c r="D343" s="5"/>
      <c r="E343" s="5"/>
      <c r="F343" s="5"/>
      <c r="G343" s="7"/>
      <c r="H343" s="5"/>
      <c r="I343" s="3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2.75" customHeight="1" x14ac:dyDescent="0.3">
      <c r="A344" s="3"/>
      <c r="B344" s="3"/>
      <c r="C344" s="3"/>
      <c r="D344" s="5"/>
      <c r="E344" s="5"/>
      <c r="F344" s="5"/>
      <c r="G344" s="7"/>
      <c r="H344" s="5"/>
      <c r="I344" s="3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2.75" customHeight="1" x14ac:dyDescent="0.3">
      <c r="A345" s="3"/>
      <c r="B345" s="3"/>
      <c r="C345" s="3"/>
      <c r="D345" s="5"/>
      <c r="E345" s="5"/>
      <c r="F345" s="5"/>
      <c r="G345" s="7"/>
      <c r="H345" s="5"/>
      <c r="I345" s="3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2.75" customHeight="1" x14ac:dyDescent="0.3">
      <c r="A346" s="3"/>
      <c r="B346" s="3"/>
      <c r="C346" s="3"/>
      <c r="D346" s="5"/>
      <c r="E346" s="5"/>
      <c r="F346" s="5"/>
      <c r="G346" s="7"/>
      <c r="H346" s="5"/>
      <c r="I346" s="3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2.75" customHeight="1" x14ac:dyDescent="0.3">
      <c r="A347" s="3"/>
      <c r="B347" s="3"/>
      <c r="C347" s="3"/>
      <c r="D347" s="5"/>
      <c r="E347" s="5"/>
      <c r="F347" s="5"/>
      <c r="G347" s="7"/>
      <c r="H347" s="5"/>
      <c r="I347" s="3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2.75" customHeight="1" x14ac:dyDescent="0.3">
      <c r="A348" s="3"/>
      <c r="B348" s="3"/>
      <c r="C348" s="3"/>
      <c r="D348" s="5"/>
      <c r="E348" s="5"/>
      <c r="F348" s="5"/>
      <c r="G348" s="7"/>
      <c r="H348" s="5"/>
      <c r="I348" s="3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2.75" customHeight="1" x14ac:dyDescent="0.3">
      <c r="A349" s="3"/>
      <c r="B349" s="3"/>
      <c r="C349" s="3"/>
      <c r="D349" s="5"/>
      <c r="E349" s="5"/>
      <c r="F349" s="5"/>
      <c r="G349" s="7"/>
      <c r="H349" s="5"/>
      <c r="I349" s="3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2.75" customHeight="1" x14ac:dyDescent="0.3">
      <c r="A350" s="3"/>
      <c r="B350" s="3"/>
      <c r="C350" s="3"/>
      <c r="D350" s="5"/>
      <c r="E350" s="5"/>
      <c r="F350" s="5"/>
      <c r="G350" s="7"/>
      <c r="H350" s="5"/>
      <c r="I350" s="3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2.75" customHeight="1" x14ac:dyDescent="0.3">
      <c r="A351" s="3"/>
      <c r="B351" s="3"/>
      <c r="C351" s="3"/>
      <c r="D351" s="5"/>
      <c r="E351" s="5"/>
      <c r="F351" s="5"/>
      <c r="G351" s="7"/>
      <c r="H351" s="5"/>
      <c r="I351" s="3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2.75" customHeight="1" x14ac:dyDescent="0.3">
      <c r="A352" s="3"/>
      <c r="B352" s="3"/>
      <c r="C352" s="3"/>
      <c r="D352" s="5"/>
      <c r="E352" s="5"/>
      <c r="F352" s="5"/>
      <c r="G352" s="7"/>
      <c r="H352" s="5"/>
      <c r="I352" s="3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2.75" customHeight="1" x14ac:dyDescent="0.3">
      <c r="A353" s="3"/>
      <c r="B353" s="3"/>
      <c r="C353" s="3"/>
      <c r="D353" s="5"/>
      <c r="E353" s="5"/>
      <c r="F353" s="5"/>
      <c r="G353" s="7"/>
      <c r="H353" s="5"/>
      <c r="I353" s="3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2.75" customHeight="1" x14ac:dyDescent="0.3">
      <c r="A354" s="3"/>
      <c r="B354" s="3"/>
      <c r="C354" s="3"/>
      <c r="D354" s="5"/>
      <c r="E354" s="5"/>
      <c r="F354" s="5"/>
      <c r="G354" s="7"/>
      <c r="H354" s="5"/>
      <c r="I354" s="3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2.75" customHeight="1" x14ac:dyDescent="0.3">
      <c r="A355" s="3"/>
      <c r="B355" s="3"/>
      <c r="C355" s="3"/>
      <c r="D355" s="5"/>
      <c r="E355" s="5"/>
      <c r="F355" s="5"/>
      <c r="G355" s="7"/>
      <c r="H355" s="5"/>
      <c r="I355" s="3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2.75" customHeight="1" x14ac:dyDescent="0.3">
      <c r="A356" s="3"/>
      <c r="B356" s="3"/>
      <c r="C356" s="3"/>
      <c r="D356" s="5"/>
      <c r="E356" s="5"/>
      <c r="F356" s="5"/>
      <c r="G356" s="7"/>
      <c r="H356" s="5"/>
      <c r="I356" s="3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2.75" customHeight="1" x14ac:dyDescent="0.3">
      <c r="A357" s="3"/>
      <c r="B357" s="3"/>
      <c r="C357" s="3"/>
      <c r="D357" s="5"/>
      <c r="E357" s="5"/>
      <c r="F357" s="5"/>
      <c r="G357" s="7"/>
      <c r="H357" s="5"/>
      <c r="I357" s="3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2.75" customHeight="1" x14ac:dyDescent="0.3">
      <c r="A358" s="3"/>
      <c r="B358" s="3"/>
      <c r="C358" s="3"/>
      <c r="D358" s="5"/>
      <c r="E358" s="5"/>
      <c r="F358" s="5"/>
      <c r="G358" s="7"/>
      <c r="H358" s="5"/>
      <c r="I358" s="3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2.75" customHeight="1" x14ac:dyDescent="0.3">
      <c r="A359" s="3"/>
      <c r="B359" s="3"/>
      <c r="C359" s="3"/>
      <c r="D359" s="5"/>
      <c r="E359" s="5"/>
      <c r="F359" s="5"/>
      <c r="G359" s="7"/>
      <c r="H359" s="5"/>
      <c r="I359" s="3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2.75" customHeight="1" x14ac:dyDescent="0.3">
      <c r="A360" s="3"/>
      <c r="B360" s="3"/>
      <c r="C360" s="3"/>
      <c r="D360" s="5"/>
      <c r="E360" s="5"/>
      <c r="F360" s="5"/>
      <c r="G360" s="7"/>
      <c r="H360" s="5"/>
      <c r="I360" s="3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2.75" customHeight="1" x14ac:dyDescent="0.3">
      <c r="A361" s="3"/>
      <c r="B361" s="3"/>
      <c r="C361" s="3"/>
      <c r="D361" s="5"/>
      <c r="E361" s="5"/>
      <c r="F361" s="5"/>
      <c r="G361" s="7"/>
      <c r="H361" s="5"/>
      <c r="I361" s="3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2.75" customHeight="1" x14ac:dyDescent="0.3">
      <c r="A362" s="3"/>
      <c r="B362" s="3"/>
      <c r="C362" s="3"/>
      <c r="D362" s="5"/>
      <c r="E362" s="5"/>
      <c r="F362" s="5"/>
      <c r="G362" s="7"/>
      <c r="H362" s="5"/>
      <c r="I362" s="3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2.75" customHeight="1" x14ac:dyDescent="0.3">
      <c r="A363" s="3"/>
      <c r="B363" s="3"/>
      <c r="C363" s="3"/>
      <c r="D363" s="5"/>
      <c r="E363" s="5"/>
      <c r="F363" s="5"/>
      <c r="G363" s="7"/>
      <c r="H363" s="5"/>
      <c r="I363" s="3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2.75" customHeight="1" x14ac:dyDescent="0.3">
      <c r="A364" s="3"/>
      <c r="B364" s="3"/>
      <c r="C364" s="3"/>
      <c r="D364" s="5"/>
      <c r="E364" s="5"/>
      <c r="F364" s="5"/>
      <c r="G364" s="7"/>
      <c r="H364" s="5"/>
      <c r="I364" s="3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2.75" customHeight="1" x14ac:dyDescent="0.3">
      <c r="A365" s="3"/>
      <c r="B365" s="3"/>
      <c r="C365" s="3"/>
      <c r="D365" s="5"/>
      <c r="E365" s="5"/>
      <c r="F365" s="5"/>
      <c r="G365" s="7"/>
      <c r="H365" s="5"/>
      <c r="I365" s="3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2.75" customHeight="1" x14ac:dyDescent="0.3">
      <c r="A366" s="3"/>
      <c r="B366" s="3"/>
      <c r="C366" s="3"/>
      <c r="D366" s="5"/>
      <c r="E366" s="5"/>
      <c r="F366" s="5"/>
      <c r="G366" s="7"/>
      <c r="H366" s="5"/>
      <c r="I366" s="3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2.75" customHeight="1" x14ac:dyDescent="0.3">
      <c r="A367" s="3"/>
      <c r="B367" s="3"/>
      <c r="C367" s="3"/>
      <c r="D367" s="5"/>
      <c r="E367" s="5"/>
      <c r="F367" s="5"/>
      <c r="G367" s="7"/>
      <c r="H367" s="5"/>
      <c r="I367" s="3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2.75" customHeight="1" x14ac:dyDescent="0.3">
      <c r="A368" s="3"/>
      <c r="B368" s="3"/>
      <c r="C368" s="3"/>
      <c r="D368" s="5"/>
      <c r="E368" s="5"/>
      <c r="F368" s="5"/>
      <c r="G368" s="7"/>
      <c r="H368" s="5"/>
      <c r="I368" s="3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2.75" customHeight="1" x14ac:dyDescent="0.3">
      <c r="A369" s="3"/>
      <c r="B369" s="3"/>
      <c r="C369" s="3"/>
      <c r="D369" s="5"/>
      <c r="E369" s="5"/>
      <c r="F369" s="5"/>
      <c r="G369" s="7"/>
      <c r="H369" s="5"/>
      <c r="I369" s="3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2.75" customHeight="1" x14ac:dyDescent="0.3">
      <c r="A370" s="3"/>
      <c r="B370" s="3"/>
      <c r="C370" s="3"/>
      <c r="D370" s="5"/>
      <c r="E370" s="5"/>
      <c r="F370" s="5"/>
      <c r="G370" s="7"/>
      <c r="H370" s="5"/>
      <c r="I370" s="3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2.75" customHeight="1" x14ac:dyDescent="0.3">
      <c r="A371" s="3"/>
      <c r="B371" s="3"/>
      <c r="C371" s="3"/>
      <c r="D371" s="5"/>
      <c r="E371" s="5"/>
      <c r="F371" s="5"/>
      <c r="G371" s="7"/>
      <c r="H371" s="5"/>
      <c r="I371" s="3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2.75" customHeight="1" x14ac:dyDescent="0.3">
      <c r="A372" s="3"/>
      <c r="B372" s="3"/>
      <c r="C372" s="3"/>
      <c r="D372" s="5"/>
      <c r="E372" s="5"/>
      <c r="F372" s="5"/>
      <c r="G372" s="7"/>
      <c r="H372" s="5"/>
      <c r="I372" s="3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2.75" customHeight="1" x14ac:dyDescent="0.3">
      <c r="A373" s="3"/>
      <c r="B373" s="3"/>
      <c r="C373" s="3"/>
      <c r="D373" s="5"/>
      <c r="E373" s="5"/>
      <c r="F373" s="5"/>
      <c r="G373" s="7"/>
      <c r="H373" s="5"/>
      <c r="I373" s="3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2.75" customHeight="1" x14ac:dyDescent="0.3">
      <c r="A374" s="3"/>
      <c r="B374" s="3"/>
      <c r="C374" s="3"/>
      <c r="D374" s="5"/>
      <c r="E374" s="5"/>
      <c r="F374" s="5"/>
      <c r="G374" s="7"/>
      <c r="H374" s="5"/>
      <c r="I374" s="3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2.75" customHeight="1" x14ac:dyDescent="0.3">
      <c r="A375" s="3"/>
      <c r="B375" s="3"/>
      <c r="C375" s="3"/>
      <c r="D375" s="5"/>
      <c r="E375" s="5"/>
      <c r="F375" s="5"/>
      <c r="G375" s="7"/>
      <c r="H375" s="5"/>
      <c r="I375" s="3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2.75" customHeight="1" x14ac:dyDescent="0.3">
      <c r="A376" s="3"/>
      <c r="B376" s="3"/>
      <c r="C376" s="3"/>
      <c r="D376" s="5"/>
      <c r="E376" s="5"/>
      <c r="F376" s="5"/>
      <c r="G376" s="7"/>
      <c r="H376" s="5"/>
      <c r="I376" s="3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2.75" customHeight="1" x14ac:dyDescent="0.3">
      <c r="A377" s="3"/>
      <c r="B377" s="3"/>
      <c r="C377" s="3"/>
      <c r="D377" s="5"/>
      <c r="E377" s="5"/>
      <c r="F377" s="5"/>
      <c r="G377" s="7"/>
      <c r="H377" s="5"/>
      <c r="I377" s="3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2.75" customHeight="1" x14ac:dyDescent="0.3">
      <c r="A378" s="3"/>
      <c r="B378" s="3"/>
      <c r="C378" s="3"/>
      <c r="D378" s="5"/>
      <c r="E378" s="5"/>
      <c r="F378" s="5"/>
      <c r="G378" s="7"/>
      <c r="H378" s="5"/>
      <c r="I378" s="3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2.75" customHeight="1" x14ac:dyDescent="0.3">
      <c r="A379" s="3"/>
      <c r="B379" s="3"/>
      <c r="C379" s="3"/>
      <c r="D379" s="5"/>
      <c r="E379" s="5"/>
      <c r="F379" s="5"/>
      <c r="G379" s="7"/>
      <c r="H379" s="5"/>
      <c r="I379" s="3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2.75" customHeight="1" x14ac:dyDescent="0.3">
      <c r="A380" s="3"/>
      <c r="B380" s="3"/>
      <c r="C380" s="3"/>
      <c r="D380" s="5"/>
      <c r="E380" s="5"/>
      <c r="F380" s="5"/>
      <c r="G380" s="7"/>
      <c r="H380" s="5"/>
      <c r="I380" s="3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2.75" customHeight="1" x14ac:dyDescent="0.3">
      <c r="A381" s="3"/>
      <c r="B381" s="3"/>
      <c r="C381" s="3"/>
      <c r="D381" s="5"/>
      <c r="E381" s="5"/>
      <c r="F381" s="5"/>
      <c r="G381" s="7"/>
      <c r="H381" s="5"/>
      <c r="I381" s="3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2.75" customHeight="1" x14ac:dyDescent="0.3">
      <c r="A382" s="3"/>
      <c r="B382" s="3"/>
      <c r="C382" s="3"/>
      <c r="D382" s="5"/>
      <c r="E382" s="5"/>
      <c r="F382" s="5"/>
      <c r="G382" s="7"/>
      <c r="H382" s="5"/>
      <c r="I382" s="3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2.75" customHeight="1" x14ac:dyDescent="0.3">
      <c r="A383" s="3"/>
      <c r="B383" s="3"/>
      <c r="C383" s="3"/>
      <c r="D383" s="5"/>
      <c r="E383" s="5"/>
      <c r="F383" s="5"/>
      <c r="G383" s="7"/>
      <c r="H383" s="5"/>
      <c r="I383" s="3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2.75" customHeight="1" x14ac:dyDescent="0.3">
      <c r="A384" s="3"/>
      <c r="B384" s="3"/>
      <c r="C384" s="3"/>
      <c r="D384" s="5"/>
      <c r="E384" s="5"/>
      <c r="F384" s="5"/>
      <c r="G384" s="7"/>
      <c r="H384" s="5"/>
      <c r="I384" s="3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2.75" customHeight="1" x14ac:dyDescent="0.3">
      <c r="A385" s="3"/>
      <c r="B385" s="3"/>
      <c r="C385" s="3"/>
      <c r="D385" s="5"/>
      <c r="E385" s="5"/>
      <c r="F385" s="5"/>
      <c r="G385" s="7"/>
      <c r="H385" s="5"/>
      <c r="I385" s="3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2.75" customHeight="1" x14ac:dyDescent="0.3">
      <c r="A386" s="3"/>
      <c r="B386" s="3"/>
      <c r="C386" s="3"/>
      <c r="D386" s="5"/>
      <c r="E386" s="5"/>
      <c r="F386" s="5"/>
      <c r="G386" s="7"/>
      <c r="H386" s="5"/>
      <c r="I386" s="3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2.75" customHeight="1" x14ac:dyDescent="0.3">
      <c r="A387" s="3"/>
      <c r="B387" s="3"/>
      <c r="C387" s="3"/>
      <c r="D387" s="5"/>
      <c r="E387" s="5"/>
      <c r="F387" s="5"/>
      <c r="G387" s="7"/>
      <c r="H387" s="5"/>
      <c r="I387" s="3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2.75" customHeight="1" x14ac:dyDescent="0.3">
      <c r="A388" s="3"/>
      <c r="B388" s="3"/>
      <c r="C388" s="3"/>
      <c r="D388" s="5"/>
      <c r="E388" s="5"/>
      <c r="F388" s="5"/>
      <c r="G388" s="7"/>
      <c r="H388" s="5"/>
      <c r="I388" s="3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2.75" customHeight="1" x14ac:dyDescent="0.3">
      <c r="A389" s="3"/>
      <c r="B389" s="3"/>
      <c r="C389" s="3"/>
      <c r="D389" s="5"/>
      <c r="E389" s="5"/>
      <c r="F389" s="5"/>
      <c r="G389" s="7"/>
      <c r="H389" s="5"/>
      <c r="I389" s="3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2.75" customHeight="1" x14ac:dyDescent="0.3">
      <c r="A390" s="3"/>
      <c r="B390" s="3"/>
      <c r="C390" s="3"/>
      <c r="D390" s="5"/>
      <c r="E390" s="5"/>
      <c r="F390" s="5"/>
      <c r="G390" s="7"/>
      <c r="H390" s="5"/>
      <c r="I390" s="3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2.75" customHeight="1" x14ac:dyDescent="0.3">
      <c r="A391" s="3"/>
      <c r="B391" s="3"/>
      <c r="C391" s="3"/>
      <c r="D391" s="5"/>
      <c r="E391" s="5"/>
      <c r="F391" s="5"/>
      <c r="G391" s="7"/>
      <c r="H391" s="5"/>
      <c r="I391" s="3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2.75" customHeight="1" x14ac:dyDescent="0.3">
      <c r="A392" s="3"/>
      <c r="B392" s="3"/>
      <c r="C392" s="3"/>
      <c r="D392" s="5"/>
      <c r="E392" s="5"/>
      <c r="F392" s="5"/>
      <c r="G392" s="7"/>
      <c r="H392" s="5"/>
      <c r="I392" s="3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2.75" customHeight="1" x14ac:dyDescent="0.3">
      <c r="A393" s="3"/>
      <c r="B393" s="3"/>
      <c r="C393" s="3"/>
      <c r="D393" s="5"/>
      <c r="E393" s="5"/>
      <c r="F393" s="5"/>
      <c r="G393" s="7"/>
      <c r="H393" s="5"/>
      <c r="I393" s="3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2.75" customHeight="1" x14ac:dyDescent="0.3">
      <c r="A394" s="3"/>
      <c r="B394" s="3"/>
      <c r="C394" s="3"/>
      <c r="D394" s="5"/>
      <c r="E394" s="5"/>
      <c r="F394" s="5"/>
      <c r="G394" s="7"/>
      <c r="H394" s="5"/>
      <c r="I394" s="3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2.75" customHeight="1" x14ac:dyDescent="0.3">
      <c r="A395" s="3"/>
      <c r="B395" s="3"/>
      <c r="C395" s="3"/>
      <c r="D395" s="5"/>
      <c r="E395" s="5"/>
      <c r="F395" s="5"/>
      <c r="G395" s="7"/>
      <c r="H395" s="5"/>
      <c r="I395" s="3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2.75" customHeight="1" x14ac:dyDescent="0.3">
      <c r="A396" s="3"/>
      <c r="B396" s="3"/>
      <c r="C396" s="3"/>
      <c r="D396" s="5"/>
      <c r="E396" s="5"/>
      <c r="F396" s="5"/>
      <c r="G396" s="7"/>
      <c r="H396" s="5"/>
      <c r="I396" s="3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2.75" customHeight="1" x14ac:dyDescent="0.3">
      <c r="A397" s="3"/>
      <c r="B397" s="3"/>
      <c r="C397" s="3"/>
      <c r="D397" s="5"/>
      <c r="E397" s="5"/>
      <c r="F397" s="5"/>
      <c r="G397" s="7"/>
      <c r="H397" s="5"/>
      <c r="I397" s="3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2.75" customHeight="1" x14ac:dyDescent="0.3">
      <c r="A398" s="3"/>
      <c r="B398" s="3"/>
      <c r="C398" s="3"/>
      <c r="D398" s="5"/>
      <c r="E398" s="5"/>
      <c r="F398" s="5"/>
      <c r="G398" s="7"/>
      <c r="H398" s="5"/>
      <c r="I398" s="3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2.75" customHeight="1" x14ac:dyDescent="0.3">
      <c r="A399" s="3"/>
      <c r="B399" s="3"/>
      <c r="C399" s="3"/>
      <c r="D399" s="5"/>
      <c r="E399" s="5"/>
      <c r="F399" s="5"/>
      <c r="G399" s="7"/>
      <c r="H399" s="5"/>
      <c r="I399" s="3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2.75" customHeight="1" x14ac:dyDescent="0.3">
      <c r="A400" s="3"/>
      <c r="B400" s="3"/>
      <c r="C400" s="3"/>
      <c r="D400" s="5"/>
      <c r="E400" s="5"/>
      <c r="F400" s="5"/>
      <c r="G400" s="7"/>
      <c r="H400" s="5"/>
      <c r="I400" s="3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2.75" customHeight="1" x14ac:dyDescent="0.3">
      <c r="A401" s="3"/>
      <c r="B401" s="3"/>
      <c r="C401" s="3"/>
      <c r="D401" s="5"/>
      <c r="E401" s="5"/>
      <c r="F401" s="5"/>
      <c r="G401" s="7"/>
      <c r="H401" s="5"/>
      <c r="I401" s="3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2.75" customHeight="1" x14ac:dyDescent="0.3">
      <c r="A402" s="3"/>
      <c r="B402" s="3"/>
      <c r="C402" s="3"/>
      <c r="D402" s="5"/>
      <c r="E402" s="5"/>
      <c r="F402" s="5"/>
      <c r="G402" s="7"/>
      <c r="H402" s="5"/>
      <c r="I402" s="3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2.75" customHeight="1" x14ac:dyDescent="0.3">
      <c r="A403" s="3"/>
      <c r="B403" s="3"/>
      <c r="C403" s="3"/>
      <c r="D403" s="5"/>
      <c r="E403" s="5"/>
      <c r="F403" s="5"/>
      <c r="G403" s="7"/>
      <c r="H403" s="5"/>
      <c r="I403" s="3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2.75" customHeight="1" x14ac:dyDescent="0.3">
      <c r="A404" s="3"/>
      <c r="B404" s="3"/>
      <c r="C404" s="3"/>
      <c r="D404" s="5"/>
      <c r="E404" s="5"/>
      <c r="F404" s="5"/>
      <c r="G404" s="7"/>
      <c r="H404" s="5"/>
      <c r="I404" s="3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2.75" customHeight="1" x14ac:dyDescent="0.3">
      <c r="A405" s="3"/>
      <c r="B405" s="3"/>
      <c r="C405" s="3"/>
      <c r="D405" s="5"/>
      <c r="E405" s="5"/>
      <c r="F405" s="5"/>
      <c r="G405" s="7"/>
      <c r="H405" s="5"/>
      <c r="I405" s="3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2.75" customHeight="1" x14ac:dyDescent="0.3">
      <c r="A406" s="3"/>
      <c r="B406" s="3"/>
      <c r="C406" s="3"/>
      <c r="D406" s="5"/>
      <c r="E406" s="5"/>
      <c r="F406" s="5"/>
      <c r="G406" s="7"/>
      <c r="H406" s="5"/>
      <c r="I406" s="3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2.75" customHeight="1" x14ac:dyDescent="0.3">
      <c r="A407" s="3"/>
      <c r="B407" s="3"/>
      <c r="C407" s="3"/>
      <c r="D407" s="5"/>
      <c r="E407" s="5"/>
      <c r="F407" s="5"/>
      <c r="G407" s="7"/>
      <c r="H407" s="5"/>
      <c r="I407" s="3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2.75" customHeight="1" x14ac:dyDescent="0.3">
      <c r="A408" s="3"/>
      <c r="B408" s="3"/>
      <c r="C408" s="3"/>
      <c r="D408" s="5"/>
      <c r="E408" s="5"/>
      <c r="F408" s="5"/>
      <c r="G408" s="7"/>
      <c r="H408" s="5"/>
      <c r="I408" s="3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2.75" customHeight="1" x14ac:dyDescent="0.3">
      <c r="A409" s="3"/>
      <c r="B409" s="3"/>
      <c r="C409" s="3"/>
      <c r="D409" s="5"/>
      <c r="E409" s="5"/>
      <c r="F409" s="5"/>
      <c r="G409" s="7"/>
      <c r="H409" s="5"/>
      <c r="I409" s="3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2.75" customHeight="1" x14ac:dyDescent="0.3">
      <c r="A410" s="3"/>
      <c r="B410" s="3"/>
      <c r="C410" s="3"/>
      <c r="D410" s="5"/>
      <c r="E410" s="5"/>
      <c r="F410" s="5"/>
      <c r="G410" s="7"/>
      <c r="H410" s="5"/>
      <c r="I410" s="3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2.75" customHeight="1" x14ac:dyDescent="0.3">
      <c r="A411" s="3"/>
      <c r="B411" s="3"/>
      <c r="C411" s="3"/>
      <c r="D411" s="5"/>
      <c r="E411" s="5"/>
      <c r="F411" s="5"/>
      <c r="G411" s="7"/>
      <c r="H411" s="5"/>
      <c r="I411" s="3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2.75" customHeight="1" x14ac:dyDescent="0.3">
      <c r="A412" s="3"/>
      <c r="B412" s="3"/>
      <c r="C412" s="3"/>
      <c r="D412" s="5"/>
      <c r="E412" s="5"/>
      <c r="F412" s="5"/>
      <c r="G412" s="7"/>
      <c r="H412" s="5"/>
      <c r="I412" s="3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2.75" customHeight="1" x14ac:dyDescent="0.3">
      <c r="A413" s="3"/>
      <c r="B413" s="3"/>
      <c r="C413" s="3"/>
      <c r="D413" s="5"/>
      <c r="E413" s="5"/>
      <c r="F413" s="5"/>
      <c r="G413" s="7"/>
      <c r="H413" s="5"/>
      <c r="I413" s="3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2.75" customHeight="1" x14ac:dyDescent="0.3">
      <c r="A414" s="3"/>
      <c r="B414" s="3"/>
      <c r="C414" s="3"/>
      <c r="D414" s="5"/>
      <c r="E414" s="5"/>
      <c r="F414" s="5"/>
      <c r="G414" s="7"/>
      <c r="H414" s="5"/>
      <c r="I414" s="3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2.75" customHeight="1" x14ac:dyDescent="0.3">
      <c r="A415" s="3"/>
      <c r="B415" s="3"/>
      <c r="C415" s="3"/>
      <c r="D415" s="5"/>
      <c r="E415" s="5"/>
      <c r="F415" s="5"/>
      <c r="G415" s="7"/>
      <c r="H415" s="5"/>
      <c r="I415" s="3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2.75" customHeight="1" x14ac:dyDescent="0.3">
      <c r="A416" s="3"/>
      <c r="B416" s="3"/>
      <c r="C416" s="3"/>
      <c r="D416" s="5"/>
      <c r="E416" s="5"/>
      <c r="F416" s="5"/>
      <c r="G416" s="7"/>
      <c r="H416" s="5"/>
      <c r="I416" s="3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2.75" customHeight="1" x14ac:dyDescent="0.3">
      <c r="A417" s="3"/>
      <c r="B417" s="3"/>
      <c r="C417" s="3"/>
      <c r="D417" s="5"/>
      <c r="E417" s="5"/>
      <c r="F417" s="5"/>
      <c r="G417" s="7"/>
      <c r="H417" s="5"/>
      <c r="I417" s="3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2.75" customHeight="1" x14ac:dyDescent="0.3">
      <c r="A418" s="3"/>
      <c r="B418" s="3"/>
      <c r="C418" s="3"/>
      <c r="D418" s="5"/>
      <c r="E418" s="5"/>
      <c r="F418" s="5"/>
      <c r="G418" s="7"/>
      <c r="H418" s="5"/>
      <c r="I418" s="3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2.75" customHeight="1" x14ac:dyDescent="0.3">
      <c r="A419" s="3"/>
      <c r="B419" s="3"/>
      <c r="C419" s="3"/>
      <c r="D419" s="5"/>
      <c r="E419" s="5"/>
      <c r="F419" s="5"/>
      <c r="G419" s="7"/>
      <c r="H419" s="5"/>
      <c r="I419" s="3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2.75" customHeight="1" x14ac:dyDescent="0.3">
      <c r="A420" s="3"/>
      <c r="B420" s="3"/>
      <c r="C420" s="3"/>
      <c r="D420" s="5"/>
      <c r="E420" s="5"/>
      <c r="F420" s="5"/>
      <c r="G420" s="7"/>
      <c r="H420" s="5"/>
      <c r="I420" s="3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2.75" customHeight="1" x14ac:dyDescent="0.3">
      <c r="A421" s="3"/>
      <c r="B421" s="3"/>
      <c r="C421" s="3"/>
      <c r="D421" s="5"/>
      <c r="E421" s="5"/>
      <c r="F421" s="5"/>
      <c r="G421" s="7"/>
      <c r="H421" s="5"/>
      <c r="I421" s="3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2.75" customHeight="1" x14ac:dyDescent="0.3">
      <c r="A422" s="3"/>
      <c r="B422" s="3"/>
      <c r="C422" s="3"/>
      <c r="D422" s="5"/>
      <c r="E422" s="5"/>
      <c r="F422" s="5"/>
      <c r="G422" s="7"/>
      <c r="H422" s="5"/>
      <c r="I422" s="3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2.75" customHeight="1" x14ac:dyDescent="0.3">
      <c r="A423" s="3"/>
      <c r="B423" s="3"/>
      <c r="C423" s="3"/>
      <c r="D423" s="5"/>
      <c r="E423" s="5"/>
      <c r="F423" s="5"/>
      <c r="G423" s="7"/>
      <c r="H423" s="5"/>
      <c r="I423" s="3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2.75" customHeight="1" x14ac:dyDescent="0.3">
      <c r="A424" s="3"/>
      <c r="B424" s="3"/>
      <c r="C424" s="3"/>
      <c r="D424" s="5"/>
      <c r="E424" s="5"/>
      <c r="F424" s="5"/>
      <c r="G424" s="7"/>
      <c r="H424" s="5"/>
      <c r="I424" s="3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2.75" customHeight="1" x14ac:dyDescent="0.3">
      <c r="A425" s="3"/>
      <c r="B425" s="3"/>
      <c r="C425" s="3"/>
      <c r="D425" s="5"/>
      <c r="E425" s="5"/>
      <c r="F425" s="5"/>
      <c r="G425" s="7"/>
      <c r="H425" s="5"/>
      <c r="I425" s="3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2.75" customHeight="1" x14ac:dyDescent="0.3">
      <c r="A426" s="3"/>
      <c r="B426" s="3"/>
      <c r="C426" s="3"/>
      <c r="D426" s="5"/>
      <c r="E426" s="5"/>
      <c r="F426" s="5"/>
      <c r="G426" s="7"/>
      <c r="H426" s="5"/>
      <c r="I426" s="3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2.75" customHeight="1" x14ac:dyDescent="0.3">
      <c r="A427" s="3"/>
      <c r="B427" s="3"/>
      <c r="C427" s="3"/>
      <c r="D427" s="5"/>
      <c r="E427" s="5"/>
      <c r="F427" s="5"/>
      <c r="G427" s="7"/>
      <c r="H427" s="5"/>
      <c r="I427" s="3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2.75" customHeight="1" x14ac:dyDescent="0.3">
      <c r="A428" s="3"/>
      <c r="B428" s="3"/>
      <c r="C428" s="3"/>
      <c r="D428" s="5"/>
      <c r="E428" s="5"/>
      <c r="F428" s="5"/>
      <c r="G428" s="7"/>
      <c r="H428" s="5"/>
      <c r="I428" s="3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2.75" customHeight="1" x14ac:dyDescent="0.3">
      <c r="A429" s="3"/>
      <c r="B429" s="3"/>
      <c r="C429" s="3"/>
      <c r="D429" s="5"/>
      <c r="E429" s="5"/>
      <c r="F429" s="5"/>
      <c r="G429" s="7"/>
      <c r="H429" s="5"/>
      <c r="I429" s="3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2.75" customHeight="1" x14ac:dyDescent="0.3">
      <c r="A430" s="3"/>
      <c r="B430" s="3"/>
      <c r="C430" s="3"/>
      <c r="D430" s="5"/>
      <c r="E430" s="5"/>
      <c r="F430" s="5"/>
      <c r="G430" s="7"/>
      <c r="H430" s="5"/>
      <c r="I430" s="3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2.75" customHeight="1" x14ac:dyDescent="0.3">
      <c r="A431" s="3"/>
      <c r="B431" s="3"/>
      <c r="C431" s="3"/>
      <c r="D431" s="5"/>
      <c r="E431" s="5"/>
      <c r="F431" s="5"/>
      <c r="G431" s="7"/>
      <c r="H431" s="5"/>
      <c r="I431" s="3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2.75" customHeight="1" x14ac:dyDescent="0.3">
      <c r="A432" s="3"/>
      <c r="B432" s="3"/>
      <c r="C432" s="3"/>
      <c r="D432" s="5"/>
      <c r="E432" s="5"/>
      <c r="F432" s="5"/>
      <c r="G432" s="7"/>
      <c r="H432" s="5"/>
      <c r="I432" s="3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2.75" customHeight="1" x14ac:dyDescent="0.3">
      <c r="A433" s="3"/>
      <c r="B433" s="3"/>
      <c r="C433" s="3"/>
      <c r="D433" s="5"/>
      <c r="E433" s="5"/>
      <c r="F433" s="5"/>
      <c r="G433" s="7"/>
      <c r="H433" s="5"/>
      <c r="I433" s="3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2.75" customHeight="1" x14ac:dyDescent="0.3">
      <c r="A434" s="3"/>
      <c r="B434" s="3"/>
      <c r="C434" s="3"/>
      <c r="D434" s="5"/>
      <c r="E434" s="5"/>
      <c r="F434" s="5"/>
      <c r="G434" s="7"/>
      <c r="H434" s="5"/>
      <c r="I434" s="3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2.75" customHeight="1" x14ac:dyDescent="0.3">
      <c r="A435" s="3"/>
      <c r="B435" s="3"/>
      <c r="C435" s="3"/>
      <c r="D435" s="5"/>
      <c r="E435" s="5"/>
      <c r="F435" s="5"/>
      <c r="G435" s="7"/>
      <c r="H435" s="5"/>
      <c r="I435" s="3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2.75" customHeight="1" x14ac:dyDescent="0.3">
      <c r="A436" s="3"/>
      <c r="B436" s="3"/>
      <c r="C436" s="3"/>
      <c r="D436" s="5"/>
      <c r="E436" s="5"/>
      <c r="F436" s="5"/>
      <c r="G436" s="7"/>
      <c r="H436" s="5"/>
      <c r="I436" s="3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2.75" customHeight="1" x14ac:dyDescent="0.3">
      <c r="A437" s="3"/>
      <c r="B437" s="3"/>
      <c r="C437" s="3"/>
      <c r="D437" s="5"/>
      <c r="E437" s="5"/>
      <c r="F437" s="5"/>
      <c r="G437" s="7"/>
      <c r="H437" s="5"/>
      <c r="I437" s="3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2.75" customHeight="1" x14ac:dyDescent="0.3">
      <c r="A438" s="3"/>
      <c r="B438" s="3"/>
      <c r="C438" s="3"/>
      <c r="D438" s="5"/>
      <c r="E438" s="5"/>
      <c r="F438" s="5"/>
      <c r="G438" s="7"/>
      <c r="H438" s="5"/>
      <c r="I438" s="3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2.75" customHeight="1" x14ac:dyDescent="0.3">
      <c r="A439" s="3"/>
      <c r="B439" s="3"/>
      <c r="C439" s="3"/>
      <c r="D439" s="5"/>
      <c r="E439" s="5"/>
      <c r="F439" s="5"/>
      <c r="G439" s="7"/>
      <c r="H439" s="5"/>
      <c r="I439" s="3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2.75" customHeight="1" x14ac:dyDescent="0.3">
      <c r="A440" s="3"/>
      <c r="B440" s="3"/>
      <c r="C440" s="3"/>
      <c r="D440" s="5"/>
      <c r="E440" s="5"/>
      <c r="F440" s="5"/>
      <c r="G440" s="7"/>
      <c r="H440" s="5"/>
      <c r="I440" s="3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2.75" customHeight="1" x14ac:dyDescent="0.3">
      <c r="A441" s="3"/>
      <c r="B441" s="3"/>
      <c r="C441" s="3"/>
      <c r="D441" s="5"/>
      <c r="E441" s="5"/>
      <c r="F441" s="5"/>
      <c r="G441" s="7"/>
      <c r="H441" s="5"/>
      <c r="I441" s="3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2.75" customHeight="1" x14ac:dyDescent="0.3">
      <c r="A442" s="3"/>
      <c r="B442" s="3"/>
      <c r="C442" s="3"/>
      <c r="D442" s="5"/>
      <c r="E442" s="5"/>
      <c r="F442" s="5"/>
      <c r="G442" s="7"/>
      <c r="H442" s="5"/>
      <c r="I442" s="3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2.75" customHeight="1" x14ac:dyDescent="0.3">
      <c r="A443" s="3"/>
      <c r="B443" s="3"/>
      <c r="C443" s="3"/>
      <c r="D443" s="5"/>
      <c r="E443" s="5"/>
      <c r="F443" s="5"/>
      <c r="G443" s="7"/>
      <c r="H443" s="5"/>
      <c r="I443" s="3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2.75" customHeight="1" x14ac:dyDescent="0.3">
      <c r="A444" s="3"/>
      <c r="B444" s="3"/>
      <c r="C444" s="3"/>
      <c r="D444" s="5"/>
      <c r="E444" s="5"/>
      <c r="F444" s="5"/>
      <c r="G444" s="7"/>
      <c r="H444" s="5"/>
      <c r="I444" s="3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2.75" customHeight="1" x14ac:dyDescent="0.3">
      <c r="A445" s="3"/>
      <c r="B445" s="3"/>
      <c r="C445" s="3"/>
      <c r="D445" s="5"/>
      <c r="E445" s="5"/>
      <c r="F445" s="5"/>
      <c r="G445" s="7"/>
      <c r="H445" s="5"/>
      <c r="I445" s="3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2.75" customHeight="1" x14ac:dyDescent="0.3">
      <c r="A446" s="3"/>
      <c r="B446" s="3"/>
      <c r="C446" s="3"/>
      <c r="D446" s="5"/>
      <c r="E446" s="5"/>
      <c r="F446" s="5"/>
      <c r="G446" s="7"/>
      <c r="H446" s="5"/>
      <c r="I446" s="3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2.75" customHeight="1" x14ac:dyDescent="0.3">
      <c r="A447" s="3"/>
      <c r="B447" s="3"/>
      <c r="C447" s="3"/>
      <c r="D447" s="5"/>
      <c r="E447" s="5"/>
      <c r="F447" s="5"/>
      <c r="G447" s="7"/>
      <c r="H447" s="5"/>
      <c r="I447" s="3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2.75" customHeight="1" x14ac:dyDescent="0.3">
      <c r="A448" s="3"/>
      <c r="B448" s="3"/>
      <c r="C448" s="3"/>
      <c r="D448" s="5"/>
      <c r="E448" s="5"/>
      <c r="F448" s="5"/>
      <c r="G448" s="7"/>
      <c r="H448" s="5"/>
      <c r="I448" s="3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2.75" customHeight="1" x14ac:dyDescent="0.3">
      <c r="A449" s="3"/>
      <c r="B449" s="3"/>
      <c r="C449" s="3"/>
      <c r="D449" s="5"/>
      <c r="E449" s="5"/>
      <c r="F449" s="5"/>
      <c r="G449" s="7"/>
      <c r="H449" s="5"/>
      <c r="I449" s="3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2.75" customHeight="1" x14ac:dyDescent="0.3">
      <c r="A450" s="3"/>
      <c r="B450" s="3"/>
      <c r="C450" s="3"/>
      <c r="D450" s="5"/>
      <c r="E450" s="5"/>
      <c r="F450" s="5"/>
      <c r="G450" s="7"/>
      <c r="H450" s="5"/>
      <c r="I450" s="3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2.75" customHeight="1" x14ac:dyDescent="0.3">
      <c r="A451" s="3"/>
      <c r="B451" s="3"/>
      <c r="C451" s="3"/>
      <c r="D451" s="5"/>
      <c r="E451" s="5"/>
      <c r="F451" s="5"/>
      <c r="G451" s="7"/>
      <c r="H451" s="5"/>
      <c r="I451" s="3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2.75" customHeight="1" x14ac:dyDescent="0.3">
      <c r="A452" s="3"/>
      <c r="B452" s="3"/>
      <c r="C452" s="3"/>
      <c r="D452" s="5"/>
      <c r="E452" s="5"/>
      <c r="F452" s="5"/>
      <c r="G452" s="7"/>
      <c r="H452" s="5"/>
      <c r="I452" s="3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2.75" customHeight="1" x14ac:dyDescent="0.3">
      <c r="A453" s="3"/>
      <c r="B453" s="3"/>
      <c r="C453" s="3"/>
      <c r="D453" s="5"/>
      <c r="E453" s="5"/>
      <c r="F453" s="5"/>
      <c r="G453" s="7"/>
      <c r="H453" s="5"/>
      <c r="I453" s="3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2.75" customHeight="1" x14ac:dyDescent="0.3">
      <c r="A454" s="3"/>
      <c r="B454" s="3"/>
      <c r="C454" s="3"/>
      <c r="D454" s="5"/>
      <c r="E454" s="5"/>
      <c r="F454" s="5"/>
      <c r="G454" s="7"/>
      <c r="H454" s="5"/>
      <c r="I454" s="3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2.75" customHeight="1" x14ac:dyDescent="0.3">
      <c r="A455" s="3"/>
      <c r="B455" s="3"/>
      <c r="C455" s="3"/>
      <c r="D455" s="5"/>
      <c r="E455" s="5"/>
      <c r="F455" s="5"/>
      <c r="G455" s="7"/>
      <c r="H455" s="5"/>
      <c r="I455" s="3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2.75" customHeight="1" x14ac:dyDescent="0.3">
      <c r="A456" s="3"/>
      <c r="B456" s="3"/>
      <c r="C456" s="3"/>
      <c r="D456" s="5"/>
      <c r="E456" s="5"/>
      <c r="F456" s="5"/>
      <c r="G456" s="7"/>
      <c r="H456" s="5"/>
      <c r="I456" s="3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2.75" customHeight="1" x14ac:dyDescent="0.3">
      <c r="A457" s="3"/>
      <c r="B457" s="3"/>
      <c r="C457" s="3"/>
      <c r="D457" s="5"/>
      <c r="E457" s="5"/>
      <c r="F457" s="5"/>
      <c r="G457" s="7"/>
      <c r="H457" s="5"/>
      <c r="I457" s="3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2.75" customHeight="1" x14ac:dyDescent="0.3">
      <c r="A458" s="3"/>
      <c r="B458" s="3"/>
      <c r="C458" s="3"/>
      <c r="D458" s="5"/>
      <c r="E458" s="5"/>
      <c r="F458" s="5"/>
      <c r="G458" s="7"/>
      <c r="H458" s="5"/>
      <c r="I458" s="3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2.75" customHeight="1" x14ac:dyDescent="0.3">
      <c r="A459" s="3"/>
      <c r="B459" s="3"/>
      <c r="C459" s="3"/>
      <c r="D459" s="5"/>
      <c r="E459" s="5"/>
      <c r="F459" s="5"/>
      <c r="G459" s="7"/>
      <c r="H459" s="5"/>
      <c r="I459" s="3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2.75" customHeight="1" x14ac:dyDescent="0.3">
      <c r="A460" s="3"/>
      <c r="B460" s="3"/>
      <c r="C460" s="3"/>
      <c r="D460" s="5"/>
      <c r="E460" s="5"/>
      <c r="F460" s="5"/>
      <c r="G460" s="7"/>
      <c r="H460" s="5"/>
      <c r="I460" s="3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2.75" customHeight="1" x14ac:dyDescent="0.3">
      <c r="A461" s="3"/>
      <c r="B461" s="3"/>
      <c r="C461" s="3"/>
      <c r="D461" s="5"/>
      <c r="E461" s="5"/>
      <c r="F461" s="5"/>
      <c r="G461" s="7"/>
      <c r="H461" s="5"/>
      <c r="I461" s="3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2.75" customHeight="1" x14ac:dyDescent="0.3">
      <c r="A462" s="3"/>
      <c r="B462" s="3"/>
      <c r="C462" s="3"/>
      <c r="D462" s="5"/>
      <c r="E462" s="5"/>
      <c r="F462" s="5"/>
      <c r="G462" s="7"/>
      <c r="H462" s="5"/>
      <c r="I462" s="3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2.75" customHeight="1" x14ac:dyDescent="0.3">
      <c r="A463" s="3"/>
      <c r="B463" s="3"/>
      <c r="C463" s="3"/>
      <c r="D463" s="5"/>
      <c r="E463" s="5"/>
      <c r="F463" s="5"/>
      <c r="G463" s="7"/>
      <c r="H463" s="5"/>
      <c r="I463" s="3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2.75" customHeight="1" x14ac:dyDescent="0.3">
      <c r="A464" s="3"/>
      <c r="B464" s="3"/>
      <c r="C464" s="3"/>
      <c r="D464" s="5"/>
      <c r="E464" s="5"/>
      <c r="F464" s="5"/>
      <c r="G464" s="7"/>
      <c r="H464" s="5"/>
      <c r="I464" s="3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2.75" customHeight="1" x14ac:dyDescent="0.3">
      <c r="A465" s="3"/>
      <c r="B465" s="3"/>
      <c r="C465" s="3"/>
      <c r="D465" s="5"/>
      <c r="E465" s="5"/>
      <c r="F465" s="5"/>
      <c r="G465" s="7"/>
      <c r="H465" s="5"/>
      <c r="I465" s="3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2.75" customHeight="1" x14ac:dyDescent="0.3">
      <c r="A466" s="3"/>
      <c r="B466" s="3"/>
      <c r="C466" s="3"/>
      <c r="D466" s="5"/>
      <c r="E466" s="5"/>
      <c r="F466" s="5"/>
      <c r="G466" s="7"/>
      <c r="H466" s="5"/>
      <c r="I466" s="3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2.75" customHeight="1" x14ac:dyDescent="0.3">
      <c r="A467" s="3"/>
      <c r="B467" s="3"/>
      <c r="C467" s="3"/>
      <c r="D467" s="5"/>
      <c r="E467" s="5"/>
      <c r="F467" s="5"/>
      <c r="G467" s="7"/>
      <c r="H467" s="5"/>
      <c r="I467" s="3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2.75" customHeight="1" x14ac:dyDescent="0.3">
      <c r="A468" s="3"/>
      <c r="B468" s="3"/>
      <c r="C468" s="3"/>
      <c r="D468" s="5"/>
      <c r="E468" s="5"/>
      <c r="F468" s="5"/>
      <c r="G468" s="7"/>
      <c r="H468" s="5"/>
      <c r="I468" s="3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2.75" customHeight="1" x14ac:dyDescent="0.3">
      <c r="A469" s="3"/>
      <c r="B469" s="3"/>
      <c r="C469" s="3"/>
      <c r="D469" s="5"/>
      <c r="E469" s="5"/>
      <c r="F469" s="5"/>
      <c r="G469" s="7"/>
      <c r="H469" s="5"/>
      <c r="I469" s="3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2.75" customHeight="1" x14ac:dyDescent="0.3">
      <c r="A470" s="3"/>
      <c r="B470" s="3"/>
      <c r="C470" s="3"/>
      <c r="D470" s="5"/>
      <c r="E470" s="5"/>
      <c r="F470" s="5"/>
      <c r="G470" s="7"/>
      <c r="H470" s="5"/>
      <c r="I470" s="3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2.75" customHeight="1" x14ac:dyDescent="0.3">
      <c r="A471" s="3"/>
      <c r="B471" s="3"/>
      <c r="C471" s="3"/>
      <c r="D471" s="5"/>
      <c r="E471" s="5"/>
      <c r="F471" s="5"/>
      <c r="G471" s="7"/>
      <c r="H471" s="5"/>
      <c r="I471" s="3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2.75" customHeight="1" x14ac:dyDescent="0.3">
      <c r="A472" s="3"/>
      <c r="B472" s="3"/>
      <c r="C472" s="3"/>
      <c r="D472" s="5"/>
      <c r="E472" s="5"/>
      <c r="F472" s="5"/>
      <c r="G472" s="7"/>
      <c r="H472" s="5"/>
      <c r="I472" s="3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2.75" customHeight="1" x14ac:dyDescent="0.3">
      <c r="A473" s="3"/>
      <c r="B473" s="3"/>
      <c r="C473" s="3"/>
      <c r="D473" s="5"/>
      <c r="E473" s="5"/>
      <c r="F473" s="5"/>
      <c r="G473" s="7"/>
      <c r="H473" s="5"/>
      <c r="I473" s="3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2.75" customHeight="1" x14ac:dyDescent="0.3">
      <c r="A474" s="3"/>
      <c r="B474" s="3"/>
      <c r="C474" s="3"/>
      <c r="D474" s="5"/>
      <c r="E474" s="5"/>
      <c r="F474" s="5"/>
      <c r="G474" s="7"/>
      <c r="H474" s="5"/>
      <c r="I474" s="3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2.75" customHeight="1" x14ac:dyDescent="0.3">
      <c r="A475" s="3"/>
      <c r="B475" s="3"/>
      <c r="C475" s="3"/>
      <c r="D475" s="5"/>
      <c r="E475" s="5"/>
      <c r="F475" s="5"/>
      <c r="G475" s="7"/>
      <c r="H475" s="5"/>
      <c r="I475" s="3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2.75" customHeight="1" x14ac:dyDescent="0.3">
      <c r="A476" s="3"/>
      <c r="B476" s="3"/>
      <c r="C476" s="3"/>
      <c r="D476" s="5"/>
      <c r="E476" s="5"/>
      <c r="F476" s="5"/>
      <c r="G476" s="7"/>
      <c r="H476" s="5"/>
      <c r="I476" s="3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2.75" customHeight="1" x14ac:dyDescent="0.3">
      <c r="A477" s="3"/>
      <c r="B477" s="3"/>
      <c r="C477" s="3"/>
      <c r="D477" s="5"/>
      <c r="E477" s="5"/>
      <c r="F477" s="5"/>
      <c r="G477" s="7"/>
      <c r="H477" s="5"/>
      <c r="I477" s="3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2.75" customHeight="1" x14ac:dyDescent="0.3">
      <c r="A478" s="3"/>
      <c r="B478" s="3"/>
      <c r="C478" s="3"/>
      <c r="D478" s="5"/>
      <c r="E478" s="5"/>
      <c r="F478" s="5"/>
      <c r="G478" s="7"/>
      <c r="H478" s="5"/>
      <c r="I478" s="3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2.75" customHeight="1" x14ac:dyDescent="0.3">
      <c r="A479" s="3"/>
      <c r="B479" s="3"/>
      <c r="C479" s="3"/>
      <c r="D479" s="5"/>
      <c r="E479" s="5"/>
      <c r="F479" s="5"/>
      <c r="G479" s="7"/>
      <c r="H479" s="5"/>
      <c r="I479" s="3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2.75" customHeight="1" x14ac:dyDescent="0.3">
      <c r="A480" s="3"/>
      <c r="B480" s="3"/>
      <c r="C480" s="3"/>
      <c r="D480" s="5"/>
      <c r="E480" s="5"/>
      <c r="F480" s="5"/>
      <c r="G480" s="7"/>
      <c r="H480" s="5"/>
      <c r="I480" s="3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2.75" customHeight="1" x14ac:dyDescent="0.3">
      <c r="A481" s="3"/>
      <c r="B481" s="3"/>
      <c r="C481" s="3"/>
      <c r="D481" s="5"/>
      <c r="E481" s="5"/>
      <c r="F481" s="5"/>
      <c r="G481" s="7"/>
      <c r="H481" s="5"/>
      <c r="I481" s="3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2.75" customHeight="1" x14ac:dyDescent="0.3">
      <c r="A482" s="3"/>
      <c r="B482" s="3"/>
      <c r="C482" s="3"/>
      <c r="D482" s="5"/>
      <c r="E482" s="5"/>
      <c r="F482" s="5"/>
      <c r="G482" s="7"/>
      <c r="H482" s="5"/>
      <c r="I482" s="3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2.75" customHeight="1" x14ac:dyDescent="0.3">
      <c r="A483" s="3"/>
      <c r="B483" s="3"/>
      <c r="C483" s="3"/>
      <c r="D483" s="5"/>
      <c r="E483" s="5"/>
      <c r="F483" s="5"/>
      <c r="G483" s="7"/>
      <c r="H483" s="5"/>
      <c r="I483" s="3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2.75" customHeight="1" x14ac:dyDescent="0.3">
      <c r="A484" s="3"/>
      <c r="B484" s="3"/>
      <c r="C484" s="3"/>
      <c r="D484" s="5"/>
      <c r="E484" s="5"/>
      <c r="F484" s="5"/>
      <c r="G484" s="7"/>
      <c r="H484" s="5"/>
      <c r="I484" s="3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2.75" customHeight="1" x14ac:dyDescent="0.3">
      <c r="A485" s="3"/>
      <c r="B485" s="3"/>
      <c r="C485" s="3"/>
      <c r="D485" s="5"/>
      <c r="E485" s="5"/>
      <c r="F485" s="5"/>
      <c r="G485" s="7"/>
      <c r="H485" s="5"/>
      <c r="I485" s="3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2.75" customHeight="1" x14ac:dyDescent="0.3">
      <c r="A486" s="3"/>
      <c r="B486" s="3"/>
      <c r="C486" s="3"/>
      <c r="D486" s="5"/>
      <c r="E486" s="5"/>
      <c r="F486" s="5"/>
      <c r="G486" s="7"/>
      <c r="H486" s="5"/>
      <c r="I486" s="3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2.75" customHeight="1" x14ac:dyDescent="0.3">
      <c r="A487" s="3"/>
      <c r="B487" s="3"/>
      <c r="C487" s="3"/>
      <c r="D487" s="5"/>
      <c r="E487" s="5"/>
      <c r="F487" s="5"/>
      <c r="G487" s="7"/>
      <c r="H487" s="5"/>
      <c r="I487" s="3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2.75" customHeight="1" x14ac:dyDescent="0.3">
      <c r="A488" s="3"/>
      <c r="B488" s="3"/>
      <c r="C488" s="3"/>
      <c r="D488" s="5"/>
      <c r="E488" s="5"/>
      <c r="F488" s="5"/>
      <c r="G488" s="7"/>
      <c r="H488" s="5"/>
      <c r="I488" s="3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2.75" customHeight="1" x14ac:dyDescent="0.3">
      <c r="A489" s="3"/>
      <c r="B489" s="3"/>
      <c r="C489" s="3"/>
      <c r="D489" s="5"/>
      <c r="E489" s="5"/>
      <c r="F489" s="5"/>
      <c r="G489" s="7"/>
      <c r="H489" s="5"/>
      <c r="I489" s="3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2.75" customHeight="1" x14ac:dyDescent="0.3">
      <c r="A490" s="3"/>
      <c r="B490" s="3"/>
      <c r="C490" s="3"/>
      <c r="D490" s="5"/>
      <c r="E490" s="5"/>
      <c r="F490" s="5"/>
      <c r="G490" s="7"/>
      <c r="H490" s="5"/>
      <c r="I490" s="3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2.75" customHeight="1" x14ac:dyDescent="0.3">
      <c r="A491" s="3"/>
      <c r="B491" s="3"/>
      <c r="C491" s="3"/>
      <c r="D491" s="5"/>
      <c r="E491" s="5"/>
      <c r="F491" s="5"/>
      <c r="G491" s="7"/>
      <c r="H491" s="5"/>
      <c r="I491" s="3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2.75" customHeight="1" x14ac:dyDescent="0.3">
      <c r="A492" s="3"/>
      <c r="B492" s="3"/>
      <c r="C492" s="3"/>
      <c r="D492" s="5"/>
      <c r="E492" s="5"/>
      <c r="F492" s="5"/>
      <c r="G492" s="7"/>
      <c r="H492" s="5"/>
      <c r="I492" s="3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2.75" customHeight="1" x14ac:dyDescent="0.3">
      <c r="A493" s="3"/>
      <c r="B493" s="3"/>
      <c r="C493" s="3"/>
      <c r="D493" s="5"/>
      <c r="E493" s="5"/>
      <c r="F493" s="5"/>
      <c r="G493" s="7"/>
      <c r="H493" s="5"/>
      <c r="I493" s="3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2.75" customHeight="1" x14ac:dyDescent="0.3">
      <c r="A494" s="3"/>
      <c r="B494" s="3"/>
      <c r="C494" s="3"/>
      <c r="D494" s="5"/>
      <c r="E494" s="5"/>
      <c r="F494" s="5"/>
      <c r="G494" s="7"/>
      <c r="H494" s="5"/>
      <c r="I494" s="3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2.75" customHeight="1" x14ac:dyDescent="0.3">
      <c r="A495" s="3"/>
      <c r="B495" s="3"/>
      <c r="C495" s="3"/>
      <c r="D495" s="5"/>
      <c r="E495" s="5"/>
      <c r="F495" s="5"/>
      <c r="G495" s="7"/>
      <c r="H495" s="5"/>
      <c r="I495" s="3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2.75" customHeight="1" x14ac:dyDescent="0.3">
      <c r="A496" s="3"/>
      <c r="B496" s="3"/>
      <c r="C496" s="3"/>
      <c r="D496" s="5"/>
      <c r="E496" s="5"/>
      <c r="F496" s="5"/>
      <c r="G496" s="7"/>
      <c r="H496" s="5"/>
      <c r="I496" s="3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2.75" customHeight="1" x14ac:dyDescent="0.3">
      <c r="A497" s="3"/>
      <c r="B497" s="3"/>
      <c r="C497" s="3"/>
      <c r="D497" s="5"/>
      <c r="E497" s="5"/>
      <c r="F497" s="5"/>
      <c r="G497" s="7"/>
      <c r="H497" s="5"/>
      <c r="I497" s="3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2.75" customHeight="1" x14ac:dyDescent="0.3">
      <c r="A498" s="3"/>
      <c r="B498" s="3"/>
      <c r="C498" s="3"/>
      <c r="D498" s="5"/>
      <c r="E498" s="5"/>
      <c r="F498" s="5"/>
      <c r="G498" s="7"/>
      <c r="H498" s="5"/>
      <c r="I498" s="3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2.75" customHeight="1" x14ac:dyDescent="0.3">
      <c r="A499" s="3"/>
      <c r="B499" s="3"/>
      <c r="C499" s="3"/>
      <c r="D499" s="5"/>
      <c r="E499" s="5"/>
      <c r="F499" s="5"/>
      <c r="G499" s="7"/>
      <c r="H499" s="5"/>
      <c r="I499" s="3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2.75" customHeight="1" x14ac:dyDescent="0.3">
      <c r="A500" s="3"/>
      <c r="B500" s="3"/>
      <c r="C500" s="3"/>
      <c r="D500" s="5"/>
      <c r="E500" s="5"/>
      <c r="F500" s="5"/>
      <c r="G500" s="7"/>
      <c r="H500" s="5"/>
      <c r="I500" s="3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2.75" customHeight="1" x14ac:dyDescent="0.3">
      <c r="A501" s="3"/>
      <c r="B501" s="3"/>
      <c r="C501" s="3"/>
      <c r="D501" s="5"/>
      <c r="E501" s="5"/>
      <c r="F501" s="5"/>
      <c r="G501" s="7"/>
      <c r="H501" s="5"/>
      <c r="I501" s="3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2.75" customHeight="1" x14ac:dyDescent="0.3">
      <c r="A502" s="3"/>
      <c r="B502" s="3"/>
      <c r="C502" s="3"/>
      <c r="D502" s="5"/>
      <c r="E502" s="5"/>
      <c r="F502" s="5"/>
      <c r="G502" s="7"/>
      <c r="H502" s="5"/>
      <c r="I502" s="3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2.75" customHeight="1" x14ac:dyDescent="0.3">
      <c r="A503" s="3"/>
      <c r="B503" s="3"/>
      <c r="C503" s="3"/>
      <c r="D503" s="5"/>
      <c r="E503" s="5"/>
      <c r="F503" s="5"/>
      <c r="G503" s="7"/>
      <c r="H503" s="5"/>
      <c r="I503" s="3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2.75" customHeight="1" x14ac:dyDescent="0.3">
      <c r="A504" s="3"/>
      <c r="B504" s="3"/>
      <c r="C504" s="3"/>
      <c r="D504" s="5"/>
      <c r="E504" s="5"/>
      <c r="F504" s="5"/>
      <c r="G504" s="7"/>
      <c r="H504" s="5"/>
      <c r="I504" s="3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2.75" customHeight="1" x14ac:dyDescent="0.3">
      <c r="A505" s="3"/>
      <c r="B505" s="3"/>
      <c r="C505" s="3"/>
      <c r="D505" s="5"/>
      <c r="E505" s="5"/>
      <c r="F505" s="5"/>
      <c r="G505" s="7"/>
      <c r="H505" s="5"/>
      <c r="I505" s="3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2.75" customHeight="1" x14ac:dyDescent="0.3">
      <c r="A506" s="3"/>
      <c r="B506" s="3"/>
      <c r="C506" s="3"/>
      <c r="D506" s="5"/>
      <c r="E506" s="5"/>
      <c r="F506" s="5"/>
      <c r="G506" s="7"/>
      <c r="H506" s="5"/>
      <c r="I506" s="3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2.75" customHeight="1" x14ac:dyDescent="0.3">
      <c r="A507" s="3"/>
      <c r="B507" s="3"/>
      <c r="C507" s="3"/>
      <c r="D507" s="5"/>
      <c r="E507" s="5"/>
      <c r="F507" s="5"/>
      <c r="G507" s="7"/>
      <c r="H507" s="5"/>
      <c r="I507" s="3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2.75" customHeight="1" x14ac:dyDescent="0.3">
      <c r="A508" s="3"/>
      <c r="B508" s="3"/>
      <c r="C508" s="3"/>
      <c r="D508" s="5"/>
      <c r="E508" s="5"/>
      <c r="F508" s="5"/>
      <c r="G508" s="7"/>
      <c r="H508" s="5"/>
      <c r="I508" s="3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2.75" customHeight="1" x14ac:dyDescent="0.3">
      <c r="A509" s="3"/>
      <c r="B509" s="3"/>
      <c r="C509" s="3"/>
      <c r="D509" s="5"/>
      <c r="E509" s="5"/>
      <c r="F509" s="5"/>
      <c r="G509" s="7"/>
      <c r="H509" s="5"/>
      <c r="I509" s="3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2.75" customHeight="1" x14ac:dyDescent="0.3">
      <c r="A510" s="3"/>
      <c r="B510" s="3"/>
      <c r="C510" s="3"/>
      <c r="D510" s="5"/>
      <c r="E510" s="5"/>
      <c r="F510" s="5"/>
      <c r="G510" s="7"/>
      <c r="H510" s="5"/>
      <c r="I510" s="3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2.75" customHeight="1" x14ac:dyDescent="0.3">
      <c r="A511" s="3"/>
      <c r="B511" s="3"/>
      <c r="C511" s="3"/>
      <c r="D511" s="5"/>
      <c r="E511" s="5"/>
      <c r="F511" s="5"/>
      <c r="G511" s="7"/>
      <c r="H511" s="5"/>
      <c r="I511" s="3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2.75" customHeight="1" x14ac:dyDescent="0.3">
      <c r="A512" s="3"/>
      <c r="B512" s="3"/>
      <c r="C512" s="3"/>
      <c r="D512" s="5"/>
      <c r="E512" s="5"/>
      <c r="F512" s="5"/>
      <c r="G512" s="7"/>
      <c r="H512" s="5"/>
      <c r="I512" s="3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2.75" customHeight="1" x14ac:dyDescent="0.3">
      <c r="A513" s="3"/>
      <c r="B513" s="3"/>
      <c r="C513" s="3"/>
      <c r="D513" s="5"/>
      <c r="E513" s="5"/>
      <c r="F513" s="5"/>
      <c r="G513" s="7"/>
      <c r="H513" s="5"/>
      <c r="I513" s="3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2.75" customHeight="1" x14ac:dyDescent="0.3">
      <c r="A514" s="3"/>
      <c r="B514" s="3"/>
      <c r="C514" s="3"/>
      <c r="D514" s="5"/>
      <c r="E514" s="5"/>
      <c r="F514" s="5"/>
      <c r="G514" s="7"/>
      <c r="H514" s="5"/>
      <c r="I514" s="3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2.75" customHeight="1" x14ac:dyDescent="0.3">
      <c r="A515" s="3"/>
      <c r="B515" s="3"/>
      <c r="C515" s="3"/>
      <c r="D515" s="5"/>
      <c r="E515" s="5"/>
      <c r="F515" s="5"/>
      <c r="G515" s="7"/>
      <c r="H515" s="5"/>
      <c r="I515" s="3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2.75" customHeight="1" x14ac:dyDescent="0.3">
      <c r="A516" s="3"/>
      <c r="B516" s="3"/>
      <c r="C516" s="3"/>
      <c r="D516" s="5"/>
      <c r="E516" s="5"/>
      <c r="F516" s="5"/>
      <c r="G516" s="7"/>
      <c r="H516" s="5"/>
      <c r="I516" s="3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2.75" customHeight="1" x14ac:dyDescent="0.3">
      <c r="A517" s="3"/>
      <c r="B517" s="3"/>
      <c r="C517" s="3"/>
      <c r="D517" s="5"/>
      <c r="E517" s="5"/>
      <c r="F517" s="5"/>
      <c r="G517" s="7"/>
      <c r="H517" s="5"/>
      <c r="I517" s="3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2.75" customHeight="1" x14ac:dyDescent="0.3">
      <c r="A518" s="3"/>
      <c r="B518" s="3"/>
      <c r="C518" s="3"/>
      <c r="D518" s="5"/>
      <c r="E518" s="5"/>
      <c r="F518" s="5"/>
      <c r="G518" s="7"/>
      <c r="H518" s="5"/>
      <c r="I518" s="3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2.75" customHeight="1" x14ac:dyDescent="0.3">
      <c r="A519" s="3"/>
      <c r="B519" s="3"/>
      <c r="C519" s="3"/>
      <c r="D519" s="5"/>
      <c r="E519" s="5"/>
      <c r="F519" s="5"/>
      <c r="G519" s="7"/>
      <c r="H519" s="5"/>
      <c r="I519" s="3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2.75" customHeight="1" x14ac:dyDescent="0.3">
      <c r="A520" s="3"/>
      <c r="B520" s="3"/>
      <c r="C520" s="3"/>
      <c r="D520" s="5"/>
      <c r="E520" s="5"/>
      <c r="F520" s="5"/>
      <c r="G520" s="7"/>
      <c r="H520" s="5"/>
      <c r="I520" s="3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2.75" customHeight="1" x14ac:dyDescent="0.3">
      <c r="A521" s="3"/>
      <c r="B521" s="3"/>
      <c r="C521" s="3"/>
      <c r="D521" s="5"/>
      <c r="E521" s="5"/>
      <c r="F521" s="5"/>
      <c r="G521" s="7"/>
      <c r="H521" s="5"/>
      <c r="I521" s="3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2.75" customHeight="1" x14ac:dyDescent="0.3">
      <c r="A522" s="3"/>
      <c r="B522" s="3"/>
      <c r="C522" s="3"/>
      <c r="D522" s="5"/>
      <c r="E522" s="5"/>
      <c r="F522" s="5"/>
      <c r="G522" s="7"/>
      <c r="H522" s="5"/>
      <c r="I522" s="3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2.75" customHeight="1" x14ac:dyDescent="0.3">
      <c r="A523" s="3"/>
      <c r="B523" s="3"/>
      <c r="C523" s="3"/>
      <c r="D523" s="5"/>
      <c r="E523" s="5"/>
      <c r="F523" s="5"/>
      <c r="G523" s="7"/>
      <c r="H523" s="5"/>
      <c r="I523" s="3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2.75" customHeight="1" x14ac:dyDescent="0.3">
      <c r="A524" s="3"/>
      <c r="B524" s="3"/>
      <c r="C524" s="3"/>
      <c r="D524" s="5"/>
      <c r="E524" s="5"/>
      <c r="F524" s="5"/>
      <c r="G524" s="7"/>
      <c r="H524" s="5"/>
      <c r="I524" s="3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2.75" customHeight="1" x14ac:dyDescent="0.3">
      <c r="A525" s="3"/>
      <c r="B525" s="3"/>
      <c r="C525" s="3"/>
      <c r="D525" s="5"/>
      <c r="E525" s="5"/>
      <c r="F525" s="5"/>
      <c r="G525" s="7"/>
      <c r="H525" s="5"/>
      <c r="I525" s="3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2.75" customHeight="1" x14ac:dyDescent="0.3">
      <c r="A526" s="3"/>
      <c r="B526" s="3"/>
      <c r="C526" s="3"/>
      <c r="D526" s="5"/>
      <c r="E526" s="5"/>
      <c r="F526" s="5"/>
      <c r="G526" s="7"/>
      <c r="H526" s="5"/>
      <c r="I526" s="3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2.75" customHeight="1" x14ac:dyDescent="0.3">
      <c r="A527" s="3"/>
      <c r="B527" s="3"/>
      <c r="C527" s="3"/>
      <c r="D527" s="5"/>
      <c r="E527" s="5"/>
      <c r="F527" s="5"/>
      <c r="G527" s="7"/>
      <c r="H527" s="5"/>
      <c r="I527" s="3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2.75" customHeight="1" x14ac:dyDescent="0.3">
      <c r="A528" s="3"/>
      <c r="B528" s="3"/>
      <c r="C528" s="3"/>
      <c r="D528" s="5"/>
      <c r="E528" s="5"/>
      <c r="F528" s="5"/>
      <c r="G528" s="7"/>
      <c r="H528" s="5"/>
      <c r="I528" s="3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2.75" customHeight="1" x14ac:dyDescent="0.3">
      <c r="A529" s="3"/>
      <c r="B529" s="3"/>
      <c r="C529" s="3"/>
      <c r="D529" s="5"/>
      <c r="E529" s="5"/>
      <c r="F529" s="5"/>
      <c r="G529" s="7"/>
      <c r="H529" s="5"/>
      <c r="I529" s="3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2.75" customHeight="1" x14ac:dyDescent="0.3">
      <c r="A530" s="3"/>
      <c r="B530" s="3"/>
      <c r="C530" s="3"/>
      <c r="D530" s="5"/>
      <c r="E530" s="5"/>
      <c r="F530" s="5"/>
      <c r="G530" s="7"/>
      <c r="H530" s="5"/>
      <c r="I530" s="3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2.75" customHeight="1" x14ac:dyDescent="0.3">
      <c r="A531" s="3"/>
      <c r="B531" s="3"/>
      <c r="C531" s="3"/>
      <c r="D531" s="5"/>
      <c r="E531" s="5"/>
      <c r="F531" s="5"/>
      <c r="G531" s="7"/>
      <c r="H531" s="5"/>
      <c r="I531" s="3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2.75" customHeight="1" x14ac:dyDescent="0.3">
      <c r="A532" s="3"/>
      <c r="B532" s="3"/>
      <c r="C532" s="3"/>
      <c r="D532" s="5"/>
      <c r="E532" s="5"/>
      <c r="F532" s="5"/>
      <c r="G532" s="7"/>
      <c r="H532" s="5"/>
      <c r="I532" s="3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2.75" customHeight="1" x14ac:dyDescent="0.3">
      <c r="A533" s="3"/>
      <c r="B533" s="3"/>
      <c r="C533" s="3"/>
      <c r="D533" s="5"/>
      <c r="E533" s="5"/>
      <c r="F533" s="5"/>
      <c r="G533" s="7"/>
      <c r="H533" s="5"/>
      <c r="I533" s="3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2.75" customHeight="1" x14ac:dyDescent="0.3">
      <c r="A534" s="3"/>
      <c r="B534" s="3"/>
      <c r="C534" s="3"/>
      <c r="D534" s="5"/>
      <c r="E534" s="5"/>
      <c r="F534" s="5"/>
      <c r="G534" s="7"/>
      <c r="H534" s="5"/>
      <c r="I534" s="3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2.75" customHeight="1" x14ac:dyDescent="0.3">
      <c r="A535" s="3"/>
      <c r="B535" s="3"/>
      <c r="C535" s="3"/>
      <c r="D535" s="5"/>
      <c r="E535" s="5"/>
      <c r="F535" s="5"/>
      <c r="G535" s="7"/>
      <c r="H535" s="5"/>
      <c r="I535" s="3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2.75" customHeight="1" x14ac:dyDescent="0.3">
      <c r="A536" s="3"/>
      <c r="B536" s="3"/>
      <c r="C536" s="3"/>
      <c r="D536" s="5"/>
      <c r="E536" s="5"/>
      <c r="F536" s="5"/>
      <c r="G536" s="7"/>
      <c r="H536" s="5"/>
      <c r="I536" s="3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2.75" customHeight="1" x14ac:dyDescent="0.3">
      <c r="A537" s="3"/>
      <c r="B537" s="3"/>
      <c r="C537" s="3"/>
      <c r="D537" s="5"/>
      <c r="E537" s="5"/>
      <c r="F537" s="5"/>
      <c r="G537" s="7"/>
      <c r="H537" s="5"/>
      <c r="I537" s="3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2.75" customHeight="1" x14ac:dyDescent="0.3">
      <c r="A538" s="3"/>
      <c r="B538" s="3"/>
      <c r="C538" s="3"/>
      <c r="D538" s="5"/>
      <c r="E538" s="5"/>
      <c r="F538" s="5"/>
      <c r="G538" s="7"/>
      <c r="H538" s="5"/>
      <c r="I538" s="3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2.75" customHeight="1" x14ac:dyDescent="0.3">
      <c r="A539" s="3"/>
      <c r="B539" s="3"/>
      <c r="C539" s="3"/>
      <c r="D539" s="5"/>
      <c r="E539" s="5"/>
      <c r="F539" s="5"/>
      <c r="G539" s="7"/>
      <c r="H539" s="5"/>
      <c r="I539" s="3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2.75" customHeight="1" x14ac:dyDescent="0.3">
      <c r="A540" s="3"/>
      <c r="B540" s="3"/>
      <c r="C540" s="3"/>
      <c r="D540" s="5"/>
      <c r="E540" s="5"/>
      <c r="F540" s="5"/>
      <c r="G540" s="7"/>
      <c r="H540" s="5"/>
      <c r="I540" s="3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2.75" customHeight="1" x14ac:dyDescent="0.3">
      <c r="A541" s="3"/>
      <c r="B541" s="3"/>
      <c r="C541" s="3"/>
      <c r="D541" s="5"/>
      <c r="E541" s="5"/>
      <c r="F541" s="5"/>
      <c r="G541" s="7"/>
      <c r="H541" s="5"/>
      <c r="I541" s="3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2.75" customHeight="1" x14ac:dyDescent="0.3">
      <c r="A542" s="3"/>
      <c r="B542" s="3"/>
      <c r="C542" s="3"/>
      <c r="D542" s="5"/>
      <c r="E542" s="5"/>
      <c r="F542" s="5"/>
      <c r="G542" s="7"/>
      <c r="H542" s="5"/>
      <c r="I542" s="3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2.75" customHeight="1" x14ac:dyDescent="0.3">
      <c r="A543" s="3"/>
      <c r="B543" s="3"/>
      <c r="C543" s="3"/>
      <c r="D543" s="5"/>
      <c r="E543" s="5"/>
      <c r="F543" s="5"/>
      <c r="G543" s="7"/>
      <c r="H543" s="5"/>
      <c r="I543" s="3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2.75" customHeight="1" x14ac:dyDescent="0.3">
      <c r="A544" s="3"/>
      <c r="B544" s="3"/>
      <c r="C544" s="3"/>
      <c r="D544" s="5"/>
      <c r="E544" s="5"/>
      <c r="F544" s="5"/>
      <c r="G544" s="7"/>
      <c r="H544" s="5"/>
      <c r="I544" s="3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2.75" customHeight="1" x14ac:dyDescent="0.3">
      <c r="A545" s="3"/>
      <c r="B545" s="3"/>
      <c r="C545" s="3"/>
      <c r="D545" s="5"/>
      <c r="E545" s="5"/>
      <c r="F545" s="5"/>
      <c r="G545" s="7"/>
      <c r="H545" s="5"/>
      <c r="I545" s="3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2.75" customHeight="1" x14ac:dyDescent="0.3">
      <c r="A546" s="3"/>
      <c r="B546" s="3"/>
      <c r="C546" s="3"/>
      <c r="D546" s="5"/>
      <c r="E546" s="5"/>
      <c r="F546" s="5"/>
      <c r="G546" s="7"/>
      <c r="H546" s="5"/>
      <c r="I546" s="3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2.75" customHeight="1" x14ac:dyDescent="0.3">
      <c r="A547" s="3"/>
      <c r="B547" s="3"/>
      <c r="C547" s="3"/>
      <c r="D547" s="5"/>
      <c r="E547" s="5"/>
      <c r="F547" s="5"/>
      <c r="G547" s="7"/>
      <c r="H547" s="5"/>
      <c r="I547" s="3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2.75" customHeight="1" x14ac:dyDescent="0.3">
      <c r="A548" s="3"/>
      <c r="B548" s="3"/>
      <c r="C548" s="3"/>
      <c r="D548" s="5"/>
      <c r="E548" s="5"/>
      <c r="F548" s="5"/>
      <c r="G548" s="7"/>
      <c r="H548" s="5"/>
      <c r="I548" s="3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2.75" customHeight="1" x14ac:dyDescent="0.3">
      <c r="A549" s="3"/>
      <c r="B549" s="3"/>
      <c r="C549" s="3"/>
      <c r="D549" s="5"/>
      <c r="E549" s="5"/>
      <c r="F549" s="5"/>
      <c r="G549" s="7"/>
      <c r="H549" s="5"/>
      <c r="I549" s="3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2.75" customHeight="1" x14ac:dyDescent="0.3">
      <c r="A550" s="3"/>
      <c r="B550" s="3"/>
      <c r="C550" s="3"/>
      <c r="D550" s="5"/>
      <c r="E550" s="5"/>
      <c r="F550" s="5"/>
      <c r="G550" s="7"/>
      <c r="H550" s="5"/>
      <c r="I550" s="3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2.75" customHeight="1" x14ac:dyDescent="0.3">
      <c r="A551" s="3"/>
      <c r="B551" s="3"/>
      <c r="C551" s="3"/>
      <c r="D551" s="5"/>
      <c r="E551" s="5"/>
      <c r="F551" s="5"/>
      <c r="G551" s="7"/>
      <c r="H551" s="5"/>
      <c r="I551" s="3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2.75" customHeight="1" x14ac:dyDescent="0.3">
      <c r="A552" s="3"/>
      <c r="B552" s="3"/>
      <c r="C552" s="3"/>
      <c r="D552" s="5"/>
      <c r="E552" s="5"/>
      <c r="F552" s="5"/>
      <c r="G552" s="7"/>
      <c r="H552" s="5"/>
      <c r="I552" s="3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2.75" customHeight="1" x14ac:dyDescent="0.3">
      <c r="A553" s="3"/>
      <c r="B553" s="3"/>
      <c r="C553" s="3"/>
      <c r="D553" s="5"/>
      <c r="E553" s="5"/>
      <c r="F553" s="5"/>
      <c r="G553" s="7"/>
      <c r="H553" s="5"/>
      <c r="I553" s="3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2.75" customHeight="1" x14ac:dyDescent="0.3">
      <c r="A554" s="3"/>
      <c r="B554" s="3"/>
      <c r="C554" s="3"/>
      <c r="D554" s="5"/>
      <c r="E554" s="5"/>
      <c r="F554" s="5"/>
      <c r="G554" s="7"/>
      <c r="H554" s="5"/>
      <c r="I554" s="3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2.75" customHeight="1" x14ac:dyDescent="0.3">
      <c r="A555" s="3"/>
      <c r="B555" s="3"/>
      <c r="C555" s="3"/>
      <c r="D555" s="5"/>
      <c r="E555" s="5"/>
      <c r="F555" s="5"/>
      <c r="G555" s="7"/>
      <c r="H555" s="5"/>
      <c r="I555" s="3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2.75" customHeight="1" x14ac:dyDescent="0.3">
      <c r="A556" s="3"/>
      <c r="B556" s="3"/>
      <c r="C556" s="3"/>
      <c r="D556" s="5"/>
      <c r="E556" s="5"/>
      <c r="F556" s="5"/>
      <c r="G556" s="7"/>
      <c r="H556" s="5"/>
      <c r="I556" s="3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2.75" customHeight="1" x14ac:dyDescent="0.3">
      <c r="A557" s="3"/>
      <c r="B557" s="3"/>
      <c r="C557" s="3"/>
      <c r="D557" s="5"/>
      <c r="E557" s="5"/>
      <c r="F557" s="5"/>
      <c r="G557" s="7"/>
      <c r="H557" s="5"/>
      <c r="I557" s="3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2.75" customHeight="1" x14ac:dyDescent="0.3">
      <c r="A558" s="3"/>
      <c r="B558" s="3"/>
      <c r="C558" s="3"/>
      <c r="D558" s="5"/>
      <c r="E558" s="5"/>
      <c r="F558" s="5"/>
      <c r="G558" s="7"/>
      <c r="H558" s="5"/>
      <c r="I558" s="3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2.75" customHeight="1" x14ac:dyDescent="0.3">
      <c r="A559" s="3"/>
      <c r="B559" s="3"/>
      <c r="C559" s="3"/>
      <c r="D559" s="5"/>
      <c r="E559" s="5"/>
      <c r="F559" s="5"/>
      <c r="G559" s="7"/>
      <c r="H559" s="5"/>
      <c r="I559" s="3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2.75" customHeight="1" x14ac:dyDescent="0.3">
      <c r="A560" s="3"/>
      <c r="B560" s="3"/>
      <c r="C560" s="3"/>
      <c r="D560" s="5"/>
      <c r="E560" s="5"/>
      <c r="F560" s="5"/>
      <c r="G560" s="7"/>
      <c r="H560" s="5"/>
      <c r="I560" s="3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2.75" customHeight="1" x14ac:dyDescent="0.3">
      <c r="A561" s="3"/>
      <c r="B561" s="3"/>
      <c r="C561" s="3"/>
      <c r="D561" s="5"/>
      <c r="E561" s="5"/>
      <c r="F561" s="5"/>
      <c r="G561" s="7"/>
      <c r="H561" s="5"/>
      <c r="I561" s="3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2.75" customHeight="1" x14ac:dyDescent="0.3">
      <c r="A562" s="3"/>
      <c r="B562" s="3"/>
      <c r="C562" s="3"/>
      <c r="D562" s="5"/>
      <c r="E562" s="5"/>
      <c r="F562" s="5"/>
      <c r="G562" s="7"/>
      <c r="H562" s="5"/>
      <c r="I562" s="3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2.75" customHeight="1" x14ac:dyDescent="0.3">
      <c r="A563" s="3"/>
      <c r="B563" s="3"/>
      <c r="C563" s="3"/>
      <c r="D563" s="5"/>
      <c r="E563" s="5"/>
      <c r="F563" s="5"/>
      <c r="G563" s="7"/>
      <c r="H563" s="5"/>
      <c r="I563" s="3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2.75" customHeight="1" x14ac:dyDescent="0.3">
      <c r="A564" s="3"/>
      <c r="B564" s="3"/>
      <c r="C564" s="3"/>
      <c r="D564" s="5"/>
      <c r="E564" s="5"/>
      <c r="F564" s="5"/>
      <c r="G564" s="7"/>
      <c r="H564" s="5"/>
      <c r="I564" s="3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2.75" customHeight="1" x14ac:dyDescent="0.3">
      <c r="A565" s="3"/>
      <c r="B565" s="3"/>
      <c r="C565" s="3"/>
      <c r="D565" s="5"/>
      <c r="E565" s="5"/>
      <c r="F565" s="5"/>
      <c r="G565" s="7"/>
      <c r="H565" s="5"/>
      <c r="I565" s="3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2.75" customHeight="1" x14ac:dyDescent="0.3">
      <c r="A566" s="3"/>
      <c r="B566" s="3"/>
      <c r="C566" s="3"/>
      <c r="D566" s="5"/>
      <c r="E566" s="5"/>
      <c r="F566" s="5"/>
      <c r="G566" s="7"/>
      <c r="H566" s="5"/>
      <c r="I566" s="3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2.75" customHeight="1" x14ac:dyDescent="0.3">
      <c r="A567" s="3"/>
      <c r="B567" s="3"/>
      <c r="C567" s="3"/>
      <c r="D567" s="5"/>
      <c r="E567" s="5"/>
      <c r="F567" s="5"/>
      <c r="G567" s="7"/>
      <c r="H567" s="5"/>
      <c r="I567" s="3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2.75" customHeight="1" x14ac:dyDescent="0.3">
      <c r="A568" s="3"/>
      <c r="B568" s="3"/>
      <c r="C568" s="3"/>
      <c r="D568" s="5"/>
      <c r="E568" s="5"/>
      <c r="F568" s="5"/>
      <c r="G568" s="7"/>
      <c r="H568" s="5"/>
      <c r="I568" s="3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2.75" customHeight="1" x14ac:dyDescent="0.3">
      <c r="A569" s="3"/>
      <c r="B569" s="3"/>
      <c r="C569" s="3"/>
      <c r="D569" s="5"/>
      <c r="E569" s="5"/>
      <c r="F569" s="5"/>
      <c r="G569" s="7"/>
      <c r="H569" s="5"/>
      <c r="I569" s="3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2.75" customHeight="1" x14ac:dyDescent="0.3">
      <c r="A570" s="3"/>
      <c r="B570" s="3"/>
      <c r="C570" s="3"/>
      <c r="D570" s="5"/>
      <c r="E570" s="5"/>
      <c r="F570" s="5"/>
      <c r="G570" s="7"/>
      <c r="H570" s="5"/>
      <c r="I570" s="3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2.75" customHeight="1" x14ac:dyDescent="0.3">
      <c r="A571" s="3"/>
      <c r="B571" s="3"/>
      <c r="C571" s="3"/>
      <c r="D571" s="5"/>
      <c r="E571" s="5"/>
      <c r="F571" s="5"/>
      <c r="G571" s="7"/>
      <c r="H571" s="5"/>
      <c r="I571" s="3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2.75" customHeight="1" x14ac:dyDescent="0.3">
      <c r="A572" s="3"/>
      <c r="B572" s="3"/>
      <c r="C572" s="3"/>
      <c r="D572" s="5"/>
      <c r="E572" s="5"/>
      <c r="F572" s="5"/>
      <c r="G572" s="7"/>
      <c r="H572" s="5"/>
      <c r="I572" s="3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2.75" customHeight="1" x14ac:dyDescent="0.3">
      <c r="A573" s="3"/>
      <c r="B573" s="3"/>
      <c r="C573" s="3"/>
      <c r="D573" s="5"/>
      <c r="E573" s="5"/>
      <c r="F573" s="5"/>
      <c r="G573" s="7"/>
      <c r="H573" s="5"/>
      <c r="I573" s="3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2.75" customHeight="1" x14ac:dyDescent="0.3">
      <c r="A574" s="3"/>
      <c r="B574" s="3"/>
      <c r="C574" s="3"/>
      <c r="D574" s="5"/>
      <c r="E574" s="5"/>
      <c r="F574" s="5"/>
      <c r="G574" s="7"/>
      <c r="H574" s="5"/>
      <c r="I574" s="3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2.75" customHeight="1" x14ac:dyDescent="0.3">
      <c r="A575" s="3"/>
      <c r="B575" s="3"/>
      <c r="C575" s="3"/>
      <c r="D575" s="5"/>
      <c r="E575" s="5"/>
      <c r="F575" s="5"/>
      <c r="G575" s="7"/>
      <c r="H575" s="5"/>
      <c r="I575" s="3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2.75" customHeight="1" x14ac:dyDescent="0.3">
      <c r="A576" s="3"/>
      <c r="B576" s="3"/>
      <c r="C576" s="3"/>
      <c r="D576" s="5"/>
      <c r="E576" s="5"/>
      <c r="F576" s="5"/>
      <c r="G576" s="7"/>
      <c r="H576" s="5"/>
      <c r="I576" s="3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2.75" customHeight="1" x14ac:dyDescent="0.3">
      <c r="A577" s="3"/>
      <c r="B577" s="3"/>
      <c r="C577" s="3"/>
      <c r="D577" s="5"/>
      <c r="E577" s="5"/>
      <c r="F577" s="5"/>
      <c r="G577" s="7"/>
      <c r="H577" s="5"/>
      <c r="I577" s="3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2.75" customHeight="1" x14ac:dyDescent="0.3">
      <c r="A578" s="3"/>
      <c r="B578" s="3"/>
      <c r="C578" s="3"/>
      <c r="D578" s="5"/>
      <c r="E578" s="5"/>
      <c r="F578" s="5"/>
      <c r="G578" s="7"/>
      <c r="H578" s="5"/>
      <c r="I578" s="3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2.75" customHeight="1" x14ac:dyDescent="0.3">
      <c r="A579" s="3"/>
      <c r="B579" s="3"/>
      <c r="C579" s="3"/>
      <c r="D579" s="5"/>
      <c r="E579" s="5"/>
      <c r="F579" s="5"/>
      <c r="G579" s="7"/>
      <c r="H579" s="5"/>
      <c r="I579" s="3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2.75" customHeight="1" x14ac:dyDescent="0.3">
      <c r="A580" s="3"/>
      <c r="B580" s="3"/>
      <c r="C580" s="3"/>
      <c r="D580" s="5"/>
      <c r="E580" s="5"/>
      <c r="F580" s="5"/>
      <c r="G580" s="7"/>
      <c r="H580" s="5"/>
      <c r="I580" s="3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2.75" customHeight="1" x14ac:dyDescent="0.3">
      <c r="A581" s="3"/>
      <c r="B581" s="3"/>
      <c r="C581" s="3"/>
      <c r="D581" s="5"/>
      <c r="E581" s="5"/>
      <c r="F581" s="5"/>
      <c r="G581" s="7"/>
      <c r="H581" s="5"/>
      <c r="I581" s="3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2.75" customHeight="1" x14ac:dyDescent="0.3">
      <c r="A582" s="3"/>
      <c r="B582" s="3"/>
      <c r="C582" s="3"/>
      <c r="D582" s="5"/>
      <c r="E582" s="5"/>
      <c r="F582" s="5"/>
      <c r="G582" s="7"/>
      <c r="H582" s="5"/>
      <c r="I582" s="3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2.75" customHeight="1" x14ac:dyDescent="0.3">
      <c r="A583" s="3"/>
      <c r="B583" s="3"/>
      <c r="C583" s="3"/>
      <c r="D583" s="5"/>
      <c r="E583" s="5"/>
      <c r="F583" s="5"/>
      <c r="G583" s="7"/>
      <c r="H583" s="5"/>
      <c r="I583" s="3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2.75" customHeight="1" x14ac:dyDescent="0.3">
      <c r="A584" s="3"/>
      <c r="B584" s="3"/>
      <c r="C584" s="3"/>
      <c r="D584" s="5"/>
      <c r="E584" s="5"/>
      <c r="F584" s="5"/>
      <c r="G584" s="7"/>
      <c r="H584" s="5"/>
      <c r="I584" s="3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2.75" customHeight="1" x14ac:dyDescent="0.3">
      <c r="A585" s="3"/>
      <c r="B585" s="3"/>
      <c r="C585" s="3"/>
      <c r="D585" s="5"/>
      <c r="E585" s="5"/>
      <c r="F585" s="5"/>
      <c r="G585" s="7"/>
      <c r="H585" s="5"/>
      <c r="I585" s="3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2.75" customHeight="1" x14ac:dyDescent="0.3">
      <c r="A586" s="3"/>
      <c r="B586" s="3"/>
      <c r="C586" s="3"/>
      <c r="D586" s="5"/>
      <c r="E586" s="5"/>
      <c r="F586" s="5"/>
      <c r="G586" s="7"/>
      <c r="H586" s="5"/>
      <c r="I586" s="3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2.75" customHeight="1" x14ac:dyDescent="0.3">
      <c r="A587" s="3"/>
      <c r="B587" s="3"/>
      <c r="C587" s="3"/>
      <c r="D587" s="5"/>
      <c r="E587" s="5"/>
      <c r="F587" s="5"/>
      <c r="G587" s="7"/>
      <c r="H587" s="5"/>
      <c r="I587" s="3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2.75" customHeight="1" x14ac:dyDescent="0.3">
      <c r="A588" s="3"/>
      <c r="B588" s="3"/>
      <c r="C588" s="3"/>
      <c r="D588" s="5"/>
      <c r="E588" s="5"/>
      <c r="F588" s="5"/>
      <c r="G588" s="7"/>
      <c r="H588" s="5"/>
      <c r="I588" s="3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2.75" customHeight="1" x14ac:dyDescent="0.3">
      <c r="A589" s="3"/>
      <c r="B589" s="3"/>
      <c r="C589" s="3"/>
      <c r="D589" s="5"/>
      <c r="E589" s="5"/>
      <c r="F589" s="5"/>
      <c r="G589" s="7"/>
      <c r="H589" s="5"/>
      <c r="I589" s="3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2.75" customHeight="1" x14ac:dyDescent="0.3">
      <c r="A590" s="3"/>
      <c r="B590" s="3"/>
      <c r="C590" s="3"/>
      <c r="D590" s="5"/>
      <c r="E590" s="5"/>
      <c r="F590" s="5"/>
      <c r="G590" s="7"/>
      <c r="H590" s="5"/>
      <c r="I590" s="3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2.75" customHeight="1" x14ac:dyDescent="0.3">
      <c r="A591" s="3"/>
      <c r="B591" s="3"/>
      <c r="C591" s="3"/>
      <c r="D591" s="5"/>
      <c r="E591" s="5"/>
      <c r="F591" s="5"/>
      <c r="G591" s="7"/>
      <c r="H591" s="5"/>
      <c r="I591" s="3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2.75" customHeight="1" x14ac:dyDescent="0.3">
      <c r="A592" s="3"/>
      <c r="B592" s="3"/>
      <c r="C592" s="3"/>
      <c r="D592" s="5"/>
      <c r="E592" s="5"/>
      <c r="F592" s="5"/>
      <c r="G592" s="7"/>
      <c r="H592" s="5"/>
      <c r="I592" s="3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2.75" customHeight="1" x14ac:dyDescent="0.3">
      <c r="A593" s="3"/>
      <c r="B593" s="3"/>
      <c r="C593" s="3"/>
      <c r="D593" s="5"/>
      <c r="E593" s="5"/>
      <c r="F593" s="5"/>
      <c r="G593" s="7"/>
      <c r="H593" s="5"/>
      <c r="I593" s="3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2.75" customHeight="1" x14ac:dyDescent="0.3">
      <c r="A594" s="3"/>
      <c r="B594" s="3"/>
      <c r="C594" s="3"/>
      <c r="D594" s="5"/>
      <c r="E594" s="5"/>
      <c r="F594" s="5"/>
      <c r="G594" s="7"/>
      <c r="H594" s="5"/>
      <c r="I594" s="3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2.75" customHeight="1" x14ac:dyDescent="0.3">
      <c r="A595" s="3"/>
      <c r="B595" s="3"/>
      <c r="C595" s="3"/>
      <c r="D595" s="5"/>
      <c r="E595" s="5"/>
      <c r="F595" s="5"/>
      <c r="G595" s="7"/>
      <c r="H595" s="5"/>
      <c r="I595" s="3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2.75" customHeight="1" x14ac:dyDescent="0.3">
      <c r="A596" s="3"/>
      <c r="B596" s="3"/>
      <c r="C596" s="3"/>
      <c r="D596" s="5"/>
      <c r="E596" s="5"/>
      <c r="F596" s="5"/>
      <c r="G596" s="7"/>
      <c r="H596" s="5"/>
      <c r="I596" s="3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2.75" customHeight="1" x14ac:dyDescent="0.3">
      <c r="A597" s="3"/>
      <c r="B597" s="3"/>
      <c r="C597" s="3"/>
      <c r="D597" s="5"/>
      <c r="E597" s="5"/>
      <c r="F597" s="5"/>
      <c r="G597" s="7"/>
      <c r="H597" s="5"/>
      <c r="I597" s="3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2.75" customHeight="1" x14ac:dyDescent="0.3">
      <c r="A598" s="3"/>
      <c r="B598" s="3"/>
      <c r="C598" s="3"/>
      <c r="D598" s="5"/>
      <c r="E598" s="5"/>
      <c r="F598" s="5"/>
      <c r="G598" s="7"/>
      <c r="H598" s="5"/>
      <c r="I598" s="3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2.75" customHeight="1" x14ac:dyDescent="0.3">
      <c r="A599" s="3"/>
      <c r="B599" s="3"/>
      <c r="C599" s="3"/>
      <c r="D599" s="5"/>
      <c r="E599" s="5"/>
      <c r="F599" s="5"/>
      <c r="G599" s="7"/>
      <c r="H599" s="5"/>
      <c r="I599" s="3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2.75" customHeight="1" x14ac:dyDescent="0.3">
      <c r="A600" s="3"/>
      <c r="B600" s="3"/>
      <c r="C600" s="3"/>
      <c r="D600" s="5"/>
      <c r="E600" s="5"/>
      <c r="F600" s="5"/>
      <c r="G600" s="7"/>
      <c r="H600" s="5"/>
      <c r="I600" s="3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2.75" customHeight="1" x14ac:dyDescent="0.3">
      <c r="A601" s="3"/>
      <c r="B601" s="3"/>
      <c r="C601" s="3"/>
      <c r="D601" s="5"/>
      <c r="E601" s="5"/>
      <c r="F601" s="5"/>
      <c r="G601" s="7"/>
      <c r="H601" s="5"/>
      <c r="I601" s="3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2.75" customHeight="1" x14ac:dyDescent="0.3">
      <c r="A602" s="3"/>
      <c r="B602" s="3"/>
      <c r="C602" s="3"/>
      <c r="D602" s="5"/>
      <c r="E602" s="5"/>
      <c r="F602" s="5"/>
      <c r="G602" s="7"/>
      <c r="H602" s="5"/>
      <c r="I602" s="3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2.75" customHeight="1" x14ac:dyDescent="0.3">
      <c r="A603" s="3"/>
      <c r="B603" s="3"/>
      <c r="C603" s="3"/>
      <c r="D603" s="5"/>
      <c r="E603" s="5"/>
      <c r="F603" s="5"/>
      <c r="G603" s="7"/>
      <c r="H603" s="5"/>
      <c r="I603" s="3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2.75" customHeight="1" x14ac:dyDescent="0.3">
      <c r="A604" s="3"/>
      <c r="B604" s="3"/>
      <c r="C604" s="3"/>
      <c r="D604" s="5"/>
      <c r="E604" s="5"/>
      <c r="F604" s="5"/>
      <c r="G604" s="7"/>
      <c r="H604" s="5"/>
      <c r="I604" s="3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2.75" customHeight="1" x14ac:dyDescent="0.3">
      <c r="A605" s="3"/>
      <c r="B605" s="3"/>
      <c r="C605" s="3"/>
      <c r="D605" s="5"/>
      <c r="E605" s="5"/>
      <c r="F605" s="5"/>
      <c r="G605" s="7"/>
      <c r="H605" s="5"/>
      <c r="I605" s="3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2.75" customHeight="1" x14ac:dyDescent="0.3">
      <c r="A606" s="3"/>
      <c r="B606" s="3"/>
      <c r="C606" s="3"/>
      <c r="D606" s="5"/>
      <c r="E606" s="5"/>
      <c r="F606" s="5"/>
      <c r="G606" s="7"/>
      <c r="H606" s="5"/>
      <c r="I606" s="3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2.75" customHeight="1" x14ac:dyDescent="0.3">
      <c r="A607" s="3"/>
      <c r="B607" s="3"/>
      <c r="C607" s="3"/>
      <c r="D607" s="5"/>
      <c r="E607" s="5"/>
      <c r="F607" s="5"/>
      <c r="G607" s="7"/>
      <c r="H607" s="5"/>
      <c r="I607" s="3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2.75" customHeight="1" x14ac:dyDescent="0.3">
      <c r="A608" s="3"/>
      <c r="B608" s="3"/>
      <c r="C608" s="3"/>
      <c r="D608" s="5"/>
      <c r="E608" s="5"/>
      <c r="F608" s="5"/>
      <c r="G608" s="7"/>
      <c r="H608" s="5"/>
      <c r="I608" s="3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2.75" customHeight="1" x14ac:dyDescent="0.3">
      <c r="A609" s="3"/>
      <c r="B609" s="3"/>
      <c r="C609" s="3"/>
      <c r="D609" s="5"/>
      <c r="E609" s="5"/>
      <c r="F609" s="5"/>
      <c r="G609" s="7"/>
      <c r="H609" s="5"/>
      <c r="I609" s="3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2.75" customHeight="1" x14ac:dyDescent="0.3">
      <c r="A610" s="3"/>
      <c r="B610" s="3"/>
      <c r="C610" s="3"/>
      <c r="D610" s="5"/>
      <c r="E610" s="5"/>
      <c r="F610" s="5"/>
      <c r="G610" s="7"/>
      <c r="H610" s="5"/>
      <c r="I610" s="3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2.75" customHeight="1" x14ac:dyDescent="0.3">
      <c r="A611" s="3"/>
      <c r="B611" s="3"/>
      <c r="C611" s="3"/>
      <c r="D611" s="5"/>
      <c r="E611" s="5"/>
      <c r="F611" s="5"/>
      <c r="G611" s="7"/>
      <c r="H611" s="5"/>
      <c r="I611" s="3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2.75" customHeight="1" x14ac:dyDescent="0.3">
      <c r="A612" s="3"/>
      <c r="B612" s="3"/>
      <c r="C612" s="3"/>
      <c r="D612" s="5"/>
      <c r="E612" s="5"/>
      <c r="F612" s="5"/>
      <c r="G612" s="7"/>
      <c r="H612" s="5"/>
      <c r="I612" s="3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2.75" customHeight="1" x14ac:dyDescent="0.3">
      <c r="A613" s="3"/>
      <c r="B613" s="3"/>
      <c r="C613" s="3"/>
      <c r="D613" s="5"/>
      <c r="E613" s="5"/>
      <c r="F613" s="5"/>
      <c r="G613" s="7"/>
      <c r="H613" s="5"/>
      <c r="I613" s="3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2.75" customHeight="1" x14ac:dyDescent="0.3">
      <c r="A614" s="3"/>
      <c r="B614" s="3"/>
      <c r="C614" s="3"/>
      <c r="D614" s="5"/>
      <c r="E614" s="5"/>
      <c r="F614" s="5"/>
      <c r="G614" s="7"/>
      <c r="H614" s="5"/>
      <c r="I614" s="3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2.75" customHeight="1" x14ac:dyDescent="0.3">
      <c r="A615" s="3"/>
      <c r="B615" s="3"/>
      <c r="C615" s="3"/>
      <c r="D615" s="5"/>
      <c r="E615" s="5"/>
      <c r="F615" s="5"/>
      <c r="G615" s="7"/>
      <c r="H615" s="5"/>
      <c r="I615" s="3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2.75" customHeight="1" x14ac:dyDescent="0.3">
      <c r="A616" s="3"/>
      <c r="B616" s="3"/>
      <c r="C616" s="3"/>
      <c r="D616" s="5"/>
      <c r="E616" s="5"/>
      <c r="F616" s="5"/>
      <c r="G616" s="7"/>
      <c r="H616" s="5"/>
      <c r="I616" s="3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2.75" customHeight="1" x14ac:dyDescent="0.3">
      <c r="A617" s="3"/>
      <c r="B617" s="3"/>
      <c r="C617" s="3"/>
      <c r="D617" s="5"/>
      <c r="E617" s="5"/>
      <c r="F617" s="5"/>
      <c r="G617" s="7"/>
      <c r="H617" s="5"/>
      <c r="I617" s="3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2.75" customHeight="1" x14ac:dyDescent="0.3">
      <c r="A618" s="3"/>
      <c r="B618" s="3"/>
      <c r="C618" s="3"/>
      <c r="D618" s="5"/>
      <c r="E618" s="5"/>
      <c r="F618" s="5"/>
      <c r="G618" s="7"/>
      <c r="H618" s="5"/>
      <c r="I618" s="3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2.75" customHeight="1" x14ac:dyDescent="0.3">
      <c r="A619" s="3"/>
      <c r="B619" s="3"/>
      <c r="C619" s="3"/>
      <c r="D619" s="5"/>
      <c r="E619" s="5"/>
      <c r="F619" s="5"/>
      <c r="G619" s="7"/>
      <c r="H619" s="5"/>
      <c r="I619" s="3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2.75" customHeight="1" x14ac:dyDescent="0.3">
      <c r="A620" s="3"/>
      <c r="B620" s="3"/>
      <c r="C620" s="3"/>
      <c r="D620" s="5"/>
      <c r="E620" s="5"/>
      <c r="F620" s="5"/>
      <c r="G620" s="7"/>
      <c r="H620" s="5"/>
      <c r="I620" s="3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2.75" customHeight="1" x14ac:dyDescent="0.3">
      <c r="A621" s="3"/>
      <c r="B621" s="3"/>
      <c r="C621" s="3"/>
      <c r="D621" s="5"/>
      <c r="E621" s="5"/>
      <c r="F621" s="5"/>
      <c r="G621" s="7"/>
      <c r="H621" s="5"/>
      <c r="I621" s="3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2.75" customHeight="1" x14ac:dyDescent="0.3">
      <c r="A622" s="3"/>
      <c r="B622" s="3"/>
      <c r="C622" s="3"/>
      <c r="D622" s="5"/>
      <c r="E622" s="5"/>
      <c r="F622" s="5"/>
      <c r="G622" s="7"/>
      <c r="H622" s="5"/>
      <c r="I622" s="3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2.75" customHeight="1" x14ac:dyDescent="0.3">
      <c r="A623" s="3"/>
      <c r="B623" s="3"/>
      <c r="C623" s="3"/>
      <c r="D623" s="5"/>
      <c r="E623" s="5"/>
      <c r="F623" s="5"/>
      <c r="G623" s="7"/>
      <c r="H623" s="5"/>
      <c r="I623" s="3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2.75" customHeight="1" x14ac:dyDescent="0.3">
      <c r="A624" s="3"/>
      <c r="B624" s="3"/>
      <c r="C624" s="3"/>
      <c r="D624" s="5"/>
      <c r="E624" s="5"/>
      <c r="F624" s="5"/>
      <c r="G624" s="7"/>
      <c r="H624" s="5"/>
      <c r="I624" s="3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2.75" customHeight="1" x14ac:dyDescent="0.3">
      <c r="A625" s="3"/>
      <c r="B625" s="3"/>
      <c r="C625" s="3"/>
      <c r="D625" s="5"/>
      <c r="E625" s="5"/>
      <c r="F625" s="5"/>
      <c r="G625" s="7"/>
      <c r="H625" s="5"/>
      <c r="I625" s="3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2.75" customHeight="1" x14ac:dyDescent="0.3">
      <c r="A626" s="3"/>
      <c r="B626" s="3"/>
      <c r="C626" s="3"/>
      <c r="D626" s="5"/>
      <c r="E626" s="5"/>
      <c r="F626" s="5"/>
      <c r="G626" s="7"/>
      <c r="H626" s="5"/>
      <c r="I626" s="3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2.75" customHeight="1" x14ac:dyDescent="0.3">
      <c r="A627" s="3"/>
      <c r="B627" s="3"/>
      <c r="C627" s="3"/>
      <c r="D627" s="5"/>
      <c r="E627" s="5"/>
      <c r="F627" s="5"/>
      <c r="G627" s="7"/>
      <c r="H627" s="5"/>
      <c r="I627" s="3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2.75" customHeight="1" x14ac:dyDescent="0.3">
      <c r="A628" s="3"/>
      <c r="B628" s="3"/>
      <c r="C628" s="3"/>
      <c r="D628" s="5"/>
      <c r="E628" s="5"/>
      <c r="F628" s="5"/>
      <c r="G628" s="7"/>
      <c r="H628" s="5"/>
      <c r="I628" s="3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2.75" customHeight="1" x14ac:dyDescent="0.3">
      <c r="A629" s="3"/>
      <c r="B629" s="3"/>
      <c r="C629" s="3"/>
      <c r="D629" s="5"/>
      <c r="E629" s="5"/>
      <c r="F629" s="5"/>
      <c r="G629" s="7"/>
      <c r="H629" s="5"/>
      <c r="I629" s="3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2.75" customHeight="1" x14ac:dyDescent="0.3">
      <c r="A630" s="3"/>
      <c r="B630" s="3"/>
      <c r="C630" s="3"/>
      <c r="D630" s="5"/>
      <c r="E630" s="5"/>
      <c r="F630" s="5"/>
      <c r="G630" s="7"/>
      <c r="H630" s="5"/>
      <c r="I630" s="3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2.75" customHeight="1" x14ac:dyDescent="0.3">
      <c r="A631" s="3"/>
      <c r="B631" s="3"/>
      <c r="C631" s="3"/>
      <c r="D631" s="5"/>
      <c r="E631" s="5"/>
      <c r="F631" s="5"/>
      <c r="G631" s="7"/>
      <c r="H631" s="5"/>
      <c r="I631" s="3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2.75" customHeight="1" x14ac:dyDescent="0.3">
      <c r="A632" s="3"/>
      <c r="B632" s="3"/>
      <c r="C632" s="3"/>
      <c r="D632" s="5"/>
      <c r="E632" s="5"/>
      <c r="F632" s="5"/>
      <c r="G632" s="7"/>
      <c r="H632" s="5"/>
      <c r="I632" s="3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2.75" customHeight="1" x14ac:dyDescent="0.3">
      <c r="A633" s="3"/>
      <c r="B633" s="3"/>
      <c r="C633" s="3"/>
      <c r="D633" s="5"/>
      <c r="E633" s="5"/>
      <c r="F633" s="5"/>
      <c r="G633" s="7"/>
      <c r="H633" s="5"/>
      <c r="I633" s="3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2.75" customHeight="1" x14ac:dyDescent="0.3">
      <c r="A634" s="3"/>
      <c r="B634" s="3"/>
      <c r="C634" s="3"/>
      <c r="D634" s="5"/>
      <c r="E634" s="5"/>
      <c r="F634" s="5"/>
      <c r="G634" s="7"/>
      <c r="H634" s="5"/>
      <c r="I634" s="3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2.75" customHeight="1" x14ac:dyDescent="0.3">
      <c r="A635" s="3"/>
      <c r="B635" s="3"/>
      <c r="C635" s="3"/>
      <c r="D635" s="5"/>
      <c r="E635" s="5"/>
      <c r="F635" s="5"/>
      <c r="G635" s="7"/>
      <c r="H635" s="5"/>
      <c r="I635" s="3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2.75" customHeight="1" x14ac:dyDescent="0.3">
      <c r="A636" s="3"/>
      <c r="B636" s="3"/>
      <c r="C636" s="3"/>
      <c r="D636" s="5"/>
      <c r="E636" s="5"/>
      <c r="F636" s="5"/>
      <c r="G636" s="7"/>
      <c r="H636" s="5"/>
      <c r="I636" s="3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2.75" customHeight="1" x14ac:dyDescent="0.3">
      <c r="A637" s="3"/>
      <c r="B637" s="3"/>
      <c r="C637" s="3"/>
      <c r="D637" s="5"/>
      <c r="E637" s="5"/>
      <c r="F637" s="5"/>
      <c r="G637" s="7"/>
      <c r="H637" s="5"/>
      <c r="I637" s="3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2.75" customHeight="1" x14ac:dyDescent="0.3">
      <c r="A638" s="3"/>
      <c r="B638" s="3"/>
      <c r="C638" s="3"/>
      <c r="D638" s="5"/>
      <c r="E638" s="5"/>
      <c r="F638" s="5"/>
      <c r="G638" s="7"/>
      <c r="H638" s="5"/>
      <c r="I638" s="3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2.75" customHeight="1" x14ac:dyDescent="0.3">
      <c r="A639" s="3"/>
      <c r="B639" s="3"/>
      <c r="C639" s="3"/>
      <c r="D639" s="5"/>
      <c r="E639" s="5"/>
      <c r="F639" s="5"/>
      <c r="G639" s="7"/>
      <c r="H639" s="5"/>
      <c r="I639" s="3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2.75" customHeight="1" x14ac:dyDescent="0.3">
      <c r="A640" s="3"/>
      <c r="B640" s="3"/>
      <c r="C640" s="3"/>
      <c r="D640" s="5"/>
      <c r="E640" s="5"/>
      <c r="F640" s="5"/>
      <c r="G640" s="7"/>
      <c r="H640" s="5"/>
      <c r="I640" s="3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2.75" customHeight="1" x14ac:dyDescent="0.3">
      <c r="A641" s="3"/>
      <c r="B641" s="3"/>
      <c r="C641" s="3"/>
      <c r="D641" s="5"/>
      <c r="E641" s="5"/>
      <c r="F641" s="5"/>
      <c r="G641" s="7"/>
      <c r="H641" s="5"/>
      <c r="I641" s="3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2.75" customHeight="1" x14ac:dyDescent="0.3">
      <c r="A642" s="3"/>
      <c r="B642" s="3"/>
      <c r="C642" s="3"/>
      <c r="D642" s="5"/>
      <c r="E642" s="5"/>
      <c r="F642" s="5"/>
      <c r="G642" s="7"/>
      <c r="H642" s="5"/>
      <c r="I642" s="3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2.75" customHeight="1" x14ac:dyDescent="0.3">
      <c r="A643" s="3"/>
      <c r="B643" s="3"/>
      <c r="C643" s="3"/>
      <c r="D643" s="5"/>
      <c r="E643" s="5"/>
      <c r="F643" s="5"/>
      <c r="G643" s="7"/>
      <c r="H643" s="5"/>
      <c r="I643" s="3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2.75" customHeight="1" x14ac:dyDescent="0.3">
      <c r="A644" s="3"/>
      <c r="B644" s="3"/>
      <c r="C644" s="3"/>
      <c r="D644" s="5"/>
      <c r="E644" s="5"/>
      <c r="F644" s="5"/>
      <c r="G644" s="7"/>
      <c r="H644" s="5"/>
      <c r="I644" s="3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2.75" customHeight="1" x14ac:dyDescent="0.3">
      <c r="A645" s="3"/>
      <c r="B645" s="3"/>
      <c r="C645" s="3"/>
      <c r="D645" s="5"/>
      <c r="E645" s="5"/>
      <c r="F645" s="5"/>
      <c r="G645" s="7"/>
      <c r="H645" s="5"/>
      <c r="I645" s="3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2.75" customHeight="1" x14ac:dyDescent="0.3">
      <c r="A646" s="3"/>
      <c r="B646" s="3"/>
      <c r="C646" s="3"/>
      <c r="D646" s="5"/>
      <c r="E646" s="5"/>
      <c r="F646" s="5"/>
      <c r="G646" s="7"/>
      <c r="H646" s="5"/>
      <c r="I646" s="3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2.75" customHeight="1" x14ac:dyDescent="0.3">
      <c r="A647" s="3"/>
      <c r="B647" s="3"/>
      <c r="C647" s="3"/>
      <c r="D647" s="5"/>
      <c r="E647" s="5"/>
      <c r="F647" s="5"/>
      <c r="G647" s="7"/>
      <c r="H647" s="5"/>
      <c r="I647" s="3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2.75" customHeight="1" x14ac:dyDescent="0.3">
      <c r="A648" s="3"/>
      <c r="B648" s="3"/>
      <c r="C648" s="3"/>
      <c r="D648" s="5"/>
      <c r="E648" s="5"/>
      <c r="F648" s="5"/>
      <c r="G648" s="7"/>
      <c r="H648" s="5"/>
      <c r="I648" s="3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2.75" customHeight="1" x14ac:dyDescent="0.3">
      <c r="A649" s="3"/>
      <c r="B649" s="3"/>
      <c r="C649" s="3"/>
      <c r="D649" s="5"/>
      <c r="E649" s="5"/>
      <c r="F649" s="5"/>
      <c r="G649" s="7"/>
      <c r="H649" s="5"/>
      <c r="I649" s="3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2.75" customHeight="1" x14ac:dyDescent="0.3">
      <c r="A650" s="3"/>
      <c r="B650" s="3"/>
      <c r="C650" s="3"/>
      <c r="D650" s="5"/>
      <c r="E650" s="5"/>
      <c r="F650" s="5"/>
      <c r="G650" s="7"/>
      <c r="H650" s="5"/>
      <c r="I650" s="3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2.75" customHeight="1" x14ac:dyDescent="0.3">
      <c r="A651" s="3"/>
      <c r="B651" s="3"/>
      <c r="C651" s="3"/>
      <c r="D651" s="5"/>
      <c r="E651" s="5"/>
      <c r="F651" s="5"/>
      <c r="G651" s="7"/>
      <c r="H651" s="5"/>
      <c r="I651" s="3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2.75" customHeight="1" x14ac:dyDescent="0.3">
      <c r="A652" s="3"/>
      <c r="B652" s="3"/>
      <c r="C652" s="3"/>
      <c r="D652" s="5"/>
      <c r="E652" s="5"/>
      <c r="F652" s="5"/>
      <c r="G652" s="7"/>
      <c r="H652" s="5"/>
      <c r="I652" s="3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2.75" customHeight="1" x14ac:dyDescent="0.3">
      <c r="A653" s="3"/>
      <c r="B653" s="3"/>
      <c r="C653" s="3"/>
      <c r="D653" s="5"/>
      <c r="E653" s="5"/>
      <c r="F653" s="5"/>
      <c r="G653" s="7"/>
      <c r="H653" s="5"/>
      <c r="I653" s="3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2.75" customHeight="1" x14ac:dyDescent="0.3">
      <c r="A654" s="3"/>
      <c r="B654" s="3"/>
      <c r="C654" s="3"/>
      <c r="D654" s="5"/>
      <c r="E654" s="5"/>
      <c r="F654" s="5"/>
      <c r="G654" s="7"/>
      <c r="H654" s="5"/>
      <c r="I654" s="3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2.75" customHeight="1" x14ac:dyDescent="0.3">
      <c r="A655" s="3"/>
      <c r="B655" s="3"/>
      <c r="C655" s="3"/>
      <c r="D655" s="5"/>
      <c r="E655" s="5"/>
      <c r="F655" s="5"/>
      <c r="G655" s="7"/>
      <c r="H655" s="5"/>
      <c r="I655" s="3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2.75" customHeight="1" x14ac:dyDescent="0.3">
      <c r="A656" s="3"/>
      <c r="B656" s="3"/>
      <c r="C656" s="3"/>
      <c r="D656" s="5"/>
      <c r="E656" s="5"/>
      <c r="F656" s="5"/>
      <c r="G656" s="7"/>
      <c r="H656" s="5"/>
      <c r="I656" s="3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2.75" customHeight="1" x14ac:dyDescent="0.3">
      <c r="A657" s="3"/>
      <c r="B657" s="3"/>
      <c r="C657" s="3"/>
      <c r="D657" s="5"/>
      <c r="E657" s="5"/>
      <c r="F657" s="5"/>
      <c r="G657" s="7"/>
      <c r="H657" s="5"/>
      <c r="I657" s="3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2.75" customHeight="1" x14ac:dyDescent="0.3">
      <c r="A658" s="3"/>
      <c r="B658" s="3"/>
      <c r="C658" s="3"/>
      <c r="D658" s="5"/>
      <c r="E658" s="5"/>
      <c r="F658" s="5"/>
      <c r="G658" s="7"/>
      <c r="H658" s="5"/>
      <c r="I658" s="3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2.75" customHeight="1" x14ac:dyDescent="0.3">
      <c r="A659" s="3"/>
      <c r="B659" s="3"/>
      <c r="C659" s="3"/>
      <c r="D659" s="5"/>
      <c r="E659" s="5"/>
      <c r="F659" s="5"/>
      <c r="G659" s="7"/>
      <c r="H659" s="5"/>
      <c r="I659" s="3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2.75" customHeight="1" x14ac:dyDescent="0.3">
      <c r="A660" s="3"/>
      <c r="B660" s="3"/>
      <c r="C660" s="3"/>
      <c r="D660" s="5"/>
      <c r="E660" s="5"/>
      <c r="F660" s="5"/>
      <c r="G660" s="7"/>
      <c r="H660" s="5"/>
      <c r="I660" s="3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2.75" customHeight="1" x14ac:dyDescent="0.3">
      <c r="A661" s="3"/>
      <c r="B661" s="3"/>
      <c r="C661" s="3"/>
      <c r="D661" s="5"/>
      <c r="E661" s="5"/>
      <c r="F661" s="5"/>
      <c r="G661" s="7"/>
      <c r="H661" s="5"/>
      <c r="I661" s="3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2.75" customHeight="1" x14ac:dyDescent="0.3">
      <c r="A662" s="3"/>
      <c r="B662" s="3"/>
      <c r="C662" s="3"/>
      <c r="D662" s="5"/>
      <c r="E662" s="5"/>
      <c r="F662" s="5"/>
      <c r="G662" s="7"/>
      <c r="H662" s="5"/>
      <c r="I662" s="3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2.75" customHeight="1" x14ac:dyDescent="0.3">
      <c r="A663" s="3"/>
      <c r="B663" s="3"/>
      <c r="C663" s="3"/>
      <c r="D663" s="5"/>
      <c r="E663" s="5"/>
      <c r="F663" s="5"/>
      <c r="G663" s="7"/>
      <c r="H663" s="5"/>
      <c r="I663" s="3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2.75" customHeight="1" x14ac:dyDescent="0.3">
      <c r="A664" s="3"/>
      <c r="B664" s="3"/>
      <c r="C664" s="3"/>
      <c r="D664" s="5"/>
      <c r="E664" s="5"/>
      <c r="F664" s="5"/>
      <c r="G664" s="7"/>
      <c r="H664" s="5"/>
      <c r="I664" s="3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2.75" customHeight="1" x14ac:dyDescent="0.3">
      <c r="A665" s="3"/>
      <c r="B665" s="3"/>
      <c r="C665" s="3"/>
      <c r="D665" s="5"/>
      <c r="E665" s="5"/>
      <c r="F665" s="5"/>
      <c r="G665" s="7"/>
      <c r="H665" s="5"/>
      <c r="I665" s="3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2.75" customHeight="1" x14ac:dyDescent="0.3">
      <c r="A666" s="3"/>
      <c r="B666" s="3"/>
      <c r="C666" s="3"/>
      <c r="D666" s="5"/>
      <c r="E666" s="5"/>
      <c r="F666" s="5"/>
      <c r="G666" s="7"/>
      <c r="H666" s="5"/>
      <c r="I666" s="3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2.75" customHeight="1" x14ac:dyDescent="0.3">
      <c r="A667" s="3"/>
      <c r="B667" s="3"/>
      <c r="C667" s="3"/>
      <c r="D667" s="5"/>
      <c r="E667" s="5"/>
      <c r="F667" s="5"/>
      <c r="G667" s="7"/>
      <c r="H667" s="5"/>
      <c r="I667" s="3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2.75" customHeight="1" x14ac:dyDescent="0.3">
      <c r="A668" s="3"/>
      <c r="B668" s="3"/>
      <c r="C668" s="3"/>
      <c r="D668" s="5"/>
      <c r="E668" s="5"/>
      <c r="F668" s="5"/>
      <c r="G668" s="7"/>
      <c r="H668" s="5"/>
      <c r="I668" s="3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2.75" customHeight="1" x14ac:dyDescent="0.3">
      <c r="A669" s="3"/>
      <c r="B669" s="3"/>
      <c r="C669" s="3"/>
      <c r="D669" s="5"/>
      <c r="E669" s="5"/>
      <c r="F669" s="5"/>
      <c r="G669" s="7"/>
      <c r="H669" s="5"/>
      <c r="I669" s="3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2.75" customHeight="1" x14ac:dyDescent="0.3">
      <c r="A670" s="3"/>
      <c r="B670" s="3"/>
      <c r="C670" s="3"/>
      <c r="D670" s="5"/>
      <c r="E670" s="5"/>
      <c r="F670" s="5"/>
      <c r="G670" s="7"/>
      <c r="H670" s="5"/>
      <c r="I670" s="3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2.75" customHeight="1" x14ac:dyDescent="0.3">
      <c r="A671" s="3"/>
      <c r="B671" s="3"/>
      <c r="C671" s="3"/>
      <c r="D671" s="5"/>
      <c r="E671" s="5"/>
      <c r="F671" s="5"/>
      <c r="G671" s="7"/>
      <c r="H671" s="5"/>
      <c r="I671" s="3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2.75" customHeight="1" x14ac:dyDescent="0.3">
      <c r="A672" s="3"/>
      <c r="B672" s="3"/>
      <c r="C672" s="3"/>
      <c r="D672" s="5"/>
      <c r="E672" s="5"/>
      <c r="F672" s="5"/>
      <c r="G672" s="7"/>
      <c r="H672" s="5"/>
      <c r="I672" s="3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2.75" customHeight="1" x14ac:dyDescent="0.3">
      <c r="A673" s="3"/>
      <c r="B673" s="3"/>
      <c r="C673" s="3"/>
      <c r="D673" s="5"/>
      <c r="E673" s="5"/>
      <c r="F673" s="5"/>
      <c r="G673" s="7"/>
      <c r="H673" s="5"/>
      <c r="I673" s="3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2.75" customHeight="1" x14ac:dyDescent="0.3">
      <c r="A674" s="3"/>
      <c r="B674" s="3"/>
      <c r="C674" s="3"/>
      <c r="D674" s="5"/>
      <c r="E674" s="5"/>
      <c r="F674" s="5"/>
      <c r="G674" s="7"/>
      <c r="H674" s="5"/>
      <c r="I674" s="3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2.75" customHeight="1" x14ac:dyDescent="0.3">
      <c r="A675" s="3"/>
      <c r="B675" s="3"/>
      <c r="C675" s="3"/>
      <c r="D675" s="5"/>
      <c r="E675" s="5"/>
      <c r="F675" s="5"/>
      <c r="G675" s="7"/>
      <c r="H675" s="5"/>
      <c r="I675" s="3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2.75" customHeight="1" x14ac:dyDescent="0.3">
      <c r="A676" s="3"/>
      <c r="B676" s="3"/>
      <c r="C676" s="3"/>
      <c r="D676" s="5"/>
      <c r="E676" s="5"/>
      <c r="F676" s="5"/>
      <c r="G676" s="7"/>
      <c r="H676" s="5"/>
      <c r="I676" s="3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2.75" customHeight="1" x14ac:dyDescent="0.3">
      <c r="A677" s="3"/>
      <c r="B677" s="3"/>
      <c r="C677" s="3"/>
      <c r="D677" s="5"/>
      <c r="E677" s="5"/>
      <c r="F677" s="5"/>
      <c r="G677" s="7"/>
      <c r="H677" s="5"/>
      <c r="I677" s="3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2.75" customHeight="1" x14ac:dyDescent="0.3">
      <c r="A678" s="3"/>
      <c r="B678" s="3"/>
      <c r="C678" s="3"/>
      <c r="D678" s="5"/>
      <c r="E678" s="5"/>
      <c r="F678" s="5"/>
      <c r="G678" s="7"/>
      <c r="H678" s="5"/>
      <c r="I678" s="3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2.75" customHeight="1" x14ac:dyDescent="0.3">
      <c r="A679" s="3"/>
      <c r="B679" s="3"/>
      <c r="C679" s="3"/>
      <c r="D679" s="5"/>
      <c r="E679" s="5"/>
      <c r="F679" s="5"/>
      <c r="G679" s="7"/>
      <c r="H679" s="5"/>
      <c r="I679" s="3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2.75" customHeight="1" x14ac:dyDescent="0.3">
      <c r="A680" s="3"/>
      <c r="B680" s="3"/>
      <c r="C680" s="3"/>
      <c r="D680" s="5"/>
      <c r="E680" s="5"/>
      <c r="F680" s="5"/>
      <c r="G680" s="7"/>
      <c r="H680" s="5"/>
      <c r="I680" s="3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2.75" customHeight="1" x14ac:dyDescent="0.3">
      <c r="A681" s="3"/>
      <c r="B681" s="3"/>
      <c r="C681" s="3"/>
      <c r="D681" s="5"/>
      <c r="E681" s="5"/>
      <c r="F681" s="5"/>
      <c r="G681" s="7"/>
      <c r="H681" s="5"/>
      <c r="I681" s="3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2.75" customHeight="1" x14ac:dyDescent="0.3">
      <c r="A682" s="3"/>
      <c r="B682" s="3"/>
      <c r="C682" s="3"/>
      <c r="D682" s="5"/>
      <c r="E682" s="5"/>
      <c r="F682" s="5"/>
      <c r="G682" s="7"/>
      <c r="H682" s="5"/>
      <c r="I682" s="3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2.75" customHeight="1" x14ac:dyDescent="0.3">
      <c r="A683" s="3"/>
      <c r="B683" s="3"/>
      <c r="C683" s="3"/>
      <c r="D683" s="5"/>
      <c r="E683" s="5"/>
      <c r="F683" s="5"/>
      <c r="G683" s="7"/>
      <c r="H683" s="5"/>
      <c r="I683" s="3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2.75" customHeight="1" x14ac:dyDescent="0.3">
      <c r="A684" s="3"/>
      <c r="B684" s="3"/>
      <c r="C684" s="3"/>
      <c r="D684" s="5"/>
      <c r="E684" s="5"/>
      <c r="F684" s="5"/>
      <c r="G684" s="7"/>
      <c r="H684" s="5"/>
      <c r="I684" s="3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2.75" customHeight="1" x14ac:dyDescent="0.3">
      <c r="A685" s="3"/>
      <c r="B685" s="3"/>
      <c r="C685" s="3"/>
      <c r="D685" s="5"/>
      <c r="E685" s="5"/>
      <c r="F685" s="5"/>
      <c r="G685" s="7"/>
      <c r="H685" s="5"/>
      <c r="I685" s="3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2.75" customHeight="1" x14ac:dyDescent="0.3">
      <c r="A686" s="3"/>
      <c r="B686" s="3"/>
      <c r="C686" s="3"/>
      <c r="D686" s="5"/>
      <c r="E686" s="5"/>
      <c r="F686" s="5"/>
      <c r="G686" s="7"/>
      <c r="H686" s="5"/>
      <c r="I686" s="3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2.75" customHeight="1" x14ac:dyDescent="0.3">
      <c r="A687" s="3"/>
      <c r="B687" s="3"/>
      <c r="C687" s="3"/>
      <c r="D687" s="5"/>
      <c r="E687" s="5"/>
      <c r="F687" s="5"/>
      <c r="G687" s="7"/>
      <c r="H687" s="5"/>
      <c r="I687" s="3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2.75" customHeight="1" x14ac:dyDescent="0.3">
      <c r="A688" s="3"/>
      <c r="B688" s="3"/>
      <c r="C688" s="3"/>
      <c r="D688" s="5"/>
      <c r="E688" s="5"/>
      <c r="F688" s="5"/>
      <c r="G688" s="7"/>
      <c r="H688" s="5"/>
      <c r="I688" s="3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2.75" customHeight="1" x14ac:dyDescent="0.3">
      <c r="A689" s="3"/>
      <c r="B689" s="3"/>
      <c r="C689" s="3"/>
      <c r="D689" s="5"/>
      <c r="E689" s="5"/>
      <c r="F689" s="5"/>
      <c r="G689" s="7"/>
      <c r="H689" s="5"/>
      <c r="I689" s="3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2.75" customHeight="1" x14ac:dyDescent="0.3">
      <c r="A690" s="3"/>
      <c r="B690" s="3"/>
      <c r="C690" s="3"/>
      <c r="D690" s="5"/>
      <c r="E690" s="5"/>
      <c r="F690" s="5"/>
      <c r="G690" s="7"/>
      <c r="H690" s="5"/>
      <c r="I690" s="3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2.75" customHeight="1" x14ac:dyDescent="0.3">
      <c r="A691" s="3"/>
      <c r="B691" s="3"/>
      <c r="C691" s="3"/>
      <c r="D691" s="5"/>
      <c r="E691" s="5"/>
      <c r="F691" s="5"/>
      <c r="G691" s="7"/>
      <c r="H691" s="5"/>
      <c r="I691" s="3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2.75" customHeight="1" x14ac:dyDescent="0.3">
      <c r="A692" s="3"/>
      <c r="B692" s="3"/>
      <c r="C692" s="3"/>
      <c r="D692" s="5"/>
      <c r="E692" s="5"/>
      <c r="F692" s="5"/>
      <c r="G692" s="7"/>
      <c r="H692" s="5"/>
      <c r="I692" s="3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2.75" customHeight="1" x14ac:dyDescent="0.3">
      <c r="A693" s="3"/>
      <c r="B693" s="3"/>
      <c r="C693" s="3"/>
      <c r="D693" s="5"/>
      <c r="E693" s="5"/>
      <c r="F693" s="5"/>
      <c r="G693" s="7"/>
      <c r="H693" s="5"/>
      <c r="I693" s="3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2.75" customHeight="1" x14ac:dyDescent="0.3">
      <c r="A694" s="3"/>
      <c r="B694" s="3"/>
      <c r="C694" s="3"/>
      <c r="D694" s="5"/>
      <c r="E694" s="5"/>
      <c r="F694" s="5"/>
      <c r="G694" s="7"/>
      <c r="H694" s="5"/>
      <c r="I694" s="3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2.75" customHeight="1" x14ac:dyDescent="0.3">
      <c r="A695" s="3"/>
      <c r="B695" s="3"/>
      <c r="C695" s="3"/>
      <c r="D695" s="5"/>
      <c r="E695" s="5"/>
      <c r="F695" s="5"/>
      <c r="G695" s="7"/>
      <c r="H695" s="5"/>
      <c r="I695" s="3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2.75" customHeight="1" x14ac:dyDescent="0.3">
      <c r="A696" s="3"/>
      <c r="B696" s="3"/>
      <c r="C696" s="3"/>
      <c r="D696" s="5"/>
      <c r="E696" s="5"/>
      <c r="F696" s="5"/>
      <c r="G696" s="7"/>
      <c r="H696" s="5"/>
      <c r="I696" s="3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2.75" customHeight="1" x14ac:dyDescent="0.3">
      <c r="A697" s="3"/>
      <c r="B697" s="3"/>
      <c r="C697" s="3"/>
      <c r="D697" s="5"/>
      <c r="E697" s="5"/>
      <c r="F697" s="5"/>
      <c r="G697" s="7"/>
      <c r="H697" s="5"/>
      <c r="I697" s="3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2.75" customHeight="1" x14ac:dyDescent="0.3">
      <c r="A698" s="3"/>
      <c r="B698" s="3"/>
      <c r="C698" s="3"/>
      <c r="D698" s="5"/>
      <c r="E698" s="5"/>
      <c r="F698" s="5"/>
      <c r="G698" s="7"/>
      <c r="H698" s="5"/>
      <c r="I698" s="3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2.75" customHeight="1" x14ac:dyDescent="0.3">
      <c r="A699" s="3"/>
      <c r="B699" s="3"/>
      <c r="C699" s="3"/>
      <c r="D699" s="5"/>
      <c r="E699" s="5"/>
      <c r="F699" s="5"/>
      <c r="G699" s="7"/>
      <c r="H699" s="5"/>
      <c r="I699" s="3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2.75" customHeight="1" x14ac:dyDescent="0.3">
      <c r="A700" s="3"/>
      <c r="B700" s="3"/>
      <c r="C700" s="3"/>
      <c r="D700" s="5"/>
      <c r="E700" s="5"/>
      <c r="F700" s="5"/>
      <c r="G700" s="7"/>
      <c r="H700" s="5"/>
      <c r="I700" s="3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2.75" customHeight="1" x14ac:dyDescent="0.3">
      <c r="A701" s="3"/>
      <c r="B701" s="3"/>
      <c r="C701" s="3"/>
      <c r="D701" s="5"/>
      <c r="E701" s="5"/>
      <c r="F701" s="5"/>
      <c r="G701" s="7"/>
      <c r="H701" s="5"/>
      <c r="I701" s="3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2.75" customHeight="1" x14ac:dyDescent="0.3">
      <c r="A702" s="3"/>
      <c r="B702" s="3"/>
      <c r="C702" s="3"/>
      <c r="D702" s="5"/>
      <c r="E702" s="5"/>
      <c r="F702" s="5"/>
      <c r="G702" s="7"/>
      <c r="H702" s="5"/>
      <c r="I702" s="3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2.75" customHeight="1" x14ac:dyDescent="0.3">
      <c r="A703" s="3"/>
      <c r="B703" s="3"/>
      <c r="C703" s="3"/>
      <c r="D703" s="5"/>
      <c r="E703" s="5"/>
      <c r="F703" s="5"/>
      <c r="G703" s="7"/>
      <c r="H703" s="5"/>
      <c r="I703" s="3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2.75" customHeight="1" x14ac:dyDescent="0.3">
      <c r="A704" s="3"/>
      <c r="B704" s="3"/>
      <c r="C704" s="3"/>
      <c r="D704" s="5"/>
      <c r="E704" s="5"/>
      <c r="F704" s="5"/>
      <c r="G704" s="7"/>
      <c r="H704" s="5"/>
      <c r="I704" s="3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2.75" customHeight="1" x14ac:dyDescent="0.3">
      <c r="A705" s="3"/>
      <c r="B705" s="3"/>
      <c r="C705" s="3"/>
      <c r="D705" s="5"/>
      <c r="E705" s="5"/>
      <c r="F705" s="5"/>
      <c r="G705" s="7"/>
      <c r="H705" s="5"/>
      <c r="I705" s="3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2.75" customHeight="1" x14ac:dyDescent="0.3">
      <c r="A706" s="3"/>
      <c r="B706" s="3"/>
      <c r="C706" s="3"/>
      <c r="D706" s="5"/>
      <c r="E706" s="5"/>
      <c r="F706" s="5"/>
      <c r="G706" s="7"/>
      <c r="H706" s="5"/>
      <c r="I706" s="3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2.75" customHeight="1" x14ac:dyDescent="0.3">
      <c r="A707" s="3"/>
      <c r="B707" s="3"/>
      <c r="C707" s="3"/>
      <c r="D707" s="5"/>
      <c r="E707" s="5"/>
      <c r="F707" s="5"/>
      <c r="G707" s="7"/>
      <c r="H707" s="5"/>
      <c r="I707" s="3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2.75" customHeight="1" x14ac:dyDescent="0.3">
      <c r="A708" s="3"/>
      <c r="B708" s="3"/>
      <c r="C708" s="3"/>
      <c r="D708" s="5"/>
      <c r="E708" s="5"/>
      <c r="F708" s="5"/>
      <c r="G708" s="7"/>
      <c r="H708" s="5"/>
      <c r="I708" s="3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2.75" customHeight="1" x14ac:dyDescent="0.3">
      <c r="A709" s="3"/>
      <c r="B709" s="3"/>
      <c r="C709" s="3"/>
      <c r="D709" s="5"/>
      <c r="E709" s="5"/>
      <c r="F709" s="5"/>
      <c r="G709" s="7"/>
      <c r="H709" s="5"/>
      <c r="I709" s="3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2.75" customHeight="1" x14ac:dyDescent="0.3">
      <c r="A710" s="3"/>
      <c r="B710" s="3"/>
      <c r="C710" s="3"/>
      <c r="D710" s="5"/>
      <c r="E710" s="5"/>
      <c r="F710" s="5"/>
      <c r="G710" s="7"/>
      <c r="H710" s="5"/>
      <c r="I710" s="3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2.75" customHeight="1" x14ac:dyDescent="0.3">
      <c r="A711" s="3"/>
      <c r="B711" s="3"/>
      <c r="C711" s="3"/>
      <c r="D711" s="5"/>
      <c r="E711" s="5"/>
      <c r="F711" s="5"/>
      <c r="G711" s="7"/>
      <c r="H711" s="5"/>
      <c r="I711" s="3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2.75" customHeight="1" x14ac:dyDescent="0.3">
      <c r="A712" s="3"/>
      <c r="B712" s="3"/>
      <c r="C712" s="3"/>
      <c r="D712" s="5"/>
      <c r="E712" s="5"/>
      <c r="F712" s="5"/>
      <c r="G712" s="7"/>
      <c r="H712" s="5"/>
      <c r="I712" s="3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2.75" customHeight="1" x14ac:dyDescent="0.3">
      <c r="A713" s="3"/>
      <c r="B713" s="3"/>
      <c r="C713" s="3"/>
      <c r="D713" s="5"/>
      <c r="E713" s="5"/>
      <c r="F713" s="5"/>
      <c r="G713" s="7"/>
      <c r="H713" s="5"/>
      <c r="I713" s="3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2.75" customHeight="1" x14ac:dyDescent="0.3">
      <c r="A714" s="3"/>
      <c r="B714" s="3"/>
      <c r="C714" s="3"/>
      <c r="D714" s="5"/>
      <c r="E714" s="5"/>
      <c r="F714" s="5"/>
      <c r="G714" s="7"/>
      <c r="H714" s="5"/>
      <c r="I714" s="3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2.75" customHeight="1" x14ac:dyDescent="0.3">
      <c r="A715" s="3"/>
      <c r="B715" s="3"/>
      <c r="C715" s="3"/>
      <c r="D715" s="5"/>
      <c r="E715" s="5"/>
      <c r="F715" s="5"/>
      <c r="G715" s="7"/>
      <c r="H715" s="5"/>
      <c r="I715" s="3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2.75" customHeight="1" x14ac:dyDescent="0.3">
      <c r="A716" s="3"/>
      <c r="B716" s="3"/>
      <c r="C716" s="3"/>
      <c r="D716" s="5"/>
      <c r="E716" s="5"/>
      <c r="F716" s="5"/>
      <c r="G716" s="7"/>
      <c r="H716" s="5"/>
      <c r="I716" s="3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2.75" customHeight="1" x14ac:dyDescent="0.3">
      <c r="A717" s="3"/>
      <c r="B717" s="3"/>
      <c r="C717" s="3"/>
      <c r="D717" s="5"/>
      <c r="E717" s="5"/>
      <c r="F717" s="5"/>
      <c r="G717" s="7"/>
      <c r="H717" s="5"/>
      <c r="I717" s="3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2.75" customHeight="1" x14ac:dyDescent="0.3">
      <c r="A718" s="3"/>
      <c r="B718" s="3"/>
      <c r="C718" s="3"/>
      <c r="D718" s="5"/>
      <c r="E718" s="5"/>
      <c r="F718" s="5"/>
      <c r="G718" s="7"/>
      <c r="H718" s="5"/>
      <c r="I718" s="3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2.75" customHeight="1" x14ac:dyDescent="0.3">
      <c r="A719" s="3"/>
      <c r="B719" s="3"/>
      <c r="C719" s="3"/>
      <c r="D719" s="5"/>
      <c r="E719" s="5"/>
      <c r="F719" s="5"/>
      <c r="G719" s="7"/>
      <c r="H719" s="5"/>
      <c r="I719" s="3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2.75" customHeight="1" x14ac:dyDescent="0.3">
      <c r="A720" s="3"/>
      <c r="B720" s="3"/>
      <c r="C720" s="3"/>
      <c r="D720" s="5"/>
      <c r="E720" s="5"/>
      <c r="F720" s="5"/>
      <c r="G720" s="7"/>
      <c r="H720" s="5"/>
      <c r="I720" s="3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2.75" customHeight="1" x14ac:dyDescent="0.3">
      <c r="A721" s="3"/>
      <c r="B721" s="3"/>
      <c r="C721" s="3"/>
      <c r="D721" s="5"/>
      <c r="E721" s="5"/>
      <c r="F721" s="5"/>
      <c r="G721" s="7"/>
      <c r="H721" s="5"/>
      <c r="I721" s="3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2.75" customHeight="1" x14ac:dyDescent="0.3">
      <c r="A722" s="3"/>
      <c r="B722" s="3"/>
      <c r="C722" s="3"/>
      <c r="D722" s="5"/>
      <c r="E722" s="5"/>
      <c r="F722" s="5"/>
      <c r="G722" s="7"/>
      <c r="H722" s="5"/>
      <c r="I722" s="3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2.75" customHeight="1" x14ac:dyDescent="0.3">
      <c r="A723" s="3"/>
      <c r="B723" s="3"/>
      <c r="C723" s="3"/>
      <c r="D723" s="5"/>
      <c r="E723" s="5"/>
      <c r="F723" s="5"/>
      <c r="G723" s="7"/>
      <c r="H723" s="5"/>
      <c r="I723" s="3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2.75" customHeight="1" x14ac:dyDescent="0.3">
      <c r="A724" s="3"/>
      <c r="B724" s="3"/>
      <c r="C724" s="3"/>
      <c r="D724" s="5"/>
      <c r="E724" s="5"/>
      <c r="F724" s="5"/>
      <c r="G724" s="7"/>
      <c r="H724" s="5"/>
      <c r="I724" s="3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2.75" customHeight="1" x14ac:dyDescent="0.3">
      <c r="A725" s="3"/>
      <c r="B725" s="3"/>
      <c r="C725" s="3"/>
      <c r="D725" s="5"/>
      <c r="E725" s="5"/>
      <c r="F725" s="5"/>
      <c r="G725" s="7"/>
      <c r="H725" s="5"/>
      <c r="I725" s="3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2.75" customHeight="1" x14ac:dyDescent="0.3">
      <c r="A726" s="3"/>
      <c r="B726" s="3"/>
      <c r="C726" s="3"/>
      <c r="D726" s="5"/>
      <c r="E726" s="5"/>
      <c r="F726" s="5"/>
      <c r="G726" s="7"/>
      <c r="H726" s="5"/>
      <c r="I726" s="3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2.75" customHeight="1" x14ac:dyDescent="0.3">
      <c r="A727" s="3"/>
      <c r="B727" s="3"/>
      <c r="C727" s="3"/>
      <c r="D727" s="5"/>
      <c r="E727" s="5"/>
      <c r="F727" s="5"/>
      <c r="G727" s="7"/>
      <c r="H727" s="5"/>
      <c r="I727" s="3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2.75" customHeight="1" x14ac:dyDescent="0.3">
      <c r="A728" s="3"/>
      <c r="B728" s="3"/>
      <c r="C728" s="3"/>
      <c r="D728" s="5"/>
      <c r="E728" s="5"/>
      <c r="F728" s="5"/>
      <c r="G728" s="7"/>
      <c r="H728" s="5"/>
      <c r="I728" s="3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2.75" customHeight="1" x14ac:dyDescent="0.3">
      <c r="A729" s="3"/>
      <c r="B729" s="3"/>
      <c r="C729" s="3"/>
      <c r="D729" s="5"/>
      <c r="E729" s="5"/>
      <c r="F729" s="5"/>
      <c r="G729" s="7"/>
      <c r="H729" s="5"/>
      <c r="I729" s="3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2.75" customHeight="1" x14ac:dyDescent="0.3">
      <c r="A730" s="3"/>
      <c r="B730" s="3"/>
      <c r="C730" s="3"/>
      <c r="D730" s="5"/>
      <c r="E730" s="5"/>
      <c r="F730" s="5"/>
      <c r="G730" s="7"/>
      <c r="H730" s="5"/>
      <c r="I730" s="3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2.75" customHeight="1" x14ac:dyDescent="0.3">
      <c r="A731" s="3"/>
      <c r="B731" s="3"/>
      <c r="C731" s="3"/>
      <c r="D731" s="5"/>
      <c r="E731" s="5"/>
      <c r="F731" s="5"/>
      <c r="G731" s="7"/>
      <c r="H731" s="5"/>
      <c r="I731" s="3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2.75" customHeight="1" x14ac:dyDescent="0.3">
      <c r="A732" s="3"/>
      <c r="B732" s="3"/>
      <c r="C732" s="3"/>
      <c r="D732" s="5"/>
      <c r="E732" s="5"/>
      <c r="F732" s="5"/>
      <c r="G732" s="7"/>
      <c r="H732" s="5"/>
      <c r="I732" s="3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2.75" customHeight="1" x14ac:dyDescent="0.3">
      <c r="A733" s="3"/>
      <c r="B733" s="3"/>
      <c r="C733" s="3"/>
      <c r="D733" s="5"/>
      <c r="E733" s="5"/>
      <c r="F733" s="5"/>
      <c r="G733" s="7"/>
      <c r="H733" s="5"/>
      <c r="I733" s="3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2.75" customHeight="1" x14ac:dyDescent="0.3">
      <c r="A734" s="3"/>
      <c r="B734" s="3"/>
      <c r="C734" s="3"/>
      <c r="D734" s="5"/>
      <c r="E734" s="5"/>
      <c r="F734" s="5"/>
      <c r="G734" s="7"/>
      <c r="H734" s="5"/>
      <c r="I734" s="3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2.75" customHeight="1" x14ac:dyDescent="0.3">
      <c r="A735" s="3"/>
      <c r="B735" s="3"/>
      <c r="C735" s="3"/>
      <c r="D735" s="5"/>
      <c r="E735" s="5"/>
      <c r="F735" s="5"/>
      <c r="G735" s="7"/>
      <c r="H735" s="5"/>
      <c r="I735" s="3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2.75" customHeight="1" x14ac:dyDescent="0.3">
      <c r="A736" s="3"/>
      <c r="B736" s="3"/>
      <c r="C736" s="3"/>
      <c r="D736" s="5"/>
      <c r="E736" s="5"/>
      <c r="F736" s="5"/>
      <c r="G736" s="7"/>
      <c r="H736" s="5"/>
      <c r="I736" s="3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2.75" customHeight="1" x14ac:dyDescent="0.3">
      <c r="A737" s="3"/>
      <c r="B737" s="3"/>
      <c r="C737" s="3"/>
      <c r="D737" s="5"/>
      <c r="E737" s="5"/>
      <c r="F737" s="5"/>
      <c r="G737" s="7"/>
      <c r="H737" s="5"/>
      <c r="I737" s="3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2.75" customHeight="1" x14ac:dyDescent="0.3">
      <c r="A738" s="3"/>
      <c r="B738" s="3"/>
      <c r="C738" s="3"/>
      <c r="D738" s="5"/>
      <c r="E738" s="5"/>
      <c r="F738" s="5"/>
      <c r="G738" s="7"/>
      <c r="H738" s="5"/>
      <c r="I738" s="3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2.75" customHeight="1" x14ac:dyDescent="0.3">
      <c r="A739" s="3"/>
      <c r="B739" s="3"/>
      <c r="C739" s="3"/>
      <c r="D739" s="5"/>
      <c r="E739" s="5"/>
      <c r="F739" s="5"/>
      <c r="G739" s="7"/>
      <c r="H739" s="5"/>
      <c r="I739" s="3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2.75" customHeight="1" x14ac:dyDescent="0.3">
      <c r="A740" s="3"/>
      <c r="B740" s="3"/>
      <c r="C740" s="3"/>
      <c r="D740" s="5"/>
      <c r="E740" s="5"/>
      <c r="F740" s="5"/>
      <c r="G740" s="7"/>
      <c r="H740" s="5"/>
      <c r="I740" s="3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2.75" customHeight="1" x14ac:dyDescent="0.3">
      <c r="A741" s="3"/>
      <c r="B741" s="3"/>
      <c r="C741" s="3"/>
      <c r="D741" s="5"/>
      <c r="E741" s="5"/>
      <c r="F741" s="5"/>
      <c r="G741" s="7"/>
      <c r="H741" s="5"/>
      <c r="I741" s="3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2.75" customHeight="1" x14ac:dyDescent="0.3">
      <c r="A742" s="3"/>
      <c r="B742" s="3"/>
      <c r="C742" s="3"/>
      <c r="D742" s="5"/>
      <c r="E742" s="5"/>
      <c r="F742" s="5"/>
      <c r="G742" s="7"/>
      <c r="H742" s="5"/>
      <c r="I742" s="3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2.75" customHeight="1" x14ac:dyDescent="0.3">
      <c r="A743" s="3"/>
      <c r="B743" s="3"/>
      <c r="C743" s="3"/>
      <c r="D743" s="5"/>
      <c r="E743" s="5"/>
      <c r="F743" s="5"/>
      <c r="G743" s="7"/>
      <c r="H743" s="5"/>
      <c r="I743" s="3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2.75" customHeight="1" x14ac:dyDescent="0.3">
      <c r="A744" s="3"/>
      <c r="B744" s="3"/>
      <c r="C744" s="3"/>
      <c r="D744" s="5"/>
      <c r="E744" s="5"/>
      <c r="F744" s="5"/>
      <c r="G744" s="7"/>
      <c r="H744" s="5"/>
      <c r="I744" s="3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2.75" customHeight="1" x14ac:dyDescent="0.3">
      <c r="A745" s="3"/>
      <c r="B745" s="3"/>
      <c r="C745" s="3"/>
      <c r="D745" s="5"/>
      <c r="E745" s="5"/>
      <c r="F745" s="5"/>
      <c r="G745" s="7"/>
      <c r="H745" s="5"/>
      <c r="I745" s="3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2.75" customHeight="1" x14ac:dyDescent="0.3">
      <c r="A746" s="3"/>
      <c r="B746" s="3"/>
      <c r="C746" s="3"/>
      <c r="D746" s="5"/>
      <c r="E746" s="5"/>
      <c r="F746" s="5"/>
      <c r="G746" s="7"/>
      <c r="H746" s="5"/>
      <c r="I746" s="3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2.75" customHeight="1" x14ac:dyDescent="0.3">
      <c r="A747" s="3"/>
      <c r="B747" s="3"/>
      <c r="C747" s="3"/>
      <c r="D747" s="5"/>
      <c r="E747" s="5"/>
      <c r="F747" s="5"/>
      <c r="G747" s="7"/>
      <c r="H747" s="5"/>
      <c r="I747" s="3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2.75" customHeight="1" x14ac:dyDescent="0.3">
      <c r="A748" s="3"/>
      <c r="B748" s="3"/>
      <c r="C748" s="3"/>
      <c r="D748" s="5"/>
      <c r="E748" s="5"/>
      <c r="F748" s="5"/>
      <c r="G748" s="7"/>
      <c r="H748" s="5"/>
      <c r="I748" s="3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2.75" customHeight="1" x14ac:dyDescent="0.3">
      <c r="A749" s="3"/>
      <c r="B749" s="3"/>
      <c r="C749" s="3"/>
      <c r="D749" s="5"/>
      <c r="E749" s="5"/>
      <c r="F749" s="5"/>
      <c r="G749" s="7"/>
      <c r="H749" s="5"/>
      <c r="I749" s="3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2.75" customHeight="1" x14ac:dyDescent="0.3">
      <c r="A750" s="3"/>
      <c r="B750" s="3"/>
      <c r="C750" s="3"/>
      <c r="D750" s="5"/>
      <c r="E750" s="5"/>
      <c r="F750" s="5"/>
      <c r="G750" s="7"/>
      <c r="H750" s="5"/>
      <c r="I750" s="3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2.75" customHeight="1" x14ac:dyDescent="0.3">
      <c r="A751" s="3"/>
      <c r="B751" s="3"/>
      <c r="C751" s="3"/>
      <c r="D751" s="5"/>
      <c r="E751" s="5"/>
      <c r="F751" s="5"/>
      <c r="G751" s="7"/>
      <c r="H751" s="5"/>
      <c r="I751" s="3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2.75" customHeight="1" x14ac:dyDescent="0.3">
      <c r="A752" s="3"/>
      <c r="B752" s="3"/>
      <c r="C752" s="3"/>
      <c r="D752" s="5"/>
      <c r="E752" s="5"/>
      <c r="F752" s="5"/>
      <c r="G752" s="7"/>
      <c r="H752" s="5"/>
      <c r="I752" s="3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2.75" customHeight="1" x14ac:dyDescent="0.3">
      <c r="A753" s="3"/>
      <c r="B753" s="3"/>
      <c r="C753" s="3"/>
      <c r="D753" s="5"/>
      <c r="E753" s="5"/>
      <c r="F753" s="5"/>
      <c r="G753" s="7"/>
      <c r="H753" s="5"/>
      <c r="I753" s="3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2.75" customHeight="1" x14ac:dyDescent="0.3">
      <c r="A754" s="3"/>
      <c r="B754" s="3"/>
      <c r="C754" s="3"/>
      <c r="D754" s="5"/>
      <c r="E754" s="5"/>
      <c r="F754" s="5"/>
      <c r="G754" s="7"/>
      <c r="H754" s="5"/>
      <c r="I754" s="3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2.75" customHeight="1" x14ac:dyDescent="0.3">
      <c r="A755" s="3"/>
      <c r="B755" s="3"/>
      <c r="C755" s="3"/>
      <c r="D755" s="5"/>
      <c r="E755" s="5"/>
      <c r="F755" s="5"/>
      <c r="G755" s="7"/>
      <c r="H755" s="5"/>
      <c r="I755" s="3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2.75" customHeight="1" x14ac:dyDescent="0.3">
      <c r="A756" s="3"/>
      <c r="B756" s="3"/>
      <c r="C756" s="3"/>
      <c r="D756" s="5"/>
      <c r="E756" s="5"/>
      <c r="F756" s="5"/>
      <c r="G756" s="7"/>
      <c r="H756" s="5"/>
      <c r="I756" s="3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2.75" customHeight="1" x14ac:dyDescent="0.3">
      <c r="A757" s="3"/>
      <c r="B757" s="3"/>
      <c r="C757" s="3"/>
      <c r="D757" s="5"/>
      <c r="E757" s="5"/>
      <c r="F757" s="5"/>
      <c r="G757" s="7"/>
      <c r="H757" s="5"/>
      <c r="I757" s="3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2.75" customHeight="1" x14ac:dyDescent="0.3">
      <c r="A758" s="3"/>
      <c r="B758" s="3"/>
      <c r="C758" s="3"/>
      <c r="D758" s="5"/>
      <c r="E758" s="5"/>
      <c r="F758" s="5"/>
      <c r="G758" s="7"/>
      <c r="H758" s="5"/>
      <c r="I758" s="3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2.75" customHeight="1" x14ac:dyDescent="0.3">
      <c r="A759" s="3"/>
      <c r="B759" s="3"/>
      <c r="C759" s="3"/>
      <c r="D759" s="5"/>
      <c r="E759" s="5"/>
      <c r="F759" s="5"/>
      <c r="G759" s="7"/>
      <c r="H759" s="5"/>
      <c r="I759" s="3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2.75" customHeight="1" x14ac:dyDescent="0.3">
      <c r="A760" s="3"/>
      <c r="B760" s="3"/>
      <c r="C760" s="3"/>
      <c r="D760" s="5"/>
      <c r="E760" s="5"/>
      <c r="F760" s="5"/>
      <c r="G760" s="7"/>
      <c r="H760" s="5"/>
      <c r="I760" s="3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2.75" customHeight="1" x14ac:dyDescent="0.3">
      <c r="A761" s="3"/>
      <c r="B761" s="3"/>
      <c r="C761" s="3"/>
      <c r="D761" s="5"/>
      <c r="E761" s="5"/>
      <c r="F761" s="5"/>
      <c r="G761" s="7"/>
      <c r="H761" s="5"/>
      <c r="I761" s="3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2.75" customHeight="1" x14ac:dyDescent="0.3">
      <c r="A762" s="3"/>
      <c r="B762" s="3"/>
      <c r="C762" s="3"/>
      <c r="D762" s="5"/>
      <c r="E762" s="5"/>
      <c r="F762" s="5"/>
      <c r="G762" s="7"/>
      <c r="H762" s="5"/>
      <c r="I762" s="3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2.75" customHeight="1" x14ac:dyDescent="0.3">
      <c r="A763" s="3"/>
      <c r="B763" s="3"/>
      <c r="C763" s="3"/>
      <c r="D763" s="5"/>
      <c r="E763" s="5"/>
      <c r="F763" s="5"/>
      <c r="G763" s="7"/>
      <c r="H763" s="5"/>
      <c r="I763" s="3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2.75" customHeight="1" x14ac:dyDescent="0.3">
      <c r="A764" s="3"/>
      <c r="B764" s="3"/>
      <c r="C764" s="3"/>
      <c r="D764" s="5"/>
      <c r="E764" s="5"/>
      <c r="F764" s="5"/>
      <c r="G764" s="7"/>
      <c r="H764" s="5"/>
      <c r="I764" s="3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2.75" customHeight="1" x14ac:dyDescent="0.3">
      <c r="A765" s="3"/>
      <c r="B765" s="3"/>
      <c r="C765" s="3"/>
      <c r="D765" s="5"/>
      <c r="E765" s="5"/>
      <c r="F765" s="5"/>
      <c r="G765" s="7"/>
      <c r="H765" s="5"/>
      <c r="I765" s="3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2.75" customHeight="1" x14ac:dyDescent="0.3">
      <c r="A766" s="3"/>
      <c r="B766" s="3"/>
      <c r="C766" s="3"/>
      <c r="D766" s="5"/>
      <c r="E766" s="5"/>
      <c r="F766" s="5"/>
      <c r="G766" s="7"/>
      <c r="H766" s="5"/>
      <c r="I766" s="3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2.75" customHeight="1" x14ac:dyDescent="0.3">
      <c r="A767" s="3"/>
      <c r="B767" s="3"/>
      <c r="C767" s="3"/>
      <c r="D767" s="5"/>
      <c r="E767" s="5"/>
      <c r="F767" s="5"/>
      <c r="G767" s="7"/>
      <c r="H767" s="5"/>
      <c r="I767" s="3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2.75" customHeight="1" x14ac:dyDescent="0.3">
      <c r="A768" s="3"/>
      <c r="B768" s="3"/>
      <c r="C768" s="3"/>
      <c r="D768" s="5"/>
      <c r="E768" s="5"/>
      <c r="F768" s="5"/>
      <c r="G768" s="7"/>
      <c r="H768" s="5"/>
      <c r="I768" s="3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2.75" customHeight="1" x14ac:dyDescent="0.3">
      <c r="A769" s="3"/>
      <c r="B769" s="3"/>
      <c r="C769" s="3"/>
      <c r="D769" s="5"/>
      <c r="E769" s="5"/>
      <c r="F769" s="5"/>
      <c r="G769" s="7"/>
      <c r="H769" s="5"/>
      <c r="I769" s="3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2.75" customHeight="1" x14ac:dyDescent="0.3">
      <c r="A770" s="3"/>
      <c r="B770" s="3"/>
      <c r="C770" s="3"/>
      <c r="D770" s="5"/>
      <c r="E770" s="5"/>
      <c r="F770" s="5"/>
      <c r="G770" s="7"/>
      <c r="H770" s="5"/>
      <c r="I770" s="3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2.75" customHeight="1" x14ac:dyDescent="0.3">
      <c r="A771" s="3"/>
      <c r="B771" s="3"/>
      <c r="C771" s="3"/>
      <c r="D771" s="5"/>
      <c r="E771" s="5"/>
      <c r="F771" s="5"/>
      <c r="G771" s="7"/>
      <c r="H771" s="5"/>
      <c r="I771" s="3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2.75" customHeight="1" x14ac:dyDescent="0.3">
      <c r="A772" s="3"/>
      <c r="B772" s="3"/>
      <c r="C772" s="3"/>
      <c r="D772" s="5"/>
      <c r="E772" s="5"/>
      <c r="F772" s="5"/>
      <c r="G772" s="7"/>
      <c r="H772" s="5"/>
      <c r="I772" s="3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2.75" customHeight="1" x14ac:dyDescent="0.3">
      <c r="A773" s="3"/>
      <c r="B773" s="3"/>
      <c r="C773" s="3"/>
      <c r="D773" s="5"/>
      <c r="E773" s="5"/>
      <c r="F773" s="5"/>
      <c r="G773" s="7"/>
      <c r="H773" s="5"/>
      <c r="I773" s="3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2.75" customHeight="1" x14ac:dyDescent="0.3">
      <c r="A774" s="3"/>
      <c r="B774" s="3"/>
      <c r="C774" s="3"/>
      <c r="D774" s="5"/>
      <c r="E774" s="5"/>
      <c r="F774" s="5"/>
      <c r="G774" s="7"/>
      <c r="H774" s="5"/>
      <c r="I774" s="3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2.75" customHeight="1" x14ac:dyDescent="0.3">
      <c r="A775" s="3"/>
      <c r="B775" s="3"/>
      <c r="C775" s="3"/>
      <c r="D775" s="5"/>
      <c r="E775" s="5"/>
      <c r="F775" s="5"/>
      <c r="G775" s="7"/>
      <c r="H775" s="5"/>
      <c r="I775" s="3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2.75" customHeight="1" x14ac:dyDescent="0.3">
      <c r="A776" s="3"/>
      <c r="B776" s="3"/>
      <c r="C776" s="3"/>
      <c r="D776" s="5"/>
      <c r="E776" s="5"/>
      <c r="F776" s="5"/>
      <c r="G776" s="7"/>
      <c r="H776" s="5"/>
      <c r="I776" s="3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2.75" customHeight="1" x14ac:dyDescent="0.3">
      <c r="A777" s="3"/>
      <c r="B777" s="3"/>
      <c r="C777" s="3"/>
      <c r="D777" s="5"/>
      <c r="E777" s="5"/>
      <c r="F777" s="5"/>
      <c r="G777" s="7"/>
      <c r="H777" s="5"/>
      <c r="I777" s="3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2.75" customHeight="1" x14ac:dyDescent="0.3">
      <c r="A778" s="3"/>
      <c r="B778" s="3"/>
      <c r="C778" s="3"/>
      <c r="D778" s="5"/>
      <c r="E778" s="5"/>
      <c r="F778" s="5"/>
      <c r="G778" s="7"/>
      <c r="H778" s="5"/>
      <c r="I778" s="3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2.75" customHeight="1" x14ac:dyDescent="0.3">
      <c r="A779" s="3"/>
      <c r="B779" s="3"/>
      <c r="C779" s="3"/>
      <c r="D779" s="5"/>
      <c r="E779" s="5"/>
      <c r="F779" s="5"/>
      <c r="G779" s="7"/>
      <c r="H779" s="5"/>
      <c r="I779" s="3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2.75" customHeight="1" x14ac:dyDescent="0.3">
      <c r="A780" s="3"/>
      <c r="B780" s="3"/>
      <c r="C780" s="3"/>
      <c r="D780" s="5"/>
      <c r="E780" s="5"/>
      <c r="F780" s="5"/>
      <c r="G780" s="7"/>
      <c r="H780" s="5"/>
      <c r="I780" s="3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2.75" customHeight="1" x14ac:dyDescent="0.3">
      <c r="A781" s="3"/>
      <c r="B781" s="3"/>
      <c r="C781" s="3"/>
      <c r="D781" s="5"/>
      <c r="E781" s="5"/>
      <c r="F781" s="5"/>
      <c r="G781" s="7"/>
      <c r="H781" s="5"/>
      <c r="I781" s="3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2.75" customHeight="1" x14ac:dyDescent="0.3">
      <c r="A782" s="3"/>
      <c r="B782" s="3"/>
      <c r="C782" s="3"/>
      <c r="D782" s="5"/>
      <c r="E782" s="5"/>
      <c r="F782" s="5"/>
      <c r="G782" s="7"/>
      <c r="H782" s="5"/>
      <c r="I782" s="3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2.75" customHeight="1" x14ac:dyDescent="0.3">
      <c r="A783" s="3"/>
      <c r="B783" s="3"/>
      <c r="C783" s="3"/>
      <c r="D783" s="5"/>
      <c r="E783" s="5"/>
      <c r="F783" s="5"/>
      <c r="G783" s="7"/>
      <c r="H783" s="5"/>
      <c r="I783" s="3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2.75" customHeight="1" x14ac:dyDescent="0.3">
      <c r="A784" s="3"/>
      <c r="B784" s="3"/>
      <c r="C784" s="3"/>
      <c r="D784" s="5"/>
      <c r="E784" s="5"/>
      <c r="F784" s="5"/>
      <c r="G784" s="7"/>
      <c r="H784" s="5"/>
      <c r="I784" s="3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2.75" customHeight="1" x14ac:dyDescent="0.3">
      <c r="A785" s="3"/>
      <c r="B785" s="3"/>
      <c r="C785" s="3"/>
      <c r="D785" s="5"/>
      <c r="E785" s="5"/>
      <c r="F785" s="5"/>
      <c r="G785" s="7"/>
      <c r="H785" s="5"/>
      <c r="I785" s="3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2.75" customHeight="1" x14ac:dyDescent="0.3">
      <c r="A786" s="3"/>
      <c r="B786" s="3"/>
      <c r="C786" s="3"/>
      <c r="D786" s="5"/>
      <c r="E786" s="5"/>
      <c r="F786" s="5"/>
      <c r="G786" s="7"/>
      <c r="H786" s="5"/>
      <c r="I786" s="3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2.75" customHeight="1" x14ac:dyDescent="0.3">
      <c r="A787" s="3"/>
      <c r="B787" s="3"/>
      <c r="C787" s="3"/>
      <c r="D787" s="5"/>
      <c r="E787" s="5"/>
      <c r="F787" s="5"/>
      <c r="G787" s="7"/>
      <c r="H787" s="5"/>
      <c r="I787" s="3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2.75" customHeight="1" x14ac:dyDescent="0.3">
      <c r="A788" s="3"/>
      <c r="B788" s="3"/>
      <c r="C788" s="3"/>
      <c r="D788" s="5"/>
      <c r="E788" s="5"/>
      <c r="F788" s="5"/>
      <c r="G788" s="7"/>
      <c r="H788" s="5"/>
      <c r="I788" s="3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2.75" customHeight="1" x14ac:dyDescent="0.3">
      <c r="A789" s="3"/>
      <c r="B789" s="3"/>
      <c r="C789" s="3"/>
      <c r="D789" s="5"/>
      <c r="E789" s="5"/>
      <c r="F789" s="5"/>
      <c r="G789" s="7"/>
      <c r="H789" s="5"/>
      <c r="I789" s="3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2.75" customHeight="1" x14ac:dyDescent="0.3">
      <c r="A790" s="3"/>
      <c r="B790" s="3"/>
      <c r="C790" s="3"/>
      <c r="D790" s="5"/>
      <c r="E790" s="5"/>
      <c r="F790" s="5"/>
      <c r="G790" s="7"/>
      <c r="H790" s="5"/>
      <c r="I790" s="3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2.75" customHeight="1" x14ac:dyDescent="0.3">
      <c r="A791" s="3"/>
      <c r="B791" s="3"/>
      <c r="C791" s="3"/>
      <c r="D791" s="5"/>
      <c r="E791" s="5"/>
      <c r="F791" s="5"/>
      <c r="G791" s="7"/>
      <c r="H791" s="5"/>
      <c r="I791" s="3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2.75" customHeight="1" x14ac:dyDescent="0.3">
      <c r="A792" s="3"/>
      <c r="B792" s="3"/>
      <c r="C792" s="3"/>
      <c r="D792" s="5"/>
      <c r="E792" s="5"/>
      <c r="F792" s="5"/>
      <c r="G792" s="7"/>
      <c r="H792" s="5"/>
      <c r="I792" s="3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2.75" customHeight="1" x14ac:dyDescent="0.3">
      <c r="A793" s="3"/>
      <c r="B793" s="3"/>
      <c r="C793" s="3"/>
      <c r="D793" s="5"/>
      <c r="E793" s="5"/>
      <c r="F793" s="5"/>
      <c r="G793" s="7"/>
      <c r="H793" s="5"/>
      <c r="I793" s="3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2.75" customHeight="1" x14ac:dyDescent="0.3">
      <c r="A794" s="3"/>
      <c r="B794" s="3"/>
      <c r="C794" s="3"/>
      <c r="D794" s="5"/>
      <c r="E794" s="5"/>
      <c r="F794" s="5"/>
      <c r="G794" s="7"/>
      <c r="H794" s="5"/>
      <c r="I794" s="3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2.75" customHeight="1" x14ac:dyDescent="0.3">
      <c r="A795" s="3"/>
      <c r="B795" s="3"/>
      <c r="C795" s="3"/>
      <c r="D795" s="5"/>
      <c r="E795" s="5"/>
      <c r="F795" s="5"/>
      <c r="G795" s="7"/>
      <c r="H795" s="5"/>
      <c r="I795" s="3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2.75" customHeight="1" x14ac:dyDescent="0.3">
      <c r="A796" s="3"/>
      <c r="B796" s="3"/>
      <c r="C796" s="3"/>
      <c r="D796" s="5"/>
      <c r="E796" s="5"/>
      <c r="F796" s="5"/>
      <c r="G796" s="7"/>
      <c r="H796" s="5"/>
      <c r="I796" s="3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2.75" customHeight="1" x14ac:dyDescent="0.3">
      <c r="A797" s="3"/>
      <c r="B797" s="3"/>
      <c r="C797" s="3"/>
      <c r="D797" s="5"/>
      <c r="E797" s="5"/>
      <c r="F797" s="5"/>
      <c r="G797" s="7"/>
      <c r="H797" s="5"/>
      <c r="I797" s="3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2.75" customHeight="1" x14ac:dyDescent="0.3">
      <c r="A798" s="3"/>
      <c r="B798" s="3"/>
      <c r="C798" s="3"/>
      <c r="D798" s="5"/>
      <c r="E798" s="5"/>
      <c r="F798" s="5"/>
      <c r="G798" s="7"/>
      <c r="H798" s="5"/>
      <c r="I798" s="3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2.75" customHeight="1" x14ac:dyDescent="0.3">
      <c r="A799" s="3"/>
      <c r="B799" s="3"/>
      <c r="C799" s="3"/>
      <c r="D799" s="5"/>
      <c r="E799" s="5"/>
      <c r="F799" s="5"/>
      <c r="G799" s="7"/>
      <c r="H799" s="5"/>
      <c r="I799" s="3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2.75" customHeight="1" x14ac:dyDescent="0.3">
      <c r="A800" s="3"/>
      <c r="B800" s="3"/>
      <c r="C800" s="3"/>
      <c r="D800" s="5"/>
      <c r="E800" s="5"/>
      <c r="F800" s="5"/>
      <c r="G800" s="7"/>
      <c r="H800" s="5"/>
      <c r="I800" s="3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2.75" customHeight="1" x14ac:dyDescent="0.3">
      <c r="A801" s="3"/>
      <c r="B801" s="3"/>
      <c r="C801" s="3"/>
      <c r="D801" s="5"/>
      <c r="E801" s="5"/>
      <c r="F801" s="5"/>
      <c r="G801" s="7"/>
      <c r="H801" s="5"/>
      <c r="I801" s="3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2.75" customHeight="1" x14ac:dyDescent="0.3">
      <c r="A802" s="3"/>
      <c r="B802" s="3"/>
      <c r="C802" s="3"/>
      <c r="D802" s="5"/>
      <c r="E802" s="5"/>
      <c r="F802" s="5"/>
      <c r="G802" s="7"/>
      <c r="H802" s="5"/>
      <c r="I802" s="3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2.75" customHeight="1" x14ac:dyDescent="0.3">
      <c r="A803" s="3"/>
      <c r="B803" s="3"/>
      <c r="C803" s="3"/>
      <c r="D803" s="5"/>
      <c r="E803" s="5"/>
      <c r="F803" s="5"/>
      <c r="G803" s="7"/>
      <c r="H803" s="5"/>
      <c r="I803" s="3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2.75" customHeight="1" x14ac:dyDescent="0.3">
      <c r="A804" s="3"/>
      <c r="B804" s="3"/>
      <c r="C804" s="3"/>
      <c r="D804" s="5"/>
      <c r="E804" s="5"/>
      <c r="F804" s="5"/>
      <c r="G804" s="7"/>
      <c r="H804" s="5"/>
      <c r="I804" s="3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2.75" customHeight="1" x14ac:dyDescent="0.3">
      <c r="A805" s="3"/>
      <c r="B805" s="3"/>
      <c r="C805" s="3"/>
      <c r="D805" s="5"/>
      <c r="E805" s="5"/>
      <c r="F805" s="5"/>
      <c r="G805" s="7"/>
      <c r="H805" s="5"/>
      <c r="I805" s="3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2.75" customHeight="1" x14ac:dyDescent="0.3">
      <c r="A806" s="3"/>
      <c r="B806" s="3"/>
      <c r="C806" s="3"/>
      <c r="D806" s="5"/>
      <c r="E806" s="5"/>
      <c r="F806" s="5"/>
      <c r="G806" s="7"/>
      <c r="H806" s="5"/>
      <c r="I806" s="3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2.75" customHeight="1" x14ac:dyDescent="0.3">
      <c r="A807" s="3"/>
      <c r="B807" s="3"/>
      <c r="C807" s="3"/>
      <c r="D807" s="5"/>
      <c r="E807" s="5"/>
      <c r="F807" s="5"/>
      <c r="G807" s="7"/>
      <c r="H807" s="5"/>
      <c r="I807" s="3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2.75" customHeight="1" x14ac:dyDescent="0.3">
      <c r="A808" s="3"/>
      <c r="B808" s="3"/>
      <c r="C808" s="3"/>
      <c r="D808" s="5"/>
      <c r="E808" s="5"/>
      <c r="F808" s="5"/>
      <c r="G808" s="7"/>
      <c r="H808" s="5"/>
      <c r="I808" s="3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2.75" customHeight="1" x14ac:dyDescent="0.3">
      <c r="A809" s="3"/>
      <c r="B809" s="3"/>
      <c r="C809" s="3"/>
      <c r="D809" s="5"/>
      <c r="E809" s="5"/>
      <c r="F809" s="5"/>
      <c r="G809" s="7"/>
      <c r="H809" s="5"/>
      <c r="I809" s="3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2.75" customHeight="1" x14ac:dyDescent="0.3">
      <c r="A810" s="3"/>
      <c r="B810" s="3"/>
      <c r="C810" s="3"/>
      <c r="D810" s="5"/>
      <c r="E810" s="5"/>
      <c r="F810" s="5"/>
      <c r="G810" s="7"/>
      <c r="H810" s="5"/>
      <c r="I810" s="3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2.75" customHeight="1" x14ac:dyDescent="0.3">
      <c r="A811" s="3"/>
      <c r="B811" s="3"/>
      <c r="C811" s="3"/>
      <c r="D811" s="5"/>
      <c r="E811" s="5"/>
      <c r="F811" s="5"/>
      <c r="G811" s="7"/>
      <c r="H811" s="5"/>
      <c r="I811" s="3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2.75" customHeight="1" x14ac:dyDescent="0.3">
      <c r="A812" s="3"/>
      <c r="B812" s="3"/>
      <c r="C812" s="3"/>
      <c r="D812" s="5"/>
      <c r="E812" s="5"/>
      <c r="F812" s="5"/>
      <c r="G812" s="7"/>
      <c r="H812" s="5"/>
      <c r="I812" s="3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2.75" customHeight="1" x14ac:dyDescent="0.3">
      <c r="A813" s="3"/>
      <c r="B813" s="3"/>
      <c r="C813" s="3"/>
      <c r="D813" s="5"/>
      <c r="E813" s="5"/>
      <c r="F813" s="5"/>
      <c r="G813" s="7"/>
      <c r="H813" s="5"/>
      <c r="I813" s="3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2.75" customHeight="1" x14ac:dyDescent="0.3">
      <c r="A814" s="3"/>
      <c r="B814" s="3"/>
      <c r="C814" s="3"/>
      <c r="D814" s="5"/>
      <c r="E814" s="5"/>
      <c r="F814" s="5"/>
      <c r="G814" s="7"/>
      <c r="H814" s="5"/>
      <c r="I814" s="3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2.75" customHeight="1" x14ac:dyDescent="0.3">
      <c r="A815" s="3"/>
      <c r="B815" s="3"/>
      <c r="C815" s="3"/>
      <c r="D815" s="5"/>
      <c r="E815" s="5"/>
      <c r="F815" s="5"/>
      <c r="G815" s="7"/>
      <c r="H815" s="5"/>
      <c r="I815" s="3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2.75" customHeight="1" x14ac:dyDescent="0.3">
      <c r="A816" s="3"/>
      <c r="B816" s="3"/>
      <c r="C816" s="3"/>
      <c r="D816" s="5"/>
      <c r="E816" s="5"/>
      <c r="F816" s="5"/>
      <c r="G816" s="7"/>
      <c r="H816" s="5"/>
      <c r="I816" s="3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2.75" customHeight="1" x14ac:dyDescent="0.3">
      <c r="A817" s="3"/>
      <c r="B817" s="3"/>
      <c r="C817" s="3"/>
      <c r="D817" s="5"/>
      <c r="E817" s="5"/>
      <c r="F817" s="5"/>
      <c r="G817" s="7"/>
      <c r="H817" s="5"/>
      <c r="I817" s="3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2.75" customHeight="1" x14ac:dyDescent="0.3">
      <c r="A818" s="3"/>
      <c r="B818" s="3"/>
      <c r="C818" s="3"/>
      <c r="D818" s="5"/>
      <c r="E818" s="5"/>
      <c r="F818" s="5"/>
      <c r="G818" s="7"/>
      <c r="H818" s="5"/>
      <c r="I818" s="3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2.75" customHeight="1" x14ac:dyDescent="0.3">
      <c r="A819" s="3"/>
      <c r="B819" s="3"/>
      <c r="C819" s="3"/>
      <c r="D819" s="5"/>
      <c r="E819" s="5"/>
      <c r="F819" s="5"/>
      <c r="G819" s="7"/>
      <c r="H819" s="5"/>
      <c r="I819" s="3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2.75" customHeight="1" x14ac:dyDescent="0.3">
      <c r="A820" s="3"/>
      <c r="B820" s="3"/>
      <c r="C820" s="3"/>
      <c r="D820" s="5"/>
      <c r="E820" s="5"/>
      <c r="F820" s="5"/>
      <c r="G820" s="7"/>
      <c r="H820" s="5"/>
      <c r="I820" s="3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2.75" customHeight="1" x14ac:dyDescent="0.3">
      <c r="A821" s="3"/>
      <c r="B821" s="3"/>
      <c r="C821" s="3"/>
      <c r="D821" s="5"/>
      <c r="E821" s="5"/>
      <c r="F821" s="5"/>
      <c r="G821" s="7"/>
      <c r="H821" s="5"/>
      <c r="I821" s="3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2.75" customHeight="1" x14ac:dyDescent="0.3">
      <c r="A822" s="3"/>
      <c r="B822" s="3"/>
      <c r="C822" s="3"/>
      <c r="D822" s="5"/>
      <c r="E822" s="5"/>
      <c r="F822" s="5"/>
      <c r="G822" s="7"/>
      <c r="H822" s="5"/>
      <c r="I822" s="3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2.75" customHeight="1" x14ac:dyDescent="0.3">
      <c r="A823" s="3"/>
      <c r="B823" s="3"/>
      <c r="C823" s="3"/>
      <c r="D823" s="5"/>
      <c r="E823" s="5"/>
      <c r="F823" s="5"/>
      <c r="G823" s="7"/>
      <c r="H823" s="5"/>
      <c r="I823" s="3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2.75" customHeight="1" x14ac:dyDescent="0.3">
      <c r="A824" s="3"/>
      <c r="B824" s="3"/>
      <c r="C824" s="3"/>
      <c r="D824" s="5"/>
      <c r="E824" s="5"/>
      <c r="F824" s="5"/>
      <c r="G824" s="7"/>
      <c r="H824" s="5"/>
      <c r="I824" s="3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2.75" customHeight="1" x14ac:dyDescent="0.3">
      <c r="A825" s="3"/>
      <c r="B825" s="3"/>
      <c r="C825" s="3"/>
      <c r="D825" s="5"/>
      <c r="E825" s="5"/>
      <c r="F825" s="5"/>
      <c r="G825" s="7"/>
      <c r="H825" s="5"/>
      <c r="I825" s="3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2.75" customHeight="1" x14ac:dyDescent="0.3">
      <c r="A826" s="3"/>
      <c r="B826" s="3"/>
      <c r="C826" s="3"/>
      <c r="D826" s="5"/>
      <c r="E826" s="5"/>
      <c r="F826" s="5"/>
      <c r="G826" s="7"/>
      <c r="H826" s="5"/>
      <c r="I826" s="3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2.75" customHeight="1" x14ac:dyDescent="0.3">
      <c r="A827" s="3"/>
      <c r="B827" s="3"/>
      <c r="C827" s="3"/>
      <c r="D827" s="5"/>
      <c r="E827" s="5"/>
      <c r="F827" s="5"/>
      <c r="G827" s="7"/>
      <c r="H827" s="5"/>
      <c r="I827" s="3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2.75" customHeight="1" x14ac:dyDescent="0.3">
      <c r="A828" s="3"/>
      <c r="B828" s="3"/>
      <c r="C828" s="3"/>
      <c r="D828" s="5"/>
      <c r="E828" s="5"/>
      <c r="F828" s="5"/>
      <c r="G828" s="7"/>
      <c r="H828" s="5"/>
      <c r="I828" s="3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2.75" customHeight="1" x14ac:dyDescent="0.3">
      <c r="A829" s="3"/>
      <c r="B829" s="3"/>
      <c r="C829" s="3"/>
      <c r="D829" s="5"/>
      <c r="E829" s="5"/>
      <c r="F829" s="5"/>
      <c r="G829" s="7"/>
      <c r="H829" s="5"/>
      <c r="I829" s="3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2.75" customHeight="1" x14ac:dyDescent="0.3">
      <c r="A830" s="3"/>
      <c r="B830" s="3"/>
      <c r="C830" s="3"/>
      <c r="D830" s="5"/>
      <c r="E830" s="5"/>
      <c r="F830" s="5"/>
      <c r="G830" s="7"/>
      <c r="H830" s="5"/>
      <c r="I830" s="3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2.75" customHeight="1" x14ac:dyDescent="0.3">
      <c r="A831" s="3"/>
      <c r="B831" s="3"/>
      <c r="C831" s="3"/>
      <c r="D831" s="5"/>
      <c r="E831" s="5"/>
      <c r="F831" s="5"/>
      <c r="G831" s="7"/>
      <c r="H831" s="5"/>
      <c r="I831" s="3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2.75" customHeight="1" x14ac:dyDescent="0.3">
      <c r="A832" s="3"/>
      <c r="B832" s="3"/>
      <c r="C832" s="3"/>
      <c r="D832" s="5"/>
      <c r="E832" s="5"/>
      <c r="F832" s="5"/>
      <c r="G832" s="7"/>
      <c r="H832" s="5"/>
      <c r="I832" s="3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2.75" customHeight="1" x14ac:dyDescent="0.3">
      <c r="A833" s="3"/>
      <c r="B833" s="3"/>
      <c r="C833" s="3"/>
      <c r="D833" s="5"/>
      <c r="E833" s="5"/>
      <c r="F833" s="5"/>
      <c r="G833" s="7"/>
      <c r="H833" s="5"/>
      <c r="I833" s="3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2.75" customHeight="1" x14ac:dyDescent="0.3">
      <c r="A834" s="3"/>
      <c r="B834" s="3"/>
      <c r="C834" s="3"/>
      <c r="D834" s="5"/>
      <c r="E834" s="5"/>
      <c r="F834" s="5"/>
      <c r="G834" s="7"/>
      <c r="H834" s="5"/>
      <c r="I834" s="3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2.75" customHeight="1" x14ac:dyDescent="0.3">
      <c r="A835" s="3"/>
      <c r="B835" s="3"/>
      <c r="C835" s="3"/>
      <c r="D835" s="5"/>
      <c r="E835" s="5"/>
      <c r="F835" s="5"/>
      <c r="G835" s="7"/>
      <c r="H835" s="5"/>
      <c r="I835" s="3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2.75" customHeight="1" x14ac:dyDescent="0.3">
      <c r="A836" s="3"/>
      <c r="B836" s="3"/>
      <c r="C836" s="3"/>
      <c r="D836" s="5"/>
      <c r="E836" s="5"/>
      <c r="F836" s="5"/>
      <c r="G836" s="7"/>
      <c r="H836" s="5"/>
      <c r="I836" s="3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2.75" customHeight="1" x14ac:dyDescent="0.3">
      <c r="A837" s="3"/>
      <c r="B837" s="3"/>
      <c r="C837" s="3"/>
      <c r="D837" s="5"/>
      <c r="E837" s="5"/>
      <c r="F837" s="5"/>
      <c r="G837" s="7"/>
      <c r="H837" s="5"/>
      <c r="I837" s="3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2.75" customHeight="1" x14ac:dyDescent="0.3">
      <c r="A838" s="3"/>
      <c r="B838" s="3"/>
      <c r="C838" s="3"/>
      <c r="D838" s="5"/>
      <c r="E838" s="5"/>
      <c r="F838" s="5"/>
      <c r="G838" s="7"/>
      <c r="H838" s="5"/>
      <c r="I838" s="3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2.75" customHeight="1" x14ac:dyDescent="0.3">
      <c r="A839" s="3"/>
      <c r="B839" s="3"/>
      <c r="C839" s="3"/>
      <c r="D839" s="5"/>
      <c r="E839" s="5"/>
      <c r="F839" s="5"/>
      <c r="G839" s="7"/>
      <c r="H839" s="5"/>
      <c r="I839" s="3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2.75" customHeight="1" x14ac:dyDescent="0.3">
      <c r="A840" s="3"/>
      <c r="B840" s="3"/>
      <c r="C840" s="3"/>
      <c r="D840" s="5"/>
      <c r="E840" s="5"/>
      <c r="F840" s="5"/>
      <c r="G840" s="7"/>
      <c r="H840" s="5"/>
      <c r="I840" s="3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2.75" customHeight="1" x14ac:dyDescent="0.3">
      <c r="A841" s="3"/>
      <c r="B841" s="3"/>
      <c r="C841" s="3"/>
      <c r="D841" s="5"/>
      <c r="E841" s="5"/>
      <c r="F841" s="5"/>
      <c r="G841" s="7"/>
      <c r="H841" s="5"/>
      <c r="I841" s="3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2.75" customHeight="1" x14ac:dyDescent="0.3">
      <c r="A842" s="3"/>
      <c r="B842" s="3"/>
      <c r="C842" s="3"/>
      <c r="D842" s="5"/>
      <c r="E842" s="5"/>
      <c r="F842" s="5"/>
      <c r="G842" s="7"/>
      <c r="H842" s="5"/>
      <c r="I842" s="3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2.75" customHeight="1" x14ac:dyDescent="0.3">
      <c r="A843" s="3"/>
      <c r="B843" s="3"/>
      <c r="C843" s="3"/>
      <c r="D843" s="5"/>
      <c r="E843" s="5"/>
      <c r="F843" s="5"/>
      <c r="G843" s="7"/>
      <c r="H843" s="5"/>
      <c r="I843" s="3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2.75" customHeight="1" x14ac:dyDescent="0.3">
      <c r="A844" s="3"/>
      <c r="B844" s="3"/>
      <c r="C844" s="3"/>
      <c r="D844" s="5"/>
      <c r="E844" s="5"/>
      <c r="F844" s="5"/>
      <c r="G844" s="7"/>
      <c r="H844" s="5"/>
      <c r="I844" s="3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2.75" customHeight="1" x14ac:dyDescent="0.3">
      <c r="A845" s="3"/>
      <c r="B845" s="3"/>
      <c r="C845" s="3"/>
      <c r="D845" s="5"/>
      <c r="E845" s="5"/>
      <c r="F845" s="5"/>
      <c r="G845" s="7"/>
      <c r="H845" s="5"/>
      <c r="I845" s="3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2.75" customHeight="1" x14ac:dyDescent="0.3">
      <c r="A846" s="3"/>
      <c r="B846" s="3"/>
      <c r="C846" s="3"/>
      <c r="D846" s="5"/>
      <c r="E846" s="5"/>
      <c r="F846" s="5"/>
      <c r="G846" s="7"/>
      <c r="H846" s="5"/>
      <c r="I846" s="3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2.75" customHeight="1" x14ac:dyDescent="0.3">
      <c r="A847" s="3"/>
      <c r="B847" s="3"/>
      <c r="C847" s="3"/>
      <c r="D847" s="5"/>
      <c r="E847" s="5"/>
      <c r="F847" s="5"/>
      <c r="G847" s="7"/>
      <c r="H847" s="5"/>
      <c r="I847" s="3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2.75" customHeight="1" x14ac:dyDescent="0.3">
      <c r="A848" s="3"/>
      <c r="B848" s="3"/>
      <c r="C848" s="3"/>
      <c r="D848" s="5"/>
      <c r="E848" s="5"/>
      <c r="F848" s="5"/>
      <c r="G848" s="7"/>
      <c r="H848" s="5"/>
      <c r="I848" s="3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2.75" customHeight="1" x14ac:dyDescent="0.3">
      <c r="A849" s="3"/>
      <c r="B849" s="3"/>
      <c r="C849" s="3"/>
      <c r="D849" s="5"/>
      <c r="E849" s="5"/>
      <c r="F849" s="5"/>
      <c r="G849" s="7"/>
      <c r="H849" s="5"/>
      <c r="I849" s="3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2.75" customHeight="1" x14ac:dyDescent="0.3">
      <c r="A850" s="3"/>
      <c r="B850" s="3"/>
      <c r="C850" s="3"/>
      <c r="D850" s="5"/>
      <c r="E850" s="5"/>
      <c r="F850" s="5"/>
      <c r="G850" s="7"/>
      <c r="H850" s="5"/>
      <c r="I850" s="3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2.75" customHeight="1" x14ac:dyDescent="0.3">
      <c r="A851" s="3"/>
      <c r="B851" s="3"/>
      <c r="C851" s="3"/>
      <c r="D851" s="5"/>
      <c r="E851" s="5"/>
      <c r="F851" s="5"/>
      <c r="G851" s="7"/>
      <c r="H851" s="5"/>
      <c r="I851" s="3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2.75" customHeight="1" x14ac:dyDescent="0.3">
      <c r="A852" s="3"/>
      <c r="B852" s="3"/>
      <c r="C852" s="3"/>
      <c r="D852" s="5"/>
      <c r="E852" s="5"/>
      <c r="F852" s="5"/>
      <c r="G852" s="7"/>
      <c r="H852" s="5"/>
      <c r="I852" s="3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2.75" customHeight="1" x14ac:dyDescent="0.3">
      <c r="A853" s="3"/>
      <c r="B853" s="3"/>
      <c r="C853" s="3"/>
      <c r="D853" s="5"/>
      <c r="E853" s="5"/>
      <c r="F853" s="5"/>
      <c r="G853" s="7"/>
      <c r="H853" s="5"/>
      <c r="I853" s="3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2.75" customHeight="1" x14ac:dyDescent="0.3">
      <c r="A854" s="3"/>
      <c r="B854" s="3"/>
      <c r="C854" s="3"/>
      <c r="D854" s="5"/>
      <c r="E854" s="5"/>
      <c r="F854" s="5"/>
      <c r="G854" s="7"/>
      <c r="H854" s="5"/>
      <c r="I854" s="3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2.75" customHeight="1" x14ac:dyDescent="0.3">
      <c r="A855" s="3"/>
      <c r="B855" s="3"/>
      <c r="C855" s="3"/>
      <c r="D855" s="5"/>
      <c r="E855" s="5"/>
      <c r="F855" s="5"/>
      <c r="G855" s="7"/>
      <c r="H855" s="5"/>
      <c r="I855" s="3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2.75" customHeight="1" x14ac:dyDescent="0.3">
      <c r="A856" s="3"/>
      <c r="B856" s="3"/>
      <c r="C856" s="3"/>
      <c r="D856" s="5"/>
      <c r="E856" s="5"/>
      <c r="F856" s="5"/>
      <c r="G856" s="7"/>
      <c r="H856" s="5"/>
      <c r="I856" s="3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2.75" customHeight="1" x14ac:dyDescent="0.3">
      <c r="A857" s="3"/>
      <c r="B857" s="3"/>
      <c r="C857" s="3"/>
      <c r="D857" s="5"/>
      <c r="E857" s="5"/>
      <c r="F857" s="5"/>
      <c r="G857" s="7"/>
      <c r="H857" s="5"/>
      <c r="I857" s="3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2.75" customHeight="1" x14ac:dyDescent="0.3">
      <c r="A858" s="3"/>
      <c r="B858" s="3"/>
      <c r="C858" s="3"/>
      <c r="D858" s="5"/>
      <c r="E858" s="5"/>
      <c r="F858" s="5"/>
      <c r="G858" s="7"/>
      <c r="H858" s="5"/>
      <c r="I858" s="3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2.75" customHeight="1" x14ac:dyDescent="0.3">
      <c r="A859" s="3"/>
      <c r="B859" s="3"/>
      <c r="C859" s="3"/>
      <c r="D859" s="5"/>
      <c r="E859" s="5"/>
      <c r="F859" s="5"/>
      <c r="G859" s="7"/>
      <c r="H859" s="5"/>
      <c r="I859" s="3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2.75" customHeight="1" x14ac:dyDescent="0.3">
      <c r="A860" s="3"/>
      <c r="B860" s="3"/>
      <c r="C860" s="3"/>
      <c r="D860" s="5"/>
      <c r="E860" s="5"/>
      <c r="F860" s="5"/>
      <c r="G860" s="7"/>
      <c r="H860" s="5"/>
      <c r="I860" s="3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2.75" customHeight="1" x14ac:dyDescent="0.3">
      <c r="A861" s="3"/>
      <c r="B861" s="3"/>
      <c r="C861" s="3"/>
      <c r="D861" s="5"/>
      <c r="E861" s="5"/>
      <c r="F861" s="5"/>
      <c r="G861" s="7"/>
      <c r="H861" s="5"/>
      <c r="I861" s="3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2.75" customHeight="1" x14ac:dyDescent="0.3">
      <c r="A862" s="3"/>
      <c r="B862" s="3"/>
      <c r="C862" s="3"/>
      <c r="D862" s="5"/>
      <c r="E862" s="5"/>
      <c r="F862" s="5"/>
      <c r="G862" s="7"/>
      <c r="H862" s="5"/>
      <c r="I862" s="3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2.75" customHeight="1" x14ac:dyDescent="0.3">
      <c r="A863" s="3"/>
      <c r="B863" s="3"/>
      <c r="C863" s="3"/>
      <c r="D863" s="5"/>
      <c r="E863" s="5"/>
      <c r="F863" s="5"/>
      <c r="G863" s="7"/>
      <c r="H863" s="5"/>
      <c r="I863" s="3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2.75" customHeight="1" x14ac:dyDescent="0.3">
      <c r="A864" s="3"/>
      <c r="B864" s="3"/>
      <c r="C864" s="3"/>
      <c r="D864" s="5"/>
      <c r="E864" s="5"/>
      <c r="F864" s="5"/>
      <c r="G864" s="7"/>
      <c r="H864" s="5"/>
      <c r="I864" s="3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2.75" customHeight="1" x14ac:dyDescent="0.3">
      <c r="A865" s="3"/>
      <c r="B865" s="3"/>
      <c r="C865" s="3"/>
      <c r="D865" s="5"/>
      <c r="E865" s="5"/>
      <c r="F865" s="5"/>
      <c r="G865" s="7"/>
      <c r="H865" s="5"/>
      <c r="I865" s="3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2.75" customHeight="1" x14ac:dyDescent="0.3">
      <c r="A866" s="3"/>
      <c r="B866" s="3"/>
      <c r="C866" s="3"/>
      <c r="D866" s="5"/>
      <c r="E866" s="5"/>
      <c r="F866" s="5"/>
      <c r="G866" s="7"/>
      <c r="H866" s="5"/>
      <c r="I866" s="3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2.75" customHeight="1" x14ac:dyDescent="0.3">
      <c r="A867" s="3"/>
      <c r="B867" s="3"/>
      <c r="C867" s="3"/>
      <c r="D867" s="5"/>
      <c r="E867" s="5"/>
      <c r="F867" s="5"/>
      <c r="G867" s="7"/>
      <c r="H867" s="5"/>
      <c r="I867" s="3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2.75" customHeight="1" x14ac:dyDescent="0.3">
      <c r="A868" s="3"/>
      <c r="B868" s="3"/>
      <c r="C868" s="3"/>
      <c r="D868" s="5"/>
      <c r="E868" s="5"/>
      <c r="F868" s="5"/>
      <c r="G868" s="7"/>
      <c r="H868" s="5"/>
      <c r="I868" s="3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2.75" customHeight="1" x14ac:dyDescent="0.3">
      <c r="A869" s="3"/>
      <c r="B869" s="3"/>
      <c r="C869" s="3"/>
      <c r="D869" s="5"/>
      <c r="E869" s="5"/>
      <c r="F869" s="5"/>
      <c r="G869" s="7"/>
      <c r="H869" s="5"/>
      <c r="I869" s="3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2.75" customHeight="1" x14ac:dyDescent="0.3">
      <c r="A870" s="3"/>
      <c r="B870" s="3"/>
      <c r="C870" s="3"/>
      <c r="D870" s="5"/>
      <c r="E870" s="5"/>
      <c r="F870" s="5"/>
      <c r="G870" s="7"/>
      <c r="H870" s="5"/>
      <c r="I870" s="3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2.75" customHeight="1" x14ac:dyDescent="0.3">
      <c r="A871" s="3"/>
      <c r="B871" s="3"/>
      <c r="C871" s="3"/>
      <c r="D871" s="5"/>
      <c r="E871" s="5"/>
      <c r="F871" s="5"/>
      <c r="G871" s="7"/>
      <c r="H871" s="5"/>
      <c r="I871" s="3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2.75" customHeight="1" x14ac:dyDescent="0.3">
      <c r="A872" s="3"/>
      <c r="B872" s="3"/>
      <c r="C872" s="3"/>
      <c r="D872" s="5"/>
      <c r="E872" s="5"/>
      <c r="F872" s="5"/>
      <c r="G872" s="7"/>
      <c r="H872" s="5"/>
      <c r="I872" s="3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2.75" customHeight="1" x14ac:dyDescent="0.3">
      <c r="A873" s="3"/>
      <c r="B873" s="3"/>
      <c r="C873" s="3"/>
      <c r="D873" s="5"/>
      <c r="E873" s="5"/>
      <c r="F873" s="5"/>
      <c r="G873" s="7"/>
      <c r="H873" s="5"/>
      <c r="I873" s="3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2.75" customHeight="1" x14ac:dyDescent="0.3">
      <c r="A874" s="3"/>
      <c r="B874" s="3"/>
      <c r="C874" s="3"/>
      <c r="D874" s="5"/>
      <c r="E874" s="5"/>
      <c r="F874" s="5"/>
      <c r="G874" s="7"/>
      <c r="H874" s="5"/>
      <c r="I874" s="3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2.75" customHeight="1" x14ac:dyDescent="0.3">
      <c r="A875" s="3"/>
      <c r="B875" s="3"/>
      <c r="C875" s="3"/>
      <c r="D875" s="5"/>
      <c r="E875" s="5"/>
      <c r="F875" s="5"/>
      <c r="G875" s="7"/>
      <c r="H875" s="5"/>
      <c r="I875" s="3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2.75" customHeight="1" x14ac:dyDescent="0.3">
      <c r="A876" s="3"/>
      <c r="B876" s="3"/>
      <c r="C876" s="3"/>
      <c r="D876" s="5"/>
      <c r="E876" s="5"/>
      <c r="F876" s="5"/>
      <c r="G876" s="7"/>
      <c r="H876" s="5"/>
      <c r="I876" s="3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2.75" customHeight="1" x14ac:dyDescent="0.3">
      <c r="A877" s="3"/>
      <c r="B877" s="3"/>
      <c r="C877" s="3"/>
      <c r="D877" s="5"/>
      <c r="E877" s="5"/>
      <c r="F877" s="5"/>
      <c r="G877" s="7"/>
      <c r="H877" s="5"/>
      <c r="I877" s="3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2.75" customHeight="1" x14ac:dyDescent="0.3">
      <c r="A878" s="3"/>
      <c r="B878" s="3"/>
      <c r="C878" s="3"/>
      <c r="D878" s="5"/>
      <c r="E878" s="5"/>
      <c r="F878" s="5"/>
      <c r="G878" s="7"/>
      <c r="H878" s="5"/>
      <c r="I878" s="3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2.75" customHeight="1" x14ac:dyDescent="0.3">
      <c r="A879" s="3"/>
      <c r="B879" s="3"/>
      <c r="C879" s="3"/>
      <c r="D879" s="5"/>
      <c r="E879" s="5"/>
      <c r="F879" s="5"/>
      <c r="G879" s="7"/>
      <c r="H879" s="5"/>
      <c r="I879" s="3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2.75" customHeight="1" x14ac:dyDescent="0.3">
      <c r="A880" s="3"/>
      <c r="B880" s="3"/>
      <c r="C880" s="3"/>
      <c r="D880" s="5"/>
      <c r="E880" s="5"/>
      <c r="F880" s="5"/>
      <c r="G880" s="7"/>
      <c r="H880" s="5"/>
      <c r="I880" s="3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2.75" customHeight="1" x14ac:dyDescent="0.3">
      <c r="A881" s="3"/>
      <c r="B881" s="3"/>
      <c r="C881" s="3"/>
      <c r="D881" s="5"/>
      <c r="E881" s="5"/>
      <c r="F881" s="5"/>
      <c r="G881" s="7"/>
      <c r="H881" s="5"/>
      <c r="I881" s="3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2.75" customHeight="1" x14ac:dyDescent="0.3">
      <c r="A882" s="3"/>
      <c r="B882" s="3"/>
      <c r="C882" s="3"/>
      <c r="D882" s="5"/>
      <c r="E882" s="5"/>
      <c r="F882" s="5"/>
      <c r="G882" s="7"/>
      <c r="H882" s="5"/>
      <c r="I882" s="3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2.75" customHeight="1" x14ac:dyDescent="0.3">
      <c r="A883" s="3"/>
      <c r="B883" s="3"/>
      <c r="C883" s="3"/>
      <c r="D883" s="5"/>
      <c r="E883" s="5"/>
      <c r="F883" s="5"/>
      <c r="G883" s="7"/>
      <c r="H883" s="5"/>
      <c r="I883" s="3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2.75" customHeight="1" x14ac:dyDescent="0.3">
      <c r="A884" s="3"/>
      <c r="B884" s="3"/>
      <c r="C884" s="3"/>
      <c r="D884" s="5"/>
      <c r="E884" s="5"/>
      <c r="F884" s="5"/>
      <c r="G884" s="7"/>
      <c r="H884" s="5"/>
      <c r="I884" s="3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2.75" customHeight="1" x14ac:dyDescent="0.3">
      <c r="A885" s="3"/>
      <c r="B885" s="3"/>
      <c r="C885" s="3"/>
      <c r="D885" s="5"/>
      <c r="E885" s="5"/>
      <c r="F885" s="5"/>
      <c r="G885" s="7"/>
      <c r="H885" s="5"/>
      <c r="I885" s="3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2.75" customHeight="1" x14ac:dyDescent="0.3">
      <c r="A886" s="3"/>
      <c r="B886" s="3"/>
      <c r="C886" s="3"/>
      <c r="D886" s="5"/>
      <c r="E886" s="5"/>
      <c r="F886" s="5"/>
      <c r="G886" s="7"/>
      <c r="H886" s="5"/>
      <c r="I886" s="3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2.75" customHeight="1" x14ac:dyDescent="0.3">
      <c r="A887" s="3"/>
      <c r="B887" s="3"/>
      <c r="C887" s="3"/>
      <c r="D887" s="5"/>
      <c r="E887" s="5"/>
      <c r="F887" s="5"/>
      <c r="G887" s="7"/>
      <c r="H887" s="5"/>
      <c r="I887" s="3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2.75" customHeight="1" x14ac:dyDescent="0.3">
      <c r="A888" s="3"/>
      <c r="B888" s="3"/>
      <c r="C888" s="3"/>
      <c r="D888" s="5"/>
      <c r="E888" s="5"/>
      <c r="F888" s="5"/>
      <c r="G888" s="7"/>
      <c r="H888" s="5"/>
      <c r="I888" s="3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2.75" customHeight="1" x14ac:dyDescent="0.3">
      <c r="A889" s="3"/>
      <c r="B889" s="3"/>
      <c r="C889" s="3"/>
      <c r="D889" s="5"/>
      <c r="E889" s="5"/>
      <c r="F889" s="5"/>
      <c r="G889" s="7"/>
      <c r="H889" s="5"/>
      <c r="I889" s="3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2.75" customHeight="1" x14ac:dyDescent="0.3">
      <c r="A890" s="3"/>
      <c r="B890" s="3"/>
      <c r="C890" s="3"/>
      <c r="D890" s="5"/>
      <c r="E890" s="5"/>
      <c r="F890" s="5"/>
      <c r="G890" s="7"/>
      <c r="H890" s="5"/>
      <c r="I890" s="3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2.75" customHeight="1" x14ac:dyDescent="0.3">
      <c r="A891" s="3"/>
      <c r="B891" s="3"/>
      <c r="C891" s="3"/>
      <c r="D891" s="5"/>
      <c r="E891" s="5"/>
      <c r="F891" s="5"/>
      <c r="G891" s="7"/>
      <c r="H891" s="5"/>
      <c r="I891" s="3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2.75" customHeight="1" x14ac:dyDescent="0.3">
      <c r="A892" s="3"/>
      <c r="B892" s="3"/>
      <c r="C892" s="3"/>
      <c r="D892" s="5"/>
      <c r="E892" s="5"/>
      <c r="F892" s="5"/>
      <c r="G892" s="7"/>
      <c r="H892" s="5"/>
      <c r="I892" s="3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2.75" customHeight="1" x14ac:dyDescent="0.3">
      <c r="A893" s="3"/>
      <c r="B893" s="3"/>
      <c r="C893" s="3"/>
      <c r="D893" s="5"/>
      <c r="E893" s="5"/>
      <c r="F893" s="5"/>
      <c r="G893" s="7"/>
      <c r="H893" s="5"/>
      <c r="I893" s="3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2.75" customHeight="1" x14ac:dyDescent="0.3">
      <c r="A894" s="3"/>
      <c r="B894" s="3"/>
      <c r="C894" s="3"/>
      <c r="D894" s="5"/>
      <c r="E894" s="5"/>
      <c r="F894" s="5"/>
      <c r="G894" s="7"/>
      <c r="H894" s="5"/>
      <c r="I894" s="3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2.75" customHeight="1" x14ac:dyDescent="0.3">
      <c r="A895" s="3"/>
      <c r="B895" s="3"/>
      <c r="C895" s="3"/>
      <c r="D895" s="5"/>
      <c r="E895" s="5"/>
      <c r="F895" s="5"/>
      <c r="G895" s="7"/>
      <c r="H895" s="5"/>
      <c r="I895" s="3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2.75" customHeight="1" x14ac:dyDescent="0.3">
      <c r="A896" s="3"/>
      <c r="B896" s="3"/>
      <c r="C896" s="3"/>
      <c r="D896" s="5"/>
      <c r="E896" s="5"/>
      <c r="F896" s="5"/>
      <c r="G896" s="7"/>
      <c r="H896" s="5"/>
      <c r="I896" s="3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2.75" customHeight="1" x14ac:dyDescent="0.3">
      <c r="A897" s="3"/>
      <c r="B897" s="3"/>
      <c r="C897" s="3"/>
      <c r="D897" s="5"/>
      <c r="E897" s="5"/>
      <c r="F897" s="5"/>
      <c r="G897" s="7"/>
      <c r="H897" s="5"/>
      <c r="I897" s="3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2.75" customHeight="1" x14ac:dyDescent="0.3">
      <c r="A898" s="3"/>
      <c r="B898" s="3"/>
      <c r="C898" s="3"/>
      <c r="D898" s="5"/>
      <c r="E898" s="5"/>
      <c r="F898" s="5"/>
      <c r="G898" s="7"/>
      <c r="H898" s="5"/>
      <c r="I898" s="3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2.75" customHeight="1" x14ac:dyDescent="0.3">
      <c r="A899" s="3"/>
      <c r="B899" s="3"/>
      <c r="C899" s="3"/>
      <c r="D899" s="5"/>
      <c r="E899" s="5"/>
      <c r="F899" s="5"/>
      <c r="G899" s="7"/>
      <c r="H899" s="5"/>
      <c r="I899" s="3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2.75" customHeight="1" x14ac:dyDescent="0.3">
      <c r="A900" s="3"/>
      <c r="B900" s="3"/>
      <c r="C900" s="3"/>
      <c r="D900" s="5"/>
      <c r="E900" s="5"/>
      <c r="F900" s="5"/>
      <c r="G900" s="7"/>
      <c r="H900" s="5"/>
      <c r="I900" s="3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2.75" customHeight="1" x14ac:dyDescent="0.3">
      <c r="A901" s="3"/>
      <c r="B901" s="3"/>
      <c r="C901" s="3"/>
      <c r="D901" s="5"/>
      <c r="E901" s="5"/>
      <c r="F901" s="5"/>
      <c r="G901" s="7"/>
      <c r="H901" s="5"/>
      <c r="I901" s="3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2.75" customHeight="1" x14ac:dyDescent="0.3">
      <c r="A902" s="3"/>
      <c r="B902" s="3"/>
      <c r="C902" s="3"/>
      <c r="D902" s="5"/>
      <c r="E902" s="5"/>
      <c r="F902" s="5"/>
      <c r="G902" s="7"/>
      <c r="H902" s="5"/>
      <c r="I902" s="3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2.75" customHeight="1" x14ac:dyDescent="0.3">
      <c r="A903" s="3"/>
      <c r="B903" s="3"/>
      <c r="C903" s="3"/>
      <c r="D903" s="5"/>
      <c r="E903" s="5"/>
      <c r="F903" s="5"/>
      <c r="G903" s="7"/>
      <c r="H903" s="5"/>
      <c r="I903" s="3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2.75" customHeight="1" x14ac:dyDescent="0.3">
      <c r="A904" s="3"/>
      <c r="B904" s="3"/>
      <c r="C904" s="3"/>
      <c r="D904" s="5"/>
      <c r="E904" s="5"/>
      <c r="F904" s="5"/>
      <c r="G904" s="7"/>
      <c r="H904" s="5"/>
      <c r="I904" s="3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2.75" customHeight="1" x14ac:dyDescent="0.3">
      <c r="A905" s="3"/>
      <c r="B905" s="3"/>
      <c r="C905" s="3"/>
      <c r="D905" s="5"/>
      <c r="E905" s="5"/>
      <c r="F905" s="5"/>
      <c r="G905" s="7"/>
      <c r="H905" s="5"/>
      <c r="I905" s="3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2.75" customHeight="1" x14ac:dyDescent="0.3">
      <c r="A906" s="3"/>
      <c r="B906" s="3"/>
      <c r="C906" s="3"/>
      <c r="D906" s="5"/>
      <c r="E906" s="5"/>
      <c r="F906" s="5"/>
      <c r="G906" s="7"/>
      <c r="H906" s="5"/>
      <c r="I906" s="3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2.75" customHeight="1" x14ac:dyDescent="0.3">
      <c r="A907" s="3"/>
      <c r="B907" s="3"/>
      <c r="C907" s="3"/>
      <c r="D907" s="5"/>
      <c r="E907" s="5"/>
      <c r="F907" s="5"/>
      <c r="G907" s="7"/>
      <c r="H907" s="5"/>
      <c r="I907" s="3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2.75" customHeight="1" x14ac:dyDescent="0.3">
      <c r="A908" s="3"/>
      <c r="B908" s="3"/>
      <c r="C908" s="3"/>
      <c r="D908" s="5"/>
      <c r="E908" s="5"/>
      <c r="F908" s="5"/>
      <c r="G908" s="7"/>
      <c r="H908" s="5"/>
      <c r="I908" s="3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2.75" customHeight="1" x14ac:dyDescent="0.3">
      <c r="A909" s="3"/>
      <c r="B909" s="3"/>
      <c r="C909" s="3"/>
      <c r="D909" s="5"/>
      <c r="E909" s="5"/>
      <c r="F909" s="5"/>
      <c r="G909" s="7"/>
      <c r="H909" s="5"/>
      <c r="I909" s="3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2.75" customHeight="1" x14ac:dyDescent="0.3">
      <c r="A910" s="3"/>
      <c r="B910" s="3"/>
      <c r="C910" s="3"/>
      <c r="D910" s="5"/>
      <c r="E910" s="5"/>
      <c r="F910" s="5"/>
      <c r="G910" s="7"/>
      <c r="H910" s="5"/>
      <c r="I910" s="3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2.75" customHeight="1" x14ac:dyDescent="0.3">
      <c r="A911" s="3"/>
      <c r="B911" s="3"/>
      <c r="C911" s="3"/>
      <c r="D911" s="5"/>
      <c r="E911" s="5"/>
      <c r="F911" s="5"/>
      <c r="G911" s="7"/>
      <c r="H911" s="5"/>
      <c r="I911" s="3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2.75" customHeight="1" x14ac:dyDescent="0.3">
      <c r="A912" s="3"/>
      <c r="B912" s="3"/>
      <c r="C912" s="3"/>
      <c r="D912" s="5"/>
      <c r="E912" s="5"/>
      <c r="F912" s="5"/>
      <c r="G912" s="7"/>
      <c r="H912" s="5"/>
      <c r="I912" s="3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2.75" customHeight="1" x14ac:dyDescent="0.3">
      <c r="A913" s="3"/>
      <c r="B913" s="3"/>
      <c r="C913" s="3"/>
      <c r="D913" s="5"/>
      <c r="E913" s="5"/>
      <c r="F913" s="5"/>
      <c r="G913" s="7"/>
      <c r="H913" s="5"/>
      <c r="I913" s="3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2.75" customHeight="1" x14ac:dyDescent="0.3">
      <c r="A914" s="3"/>
      <c r="B914" s="3"/>
      <c r="C914" s="3"/>
      <c r="D914" s="5"/>
      <c r="E914" s="5"/>
      <c r="F914" s="5"/>
      <c r="G914" s="7"/>
      <c r="H914" s="5"/>
      <c r="I914" s="3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2.75" customHeight="1" x14ac:dyDescent="0.3">
      <c r="A915" s="3"/>
      <c r="B915" s="3"/>
      <c r="C915" s="3"/>
      <c r="D915" s="5"/>
      <c r="E915" s="5"/>
      <c r="F915" s="5"/>
      <c r="G915" s="7"/>
      <c r="H915" s="5"/>
      <c r="I915" s="3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2.75" customHeight="1" x14ac:dyDescent="0.3">
      <c r="A916" s="3"/>
      <c r="B916" s="3"/>
      <c r="C916" s="3"/>
      <c r="D916" s="5"/>
      <c r="E916" s="5"/>
      <c r="F916" s="5"/>
      <c r="G916" s="7"/>
      <c r="H916" s="5"/>
      <c r="I916" s="3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2.75" customHeight="1" x14ac:dyDescent="0.3">
      <c r="A917" s="3"/>
      <c r="B917" s="3"/>
      <c r="C917" s="3"/>
      <c r="D917" s="5"/>
      <c r="E917" s="5"/>
      <c r="F917" s="5"/>
      <c r="G917" s="7"/>
      <c r="H917" s="5"/>
      <c r="I917" s="3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2.75" customHeight="1" x14ac:dyDescent="0.3">
      <c r="A918" s="3"/>
      <c r="B918" s="3"/>
      <c r="C918" s="3"/>
      <c r="D918" s="5"/>
      <c r="E918" s="5"/>
      <c r="F918" s="5"/>
      <c r="G918" s="7"/>
      <c r="H918" s="5"/>
      <c r="I918" s="3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2.75" customHeight="1" x14ac:dyDescent="0.3">
      <c r="A919" s="3"/>
      <c r="B919" s="3"/>
      <c r="C919" s="3"/>
      <c r="D919" s="5"/>
      <c r="E919" s="5"/>
      <c r="F919" s="5"/>
      <c r="G919" s="7"/>
      <c r="H919" s="5"/>
      <c r="I919" s="3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2.75" customHeight="1" x14ac:dyDescent="0.3">
      <c r="A920" s="3"/>
      <c r="B920" s="3"/>
      <c r="C920" s="3"/>
      <c r="D920" s="5"/>
      <c r="E920" s="5"/>
      <c r="F920" s="5"/>
      <c r="G920" s="7"/>
      <c r="H920" s="5"/>
      <c r="I920" s="3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2.75" customHeight="1" x14ac:dyDescent="0.3">
      <c r="A921" s="3"/>
      <c r="B921" s="3"/>
      <c r="C921" s="3"/>
      <c r="D921" s="5"/>
      <c r="E921" s="5"/>
      <c r="F921" s="5"/>
      <c r="G921" s="7"/>
      <c r="H921" s="5"/>
      <c r="I921" s="3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2.75" customHeight="1" x14ac:dyDescent="0.3">
      <c r="A922" s="3"/>
      <c r="B922" s="3"/>
      <c r="C922" s="3"/>
      <c r="D922" s="5"/>
      <c r="E922" s="5"/>
      <c r="F922" s="5"/>
      <c r="G922" s="7"/>
      <c r="H922" s="5"/>
      <c r="I922" s="3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2.75" customHeight="1" x14ac:dyDescent="0.3">
      <c r="A923" s="3"/>
      <c r="B923" s="3"/>
      <c r="C923" s="3"/>
      <c r="D923" s="5"/>
      <c r="E923" s="5"/>
      <c r="F923" s="5"/>
      <c r="G923" s="7"/>
      <c r="H923" s="5"/>
      <c r="I923" s="3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2.75" customHeight="1" x14ac:dyDescent="0.3">
      <c r="A924" s="3"/>
      <c r="B924" s="3"/>
      <c r="C924" s="3"/>
      <c r="D924" s="5"/>
      <c r="E924" s="5"/>
      <c r="F924" s="5"/>
      <c r="G924" s="7"/>
      <c r="H924" s="5"/>
      <c r="I924" s="3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2.75" customHeight="1" x14ac:dyDescent="0.3">
      <c r="A925" s="3"/>
      <c r="B925" s="3"/>
      <c r="C925" s="3"/>
      <c r="D925" s="5"/>
      <c r="E925" s="5"/>
      <c r="F925" s="5"/>
      <c r="G925" s="7"/>
      <c r="H925" s="5"/>
      <c r="I925" s="3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2.75" customHeight="1" x14ac:dyDescent="0.3">
      <c r="A926" s="3"/>
      <c r="B926" s="3"/>
      <c r="C926" s="3"/>
      <c r="D926" s="5"/>
      <c r="E926" s="5"/>
      <c r="F926" s="5"/>
      <c r="G926" s="7"/>
      <c r="H926" s="5"/>
      <c r="I926" s="3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2.75" customHeight="1" x14ac:dyDescent="0.3">
      <c r="A927" s="3"/>
      <c r="B927" s="3"/>
      <c r="C927" s="3"/>
      <c r="D927" s="5"/>
      <c r="E927" s="5"/>
      <c r="F927" s="5"/>
      <c r="G927" s="7"/>
      <c r="H927" s="5"/>
      <c r="I927" s="3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2.75" customHeight="1" x14ac:dyDescent="0.3">
      <c r="A928" s="3"/>
      <c r="B928" s="3"/>
      <c r="C928" s="3"/>
      <c r="D928" s="5"/>
      <c r="E928" s="5"/>
      <c r="F928" s="5"/>
      <c r="G928" s="7"/>
      <c r="H928" s="5"/>
      <c r="I928" s="3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2.75" customHeight="1" x14ac:dyDescent="0.3">
      <c r="A929" s="3"/>
      <c r="B929" s="3"/>
      <c r="C929" s="3"/>
      <c r="D929" s="5"/>
      <c r="E929" s="5"/>
      <c r="F929" s="5"/>
      <c r="G929" s="7"/>
      <c r="H929" s="5"/>
      <c r="I929" s="3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2.75" customHeight="1" x14ac:dyDescent="0.3">
      <c r="A930" s="3"/>
      <c r="B930" s="3"/>
      <c r="C930" s="3"/>
      <c r="D930" s="5"/>
      <c r="E930" s="5"/>
      <c r="F930" s="5"/>
      <c r="G930" s="7"/>
      <c r="H930" s="5"/>
      <c r="I930" s="3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2.75" customHeight="1" x14ac:dyDescent="0.3">
      <c r="A931" s="3"/>
      <c r="B931" s="3"/>
      <c r="C931" s="3"/>
      <c r="D931" s="5"/>
      <c r="E931" s="5"/>
      <c r="F931" s="5"/>
      <c r="G931" s="7"/>
      <c r="H931" s="5"/>
      <c r="I931" s="3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2.75" customHeight="1" x14ac:dyDescent="0.3">
      <c r="A932" s="3"/>
      <c r="B932" s="3"/>
      <c r="C932" s="3"/>
      <c r="D932" s="5"/>
      <c r="E932" s="5"/>
      <c r="F932" s="5"/>
      <c r="G932" s="7"/>
      <c r="H932" s="5"/>
      <c r="I932" s="3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2.75" customHeight="1" x14ac:dyDescent="0.3">
      <c r="A933" s="3"/>
      <c r="B933" s="3"/>
      <c r="C933" s="3"/>
      <c r="D933" s="5"/>
      <c r="E933" s="5"/>
      <c r="F933" s="5"/>
      <c r="G933" s="7"/>
      <c r="H933" s="5"/>
      <c r="I933" s="3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2.75" customHeight="1" x14ac:dyDescent="0.3">
      <c r="A934" s="3"/>
      <c r="B934" s="3"/>
      <c r="C934" s="3"/>
      <c r="D934" s="5"/>
      <c r="E934" s="5"/>
      <c r="F934" s="5"/>
      <c r="G934" s="7"/>
      <c r="H934" s="5"/>
      <c r="I934" s="3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2.75" customHeight="1" x14ac:dyDescent="0.3">
      <c r="A935" s="3"/>
      <c r="B935" s="3"/>
      <c r="C935" s="3"/>
      <c r="D935" s="5"/>
      <c r="E935" s="5"/>
      <c r="F935" s="5"/>
      <c r="G935" s="7"/>
      <c r="H935" s="5"/>
      <c r="I935" s="3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2.75" customHeight="1" x14ac:dyDescent="0.3">
      <c r="A936" s="3"/>
      <c r="B936" s="3"/>
      <c r="C936" s="3"/>
      <c r="D936" s="5"/>
      <c r="E936" s="5"/>
      <c r="F936" s="5"/>
      <c r="G936" s="7"/>
      <c r="H936" s="5"/>
      <c r="I936" s="3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2.75" customHeight="1" x14ac:dyDescent="0.3">
      <c r="A937" s="3"/>
      <c r="B937" s="3"/>
      <c r="C937" s="3"/>
      <c r="D937" s="5"/>
      <c r="E937" s="5"/>
      <c r="F937" s="5"/>
      <c r="G937" s="7"/>
      <c r="H937" s="5"/>
      <c r="I937" s="3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2.75" customHeight="1" x14ac:dyDescent="0.3">
      <c r="A938" s="3"/>
      <c r="B938" s="3"/>
      <c r="C938" s="3"/>
      <c r="D938" s="5"/>
      <c r="E938" s="5"/>
      <c r="F938" s="5"/>
      <c r="G938" s="7"/>
      <c r="H938" s="5"/>
      <c r="I938" s="3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2.75" customHeight="1" x14ac:dyDescent="0.3">
      <c r="A939" s="3"/>
      <c r="B939" s="3"/>
      <c r="C939" s="3"/>
      <c r="D939" s="5"/>
      <c r="E939" s="5"/>
      <c r="F939" s="5"/>
      <c r="G939" s="7"/>
      <c r="H939" s="5"/>
      <c r="I939" s="3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2.75" customHeight="1" x14ac:dyDescent="0.3">
      <c r="A940" s="3"/>
      <c r="B940" s="3"/>
      <c r="C940" s="3"/>
      <c r="D940" s="5"/>
      <c r="E940" s="5"/>
      <c r="F940" s="5"/>
      <c r="G940" s="7"/>
      <c r="H940" s="5"/>
      <c r="I940" s="3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2.75" customHeight="1" x14ac:dyDescent="0.3">
      <c r="A941" s="3"/>
      <c r="B941" s="3"/>
      <c r="C941" s="3"/>
      <c r="D941" s="5"/>
      <c r="E941" s="5"/>
      <c r="F941" s="5"/>
      <c r="G941" s="7"/>
      <c r="H941" s="5"/>
      <c r="I941" s="3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2.75" customHeight="1" x14ac:dyDescent="0.3">
      <c r="A942" s="3"/>
      <c r="B942" s="3"/>
      <c r="C942" s="3"/>
      <c r="D942" s="5"/>
      <c r="E942" s="5"/>
      <c r="F942" s="5"/>
      <c r="G942" s="7"/>
      <c r="H942" s="5"/>
      <c r="I942" s="3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2.75" customHeight="1" x14ac:dyDescent="0.3">
      <c r="A943" s="3"/>
      <c r="B943" s="3"/>
      <c r="C943" s="3"/>
      <c r="D943" s="5"/>
      <c r="E943" s="5"/>
      <c r="F943" s="5"/>
      <c r="G943" s="7"/>
      <c r="H943" s="5"/>
      <c r="I943" s="3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2.75" customHeight="1" x14ac:dyDescent="0.3">
      <c r="A944" s="3"/>
      <c r="B944" s="3"/>
      <c r="C944" s="3"/>
      <c r="D944" s="5"/>
      <c r="E944" s="5"/>
      <c r="F944" s="5"/>
      <c r="G944" s="7"/>
      <c r="H944" s="5"/>
      <c r="I944" s="3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2.75" customHeight="1" x14ac:dyDescent="0.3">
      <c r="A945" s="3"/>
      <c r="B945" s="3"/>
      <c r="C945" s="3"/>
      <c r="D945" s="5"/>
      <c r="E945" s="5"/>
      <c r="F945" s="5"/>
      <c r="G945" s="7"/>
      <c r="H945" s="5"/>
      <c r="I945" s="3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2.75" customHeight="1" x14ac:dyDescent="0.3">
      <c r="A946" s="3"/>
      <c r="B946" s="3"/>
      <c r="C946" s="3"/>
      <c r="D946" s="5"/>
      <c r="E946" s="5"/>
      <c r="F946" s="5"/>
      <c r="G946" s="7"/>
      <c r="H946" s="5"/>
      <c r="I946" s="3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2.75" customHeight="1" x14ac:dyDescent="0.3">
      <c r="A947" s="3"/>
      <c r="B947" s="3"/>
      <c r="C947" s="3"/>
      <c r="D947" s="5"/>
      <c r="E947" s="5"/>
      <c r="F947" s="5"/>
      <c r="G947" s="7"/>
      <c r="H947" s="5"/>
      <c r="I947" s="3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2.75" customHeight="1" x14ac:dyDescent="0.3">
      <c r="A948" s="3"/>
      <c r="B948" s="3"/>
      <c r="C948" s="3"/>
      <c r="D948" s="5"/>
      <c r="E948" s="5"/>
      <c r="F948" s="5"/>
      <c r="G948" s="7"/>
      <c r="H948" s="5"/>
      <c r="I948" s="3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2.75" customHeight="1" x14ac:dyDescent="0.3">
      <c r="A949" s="3"/>
      <c r="B949" s="3"/>
      <c r="C949" s="3"/>
      <c r="D949" s="5"/>
      <c r="E949" s="5"/>
      <c r="F949" s="5"/>
      <c r="G949" s="7"/>
      <c r="H949" s="5"/>
      <c r="I949" s="3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2.75" customHeight="1" x14ac:dyDescent="0.3">
      <c r="A950" s="3"/>
      <c r="B950" s="3"/>
      <c r="C950" s="3"/>
      <c r="D950" s="5"/>
      <c r="E950" s="5"/>
      <c r="F950" s="5"/>
      <c r="G950" s="7"/>
      <c r="H950" s="5"/>
      <c r="I950" s="3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2.75" customHeight="1" x14ac:dyDescent="0.3">
      <c r="A951" s="3"/>
      <c r="B951" s="3"/>
      <c r="C951" s="3"/>
      <c r="D951" s="5"/>
      <c r="E951" s="5"/>
      <c r="F951" s="5"/>
      <c r="G951" s="7"/>
      <c r="H951" s="5"/>
      <c r="I951" s="3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2.75" customHeight="1" x14ac:dyDescent="0.3">
      <c r="A952" s="3"/>
      <c r="B952" s="3"/>
      <c r="C952" s="3"/>
      <c r="D952" s="5"/>
      <c r="E952" s="5"/>
      <c r="F952" s="5"/>
      <c r="G952" s="7"/>
      <c r="H952" s="5"/>
      <c r="I952" s="3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2.75" customHeight="1" x14ac:dyDescent="0.3">
      <c r="A953" s="3"/>
      <c r="B953" s="3"/>
      <c r="C953" s="3"/>
      <c r="D953" s="5"/>
      <c r="E953" s="5"/>
      <c r="F953" s="5"/>
      <c r="G953" s="7"/>
      <c r="H953" s="5"/>
      <c r="I953" s="3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2.75" customHeight="1" x14ac:dyDescent="0.3">
      <c r="A954" s="3"/>
      <c r="B954" s="3"/>
      <c r="C954" s="3"/>
      <c r="D954" s="5"/>
      <c r="E954" s="5"/>
      <c r="F954" s="5"/>
      <c r="G954" s="7"/>
      <c r="H954" s="5"/>
      <c r="I954" s="3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2.75" customHeight="1" x14ac:dyDescent="0.3">
      <c r="A955" s="3"/>
      <c r="B955" s="3"/>
      <c r="C955" s="3"/>
      <c r="D955" s="5"/>
      <c r="E955" s="5"/>
      <c r="F955" s="5"/>
      <c r="G955" s="7"/>
      <c r="H955" s="5"/>
      <c r="I955" s="3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2.75" customHeight="1" x14ac:dyDescent="0.3">
      <c r="A956" s="3"/>
      <c r="B956" s="3"/>
      <c r="C956" s="3"/>
      <c r="D956" s="5"/>
      <c r="E956" s="5"/>
      <c r="F956" s="5"/>
      <c r="G956" s="7"/>
      <c r="H956" s="5"/>
      <c r="I956" s="3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2.75" customHeight="1" x14ac:dyDescent="0.3">
      <c r="A957" s="3"/>
      <c r="B957" s="3"/>
      <c r="C957" s="3"/>
      <c r="D957" s="5"/>
      <c r="E957" s="5"/>
      <c r="F957" s="5"/>
      <c r="G957" s="7"/>
      <c r="H957" s="5"/>
      <c r="I957" s="3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2.75" customHeight="1" x14ac:dyDescent="0.3">
      <c r="A958" s="3"/>
      <c r="B958" s="3"/>
      <c r="C958" s="3"/>
      <c r="D958" s="5"/>
      <c r="E958" s="5"/>
      <c r="F958" s="5"/>
      <c r="G958" s="7"/>
      <c r="H958" s="5"/>
      <c r="I958" s="3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2.75" customHeight="1" x14ac:dyDescent="0.3">
      <c r="A959" s="3"/>
      <c r="B959" s="3"/>
      <c r="C959" s="3"/>
      <c r="D959" s="5"/>
      <c r="E959" s="5"/>
      <c r="F959" s="5"/>
      <c r="G959" s="7"/>
      <c r="H959" s="5"/>
      <c r="I959" s="3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2.75" customHeight="1" x14ac:dyDescent="0.3">
      <c r="A960" s="3"/>
      <c r="B960" s="3"/>
      <c r="C960" s="3"/>
      <c r="D960" s="5"/>
      <c r="E960" s="5"/>
      <c r="F960" s="5"/>
      <c r="G960" s="7"/>
      <c r="H960" s="5"/>
      <c r="I960" s="3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2.75" customHeight="1" x14ac:dyDescent="0.3">
      <c r="A961" s="3"/>
      <c r="B961" s="3"/>
      <c r="C961" s="3"/>
      <c r="D961" s="5"/>
      <c r="E961" s="5"/>
      <c r="F961" s="5"/>
      <c r="G961" s="7"/>
      <c r="H961" s="5"/>
      <c r="I961" s="3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2.75" customHeight="1" x14ac:dyDescent="0.3">
      <c r="A962" s="3"/>
      <c r="B962" s="3"/>
      <c r="C962" s="3"/>
      <c r="D962" s="5"/>
      <c r="E962" s="5"/>
      <c r="F962" s="5"/>
      <c r="G962" s="7"/>
      <c r="H962" s="5"/>
      <c r="I962" s="3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2.75" customHeight="1" x14ac:dyDescent="0.3">
      <c r="A963" s="3"/>
      <c r="B963" s="3"/>
      <c r="C963" s="3"/>
      <c r="D963" s="5"/>
      <c r="E963" s="5"/>
      <c r="F963" s="5"/>
      <c r="G963" s="7"/>
      <c r="H963" s="5"/>
      <c r="I963" s="3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2.75" customHeight="1" x14ac:dyDescent="0.3">
      <c r="A964" s="3"/>
      <c r="B964" s="3"/>
      <c r="C964" s="3"/>
      <c r="D964" s="5"/>
      <c r="E964" s="5"/>
      <c r="F964" s="5"/>
      <c r="G964" s="7"/>
      <c r="H964" s="5"/>
      <c r="I964" s="3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2.75" customHeight="1" x14ac:dyDescent="0.3">
      <c r="A965" s="3"/>
      <c r="B965" s="3"/>
      <c r="C965" s="3"/>
      <c r="D965" s="5"/>
      <c r="E965" s="5"/>
      <c r="F965" s="5"/>
      <c r="G965" s="7"/>
      <c r="H965" s="5"/>
      <c r="I965" s="3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2.75" customHeight="1" x14ac:dyDescent="0.3">
      <c r="A966" s="3"/>
      <c r="B966" s="3"/>
      <c r="C966" s="3"/>
      <c r="D966" s="5"/>
      <c r="E966" s="5"/>
      <c r="F966" s="5"/>
      <c r="G966" s="7"/>
      <c r="H966" s="5"/>
      <c r="I966" s="3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2.75" customHeight="1" x14ac:dyDescent="0.3">
      <c r="A967" s="3"/>
      <c r="B967" s="3"/>
      <c r="C967" s="3"/>
      <c r="D967" s="5"/>
      <c r="E967" s="5"/>
      <c r="F967" s="5"/>
      <c r="G967" s="7"/>
      <c r="H967" s="5"/>
      <c r="I967" s="3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2.75" customHeight="1" x14ac:dyDescent="0.3">
      <c r="A968" s="3"/>
      <c r="B968" s="3"/>
      <c r="C968" s="3"/>
      <c r="D968" s="5"/>
      <c r="E968" s="5"/>
      <c r="F968" s="5"/>
      <c r="G968" s="7"/>
      <c r="H968" s="5"/>
      <c r="I968" s="3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2.75" customHeight="1" x14ac:dyDescent="0.3">
      <c r="A969" s="3"/>
      <c r="B969" s="3"/>
      <c r="C969" s="3"/>
      <c r="D969" s="5"/>
      <c r="E969" s="5"/>
      <c r="F969" s="5"/>
      <c r="G969" s="7"/>
      <c r="H969" s="5"/>
      <c r="I969" s="3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2.75" customHeight="1" x14ac:dyDescent="0.3">
      <c r="A970" s="3"/>
      <c r="B970" s="3"/>
      <c r="C970" s="3"/>
      <c r="D970" s="5"/>
      <c r="E970" s="5"/>
      <c r="F970" s="5"/>
      <c r="G970" s="7"/>
      <c r="H970" s="5"/>
      <c r="I970" s="3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2.75" customHeight="1" x14ac:dyDescent="0.3">
      <c r="A971" s="3"/>
      <c r="B971" s="3"/>
      <c r="C971" s="3"/>
      <c r="D971" s="5"/>
      <c r="E971" s="5"/>
      <c r="F971" s="5"/>
      <c r="G971" s="7"/>
      <c r="H971" s="5"/>
      <c r="I971" s="3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2.75" customHeight="1" x14ac:dyDescent="0.3">
      <c r="A972" s="3"/>
      <c r="B972" s="3"/>
      <c r="C972" s="3"/>
      <c r="D972" s="5"/>
      <c r="E972" s="5"/>
      <c r="F972" s="5"/>
      <c r="G972" s="7"/>
      <c r="H972" s="5"/>
      <c r="I972" s="3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2.75" customHeight="1" x14ac:dyDescent="0.3">
      <c r="A973" s="3"/>
      <c r="B973" s="3"/>
      <c r="C973" s="3"/>
      <c r="D973" s="5"/>
      <c r="E973" s="5"/>
      <c r="F973" s="5"/>
      <c r="G973" s="7"/>
      <c r="H973" s="5"/>
      <c r="I973" s="3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2.75" customHeight="1" x14ac:dyDescent="0.3">
      <c r="A974" s="3"/>
      <c r="B974" s="3"/>
      <c r="C974" s="3"/>
      <c r="D974" s="5"/>
      <c r="E974" s="5"/>
      <c r="F974" s="5"/>
      <c r="G974" s="7"/>
      <c r="H974" s="5"/>
      <c r="I974" s="3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2.75" customHeight="1" x14ac:dyDescent="0.3">
      <c r="A975" s="3"/>
      <c r="B975" s="3"/>
      <c r="C975" s="3"/>
      <c r="D975" s="5"/>
      <c r="E975" s="5"/>
      <c r="F975" s="5"/>
      <c r="G975" s="7"/>
      <c r="H975" s="5"/>
      <c r="I975" s="3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2.75" customHeight="1" x14ac:dyDescent="0.3">
      <c r="A976" s="3"/>
      <c r="B976" s="3"/>
      <c r="C976" s="3"/>
      <c r="D976" s="5"/>
      <c r="E976" s="5"/>
      <c r="F976" s="5"/>
      <c r="G976" s="7"/>
      <c r="H976" s="5"/>
      <c r="I976" s="3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2.75" customHeight="1" x14ac:dyDescent="0.3">
      <c r="A977" s="3"/>
      <c r="B977" s="3"/>
      <c r="C977" s="3"/>
      <c r="D977" s="5"/>
      <c r="E977" s="5"/>
      <c r="F977" s="5"/>
      <c r="G977" s="7"/>
      <c r="H977" s="5"/>
      <c r="I977" s="3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2.75" customHeight="1" x14ac:dyDescent="0.3">
      <c r="A978" s="3"/>
      <c r="B978" s="3"/>
      <c r="C978" s="3"/>
      <c r="D978" s="5"/>
      <c r="E978" s="5"/>
      <c r="F978" s="5"/>
      <c r="G978" s="7"/>
      <c r="H978" s="5"/>
      <c r="I978" s="3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2.75" customHeight="1" x14ac:dyDescent="0.3">
      <c r="A979" s="3"/>
      <c r="B979" s="3"/>
      <c r="C979" s="3"/>
      <c r="D979" s="5"/>
      <c r="E979" s="5"/>
      <c r="F979" s="5"/>
      <c r="G979" s="7"/>
      <c r="H979" s="5"/>
      <c r="I979" s="3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2.75" customHeight="1" x14ac:dyDescent="0.3">
      <c r="A980" s="3"/>
      <c r="B980" s="3"/>
      <c r="C980" s="3"/>
      <c r="D980" s="5"/>
      <c r="E980" s="5"/>
      <c r="F980" s="5"/>
      <c r="G980" s="7"/>
      <c r="H980" s="5"/>
      <c r="I980" s="3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2.75" customHeight="1" x14ac:dyDescent="0.3">
      <c r="A981" s="3"/>
      <c r="B981" s="3"/>
      <c r="C981" s="3"/>
      <c r="D981" s="5"/>
      <c r="E981" s="5"/>
      <c r="F981" s="5"/>
      <c r="G981" s="7"/>
      <c r="H981" s="5"/>
      <c r="I981" s="3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2.75" customHeight="1" x14ac:dyDescent="0.3">
      <c r="A982" s="3"/>
      <c r="B982" s="3"/>
      <c r="C982" s="3"/>
      <c r="D982" s="5"/>
      <c r="E982" s="5"/>
      <c r="F982" s="5"/>
      <c r="G982" s="7"/>
      <c r="H982" s="5"/>
      <c r="I982" s="3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2.75" customHeight="1" x14ac:dyDescent="0.3">
      <c r="A983" s="3"/>
      <c r="B983" s="3"/>
      <c r="C983" s="3"/>
      <c r="D983" s="5"/>
      <c r="E983" s="5"/>
      <c r="F983" s="5"/>
      <c r="G983" s="7"/>
      <c r="H983" s="5"/>
      <c r="I983" s="3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2.75" customHeight="1" x14ac:dyDescent="0.3">
      <c r="A984" s="3"/>
      <c r="B984" s="3"/>
      <c r="C984" s="3"/>
      <c r="D984" s="5"/>
      <c r="E984" s="5"/>
      <c r="F984" s="5"/>
      <c r="G984" s="7"/>
      <c r="H984" s="5"/>
      <c r="I984" s="3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2.75" customHeight="1" x14ac:dyDescent="0.3">
      <c r="A985" s="3"/>
      <c r="B985" s="3"/>
      <c r="C985" s="3"/>
      <c r="D985" s="5"/>
      <c r="E985" s="5"/>
      <c r="F985" s="5"/>
      <c r="G985" s="7"/>
      <c r="H985" s="5"/>
      <c r="I985" s="3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2.75" customHeight="1" x14ac:dyDescent="0.3">
      <c r="A986" s="3"/>
      <c r="B986" s="3"/>
      <c r="C986" s="3"/>
      <c r="D986" s="5"/>
      <c r="E986" s="5"/>
      <c r="F986" s="5"/>
      <c r="G986" s="7"/>
      <c r="H986" s="5"/>
      <c r="I986" s="3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2.75" customHeight="1" x14ac:dyDescent="0.3">
      <c r="A987" s="3"/>
      <c r="B987" s="3"/>
      <c r="C987" s="3"/>
      <c r="D987" s="5"/>
      <c r="E987" s="5"/>
      <c r="F987" s="5"/>
      <c r="G987" s="7"/>
      <c r="H987" s="5"/>
      <c r="I987" s="3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2.75" customHeight="1" x14ac:dyDescent="0.3">
      <c r="A988" s="3"/>
      <c r="B988" s="3"/>
      <c r="C988" s="3"/>
      <c r="D988" s="5"/>
      <c r="E988" s="5"/>
      <c r="F988" s="5"/>
      <c r="G988" s="7"/>
      <c r="H988" s="5"/>
      <c r="I988" s="3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2.75" customHeight="1" x14ac:dyDescent="0.3">
      <c r="A989" s="3"/>
      <c r="B989" s="3"/>
      <c r="C989" s="3"/>
      <c r="D989" s="5"/>
      <c r="E989" s="5"/>
      <c r="F989" s="5"/>
      <c r="G989" s="7"/>
      <c r="H989" s="5"/>
      <c r="I989" s="3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2.75" customHeight="1" x14ac:dyDescent="0.3">
      <c r="A990" s="3"/>
      <c r="B990" s="3"/>
      <c r="C990" s="3"/>
      <c r="D990" s="5"/>
      <c r="E990" s="5"/>
      <c r="F990" s="5"/>
      <c r="G990" s="7"/>
      <c r="H990" s="5"/>
      <c r="I990" s="3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2.75" customHeight="1" x14ac:dyDescent="0.3">
      <c r="A991" s="3"/>
      <c r="B991" s="3"/>
      <c r="C991" s="3"/>
      <c r="D991" s="5"/>
      <c r="E991" s="5"/>
      <c r="F991" s="5"/>
      <c r="G991" s="7"/>
      <c r="H991" s="5"/>
      <c r="I991" s="3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2.75" customHeight="1" x14ac:dyDescent="0.3">
      <c r="A992" s="3"/>
      <c r="B992" s="3"/>
      <c r="C992" s="3"/>
      <c r="D992" s="5"/>
      <c r="E992" s="5"/>
      <c r="F992" s="5"/>
      <c r="G992" s="7"/>
      <c r="H992" s="5"/>
      <c r="I992" s="3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2.75" customHeight="1" x14ac:dyDescent="0.3">
      <c r="A993" s="3"/>
      <c r="B993" s="3"/>
      <c r="C993" s="3"/>
      <c r="D993" s="5"/>
      <c r="E993" s="5"/>
      <c r="F993" s="5"/>
      <c r="G993" s="7"/>
      <c r="H993" s="5"/>
      <c r="I993" s="3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2.75" customHeight="1" x14ac:dyDescent="0.3">
      <c r="A994" s="3"/>
      <c r="B994" s="3"/>
      <c r="C994" s="3"/>
      <c r="D994" s="5"/>
      <c r="E994" s="5"/>
      <c r="F994" s="5"/>
      <c r="G994" s="7"/>
      <c r="H994" s="5"/>
      <c r="I994" s="3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2.75" customHeight="1" x14ac:dyDescent="0.3">
      <c r="A995" s="3"/>
      <c r="B995" s="3"/>
      <c r="C995" s="3"/>
      <c r="D995" s="5"/>
      <c r="E995" s="5"/>
      <c r="F995" s="5"/>
      <c r="G995" s="7"/>
      <c r="H995" s="5"/>
      <c r="I995" s="3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2.75" customHeight="1" x14ac:dyDescent="0.3">
      <c r="A996" s="3"/>
      <c r="B996" s="3"/>
      <c r="C996" s="3"/>
      <c r="D996" s="5"/>
      <c r="E996" s="5"/>
      <c r="F996" s="5"/>
      <c r="G996" s="7"/>
      <c r="H996" s="5"/>
      <c r="I996" s="3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2.75" customHeight="1" x14ac:dyDescent="0.3">
      <c r="A997" s="3"/>
      <c r="B997" s="3"/>
      <c r="C997" s="3"/>
      <c r="D997" s="5"/>
      <c r="E997" s="5"/>
      <c r="F997" s="5"/>
      <c r="G997" s="7"/>
      <c r="H997" s="5"/>
      <c r="I997" s="3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2.75" customHeight="1" x14ac:dyDescent="0.3">
      <c r="A998" s="3"/>
      <c r="B998" s="3"/>
      <c r="C998" s="3"/>
      <c r="D998" s="5"/>
      <c r="E998" s="5"/>
      <c r="F998" s="5"/>
      <c r="G998" s="7"/>
      <c r="H998" s="5"/>
      <c r="I998" s="3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2.75" customHeight="1" x14ac:dyDescent="0.3">
      <c r="A999" s="3"/>
      <c r="B999" s="3"/>
      <c r="C999" s="3"/>
      <c r="D999" s="5"/>
      <c r="E999" s="5"/>
      <c r="F999" s="5"/>
      <c r="G999" s="7"/>
      <c r="H999" s="5"/>
      <c r="I999" s="3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2.75" customHeight="1" x14ac:dyDescent="0.3">
      <c r="A1000" s="3"/>
      <c r="B1000" s="3"/>
      <c r="C1000" s="3"/>
      <c r="D1000" s="5"/>
      <c r="E1000" s="5"/>
      <c r="F1000" s="5"/>
      <c r="G1000" s="7"/>
      <c r="H1000" s="5"/>
      <c r="I1000" s="3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</sheetData>
  <mergeCells count="22">
    <mergeCell ref="C3:C4"/>
    <mergeCell ref="D3:D4"/>
    <mergeCell ref="E3:E4"/>
    <mergeCell ref="F3:F4"/>
    <mergeCell ref="G3:G4"/>
    <mergeCell ref="H3:H4"/>
    <mergeCell ref="J3:J4"/>
    <mergeCell ref="R3:R4"/>
    <mergeCell ref="S3:S4"/>
    <mergeCell ref="T3:T4"/>
    <mergeCell ref="K3:K4"/>
    <mergeCell ref="L3:L4"/>
    <mergeCell ref="M3:M4"/>
    <mergeCell ref="N3:N4"/>
    <mergeCell ref="O3:O4"/>
    <mergeCell ref="P3:P4"/>
    <mergeCell ref="Q3:Q4"/>
    <mergeCell ref="U3:U4"/>
    <mergeCell ref="V3:V4"/>
    <mergeCell ref="W3:W4"/>
    <mergeCell ref="AB3:AB4"/>
    <mergeCell ref="AC3:AC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000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baseColWidth="10" defaultColWidth="12.59765625" defaultRowHeight="15" customHeight="1" x14ac:dyDescent="0.2"/>
  <cols>
    <col min="1" max="1" width="1.19921875" style="121" customWidth="1"/>
    <col min="2" max="2" width="12" style="121" customWidth="1"/>
    <col min="3" max="3" width="34.19921875" style="121" customWidth="1"/>
    <col min="4" max="5" width="11.19921875" style="121" customWidth="1"/>
    <col min="6" max="7" width="9.59765625" style="121" customWidth="1"/>
    <col min="8" max="8" width="9.8984375" style="121" customWidth="1"/>
    <col min="9" max="9" width="10.3984375" style="121" customWidth="1"/>
    <col min="10" max="11" width="9.59765625" style="121" customWidth="1"/>
    <col min="12" max="12" width="9" style="121" customWidth="1"/>
    <col min="13" max="13" width="9.8984375" style="121" customWidth="1"/>
    <col min="14" max="14" width="8.69921875" style="121" customWidth="1"/>
    <col min="15" max="15" width="9.59765625" style="121" customWidth="1"/>
    <col min="16" max="16" width="8.3984375" style="121" customWidth="1"/>
    <col min="17" max="17" width="9.8984375" style="121" customWidth="1"/>
    <col min="18" max="18" width="8.3984375" style="121" customWidth="1"/>
    <col min="19" max="19" width="8.3984375" style="121" hidden="1" customWidth="1"/>
    <col min="20" max="20" width="8.3984375" style="121" customWidth="1"/>
    <col min="21" max="21" width="8.3984375" style="121" hidden="1" customWidth="1"/>
    <col min="22" max="22" width="8.3984375" style="121" customWidth="1"/>
    <col min="23" max="23" width="8.3984375" style="121" hidden="1" customWidth="1"/>
    <col min="24" max="24" width="9" style="121" customWidth="1"/>
    <col min="25" max="25" width="9" style="121" hidden="1" customWidth="1"/>
    <col min="26" max="26" width="9" style="121" customWidth="1"/>
    <col min="27" max="27" width="9" style="121" hidden="1" customWidth="1"/>
    <col min="28" max="28" width="9.8984375" style="121" customWidth="1"/>
    <col min="29" max="16384" width="12.59765625" style="121"/>
  </cols>
  <sheetData>
    <row r="1" spans="1:38" ht="15" customHeight="1" x14ac:dyDescent="0.2">
      <c r="AC1" s="122"/>
      <c r="AD1" s="123" t="s">
        <v>78</v>
      </c>
      <c r="AE1" s="124" t="s">
        <v>79</v>
      </c>
    </row>
    <row r="2" spans="1:38" ht="12.75" customHeight="1" x14ac:dyDescent="0.2">
      <c r="B2" s="125"/>
      <c r="C2" s="126" t="s">
        <v>80</v>
      </c>
      <c r="D2" s="123">
        <v>45658</v>
      </c>
      <c r="E2" s="124">
        <v>45658</v>
      </c>
      <c r="F2" s="123">
        <v>45689</v>
      </c>
      <c r="G2" s="124">
        <v>45689</v>
      </c>
      <c r="H2" s="123">
        <v>45717</v>
      </c>
      <c r="I2" s="124">
        <v>45717</v>
      </c>
      <c r="J2" s="123">
        <v>45748</v>
      </c>
      <c r="K2" s="124">
        <v>45748</v>
      </c>
      <c r="L2" s="123">
        <v>45778</v>
      </c>
      <c r="M2" s="124">
        <v>45778</v>
      </c>
      <c r="N2" s="123">
        <v>45809</v>
      </c>
      <c r="O2" s="124">
        <v>45809</v>
      </c>
      <c r="P2" s="123">
        <v>45839</v>
      </c>
      <c r="Q2" s="124">
        <v>45839</v>
      </c>
      <c r="R2" s="123">
        <v>45870</v>
      </c>
      <c r="S2" s="124">
        <v>45870</v>
      </c>
      <c r="T2" s="123">
        <v>45901</v>
      </c>
      <c r="U2" s="124">
        <v>45901</v>
      </c>
      <c r="V2" s="123">
        <v>45931</v>
      </c>
      <c r="W2" s="124">
        <v>45931</v>
      </c>
      <c r="X2" s="123">
        <v>45962</v>
      </c>
      <c r="Y2" s="124">
        <v>45962</v>
      </c>
      <c r="Z2" s="123">
        <v>45992</v>
      </c>
      <c r="AA2" s="124">
        <v>45992</v>
      </c>
      <c r="AB2" s="127">
        <v>2025</v>
      </c>
      <c r="AC2" s="122"/>
      <c r="AD2" s="123" t="s">
        <v>81</v>
      </c>
      <c r="AE2" s="124" t="s">
        <v>81</v>
      </c>
    </row>
    <row r="3" spans="1:38" ht="12.75" customHeight="1" x14ac:dyDescent="0.2">
      <c r="B3" s="125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2"/>
      <c r="AD3" s="125"/>
    </row>
    <row r="4" spans="1:38" ht="12.75" customHeight="1" x14ac:dyDescent="0.2">
      <c r="B4" s="125"/>
      <c r="C4" s="129" t="s">
        <v>82</v>
      </c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2"/>
      <c r="AD4" s="125"/>
    </row>
    <row r="5" spans="1:38" ht="12.75" customHeight="1" x14ac:dyDescent="0.2">
      <c r="B5" s="125" t="s">
        <v>83</v>
      </c>
      <c r="C5" s="125" t="s">
        <v>84</v>
      </c>
      <c r="D5" s="130">
        <f t="shared" ref="D5:Z5" si="0">SUM(D6:D8)</f>
        <v>686830.87493939395</v>
      </c>
      <c r="E5" s="130">
        <f t="shared" si="0"/>
        <v>796918.15999999992</v>
      </c>
      <c r="F5" s="130">
        <f t="shared" si="0"/>
        <v>703360.04827272729</v>
      </c>
      <c r="G5" s="130">
        <f t="shared" si="0"/>
        <v>827529.91999999993</v>
      </c>
      <c r="H5" s="130">
        <f t="shared" si="0"/>
        <v>734319.71327272721</v>
      </c>
      <c r="I5" s="130">
        <f t="shared" si="0"/>
        <v>835486.42999999993</v>
      </c>
      <c r="J5" s="130">
        <f t="shared" si="0"/>
        <v>755012.54660606058</v>
      </c>
      <c r="K5" s="130">
        <f t="shared" si="0"/>
        <v>828972.86</v>
      </c>
      <c r="L5" s="130">
        <f t="shared" si="0"/>
        <v>771556.29660606058</v>
      </c>
      <c r="M5" s="130">
        <f t="shared" si="0"/>
        <v>833351.22</v>
      </c>
      <c r="N5" s="130">
        <f t="shared" si="0"/>
        <v>790687.54727272713</v>
      </c>
      <c r="O5" s="130">
        <f t="shared" si="0"/>
        <v>852797.1100000001</v>
      </c>
      <c r="P5" s="130">
        <f t="shared" si="0"/>
        <v>821041.46393939387</v>
      </c>
      <c r="Q5" s="130">
        <f t="shared" si="0"/>
        <v>838071.52</v>
      </c>
      <c r="R5" s="130">
        <f t="shared" si="0"/>
        <v>842496.91727272724</v>
      </c>
      <c r="S5" s="131"/>
      <c r="T5" s="130">
        <f t="shared" si="0"/>
        <v>880129.50060606049</v>
      </c>
      <c r="U5" s="131"/>
      <c r="V5" s="130">
        <f t="shared" si="0"/>
        <v>925545.41727272712</v>
      </c>
      <c r="W5" s="131"/>
      <c r="X5" s="130">
        <f t="shared" si="0"/>
        <v>1032212.0839393937</v>
      </c>
      <c r="Y5" s="131"/>
      <c r="Z5" s="130">
        <f t="shared" si="0"/>
        <v>1108896.6666666665</v>
      </c>
      <c r="AA5" s="131"/>
      <c r="AB5" s="130">
        <f t="shared" ref="AB5:AB9" si="1">D5+F5+H5+J5+L5+N5+P5+R5+T5+V5+X5+Z5</f>
        <v>10052089.076666664</v>
      </c>
      <c r="AC5" s="122"/>
      <c r="AD5" s="130">
        <f t="shared" ref="AD5:AE9" si="2">D5+F5+H5+J5+L5+N5+P5</f>
        <v>5262808.4909090903</v>
      </c>
      <c r="AE5" s="130">
        <f t="shared" si="2"/>
        <v>5813127.2200000007</v>
      </c>
    </row>
    <row r="6" spans="1:38" ht="12.75" customHeight="1" x14ac:dyDescent="0.2">
      <c r="A6" s="132"/>
      <c r="B6" s="132"/>
      <c r="C6" s="132" t="s">
        <v>85</v>
      </c>
      <c r="D6" s="133">
        <v>557052.16299350653</v>
      </c>
      <c r="E6" s="133">
        <v>603047.57999999996</v>
      </c>
      <c r="F6" s="133">
        <v>571890.91632683983</v>
      </c>
      <c r="G6" s="133">
        <v>630347.34</v>
      </c>
      <c r="H6" s="133">
        <v>560844.66799350642</v>
      </c>
      <c r="I6" s="133">
        <v>632544.59</v>
      </c>
      <c r="J6" s="133">
        <v>561057.83466017316</v>
      </c>
      <c r="K6" s="133">
        <v>621674.98</v>
      </c>
      <c r="L6" s="133">
        <v>547515.66716017318</v>
      </c>
      <c r="M6" s="133">
        <v>634980.76</v>
      </c>
      <c r="N6" s="133">
        <v>536928.1664935064</v>
      </c>
      <c r="O6" s="133">
        <v>622281.79</v>
      </c>
      <c r="P6" s="133">
        <v>542396.08316017315</v>
      </c>
      <c r="Q6" s="133">
        <v>613596.86</v>
      </c>
      <c r="R6" s="133">
        <v>535304.83363636362</v>
      </c>
      <c r="S6" s="133"/>
      <c r="T6" s="133">
        <v>560153.16696969687</v>
      </c>
      <c r="U6" s="133"/>
      <c r="V6" s="133">
        <v>579474.41696969687</v>
      </c>
      <c r="W6" s="133"/>
      <c r="X6" s="133">
        <v>648224.41696969687</v>
      </c>
      <c r="Y6" s="133"/>
      <c r="Z6" s="133">
        <v>694249.99999999988</v>
      </c>
      <c r="AA6" s="133"/>
      <c r="AB6" s="133">
        <f t="shared" si="1"/>
        <v>6895092.333333333</v>
      </c>
      <c r="AC6" s="122"/>
      <c r="AD6" s="133">
        <f t="shared" si="2"/>
        <v>3877685.4987878781</v>
      </c>
      <c r="AE6" s="133">
        <f t="shared" si="2"/>
        <v>4358473.9000000004</v>
      </c>
      <c r="AF6" s="132"/>
      <c r="AG6" s="132"/>
      <c r="AH6" s="132"/>
      <c r="AI6" s="132"/>
      <c r="AJ6" s="132"/>
      <c r="AK6" s="132"/>
      <c r="AL6" s="132"/>
    </row>
    <row r="7" spans="1:38" ht="12.75" customHeight="1" x14ac:dyDescent="0.2">
      <c r="A7" s="132"/>
      <c r="B7" s="132"/>
      <c r="C7" s="132" t="s">
        <v>86</v>
      </c>
      <c r="D7" s="133">
        <v>-10205.538577922074</v>
      </c>
      <c r="E7" s="133">
        <v>-16322.5</v>
      </c>
      <c r="F7" s="133">
        <v>-10222.285244588744</v>
      </c>
      <c r="G7" s="133">
        <v>-16304.42</v>
      </c>
      <c r="H7" s="133">
        <v>-10123.620244588743</v>
      </c>
      <c r="I7" s="133">
        <v>-16285.75</v>
      </c>
      <c r="J7" s="133">
        <v>-10140.536911255411</v>
      </c>
      <c r="K7" s="133">
        <v>-16366.01</v>
      </c>
      <c r="L7" s="133">
        <v>-10148.036077922079</v>
      </c>
      <c r="M7" s="133">
        <v>-17470.169999999998</v>
      </c>
      <c r="N7" s="133">
        <v>-10253.202077922078</v>
      </c>
      <c r="O7" s="133">
        <v>-16275.35</v>
      </c>
      <c r="P7" s="133">
        <v>-10586.202077922077</v>
      </c>
      <c r="Q7" s="133">
        <v>-16285.02</v>
      </c>
      <c r="R7" s="133">
        <v>-10817.083030303029</v>
      </c>
      <c r="S7" s="133"/>
      <c r="T7" s="133">
        <v>-10866.416363636363</v>
      </c>
      <c r="U7" s="133"/>
      <c r="V7" s="133">
        <v>-10845.666363636361</v>
      </c>
      <c r="W7" s="133"/>
      <c r="X7" s="133">
        <v>-10845.666363636361</v>
      </c>
      <c r="Y7" s="133"/>
      <c r="Z7" s="133">
        <v>-10853.333333333332</v>
      </c>
      <c r="AA7" s="133"/>
      <c r="AB7" s="133">
        <f t="shared" si="1"/>
        <v>-125907.58666666666</v>
      </c>
      <c r="AC7" s="122"/>
      <c r="AD7" s="133">
        <f t="shared" si="2"/>
        <v>-71679.421212121204</v>
      </c>
      <c r="AE7" s="133">
        <f t="shared" si="2"/>
        <v>-115309.22000000002</v>
      </c>
      <c r="AF7" s="132"/>
      <c r="AG7" s="132"/>
      <c r="AH7" s="132"/>
      <c r="AI7" s="132"/>
      <c r="AJ7" s="132"/>
      <c r="AK7" s="132"/>
      <c r="AL7" s="132"/>
    </row>
    <row r="8" spans="1:38" ht="12.75" customHeight="1" x14ac:dyDescent="0.2">
      <c r="A8" s="132"/>
      <c r="B8" s="132"/>
      <c r="C8" s="132" t="s">
        <v>87</v>
      </c>
      <c r="D8" s="133">
        <v>139984.25052380952</v>
      </c>
      <c r="E8" s="133">
        <v>210193.08</v>
      </c>
      <c r="F8" s="133">
        <v>141691.4171904762</v>
      </c>
      <c r="G8" s="133">
        <v>213487</v>
      </c>
      <c r="H8" s="133">
        <v>183598.66552380953</v>
      </c>
      <c r="I8" s="133">
        <v>219227.59</v>
      </c>
      <c r="J8" s="133">
        <v>204095.24885714287</v>
      </c>
      <c r="K8" s="133">
        <v>223663.89</v>
      </c>
      <c r="L8" s="133">
        <v>234188.6655238095</v>
      </c>
      <c r="M8" s="133">
        <v>215840.63</v>
      </c>
      <c r="N8" s="133">
        <v>264012.58285714284</v>
      </c>
      <c r="O8" s="133">
        <v>246790.67</v>
      </c>
      <c r="P8" s="133">
        <v>289231.58285714284</v>
      </c>
      <c r="Q8" s="133">
        <v>240759.67999999999</v>
      </c>
      <c r="R8" s="133">
        <v>318009.16666666669</v>
      </c>
      <c r="S8" s="133"/>
      <c r="T8" s="133">
        <v>330842.75</v>
      </c>
      <c r="U8" s="133"/>
      <c r="V8" s="133">
        <v>356916.66666666663</v>
      </c>
      <c r="W8" s="133"/>
      <c r="X8" s="133">
        <v>394833.33333333331</v>
      </c>
      <c r="Y8" s="133"/>
      <c r="Z8" s="133">
        <v>425500</v>
      </c>
      <c r="AA8" s="133"/>
      <c r="AB8" s="133">
        <f t="shared" si="1"/>
        <v>3282904.33</v>
      </c>
      <c r="AC8" s="122"/>
      <c r="AD8" s="133">
        <f t="shared" si="2"/>
        <v>1456802.4133333333</v>
      </c>
      <c r="AE8" s="133">
        <f t="shared" si="2"/>
        <v>1569962.5399999998</v>
      </c>
      <c r="AF8" s="132"/>
      <c r="AG8" s="132"/>
      <c r="AH8" s="132"/>
      <c r="AI8" s="132"/>
      <c r="AJ8" s="132"/>
      <c r="AK8" s="132"/>
      <c r="AL8" s="132"/>
    </row>
    <row r="9" spans="1:38" ht="12.75" customHeight="1" x14ac:dyDescent="0.2">
      <c r="B9" s="125" t="s">
        <v>88</v>
      </c>
      <c r="C9" s="125" t="s">
        <v>89</v>
      </c>
      <c r="D9" s="134">
        <v>54000</v>
      </c>
      <c r="E9" s="134">
        <v>37200</v>
      </c>
      <c r="F9" s="134">
        <v>65000</v>
      </c>
      <c r="G9" s="134">
        <v>65500</v>
      </c>
      <c r="H9" s="134">
        <v>72500</v>
      </c>
      <c r="I9" s="134">
        <v>22500</v>
      </c>
      <c r="J9" s="134">
        <v>82000</v>
      </c>
      <c r="K9" s="134">
        <v>24500</v>
      </c>
      <c r="L9" s="134">
        <v>89500</v>
      </c>
      <c r="M9" s="134">
        <v>0</v>
      </c>
      <c r="N9" s="134">
        <v>65000</v>
      </c>
      <c r="O9" s="134">
        <v>29500</v>
      </c>
      <c r="P9" s="134">
        <v>78500</v>
      </c>
      <c r="Q9" s="134">
        <v>29500</v>
      </c>
      <c r="R9" s="134">
        <v>100500</v>
      </c>
      <c r="S9" s="134"/>
      <c r="T9" s="134">
        <v>54000</v>
      </c>
      <c r="U9" s="134"/>
      <c r="V9" s="134">
        <v>60000</v>
      </c>
      <c r="W9" s="134"/>
      <c r="X9" s="134">
        <v>71000</v>
      </c>
      <c r="Y9" s="134"/>
      <c r="Z9" s="134">
        <v>65000</v>
      </c>
      <c r="AA9" s="134"/>
      <c r="AB9" s="134">
        <f t="shared" si="1"/>
        <v>857000</v>
      </c>
      <c r="AC9" s="122"/>
      <c r="AD9" s="134">
        <f t="shared" si="2"/>
        <v>506500</v>
      </c>
      <c r="AE9" s="134">
        <f t="shared" si="2"/>
        <v>208700</v>
      </c>
    </row>
    <row r="10" spans="1:38" ht="12.75" customHeight="1" x14ac:dyDescent="0.2">
      <c r="B10" s="125"/>
      <c r="C10" s="135" t="s">
        <v>90</v>
      </c>
      <c r="D10" s="136">
        <f t="shared" ref="D10:AB10" si="3">D5+D9</f>
        <v>740830.87493939395</v>
      </c>
      <c r="E10" s="136">
        <f t="shared" si="3"/>
        <v>834118.15999999992</v>
      </c>
      <c r="F10" s="136">
        <f t="shared" si="3"/>
        <v>768360.04827272729</v>
      </c>
      <c r="G10" s="136">
        <f t="shared" si="3"/>
        <v>893029.91999999993</v>
      </c>
      <c r="H10" s="136">
        <f t="shared" si="3"/>
        <v>806819.71327272721</v>
      </c>
      <c r="I10" s="136">
        <f t="shared" si="3"/>
        <v>857986.42999999993</v>
      </c>
      <c r="J10" s="136">
        <f t="shared" si="3"/>
        <v>837012.54660606058</v>
      </c>
      <c r="K10" s="136">
        <f t="shared" si="3"/>
        <v>853472.86</v>
      </c>
      <c r="L10" s="136">
        <f t="shared" si="3"/>
        <v>861056.29660606058</v>
      </c>
      <c r="M10" s="136">
        <f t="shared" si="3"/>
        <v>833351.22</v>
      </c>
      <c r="N10" s="136">
        <f t="shared" si="3"/>
        <v>855687.54727272713</v>
      </c>
      <c r="O10" s="136">
        <f t="shared" si="3"/>
        <v>882297.1100000001</v>
      </c>
      <c r="P10" s="136">
        <f t="shared" si="3"/>
        <v>899541.46393939387</v>
      </c>
      <c r="Q10" s="136">
        <f t="shared" si="3"/>
        <v>867571.52</v>
      </c>
      <c r="R10" s="136">
        <f t="shared" si="3"/>
        <v>942996.91727272724</v>
      </c>
      <c r="S10" s="137"/>
      <c r="T10" s="136">
        <f t="shared" si="3"/>
        <v>934129.50060606049</v>
      </c>
      <c r="U10" s="137"/>
      <c r="V10" s="136">
        <f t="shared" si="3"/>
        <v>985545.41727272712</v>
      </c>
      <c r="W10" s="137"/>
      <c r="X10" s="136">
        <f t="shared" si="3"/>
        <v>1103212.0839393937</v>
      </c>
      <c r="Y10" s="137"/>
      <c r="Z10" s="136">
        <f t="shared" si="3"/>
        <v>1173896.6666666665</v>
      </c>
      <c r="AA10" s="137"/>
      <c r="AB10" s="136">
        <f t="shared" si="3"/>
        <v>10909089.076666664</v>
      </c>
      <c r="AC10" s="122"/>
      <c r="AD10" s="136">
        <f t="shared" ref="AD10:AE10" si="4">AD5+AD9</f>
        <v>5769308.4909090903</v>
      </c>
      <c r="AE10" s="136">
        <f t="shared" si="4"/>
        <v>6021827.2200000007</v>
      </c>
    </row>
    <row r="11" spans="1:38" ht="12.75" customHeight="1" x14ac:dyDescent="0.2">
      <c r="B11" s="125"/>
      <c r="C11" s="128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22"/>
      <c r="AD11" s="125"/>
      <c r="AE11" s="125"/>
    </row>
    <row r="12" spans="1:38" ht="12.75" customHeight="1" x14ac:dyDescent="0.2">
      <c r="B12" s="125"/>
      <c r="C12" s="129" t="s">
        <v>91</v>
      </c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34"/>
      <c r="AC12" s="122"/>
      <c r="AD12" s="125"/>
      <c r="AE12" s="125"/>
    </row>
    <row r="13" spans="1:38" ht="12.75" customHeight="1" x14ac:dyDescent="0.2">
      <c r="B13" s="125" t="s">
        <v>92</v>
      </c>
      <c r="C13" s="125" t="s">
        <v>93</v>
      </c>
      <c r="D13" s="134">
        <v>0</v>
      </c>
      <c r="E13" s="134">
        <v>0</v>
      </c>
      <c r="F13" s="134">
        <v>0</v>
      </c>
      <c r="G13" s="134">
        <v>0</v>
      </c>
      <c r="H13" s="134">
        <v>0</v>
      </c>
      <c r="I13" s="134">
        <v>0</v>
      </c>
      <c r="J13" s="134">
        <v>0</v>
      </c>
      <c r="K13" s="134">
        <v>0</v>
      </c>
      <c r="L13" s="134">
        <v>0</v>
      </c>
      <c r="M13" s="134">
        <v>0</v>
      </c>
      <c r="N13" s="134">
        <v>0</v>
      </c>
      <c r="O13" s="134">
        <v>0</v>
      </c>
      <c r="P13" s="134">
        <v>0</v>
      </c>
      <c r="Q13" s="134">
        <v>0</v>
      </c>
      <c r="R13" s="134">
        <v>0</v>
      </c>
      <c r="S13" s="134"/>
      <c r="T13" s="134">
        <v>0</v>
      </c>
      <c r="U13" s="134"/>
      <c r="V13" s="134">
        <v>0</v>
      </c>
      <c r="W13" s="134"/>
      <c r="X13" s="134">
        <v>0</v>
      </c>
      <c r="Y13" s="134"/>
      <c r="Z13" s="134">
        <v>0</v>
      </c>
      <c r="AA13" s="134"/>
      <c r="AB13" s="134">
        <f t="shared" ref="AB13:AB15" si="5">D13+F13+H13+J13+L13+N13+P13+R13+T13+V13+X13+Z13</f>
        <v>0</v>
      </c>
      <c r="AC13" s="122"/>
      <c r="AD13" s="134">
        <f t="shared" ref="AD13:AE15" si="6">D13+F13+H13+J13+L13+N13+P13</f>
        <v>0</v>
      </c>
      <c r="AE13" s="134">
        <f t="shared" si="6"/>
        <v>0</v>
      </c>
    </row>
    <row r="14" spans="1:38" ht="12.75" customHeight="1" x14ac:dyDescent="0.2">
      <c r="B14" s="125" t="s">
        <v>94</v>
      </c>
      <c r="C14" s="125" t="s">
        <v>95</v>
      </c>
      <c r="D14" s="134">
        <v>46322.55</v>
      </c>
      <c r="E14" s="134">
        <v>3000</v>
      </c>
      <c r="F14" s="134">
        <v>46322.55</v>
      </c>
      <c r="G14" s="134">
        <v>66863</v>
      </c>
      <c r="H14" s="134">
        <v>46322.55</v>
      </c>
      <c r="I14" s="134">
        <v>41841</v>
      </c>
      <c r="J14" s="134">
        <v>46322.55</v>
      </c>
      <c r="K14" s="134">
        <v>13745</v>
      </c>
      <c r="L14" s="134">
        <v>46322.55</v>
      </c>
      <c r="M14" s="134">
        <v>36975</v>
      </c>
      <c r="N14" s="134">
        <v>46322.55</v>
      </c>
      <c r="O14" s="134">
        <v>5400</v>
      </c>
      <c r="P14" s="134">
        <v>46322.55</v>
      </c>
      <c r="Q14" s="134">
        <v>85650</v>
      </c>
      <c r="R14" s="134">
        <v>46322.55</v>
      </c>
      <c r="S14" s="134"/>
      <c r="T14" s="134">
        <v>46322.55</v>
      </c>
      <c r="U14" s="134"/>
      <c r="V14" s="134">
        <v>46322.55</v>
      </c>
      <c r="W14" s="134"/>
      <c r="X14" s="134">
        <v>46322.55</v>
      </c>
      <c r="Y14" s="134"/>
      <c r="Z14" s="134">
        <v>46322.55</v>
      </c>
      <c r="AA14" s="134"/>
      <c r="AB14" s="134">
        <f t="shared" si="5"/>
        <v>555870.6</v>
      </c>
      <c r="AC14" s="122"/>
      <c r="AD14" s="134">
        <f t="shared" si="6"/>
        <v>324257.84999999998</v>
      </c>
      <c r="AE14" s="134">
        <f t="shared" si="6"/>
        <v>253474</v>
      </c>
    </row>
    <row r="15" spans="1:38" ht="12.75" customHeight="1" x14ac:dyDescent="0.2">
      <c r="B15" s="125" t="s">
        <v>96</v>
      </c>
      <c r="C15" s="125" t="s">
        <v>97</v>
      </c>
      <c r="D15" s="134">
        <v>20000</v>
      </c>
      <c r="E15" s="134">
        <v>1563.21</v>
      </c>
      <c r="F15" s="134">
        <v>0</v>
      </c>
      <c r="G15" s="134">
        <v>1815.06</v>
      </c>
      <c r="H15" s="134">
        <v>20000</v>
      </c>
      <c r="I15" s="134">
        <v>0</v>
      </c>
      <c r="J15" s="134">
        <v>0</v>
      </c>
      <c r="K15" s="134">
        <v>811.35</v>
      </c>
      <c r="L15" s="134">
        <v>20000</v>
      </c>
      <c r="M15" s="134">
        <v>0</v>
      </c>
      <c r="N15" s="134">
        <v>0</v>
      </c>
      <c r="O15" s="134">
        <v>3904.95</v>
      </c>
      <c r="P15" s="134">
        <v>20000</v>
      </c>
      <c r="Q15" s="134">
        <v>0</v>
      </c>
      <c r="R15" s="134">
        <v>0</v>
      </c>
      <c r="S15" s="134"/>
      <c r="T15" s="134">
        <v>20000</v>
      </c>
      <c r="U15" s="134"/>
      <c r="V15" s="134">
        <v>0</v>
      </c>
      <c r="W15" s="134"/>
      <c r="X15" s="134">
        <v>20000</v>
      </c>
      <c r="Y15" s="134"/>
      <c r="Z15" s="134">
        <v>0</v>
      </c>
      <c r="AA15" s="134"/>
      <c r="AB15" s="134">
        <f t="shared" si="5"/>
        <v>120000</v>
      </c>
      <c r="AC15" s="122"/>
      <c r="AD15" s="134">
        <f t="shared" si="6"/>
        <v>80000</v>
      </c>
      <c r="AE15" s="134">
        <f t="shared" si="6"/>
        <v>8094.57</v>
      </c>
    </row>
    <row r="16" spans="1:38" ht="12.75" customHeight="1" x14ac:dyDescent="0.2">
      <c r="B16" s="125"/>
      <c r="C16" s="135" t="s">
        <v>98</v>
      </c>
      <c r="D16" s="136">
        <f t="shared" ref="D16:AB16" si="7">SUM(D13:D15)</f>
        <v>66322.55</v>
      </c>
      <c r="E16" s="136">
        <f t="shared" si="7"/>
        <v>4563.21</v>
      </c>
      <c r="F16" s="136">
        <f t="shared" si="7"/>
        <v>46322.55</v>
      </c>
      <c r="G16" s="136">
        <f t="shared" si="7"/>
        <v>68678.06</v>
      </c>
      <c r="H16" s="136">
        <f t="shared" si="7"/>
        <v>66322.55</v>
      </c>
      <c r="I16" s="136">
        <f t="shared" si="7"/>
        <v>41841</v>
      </c>
      <c r="J16" s="136">
        <f t="shared" si="7"/>
        <v>46322.55</v>
      </c>
      <c r="K16" s="136">
        <f t="shared" si="7"/>
        <v>14556.35</v>
      </c>
      <c r="L16" s="136">
        <f t="shared" si="7"/>
        <v>66322.55</v>
      </c>
      <c r="M16" s="136">
        <f t="shared" si="7"/>
        <v>36975</v>
      </c>
      <c r="N16" s="136">
        <f t="shared" si="7"/>
        <v>46322.55</v>
      </c>
      <c r="O16" s="136">
        <f t="shared" si="7"/>
        <v>9304.9500000000007</v>
      </c>
      <c r="P16" s="136">
        <f t="shared" si="7"/>
        <v>66322.55</v>
      </c>
      <c r="Q16" s="136">
        <f t="shared" si="7"/>
        <v>85650</v>
      </c>
      <c r="R16" s="136">
        <f t="shared" si="7"/>
        <v>46322.55</v>
      </c>
      <c r="S16" s="137"/>
      <c r="T16" s="136">
        <f t="shared" si="7"/>
        <v>66322.55</v>
      </c>
      <c r="U16" s="137"/>
      <c r="V16" s="136">
        <f t="shared" si="7"/>
        <v>46322.55</v>
      </c>
      <c r="W16" s="137"/>
      <c r="X16" s="136">
        <f t="shared" si="7"/>
        <v>66322.55</v>
      </c>
      <c r="Y16" s="137"/>
      <c r="Z16" s="136">
        <f t="shared" si="7"/>
        <v>46322.55</v>
      </c>
      <c r="AA16" s="137"/>
      <c r="AB16" s="136">
        <f t="shared" si="7"/>
        <v>675870.6</v>
      </c>
      <c r="AC16" s="122"/>
      <c r="AD16" s="136">
        <f t="shared" ref="AD16:AE16" si="8">SUM(AD13:AD15)</f>
        <v>404257.85</v>
      </c>
      <c r="AE16" s="136">
        <f t="shared" si="8"/>
        <v>261568.57</v>
      </c>
    </row>
    <row r="17" spans="3:31" ht="15" customHeight="1" x14ac:dyDescent="0.2">
      <c r="AC17" s="122"/>
    </row>
    <row r="18" spans="3:31" ht="15" customHeight="1" x14ac:dyDescent="0.2">
      <c r="AC18" s="122"/>
    </row>
    <row r="19" spans="3:31" ht="12.75" customHeight="1" x14ac:dyDescent="0.2">
      <c r="C19" s="138" t="s">
        <v>99</v>
      </c>
      <c r="D19" s="139">
        <f t="shared" ref="D19:AB19" si="9">+D10-D16</f>
        <v>674508.3249393939</v>
      </c>
      <c r="E19" s="139">
        <f t="shared" si="9"/>
        <v>829554.95</v>
      </c>
      <c r="F19" s="139">
        <f t="shared" si="9"/>
        <v>722037.49827272724</v>
      </c>
      <c r="G19" s="139">
        <f t="shared" si="9"/>
        <v>824351.85999999987</v>
      </c>
      <c r="H19" s="139">
        <f t="shared" si="9"/>
        <v>740497.16327272716</v>
      </c>
      <c r="I19" s="139">
        <f t="shared" si="9"/>
        <v>816145.42999999993</v>
      </c>
      <c r="J19" s="139">
        <f t="shared" si="9"/>
        <v>790689.99660606054</v>
      </c>
      <c r="K19" s="139">
        <f t="shared" si="9"/>
        <v>838916.51</v>
      </c>
      <c r="L19" s="139">
        <f t="shared" si="9"/>
        <v>794733.74660606054</v>
      </c>
      <c r="M19" s="139">
        <f t="shared" si="9"/>
        <v>796376.22</v>
      </c>
      <c r="N19" s="139">
        <f t="shared" si="9"/>
        <v>809364.99727272708</v>
      </c>
      <c r="O19" s="139">
        <f t="shared" si="9"/>
        <v>872992.16000000015</v>
      </c>
      <c r="P19" s="139">
        <f t="shared" si="9"/>
        <v>833218.91393939382</v>
      </c>
      <c r="Q19" s="139">
        <f t="shared" si="9"/>
        <v>781921.52</v>
      </c>
      <c r="R19" s="139">
        <f t="shared" si="9"/>
        <v>896674.36727272719</v>
      </c>
      <c r="S19" s="139"/>
      <c r="T19" s="139">
        <f t="shared" si="9"/>
        <v>867806.95060606045</v>
      </c>
      <c r="U19" s="139"/>
      <c r="V19" s="139">
        <f t="shared" si="9"/>
        <v>939222.86727272708</v>
      </c>
      <c r="W19" s="139"/>
      <c r="X19" s="139">
        <f t="shared" si="9"/>
        <v>1036889.5339393937</v>
      </c>
      <c r="Y19" s="139"/>
      <c r="Z19" s="139">
        <f t="shared" si="9"/>
        <v>1127574.1166666665</v>
      </c>
      <c r="AA19" s="139"/>
      <c r="AB19" s="140">
        <f t="shared" si="9"/>
        <v>10233218.476666665</v>
      </c>
      <c r="AC19" s="122"/>
      <c r="AD19" s="139">
        <f t="shared" ref="AD19:AE19" si="10">+AD10-AD16</f>
        <v>5365050.6409090906</v>
      </c>
      <c r="AE19" s="139">
        <f t="shared" si="10"/>
        <v>5760258.6500000004</v>
      </c>
    </row>
    <row r="20" spans="3:31" ht="15" customHeight="1" x14ac:dyDescent="0.2">
      <c r="M20" s="141"/>
      <c r="O20" s="141"/>
      <c r="Q20" s="125"/>
      <c r="AC20" s="122"/>
      <c r="AD20" s="125"/>
    </row>
    <row r="21" spans="3:31" ht="15" customHeight="1" x14ac:dyDescent="0.2">
      <c r="M21" s="122"/>
      <c r="O21" s="122"/>
      <c r="Q21" s="125"/>
      <c r="AC21" s="122"/>
      <c r="AD21" s="125"/>
    </row>
    <row r="22" spans="3:31" ht="15" customHeight="1" x14ac:dyDescent="0.2">
      <c r="M22" s="125"/>
      <c r="O22" s="125"/>
      <c r="Q22" s="125"/>
      <c r="AC22" s="122"/>
      <c r="AD22" s="125"/>
    </row>
    <row r="23" spans="3:31" ht="15" customHeight="1" x14ac:dyDescent="0.2">
      <c r="M23" s="125"/>
      <c r="O23" s="125"/>
      <c r="Q23" s="125"/>
      <c r="AC23" s="122"/>
      <c r="AD23" s="125"/>
    </row>
    <row r="24" spans="3:31" ht="15" customHeight="1" x14ac:dyDescent="0.2">
      <c r="M24" s="125"/>
      <c r="O24" s="125"/>
      <c r="Q24" s="125"/>
      <c r="AC24" s="122"/>
      <c r="AD24" s="125"/>
    </row>
    <row r="25" spans="3:31" ht="15" customHeight="1" x14ac:dyDescent="0.2">
      <c r="M25" s="125"/>
      <c r="O25" s="125"/>
      <c r="Q25" s="125"/>
      <c r="AC25" s="122"/>
      <c r="AD25" s="125"/>
    </row>
    <row r="26" spans="3:31" ht="15" customHeight="1" x14ac:dyDescent="0.2">
      <c r="M26" s="125"/>
      <c r="O26" s="125"/>
      <c r="Q26" s="125"/>
      <c r="AC26" s="122"/>
      <c r="AD26" s="125"/>
    </row>
    <row r="27" spans="3:31" ht="15" customHeight="1" x14ac:dyDescent="0.2">
      <c r="M27" s="125"/>
      <c r="O27" s="125"/>
      <c r="Q27" s="125"/>
      <c r="AC27" s="122"/>
      <c r="AD27" s="125"/>
    </row>
    <row r="28" spans="3:31" ht="15" customHeight="1" x14ac:dyDescent="0.2">
      <c r="M28" s="125"/>
      <c r="O28" s="125"/>
      <c r="Q28" s="125"/>
      <c r="AC28" s="122"/>
      <c r="AD28" s="125"/>
    </row>
    <row r="29" spans="3:31" ht="15" customHeight="1" x14ac:dyDescent="0.2">
      <c r="M29" s="125"/>
      <c r="O29" s="125"/>
      <c r="Q29" s="125"/>
      <c r="AC29" s="122"/>
      <c r="AD29" s="125"/>
    </row>
    <row r="30" spans="3:31" ht="15" customHeight="1" x14ac:dyDescent="0.2">
      <c r="M30" s="125"/>
      <c r="O30" s="125"/>
      <c r="Q30" s="125"/>
      <c r="AC30" s="122"/>
      <c r="AD30" s="125"/>
    </row>
    <row r="31" spans="3:31" ht="15" customHeight="1" x14ac:dyDescent="0.2">
      <c r="M31" s="125"/>
      <c r="O31" s="125"/>
      <c r="Q31" s="125"/>
      <c r="AC31" s="122"/>
      <c r="AD31" s="125"/>
    </row>
    <row r="32" spans="3:31" ht="15" customHeight="1" x14ac:dyDescent="0.2">
      <c r="M32" s="122"/>
      <c r="O32" s="122"/>
      <c r="Q32" s="125"/>
      <c r="AC32" s="122"/>
      <c r="AD32" s="125"/>
    </row>
    <row r="33" spans="13:30" ht="15" customHeight="1" x14ac:dyDescent="0.2">
      <c r="M33" s="125"/>
      <c r="O33" s="125"/>
      <c r="AC33" s="122"/>
      <c r="AD33" s="125"/>
    </row>
    <row r="34" spans="13:30" ht="15" customHeight="1" x14ac:dyDescent="0.2">
      <c r="M34" s="125"/>
      <c r="O34" s="125"/>
      <c r="AC34" s="122"/>
      <c r="AD34" s="125"/>
    </row>
    <row r="35" spans="13:30" ht="10.199999999999999" x14ac:dyDescent="0.2">
      <c r="AC35" s="122"/>
      <c r="AD35" s="125"/>
    </row>
    <row r="36" spans="13:30" ht="10.199999999999999" x14ac:dyDescent="0.2">
      <c r="AC36" s="122"/>
      <c r="AD36" s="125"/>
    </row>
    <row r="37" spans="13:30" ht="10.199999999999999" x14ac:dyDescent="0.2">
      <c r="AC37" s="122"/>
      <c r="AD37" s="125"/>
    </row>
    <row r="38" spans="13:30" ht="10.199999999999999" x14ac:dyDescent="0.2">
      <c r="AC38" s="122"/>
      <c r="AD38" s="125"/>
    </row>
    <row r="39" spans="13:30" ht="10.199999999999999" x14ac:dyDescent="0.2">
      <c r="AC39" s="122"/>
      <c r="AD39" s="125"/>
    </row>
    <row r="40" spans="13:30" ht="10.199999999999999" x14ac:dyDescent="0.2">
      <c r="AC40" s="122"/>
      <c r="AD40" s="125"/>
    </row>
    <row r="41" spans="13:30" ht="10.199999999999999" x14ac:dyDescent="0.2">
      <c r="AC41" s="122"/>
      <c r="AD41" s="125"/>
    </row>
    <row r="42" spans="13:30" ht="10.199999999999999" x14ac:dyDescent="0.2">
      <c r="AC42" s="122"/>
      <c r="AD42" s="125"/>
    </row>
    <row r="43" spans="13:30" ht="10.199999999999999" x14ac:dyDescent="0.2">
      <c r="AC43" s="122"/>
      <c r="AD43" s="125"/>
    </row>
    <row r="44" spans="13:30" ht="10.199999999999999" x14ac:dyDescent="0.2">
      <c r="AC44" s="122"/>
      <c r="AD44" s="125"/>
    </row>
    <row r="45" spans="13:30" ht="10.199999999999999" x14ac:dyDescent="0.2">
      <c r="AC45" s="122"/>
      <c r="AD45" s="125"/>
    </row>
    <row r="46" spans="13:30" ht="10.199999999999999" x14ac:dyDescent="0.2">
      <c r="AC46" s="122"/>
      <c r="AD46" s="125"/>
    </row>
    <row r="47" spans="13:30" ht="10.199999999999999" x14ac:dyDescent="0.2">
      <c r="AC47" s="122"/>
      <c r="AD47" s="125"/>
    </row>
    <row r="48" spans="13:30" ht="10.199999999999999" x14ac:dyDescent="0.2">
      <c r="AC48" s="122"/>
      <c r="AD48" s="125"/>
    </row>
    <row r="49" spans="29:30" ht="10.199999999999999" x14ac:dyDescent="0.2">
      <c r="AC49" s="122"/>
      <c r="AD49" s="125"/>
    </row>
    <row r="50" spans="29:30" ht="10.199999999999999" x14ac:dyDescent="0.2">
      <c r="AC50" s="122"/>
      <c r="AD50" s="125"/>
    </row>
    <row r="51" spans="29:30" ht="10.199999999999999" x14ac:dyDescent="0.2">
      <c r="AC51" s="122"/>
      <c r="AD51" s="125"/>
    </row>
    <row r="52" spans="29:30" ht="10.199999999999999" x14ac:dyDescent="0.2">
      <c r="AC52" s="122"/>
      <c r="AD52" s="125"/>
    </row>
    <row r="53" spans="29:30" ht="10.199999999999999" x14ac:dyDescent="0.2">
      <c r="AC53" s="122"/>
      <c r="AD53" s="125"/>
    </row>
    <row r="54" spans="29:30" ht="10.199999999999999" x14ac:dyDescent="0.2">
      <c r="AC54" s="122"/>
      <c r="AD54" s="125"/>
    </row>
    <row r="55" spans="29:30" ht="10.199999999999999" x14ac:dyDescent="0.2">
      <c r="AC55" s="122"/>
      <c r="AD55" s="125"/>
    </row>
    <row r="56" spans="29:30" ht="10.199999999999999" x14ac:dyDescent="0.2">
      <c r="AC56" s="122"/>
      <c r="AD56" s="125"/>
    </row>
    <row r="57" spans="29:30" ht="10.199999999999999" x14ac:dyDescent="0.2">
      <c r="AC57" s="122"/>
      <c r="AD57" s="125"/>
    </row>
    <row r="58" spans="29:30" ht="10.199999999999999" x14ac:dyDescent="0.2">
      <c r="AC58" s="122"/>
      <c r="AD58" s="125"/>
    </row>
    <row r="59" spans="29:30" ht="10.199999999999999" x14ac:dyDescent="0.2">
      <c r="AC59" s="122"/>
      <c r="AD59" s="125"/>
    </row>
    <row r="60" spans="29:30" ht="10.199999999999999" x14ac:dyDescent="0.2">
      <c r="AC60" s="122"/>
      <c r="AD60" s="125"/>
    </row>
    <row r="61" spans="29:30" ht="10.199999999999999" x14ac:dyDescent="0.2">
      <c r="AC61" s="122"/>
      <c r="AD61" s="125"/>
    </row>
    <row r="62" spans="29:30" ht="10.199999999999999" x14ac:dyDescent="0.2">
      <c r="AC62" s="122"/>
      <c r="AD62" s="125"/>
    </row>
    <row r="63" spans="29:30" ht="10.199999999999999" x14ac:dyDescent="0.2">
      <c r="AC63" s="122"/>
      <c r="AD63" s="125"/>
    </row>
    <row r="64" spans="29:30" ht="10.199999999999999" x14ac:dyDescent="0.2">
      <c r="AC64" s="122"/>
      <c r="AD64" s="125"/>
    </row>
    <row r="65" spans="29:30" ht="10.199999999999999" x14ac:dyDescent="0.2">
      <c r="AC65" s="122"/>
      <c r="AD65" s="125"/>
    </row>
    <row r="66" spans="29:30" ht="10.199999999999999" x14ac:dyDescent="0.2">
      <c r="AC66" s="122"/>
      <c r="AD66" s="125"/>
    </row>
    <row r="67" spans="29:30" ht="10.199999999999999" x14ac:dyDescent="0.2">
      <c r="AC67" s="122"/>
      <c r="AD67" s="125"/>
    </row>
    <row r="68" spans="29:30" ht="10.199999999999999" x14ac:dyDescent="0.2">
      <c r="AC68" s="122"/>
      <c r="AD68" s="125"/>
    </row>
    <row r="69" spans="29:30" ht="10.199999999999999" x14ac:dyDescent="0.2">
      <c r="AC69" s="122"/>
      <c r="AD69" s="125"/>
    </row>
    <row r="70" spans="29:30" ht="10.199999999999999" x14ac:dyDescent="0.2">
      <c r="AC70" s="122"/>
      <c r="AD70" s="125"/>
    </row>
    <row r="71" spans="29:30" ht="10.199999999999999" x14ac:dyDescent="0.2">
      <c r="AC71" s="122"/>
      <c r="AD71" s="125"/>
    </row>
    <row r="72" spans="29:30" ht="10.199999999999999" x14ac:dyDescent="0.2">
      <c r="AC72" s="122"/>
      <c r="AD72" s="125"/>
    </row>
    <row r="73" spans="29:30" ht="10.199999999999999" x14ac:dyDescent="0.2">
      <c r="AC73" s="122"/>
      <c r="AD73" s="125"/>
    </row>
    <row r="74" spans="29:30" ht="10.199999999999999" x14ac:dyDescent="0.2">
      <c r="AC74" s="122"/>
      <c r="AD74" s="125"/>
    </row>
    <row r="75" spans="29:30" ht="10.199999999999999" x14ac:dyDescent="0.2">
      <c r="AC75" s="122"/>
      <c r="AD75" s="125"/>
    </row>
    <row r="76" spans="29:30" ht="10.199999999999999" x14ac:dyDescent="0.2">
      <c r="AC76" s="122"/>
      <c r="AD76" s="125"/>
    </row>
    <row r="77" spans="29:30" ht="10.199999999999999" x14ac:dyDescent="0.2">
      <c r="AC77" s="122"/>
      <c r="AD77" s="125"/>
    </row>
    <row r="78" spans="29:30" ht="10.199999999999999" x14ac:dyDescent="0.2">
      <c r="AC78" s="122"/>
      <c r="AD78" s="125"/>
    </row>
    <row r="79" spans="29:30" ht="10.199999999999999" x14ac:dyDescent="0.2">
      <c r="AC79" s="122"/>
      <c r="AD79" s="125"/>
    </row>
    <row r="80" spans="29:30" ht="10.199999999999999" x14ac:dyDescent="0.2">
      <c r="AC80" s="122"/>
      <c r="AD80" s="125"/>
    </row>
    <row r="81" spans="29:30" ht="10.199999999999999" x14ac:dyDescent="0.2">
      <c r="AC81" s="122"/>
      <c r="AD81" s="125"/>
    </row>
    <row r="82" spans="29:30" ht="10.199999999999999" x14ac:dyDescent="0.2">
      <c r="AC82" s="122"/>
      <c r="AD82" s="125"/>
    </row>
    <row r="83" spans="29:30" ht="10.199999999999999" x14ac:dyDescent="0.2">
      <c r="AC83" s="122"/>
      <c r="AD83" s="125"/>
    </row>
    <row r="84" spans="29:30" ht="10.199999999999999" x14ac:dyDescent="0.2">
      <c r="AC84" s="122"/>
      <c r="AD84" s="125"/>
    </row>
    <row r="85" spans="29:30" ht="10.199999999999999" x14ac:dyDescent="0.2">
      <c r="AC85" s="122"/>
      <c r="AD85" s="125"/>
    </row>
    <row r="86" spans="29:30" ht="10.199999999999999" x14ac:dyDescent="0.2">
      <c r="AC86" s="122"/>
      <c r="AD86" s="125"/>
    </row>
    <row r="87" spans="29:30" ht="10.199999999999999" x14ac:dyDescent="0.2">
      <c r="AC87" s="122"/>
      <c r="AD87" s="125"/>
    </row>
    <row r="88" spans="29:30" ht="10.199999999999999" x14ac:dyDescent="0.2">
      <c r="AC88" s="122"/>
      <c r="AD88" s="125"/>
    </row>
    <row r="89" spans="29:30" ht="10.199999999999999" x14ac:dyDescent="0.2">
      <c r="AC89" s="122"/>
      <c r="AD89" s="125"/>
    </row>
    <row r="90" spans="29:30" ht="10.199999999999999" x14ac:dyDescent="0.2">
      <c r="AC90" s="122"/>
      <c r="AD90" s="125"/>
    </row>
    <row r="91" spans="29:30" ht="10.199999999999999" x14ac:dyDescent="0.2">
      <c r="AC91" s="122"/>
      <c r="AD91" s="125"/>
    </row>
    <row r="92" spans="29:30" ht="10.199999999999999" x14ac:dyDescent="0.2">
      <c r="AC92" s="122"/>
      <c r="AD92" s="125"/>
    </row>
    <row r="93" spans="29:30" ht="10.199999999999999" x14ac:dyDescent="0.2">
      <c r="AC93" s="122"/>
      <c r="AD93" s="125"/>
    </row>
    <row r="94" spans="29:30" ht="10.199999999999999" x14ac:dyDescent="0.2">
      <c r="AC94" s="122"/>
      <c r="AD94" s="125"/>
    </row>
    <row r="95" spans="29:30" ht="10.199999999999999" x14ac:dyDescent="0.2">
      <c r="AC95" s="122"/>
      <c r="AD95" s="125"/>
    </row>
    <row r="96" spans="29:30" ht="10.199999999999999" x14ac:dyDescent="0.2">
      <c r="AC96" s="122"/>
      <c r="AD96" s="125"/>
    </row>
    <row r="97" spans="29:30" ht="10.199999999999999" x14ac:dyDescent="0.2">
      <c r="AC97" s="122"/>
      <c r="AD97" s="125"/>
    </row>
    <row r="98" spans="29:30" ht="10.199999999999999" x14ac:dyDescent="0.2">
      <c r="AC98" s="122"/>
      <c r="AD98" s="125"/>
    </row>
    <row r="99" spans="29:30" ht="10.199999999999999" x14ac:dyDescent="0.2">
      <c r="AC99" s="122"/>
      <c r="AD99" s="125"/>
    </row>
    <row r="100" spans="29:30" ht="10.199999999999999" x14ac:dyDescent="0.2">
      <c r="AC100" s="122"/>
      <c r="AD100" s="125"/>
    </row>
    <row r="101" spans="29:30" ht="10.199999999999999" x14ac:dyDescent="0.2">
      <c r="AC101" s="122"/>
      <c r="AD101" s="125"/>
    </row>
    <row r="102" spans="29:30" ht="10.199999999999999" x14ac:dyDescent="0.2">
      <c r="AC102" s="122"/>
      <c r="AD102" s="125"/>
    </row>
    <row r="103" spans="29:30" ht="10.199999999999999" x14ac:dyDescent="0.2">
      <c r="AC103" s="122"/>
      <c r="AD103" s="125"/>
    </row>
    <row r="104" spans="29:30" ht="10.199999999999999" x14ac:dyDescent="0.2">
      <c r="AC104" s="122"/>
      <c r="AD104" s="125"/>
    </row>
    <row r="105" spans="29:30" ht="10.199999999999999" x14ac:dyDescent="0.2">
      <c r="AC105" s="122"/>
      <c r="AD105" s="125"/>
    </row>
    <row r="106" spans="29:30" ht="10.199999999999999" x14ac:dyDescent="0.2">
      <c r="AC106" s="122"/>
      <c r="AD106" s="125"/>
    </row>
    <row r="107" spans="29:30" ht="10.199999999999999" x14ac:dyDescent="0.2">
      <c r="AC107" s="122"/>
      <c r="AD107" s="125"/>
    </row>
    <row r="108" spans="29:30" ht="10.199999999999999" x14ac:dyDescent="0.2">
      <c r="AC108" s="122"/>
      <c r="AD108" s="125"/>
    </row>
    <row r="109" spans="29:30" ht="10.199999999999999" x14ac:dyDescent="0.2">
      <c r="AC109" s="122"/>
      <c r="AD109" s="125"/>
    </row>
    <row r="110" spans="29:30" ht="10.199999999999999" x14ac:dyDescent="0.2">
      <c r="AC110" s="122"/>
      <c r="AD110" s="125"/>
    </row>
    <row r="111" spans="29:30" ht="10.199999999999999" x14ac:dyDescent="0.2">
      <c r="AC111" s="122"/>
      <c r="AD111" s="125"/>
    </row>
    <row r="112" spans="29:30" ht="10.199999999999999" x14ac:dyDescent="0.2">
      <c r="AC112" s="122"/>
      <c r="AD112" s="125"/>
    </row>
    <row r="113" spans="29:30" ht="10.199999999999999" x14ac:dyDescent="0.2">
      <c r="AC113" s="122"/>
      <c r="AD113" s="125"/>
    </row>
    <row r="114" spans="29:30" ht="10.199999999999999" x14ac:dyDescent="0.2">
      <c r="AC114" s="122"/>
      <c r="AD114" s="125"/>
    </row>
    <row r="115" spans="29:30" ht="10.199999999999999" x14ac:dyDescent="0.2">
      <c r="AC115" s="122"/>
      <c r="AD115" s="125"/>
    </row>
    <row r="116" spans="29:30" ht="10.199999999999999" x14ac:dyDescent="0.2">
      <c r="AC116" s="122"/>
      <c r="AD116" s="125"/>
    </row>
    <row r="117" spans="29:30" ht="10.199999999999999" x14ac:dyDescent="0.2">
      <c r="AC117" s="122"/>
      <c r="AD117" s="125"/>
    </row>
    <row r="118" spans="29:30" ht="10.199999999999999" x14ac:dyDescent="0.2">
      <c r="AC118" s="122"/>
      <c r="AD118" s="125"/>
    </row>
    <row r="119" spans="29:30" ht="10.199999999999999" x14ac:dyDescent="0.2">
      <c r="AC119" s="122"/>
      <c r="AD119" s="125"/>
    </row>
    <row r="120" spans="29:30" ht="10.199999999999999" x14ac:dyDescent="0.2">
      <c r="AC120" s="122"/>
      <c r="AD120" s="125"/>
    </row>
    <row r="121" spans="29:30" ht="10.199999999999999" x14ac:dyDescent="0.2">
      <c r="AC121" s="122"/>
      <c r="AD121" s="125"/>
    </row>
    <row r="122" spans="29:30" ht="10.199999999999999" x14ac:dyDescent="0.2">
      <c r="AC122" s="122"/>
      <c r="AD122" s="125"/>
    </row>
    <row r="123" spans="29:30" ht="10.199999999999999" x14ac:dyDescent="0.2">
      <c r="AC123" s="122"/>
      <c r="AD123" s="125"/>
    </row>
    <row r="124" spans="29:30" ht="10.199999999999999" x14ac:dyDescent="0.2">
      <c r="AC124" s="122"/>
      <c r="AD124" s="125"/>
    </row>
    <row r="125" spans="29:30" ht="10.199999999999999" x14ac:dyDescent="0.2">
      <c r="AC125" s="122"/>
      <c r="AD125" s="125"/>
    </row>
    <row r="126" spans="29:30" ht="10.199999999999999" x14ac:dyDescent="0.2">
      <c r="AC126" s="122"/>
      <c r="AD126" s="125"/>
    </row>
    <row r="127" spans="29:30" ht="10.199999999999999" x14ac:dyDescent="0.2">
      <c r="AC127" s="122"/>
      <c r="AD127" s="125"/>
    </row>
    <row r="128" spans="29:30" ht="10.199999999999999" x14ac:dyDescent="0.2">
      <c r="AC128" s="122"/>
      <c r="AD128" s="125"/>
    </row>
    <row r="129" spans="29:30" ht="10.199999999999999" x14ac:dyDescent="0.2">
      <c r="AC129" s="122"/>
      <c r="AD129" s="125"/>
    </row>
    <row r="130" spans="29:30" ht="10.199999999999999" x14ac:dyDescent="0.2">
      <c r="AC130" s="122"/>
      <c r="AD130" s="125"/>
    </row>
    <row r="131" spans="29:30" ht="10.199999999999999" x14ac:dyDescent="0.2">
      <c r="AC131" s="122"/>
      <c r="AD131" s="125"/>
    </row>
    <row r="132" spans="29:30" ht="10.199999999999999" x14ac:dyDescent="0.2">
      <c r="AC132" s="122"/>
      <c r="AD132" s="125"/>
    </row>
    <row r="133" spans="29:30" ht="10.199999999999999" x14ac:dyDescent="0.2">
      <c r="AC133" s="122"/>
      <c r="AD133" s="125"/>
    </row>
    <row r="134" spans="29:30" ht="10.199999999999999" x14ac:dyDescent="0.2">
      <c r="AC134" s="122"/>
      <c r="AD134" s="125"/>
    </row>
    <row r="135" spans="29:30" ht="10.199999999999999" x14ac:dyDescent="0.2">
      <c r="AC135" s="122"/>
      <c r="AD135" s="125"/>
    </row>
    <row r="136" spans="29:30" ht="10.199999999999999" x14ac:dyDescent="0.2">
      <c r="AC136" s="122"/>
      <c r="AD136" s="125"/>
    </row>
    <row r="137" spans="29:30" ht="10.199999999999999" x14ac:dyDescent="0.2">
      <c r="AC137" s="122"/>
      <c r="AD137" s="125"/>
    </row>
    <row r="138" spans="29:30" ht="10.199999999999999" x14ac:dyDescent="0.2">
      <c r="AC138" s="122"/>
      <c r="AD138" s="125"/>
    </row>
    <row r="139" spans="29:30" ht="10.199999999999999" x14ac:dyDescent="0.2">
      <c r="AC139" s="122"/>
      <c r="AD139" s="125"/>
    </row>
    <row r="140" spans="29:30" ht="10.199999999999999" x14ac:dyDescent="0.2">
      <c r="AC140" s="122"/>
      <c r="AD140" s="125"/>
    </row>
    <row r="141" spans="29:30" ht="10.199999999999999" x14ac:dyDescent="0.2">
      <c r="AC141" s="122"/>
      <c r="AD141" s="125"/>
    </row>
    <row r="142" spans="29:30" ht="10.199999999999999" x14ac:dyDescent="0.2">
      <c r="AC142" s="122"/>
      <c r="AD142" s="125"/>
    </row>
    <row r="143" spans="29:30" ht="10.199999999999999" x14ac:dyDescent="0.2">
      <c r="AC143" s="122"/>
      <c r="AD143" s="125"/>
    </row>
    <row r="144" spans="29:30" ht="10.199999999999999" x14ac:dyDescent="0.2">
      <c r="AC144" s="122"/>
      <c r="AD144" s="125"/>
    </row>
    <row r="145" spans="29:30" ht="10.199999999999999" x14ac:dyDescent="0.2">
      <c r="AC145" s="122"/>
      <c r="AD145" s="125"/>
    </row>
    <row r="146" spans="29:30" ht="10.199999999999999" x14ac:dyDescent="0.2">
      <c r="AC146" s="122"/>
      <c r="AD146" s="125"/>
    </row>
    <row r="147" spans="29:30" ht="10.199999999999999" x14ac:dyDescent="0.2">
      <c r="AC147" s="122"/>
      <c r="AD147" s="125"/>
    </row>
    <row r="148" spans="29:30" ht="10.199999999999999" x14ac:dyDescent="0.2">
      <c r="AC148" s="122"/>
      <c r="AD148" s="125"/>
    </row>
    <row r="149" spans="29:30" ht="10.199999999999999" x14ac:dyDescent="0.2">
      <c r="AC149" s="122"/>
      <c r="AD149" s="125"/>
    </row>
    <row r="150" spans="29:30" ht="10.199999999999999" x14ac:dyDescent="0.2">
      <c r="AC150" s="122"/>
      <c r="AD150" s="125"/>
    </row>
    <row r="151" spans="29:30" ht="10.199999999999999" x14ac:dyDescent="0.2">
      <c r="AC151" s="122"/>
      <c r="AD151" s="125"/>
    </row>
    <row r="152" spans="29:30" ht="10.199999999999999" x14ac:dyDescent="0.2">
      <c r="AC152" s="122"/>
      <c r="AD152" s="125"/>
    </row>
    <row r="153" spans="29:30" ht="10.199999999999999" x14ac:dyDescent="0.2">
      <c r="AC153" s="122"/>
      <c r="AD153" s="125"/>
    </row>
    <row r="154" spans="29:30" ht="10.199999999999999" x14ac:dyDescent="0.2">
      <c r="AC154" s="122"/>
      <c r="AD154" s="125"/>
    </row>
    <row r="155" spans="29:30" ht="10.199999999999999" x14ac:dyDescent="0.2">
      <c r="AC155" s="122"/>
      <c r="AD155" s="125"/>
    </row>
    <row r="156" spans="29:30" ht="10.199999999999999" x14ac:dyDescent="0.2">
      <c r="AC156" s="122"/>
      <c r="AD156" s="125"/>
    </row>
    <row r="157" spans="29:30" ht="10.199999999999999" x14ac:dyDescent="0.2">
      <c r="AC157" s="122"/>
      <c r="AD157" s="125"/>
    </row>
    <row r="158" spans="29:30" ht="10.199999999999999" x14ac:dyDescent="0.2">
      <c r="AC158" s="122"/>
      <c r="AD158" s="125"/>
    </row>
    <row r="159" spans="29:30" ht="10.199999999999999" x14ac:dyDescent="0.2">
      <c r="AC159" s="122"/>
      <c r="AD159" s="125"/>
    </row>
    <row r="160" spans="29:30" ht="10.199999999999999" x14ac:dyDescent="0.2">
      <c r="AC160" s="122"/>
      <c r="AD160" s="125"/>
    </row>
    <row r="161" spans="29:30" ht="10.199999999999999" x14ac:dyDescent="0.2">
      <c r="AC161" s="122"/>
      <c r="AD161" s="125"/>
    </row>
    <row r="162" spans="29:30" ht="10.199999999999999" x14ac:dyDescent="0.2">
      <c r="AC162" s="122"/>
      <c r="AD162" s="125"/>
    </row>
    <row r="163" spans="29:30" ht="10.199999999999999" x14ac:dyDescent="0.2">
      <c r="AC163" s="122"/>
      <c r="AD163" s="125"/>
    </row>
    <row r="164" spans="29:30" ht="10.199999999999999" x14ac:dyDescent="0.2">
      <c r="AC164" s="122"/>
      <c r="AD164" s="125"/>
    </row>
    <row r="165" spans="29:30" ht="10.199999999999999" x14ac:dyDescent="0.2">
      <c r="AC165" s="122"/>
      <c r="AD165" s="125"/>
    </row>
    <row r="166" spans="29:30" ht="10.199999999999999" x14ac:dyDescent="0.2">
      <c r="AC166" s="122"/>
      <c r="AD166" s="125"/>
    </row>
    <row r="167" spans="29:30" ht="10.199999999999999" x14ac:dyDescent="0.2">
      <c r="AC167" s="122"/>
      <c r="AD167" s="125"/>
    </row>
    <row r="168" spans="29:30" ht="10.199999999999999" x14ac:dyDescent="0.2">
      <c r="AC168" s="122"/>
      <c r="AD168" s="125"/>
    </row>
    <row r="169" spans="29:30" ht="10.199999999999999" x14ac:dyDescent="0.2">
      <c r="AC169" s="122"/>
      <c r="AD169" s="125"/>
    </row>
    <row r="170" spans="29:30" ht="10.199999999999999" x14ac:dyDescent="0.2">
      <c r="AC170" s="122"/>
      <c r="AD170" s="125"/>
    </row>
    <row r="171" spans="29:30" ht="10.199999999999999" x14ac:dyDescent="0.2">
      <c r="AC171" s="122"/>
      <c r="AD171" s="125"/>
    </row>
    <row r="172" spans="29:30" ht="10.199999999999999" x14ac:dyDescent="0.2">
      <c r="AC172" s="122"/>
      <c r="AD172" s="125"/>
    </row>
    <row r="173" spans="29:30" ht="10.199999999999999" x14ac:dyDescent="0.2">
      <c r="AC173" s="122"/>
      <c r="AD173" s="125"/>
    </row>
    <row r="174" spans="29:30" ht="10.199999999999999" x14ac:dyDescent="0.2">
      <c r="AC174" s="122"/>
      <c r="AD174" s="125"/>
    </row>
    <row r="175" spans="29:30" ht="10.199999999999999" x14ac:dyDescent="0.2">
      <c r="AC175" s="122"/>
      <c r="AD175" s="125"/>
    </row>
    <row r="176" spans="29:30" ht="10.199999999999999" x14ac:dyDescent="0.2">
      <c r="AC176" s="122"/>
      <c r="AD176" s="125"/>
    </row>
    <row r="177" spans="29:30" ht="10.199999999999999" x14ac:dyDescent="0.2">
      <c r="AC177" s="122"/>
      <c r="AD177" s="125"/>
    </row>
    <row r="178" spans="29:30" ht="10.199999999999999" x14ac:dyDescent="0.2">
      <c r="AC178" s="122"/>
      <c r="AD178" s="125"/>
    </row>
    <row r="179" spans="29:30" ht="10.199999999999999" x14ac:dyDescent="0.2">
      <c r="AC179" s="122"/>
      <c r="AD179" s="125"/>
    </row>
    <row r="180" spans="29:30" ht="10.199999999999999" x14ac:dyDescent="0.2">
      <c r="AC180" s="122"/>
      <c r="AD180" s="125"/>
    </row>
    <row r="181" spans="29:30" ht="10.199999999999999" x14ac:dyDescent="0.2">
      <c r="AC181" s="122"/>
      <c r="AD181" s="125"/>
    </row>
    <row r="182" spans="29:30" ht="10.199999999999999" x14ac:dyDescent="0.2">
      <c r="AC182" s="122"/>
      <c r="AD182" s="125"/>
    </row>
    <row r="183" spans="29:30" ht="10.199999999999999" x14ac:dyDescent="0.2">
      <c r="AC183" s="122"/>
      <c r="AD183" s="125"/>
    </row>
    <row r="184" spans="29:30" ht="10.199999999999999" x14ac:dyDescent="0.2">
      <c r="AC184" s="122"/>
      <c r="AD184" s="125"/>
    </row>
    <row r="185" spans="29:30" ht="10.199999999999999" x14ac:dyDescent="0.2">
      <c r="AC185" s="122"/>
      <c r="AD185" s="125"/>
    </row>
    <row r="186" spans="29:30" ht="10.199999999999999" x14ac:dyDescent="0.2">
      <c r="AC186" s="122"/>
      <c r="AD186" s="125"/>
    </row>
    <row r="187" spans="29:30" ht="10.199999999999999" x14ac:dyDescent="0.2">
      <c r="AC187" s="122"/>
      <c r="AD187" s="125"/>
    </row>
    <row r="188" spans="29:30" ht="10.199999999999999" x14ac:dyDescent="0.2">
      <c r="AC188" s="122"/>
      <c r="AD188" s="125"/>
    </row>
    <row r="189" spans="29:30" ht="10.199999999999999" x14ac:dyDescent="0.2">
      <c r="AC189" s="122"/>
      <c r="AD189" s="125"/>
    </row>
    <row r="190" spans="29:30" ht="10.199999999999999" x14ac:dyDescent="0.2">
      <c r="AC190" s="122"/>
      <c r="AD190" s="125"/>
    </row>
    <row r="191" spans="29:30" ht="10.199999999999999" x14ac:dyDescent="0.2">
      <c r="AC191" s="122"/>
      <c r="AD191" s="125"/>
    </row>
    <row r="192" spans="29:30" ht="10.199999999999999" x14ac:dyDescent="0.2">
      <c r="AC192" s="122"/>
      <c r="AD192" s="125"/>
    </row>
    <row r="193" spans="29:30" ht="10.199999999999999" x14ac:dyDescent="0.2">
      <c r="AC193" s="122"/>
      <c r="AD193" s="125"/>
    </row>
    <row r="194" spans="29:30" ht="10.199999999999999" x14ac:dyDescent="0.2">
      <c r="AC194" s="122"/>
      <c r="AD194" s="125"/>
    </row>
    <row r="195" spans="29:30" ht="10.199999999999999" x14ac:dyDescent="0.2">
      <c r="AC195" s="122"/>
      <c r="AD195" s="125"/>
    </row>
    <row r="196" spans="29:30" ht="10.199999999999999" x14ac:dyDescent="0.2">
      <c r="AC196" s="122"/>
      <c r="AD196" s="125"/>
    </row>
    <row r="197" spans="29:30" ht="10.199999999999999" x14ac:dyDescent="0.2">
      <c r="AC197" s="122"/>
      <c r="AD197" s="125"/>
    </row>
    <row r="198" spans="29:30" ht="10.199999999999999" x14ac:dyDescent="0.2">
      <c r="AC198" s="122"/>
      <c r="AD198" s="125"/>
    </row>
    <row r="199" spans="29:30" ht="10.199999999999999" x14ac:dyDescent="0.2">
      <c r="AC199" s="122"/>
      <c r="AD199" s="125"/>
    </row>
    <row r="200" spans="29:30" ht="10.199999999999999" x14ac:dyDescent="0.2">
      <c r="AC200" s="122"/>
      <c r="AD200" s="125"/>
    </row>
    <row r="201" spans="29:30" ht="10.199999999999999" x14ac:dyDescent="0.2">
      <c r="AC201" s="122"/>
      <c r="AD201" s="125"/>
    </row>
    <row r="202" spans="29:30" ht="10.199999999999999" x14ac:dyDescent="0.2">
      <c r="AC202" s="122"/>
      <c r="AD202" s="125"/>
    </row>
    <row r="203" spans="29:30" ht="10.199999999999999" x14ac:dyDescent="0.2">
      <c r="AC203" s="122"/>
      <c r="AD203" s="125"/>
    </row>
    <row r="204" spans="29:30" ht="10.199999999999999" x14ac:dyDescent="0.2">
      <c r="AC204" s="122"/>
      <c r="AD204" s="125"/>
    </row>
    <row r="205" spans="29:30" ht="10.199999999999999" x14ac:dyDescent="0.2">
      <c r="AC205" s="122"/>
      <c r="AD205" s="125"/>
    </row>
    <row r="206" spans="29:30" ht="10.199999999999999" x14ac:dyDescent="0.2">
      <c r="AC206" s="122"/>
      <c r="AD206" s="125"/>
    </row>
    <row r="207" spans="29:30" ht="10.199999999999999" x14ac:dyDescent="0.2">
      <c r="AC207" s="122"/>
      <c r="AD207" s="125"/>
    </row>
    <row r="208" spans="29:30" ht="10.199999999999999" x14ac:dyDescent="0.2">
      <c r="AC208" s="122"/>
      <c r="AD208" s="125"/>
    </row>
    <row r="209" spans="29:30" ht="10.199999999999999" x14ac:dyDescent="0.2">
      <c r="AC209" s="122"/>
      <c r="AD209" s="125"/>
    </row>
    <row r="210" spans="29:30" ht="10.199999999999999" x14ac:dyDescent="0.2">
      <c r="AC210" s="122"/>
      <c r="AD210" s="125"/>
    </row>
    <row r="211" spans="29:30" ht="10.199999999999999" x14ac:dyDescent="0.2">
      <c r="AC211" s="122"/>
      <c r="AD211" s="125"/>
    </row>
    <row r="212" spans="29:30" ht="10.199999999999999" x14ac:dyDescent="0.2">
      <c r="AC212" s="122"/>
      <c r="AD212" s="125"/>
    </row>
    <row r="213" spans="29:30" ht="10.199999999999999" x14ac:dyDescent="0.2">
      <c r="AC213" s="122"/>
      <c r="AD213" s="125"/>
    </row>
    <row r="214" spans="29:30" ht="10.199999999999999" x14ac:dyDescent="0.2">
      <c r="AC214" s="122"/>
      <c r="AD214" s="125"/>
    </row>
    <row r="215" spans="29:30" ht="10.199999999999999" x14ac:dyDescent="0.2">
      <c r="AC215" s="122"/>
      <c r="AD215" s="125"/>
    </row>
    <row r="216" spans="29:30" ht="10.199999999999999" x14ac:dyDescent="0.2">
      <c r="AC216" s="122"/>
      <c r="AD216" s="125"/>
    </row>
    <row r="217" spans="29:30" ht="10.199999999999999" x14ac:dyDescent="0.2">
      <c r="AC217" s="122"/>
      <c r="AD217" s="125"/>
    </row>
    <row r="218" spans="29:30" ht="10.199999999999999" x14ac:dyDescent="0.2">
      <c r="AC218" s="122"/>
      <c r="AD218" s="125"/>
    </row>
    <row r="219" spans="29:30" ht="10.199999999999999" x14ac:dyDescent="0.2">
      <c r="AC219" s="122"/>
      <c r="AD219" s="125"/>
    </row>
    <row r="220" spans="29:30" ht="10.199999999999999" x14ac:dyDescent="0.2">
      <c r="AC220" s="122"/>
      <c r="AD220" s="125"/>
    </row>
    <row r="221" spans="29:30" ht="10.199999999999999" x14ac:dyDescent="0.2">
      <c r="AC221" s="122"/>
      <c r="AD221" s="125"/>
    </row>
    <row r="222" spans="29:30" ht="10.199999999999999" x14ac:dyDescent="0.2">
      <c r="AC222" s="122"/>
      <c r="AD222" s="125"/>
    </row>
    <row r="223" spans="29:30" ht="10.199999999999999" x14ac:dyDescent="0.2">
      <c r="AC223" s="122"/>
      <c r="AD223" s="125"/>
    </row>
    <row r="224" spans="29:30" ht="10.199999999999999" x14ac:dyDescent="0.2">
      <c r="AC224" s="122"/>
      <c r="AD224" s="125"/>
    </row>
    <row r="225" spans="29:30" ht="10.199999999999999" x14ac:dyDescent="0.2">
      <c r="AC225" s="122"/>
      <c r="AD225" s="125"/>
    </row>
    <row r="226" spans="29:30" ht="10.199999999999999" x14ac:dyDescent="0.2">
      <c r="AC226" s="122"/>
      <c r="AD226" s="125"/>
    </row>
    <row r="227" spans="29:30" ht="10.199999999999999" x14ac:dyDescent="0.2">
      <c r="AC227" s="122"/>
      <c r="AD227" s="125"/>
    </row>
    <row r="228" spans="29:30" ht="10.199999999999999" x14ac:dyDescent="0.2">
      <c r="AC228" s="122"/>
      <c r="AD228" s="125"/>
    </row>
    <row r="229" spans="29:30" ht="10.199999999999999" x14ac:dyDescent="0.2">
      <c r="AC229" s="122"/>
      <c r="AD229" s="125"/>
    </row>
    <row r="230" spans="29:30" ht="10.199999999999999" x14ac:dyDescent="0.2">
      <c r="AC230" s="122"/>
      <c r="AD230" s="125"/>
    </row>
    <row r="231" spans="29:30" ht="10.199999999999999" x14ac:dyDescent="0.2">
      <c r="AC231" s="122"/>
      <c r="AD231" s="125"/>
    </row>
    <row r="232" spans="29:30" ht="10.199999999999999" x14ac:dyDescent="0.2">
      <c r="AC232" s="122"/>
      <c r="AD232" s="125"/>
    </row>
    <row r="233" spans="29:30" ht="10.199999999999999" x14ac:dyDescent="0.2">
      <c r="AC233" s="122"/>
      <c r="AD233" s="125"/>
    </row>
    <row r="234" spans="29:30" ht="10.199999999999999" x14ac:dyDescent="0.2">
      <c r="AC234" s="122"/>
      <c r="AD234" s="125"/>
    </row>
    <row r="235" spans="29:30" ht="10.199999999999999" x14ac:dyDescent="0.2">
      <c r="AC235" s="122"/>
      <c r="AD235" s="125"/>
    </row>
    <row r="236" spans="29:30" ht="10.199999999999999" x14ac:dyDescent="0.2">
      <c r="AC236" s="122"/>
      <c r="AD236" s="125"/>
    </row>
    <row r="237" spans="29:30" ht="10.199999999999999" x14ac:dyDescent="0.2">
      <c r="AC237" s="122"/>
      <c r="AD237" s="125"/>
    </row>
    <row r="238" spans="29:30" ht="10.199999999999999" x14ac:dyDescent="0.2">
      <c r="AC238" s="122"/>
      <c r="AD238" s="125"/>
    </row>
    <row r="239" spans="29:30" ht="10.199999999999999" x14ac:dyDescent="0.2">
      <c r="AC239" s="122"/>
      <c r="AD239" s="125"/>
    </row>
    <row r="240" spans="29:30" ht="10.199999999999999" x14ac:dyDescent="0.2">
      <c r="AC240" s="122"/>
      <c r="AD240" s="125"/>
    </row>
    <row r="241" spans="29:30" ht="10.199999999999999" x14ac:dyDescent="0.2">
      <c r="AC241" s="122"/>
      <c r="AD241" s="125"/>
    </row>
    <row r="242" spans="29:30" ht="10.199999999999999" x14ac:dyDescent="0.2">
      <c r="AC242" s="122"/>
      <c r="AD242" s="125"/>
    </row>
    <row r="243" spans="29:30" ht="10.199999999999999" x14ac:dyDescent="0.2">
      <c r="AC243" s="122"/>
      <c r="AD243" s="125"/>
    </row>
    <row r="244" spans="29:30" ht="10.199999999999999" x14ac:dyDescent="0.2">
      <c r="AC244" s="122"/>
      <c r="AD244" s="125"/>
    </row>
    <row r="245" spans="29:30" ht="10.199999999999999" x14ac:dyDescent="0.2">
      <c r="AC245" s="122"/>
      <c r="AD245" s="125"/>
    </row>
    <row r="246" spans="29:30" ht="10.199999999999999" x14ac:dyDescent="0.2">
      <c r="AC246" s="122"/>
      <c r="AD246" s="125"/>
    </row>
    <row r="247" spans="29:30" ht="10.199999999999999" x14ac:dyDescent="0.2">
      <c r="AC247" s="122"/>
      <c r="AD247" s="125"/>
    </row>
    <row r="248" spans="29:30" ht="10.199999999999999" x14ac:dyDescent="0.2">
      <c r="AC248" s="122"/>
      <c r="AD248" s="125"/>
    </row>
    <row r="249" spans="29:30" ht="10.199999999999999" x14ac:dyDescent="0.2">
      <c r="AC249" s="122"/>
      <c r="AD249" s="125"/>
    </row>
    <row r="250" spans="29:30" ht="10.199999999999999" x14ac:dyDescent="0.2">
      <c r="AC250" s="122"/>
      <c r="AD250" s="125"/>
    </row>
    <row r="251" spans="29:30" ht="10.199999999999999" x14ac:dyDescent="0.2">
      <c r="AC251" s="122"/>
      <c r="AD251" s="125"/>
    </row>
    <row r="252" spans="29:30" ht="10.199999999999999" x14ac:dyDescent="0.2">
      <c r="AC252" s="122"/>
      <c r="AD252" s="125"/>
    </row>
    <row r="253" spans="29:30" ht="10.199999999999999" x14ac:dyDescent="0.2">
      <c r="AC253" s="122"/>
      <c r="AD253" s="125"/>
    </row>
    <row r="254" spans="29:30" ht="10.199999999999999" x14ac:dyDescent="0.2">
      <c r="AC254" s="122"/>
      <c r="AD254" s="125"/>
    </row>
    <row r="255" spans="29:30" ht="10.199999999999999" x14ac:dyDescent="0.2">
      <c r="AC255" s="122"/>
      <c r="AD255" s="125"/>
    </row>
    <row r="256" spans="29:30" ht="10.199999999999999" x14ac:dyDescent="0.2">
      <c r="AC256" s="122"/>
      <c r="AD256" s="125"/>
    </row>
    <row r="257" spans="29:30" ht="10.199999999999999" x14ac:dyDescent="0.2">
      <c r="AC257" s="122"/>
      <c r="AD257" s="125"/>
    </row>
    <row r="258" spans="29:30" ht="10.199999999999999" x14ac:dyDescent="0.2">
      <c r="AC258" s="122"/>
      <c r="AD258" s="125"/>
    </row>
    <row r="259" spans="29:30" ht="10.199999999999999" x14ac:dyDescent="0.2">
      <c r="AC259" s="122"/>
      <c r="AD259" s="125"/>
    </row>
    <row r="260" spans="29:30" ht="10.199999999999999" x14ac:dyDescent="0.2">
      <c r="AC260" s="122"/>
      <c r="AD260" s="125"/>
    </row>
    <row r="261" spans="29:30" ht="10.199999999999999" x14ac:dyDescent="0.2">
      <c r="AC261" s="122"/>
      <c r="AD261" s="125"/>
    </row>
    <row r="262" spans="29:30" ht="10.199999999999999" x14ac:dyDescent="0.2">
      <c r="AC262" s="122"/>
      <c r="AD262" s="125"/>
    </row>
    <row r="263" spans="29:30" ht="10.199999999999999" x14ac:dyDescent="0.2">
      <c r="AC263" s="122"/>
      <c r="AD263" s="125"/>
    </row>
    <row r="264" spans="29:30" ht="10.199999999999999" x14ac:dyDescent="0.2">
      <c r="AC264" s="122"/>
      <c r="AD264" s="125"/>
    </row>
    <row r="265" spans="29:30" ht="10.199999999999999" x14ac:dyDescent="0.2">
      <c r="AC265" s="122"/>
      <c r="AD265" s="125"/>
    </row>
    <row r="266" spans="29:30" ht="10.199999999999999" x14ac:dyDescent="0.2">
      <c r="AC266" s="122"/>
      <c r="AD266" s="125"/>
    </row>
    <row r="267" spans="29:30" ht="10.199999999999999" x14ac:dyDescent="0.2">
      <c r="AC267" s="122"/>
      <c r="AD267" s="125"/>
    </row>
    <row r="268" spans="29:30" ht="10.199999999999999" x14ac:dyDescent="0.2">
      <c r="AC268" s="122"/>
      <c r="AD268" s="125"/>
    </row>
    <row r="269" spans="29:30" ht="10.199999999999999" x14ac:dyDescent="0.2">
      <c r="AC269" s="122"/>
      <c r="AD269" s="125"/>
    </row>
    <row r="270" spans="29:30" ht="10.199999999999999" x14ac:dyDescent="0.2">
      <c r="AC270" s="122"/>
      <c r="AD270" s="125"/>
    </row>
    <row r="271" spans="29:30" ht="10.199999999999999" x14ac:dyDescent="0.2">
      <c r="AC271" s="122"/>
      <c r="AD271" s="125"/>
    </row>
    <row r="272" spans="29:30" ht="10.199999999999999" x14ac:dyDescent="0.2">
      <c r="AC272" s="122"/>
      <c r="AD272" s="125"/>
    </row>
    <row r="273" spans="29:30" ht="10.199999999999999" x14ac:dyDescent="0.2">
      <c r="AC273" s="122"/>
      <c r="AD273" s="125"/>
    </row>
    <row r="274" spans="29:30" ht="10.199999999999999" x14ac:dyDescent="0.2">
      <c r="AC274" s="122"/>
      <c r="AD274" s="125"/>
    </row>
    <row r="275" spans="29:30" ht="10.199999999999999" x14ac:dyDescent="0.2">
      <c r="AC275" s="122"/>
      <c r="AD275" s="125"/>
    </row>
    <row r="276" spans="29:30" ht="10.199999999999999" x14ac:dyDescent="0.2">
      <c r="AC276" s="122"/>
      <c r="AD276" s="125"/>
    </row>
    <row r="277" spans="29:30" ht="10.199999999999999" x14ac:dyDescent="0.2">
      <c r="AC277" s="122"/>
      <c r="AD277" s="125"/>
    </row>
    <row r="278" spans="29:30" ht="10.199999999999999" x14ac:dyDescent="0.2">
      <c r="AC278" s="122"/>
      <c r="AD278" s="125"/>
    </row>
    <row r="279" spans="29:30" ht="10.199999999999999" x14ac:dyDescent="0.2">
      <c r="AC279" s="122"/>
      <c r="AD279" s="125"/>
    </row>
    <row r="280" spans="29:30" ht="10.199999999999999" x14ac:dyDescent="0.2">
      <c r="AC280" s="122"/>
      <c r="AD280" s="125"/>
    </row>
    <row r="281" spans="29:30" ht="10.199999999999999" x14ac:dyDescent="0.2">
      <c r="AC281" s="122"/>
      <c r="AD281" s="125"/>
    </row>
    <row r="282" spans="29:30" ht="10.199999999999999" x14ac:dyDescent="0.2">
      <c r="AC282" s="122"/>
      <c r="AD282" s="125"/>
    </row>
    <row r="283" spans="29:30" ht="10.199999999999999" x14ac:dyDescent="0.2">
      <c r="AC283" s="122"/>
      <c r="AD283" s="125"/>
    </row>
    <row r="284" spans="29:30" ht="10.199999999999999" x14ac:dyDescent="0.2">
      <c r="AC284" s="122"/>
      <c r="AD284" s="125"/>
    </row>
    <row r="285" spans="29:30" ht="10.199999999999999" x14ac:dyDescent="0.2">
      <c r="AC285" s="122"/>
      <c r="AD285" s="125"/>
    </row>
    <row r="286" spans="29:30" ht="10.199999999999999" x14ac:dyDescent="0.2">
      <c r="AC286" s="122"/>
      <c r="AD286" s="125"/>
    </row>
    <row r="287" spans="29:30" ht="10.199999999999999" x14ac:dyDescent="0.2">
      <c r="AC287" s="122"/>
      <c r="AD287" s="125"/>
    </row>
    <row r="288" spans="29:30" ht="10.199999999999999" x14ac:dyDescent="0.2">
      <c r="AC288" s="122"/>
      <c r="AD288" s="125"/>
    </row>
    <row r="289" spans="29:30" ht="10.199999999999999" x14ac:dyDescent="0.2">
      <c r="AC289" s="122"/>
      <c r="AD289" s="125"/>
    </row>
    <row r="290" spans="29:30" ht="10.199999999999999" x14ac:dyDescent="0.2">
      <c r="AC290" s="122"/>
      <c r="AD290" s="125"/>
    </row>
    <row r="291" spans="29:30" ht="10.199999999999999" x14ac:dyDescent="0.2">
      <c r="AC291" s="122"/>
      <c r="AD291" s="125"/>
    </row>
    <row r="292" spans="29:30" ht="10.199999999999999" x14ac:dyDescent="0.2">
      <c r="AC292" s="122"/>
      <c r="AD292" s="125"/>
    </row>
    <row r="293" spans="29:30" ht="10.199999999999999" x14ac:dyDescent="0.2">
      <c r="AC293" s="122"/>
      <c r="AD293" s="125"/>
    </row>
    <row r="294" spans="29:30" ht="10.199999999999999" x14ac:dyDescent="0.2">
      <c r="AC294" s="122"/>
      <c r="AD294" s="125"/>
    </row>
    <row r="295" spans="29:30" ht="10.199999999999999" x14ac:dyDescent="0.2">
      <c r="AC295" s="122"/>
      <c r="AD295" s="125"/>
    </row>
    <row r="296" spans="29:30" ht="10.199999999999999" x14ac:dyDescent="0.2">
      <c r="AC296" s="122"/>
      <c r="AD296" s="125"/>
    </row>
    <row r="297" spans="29:30" ht="10.199999999999999" x14ac:dyDescent="0.2">
      <c r="AC297" s="122"/>
      <c r="AD297" s="125"/>
    </row>
    <row r="298" spans="29:30" ht="10.199999999999999" x14ac:dyDescent="0.2">
      <c r="AC298" s="122"/>
      <c r="AD298" s="125"/>
    </row>
    <row r="299" spans="29:30" ht="10.199999999999999" x14ac:dyDescent="0.2">
      <c r="AC299" s="122"/>
      <c r="AD299" s="125"/>
    </row>
    <row r="300" spans="29:30" ht="10.199999999999999" x14ac:dyDescent="0.2">
      <c r="AC300" s="122"/>
      <c r="AD300" s="125"/>
    </row>
    <row r="301" spans="29:30" ht="10.199999999999999" x14ac:dyDescent="0.2">
      <c r="AC301" s="122"/>
      <c r="AD301" s="125"/>
    </row>
    <row r="302" spans="29:30" ht="10.199999999999999" x14ac:dyDescent="0.2">
      <c r="AC302" s="122"/>
      <c r="AD302" s="125"/>
    </row>
    <row r="303" spans="29:30" ht="10.199999999999999" x14ac:dyDescent="0.2">
      <c r="AC303" s="122"/>
      <c r="AD303" s="125"/>
    </row>
    <row r="304" spans="29:30" ht="10.199999999999999" x14ac:dyDescent="0.2">
      <c r="AC304" s="122"/>
      <c r="AD304" s="125"/>
    </row>
    <row r="305" spans="29:30" ht="10.199999999999999" x14ac:dyDescent="0.2">
      <c r="AC305" s="122"/>
      <c r="AD305" s="125"/>
    </row>
    <row r="306" spans="29:30" ht="10.199999999999999" x14ac:dyDescent="0.2">
      <c r="AC306" s="122"/>
      <c r="AD306" s="125"/>
    </row>
    <row r="307" spans="29:30" ht="10.199999999999999" x14ac:dyDescent="0.2">
      <c r="AC307" s="122"/>
      <c r="AD307" s="125"/>
    </row>
    <row r="308" spans="29:30" ht="10.199999999999999" x14ac:dyDescent="0.2">
      <c r="AC308" s="122"/>
      <c r="AD308" s="125"/>
    </row>
    <row r="309" spans="29:30" ht="10.199999999999999" x14ac:dyDescent="0.2">
      <c r="AC309" s="122"/>
      <c r="AD309" s="125"/>
    </row>
    <row r="310" spans="29:30" ht="10.199999999999999" x14ac:dyDescent="0.2">
      <c r="AC310" s="122"/>
      <c r="AD310" s="125"/>
    </row>
    <row r="311" spans="29:30" ht="10.199999999999999" x14ac:dyDescent="0.2">
      <c r="AC311" s="122"/>
      <c r="AD311" s="125"/>
    </row>
    <row r="312" spans="29:30" ht="10.199999999999999" x14ac:dyDescent="0.2">
      <c r="AC312" s="122"/>
      <c r="AD312" s="125"/>
    </row>
    <row r="313" spans="29:30" ht="10.199999999999999" x14ac:dyDescent="0.2">
      <c r="AC313" s="122"/>
      <c r="AD313" s="125"/>
    </row>
    <row r="314" spans="29:30" ht="10.199999999999999" x14ac:dyDescent="0.2">
      <c r="AC314" s="122"/>
      <c r="AD314" s="125"/>
    </row>
    <row r="315" spans="29:30" ht="10.199999999999999" x14ac:dyDescent="0.2">
      <c r="AC315" s="122"/>
      <c r="AD315" s="125"/>
    </row>
    <row r="316" spans="29:30" ht="10.199999999999999" x14ac:dyDescent="0.2">
      <c r="AC316" s="122"/>
      <c r="AD316" s="125"/>
    </row>
    <row r="317" spans="29:30" ht="10.199999999999999" x14ac:dyDescent="0.2">
      <c r="AC317" s="122"/>
      <c r="AD317" s="125"/>
    </row>
    <row r="318" spans="29:30" ht="10.199999999999999" x14ac:dyDescent="0.2">
      <c r="AC318" s="122"/>
      <c r="AD318" s="125"/>
    </row>
    <row r="319" spans="29:30" ht="10.199999999999999" x14ac:dyDescent="0.2">
      <c r="AC319" s="122"/>
      <c r="AD319" s="125"/>
    </row>
    <row r="320" spans="29:30" ht="10.199999999999999" x14ac:dyDescent="0.2">
      <c r="AC320" s="122"/>
      <c r="AD320" s="125"/>
    </row>
    <row r="321" spans="29:30" ht="10.199999999999999" x14ac:dyDescent="0.2">
      <c r="AC321" s="122"/>
      <c r="AD321" s="125"/>
    </row>
    <row r="322" spans="29:30" ht="10.199999999999999" x14ac:dyDescent="0.2">
      <c r="AC322" s="122"/>
      <c r="AD322" s="125"/>
    </row>
    <row r="323" spans="29:30" ht="10.199999999999999" x14ac:dyDescent="0.2">
      <c r="AC323" s="122"/>
      <c r="AD323" s="125"/>
    </row>
    <row r="324" spans="29:30" ht="10.199999999999999" x14ac:dyDescent="0.2">
      <c r="AC324" s="122"/>
      <c r="AD324" s="125"/>
    </row>
    <row r="325" spans="29:30" ht="10.199999999999999" x14ac:dyDescent="0.2">
      <c r="AC325" s="122"/>
      <c r="AD325" s="125"/>
    </row>
    <row r="326" spans="29:30" ht="10.199999999999999" x14ac:dyDescent="0.2">
      <c r="AC326" s="122"/>
      <c r="AD326" s="125"/>
    </row>
    <row r="327" spans="29:30" ht="10.199999999999999" x14ac:dyDescent="0.2">
      <c r="AC327" s="122"/>
      <c r="AD327" s="125"/>
    </row>
    <row r="328" spans="29:30" ht="10.199999999999999" x14ac:dyDescent="0.2">
      <c r="AC328" s="122"/>
      <c r="AD328" s="125"/>
    </row>
    <row r="329" spans="29:30" ht="10.199999999999999" x14ac:dyDescent="0.2">
      <c r="AC329" s="122"/>
      <c r="AD329" s="125"/>
    </row>
    <row r="330" spans="29:30" ht="10.199999999999999" x14ac:dyDescent="0.2">
      <c r="AC330" s="122"/>
      <c r="AD330" s="125"/>
    </row>
    <row r="331" spans="29:30" ht="10.199999999999999" x14ac:dyDescent="0.2">
      <c r="AC331" s="122"/>
      <c r="AD331" s="125"/>
    </row>
    <row r="332" spans="29:30" ht="10.199999999999999" x14ac:dyDescent="0.2">
      <c r="AC332" s="122"/>
      <c r="AD332" s="125"/>
    </row>
    <row r="333" spans="29:30" ht="10.199999999999999" x14ac:dyDescent="0.2">
      <c r="AC333" s="122"/>
      <c r="AD333" s="125"/>
    </row>
    <row r="334" spans="29:30" ht="10.199999999999999" x14ac:dyDescent="0.2">
      <c r="AC334" s="122"/>
      <c r="AD334" s="125"/>
    </row>
    <row r="335" spans="29:30" ht="10.199999999999999" x14ac:dyDescent="0.2">
      <c r="AC335" s="122"/>
      <c r="AD335" s="125"/>
    </row>
    <row r="336" spans="29:30" ht="10.199999999999999" x14ac:dyDescent="0.2">
      <c r="AC336" s="122"/>
      <c r="AD336" s="125"/>
    </row>
    <row r="337" spans="29:30" ht="10.199999999999999" x14ac:dyDescent="0.2">
      <c r="AC337" s="122"/>
      <c r="AD337" s="125"/>
    </row>
    <row r="338" spans="29:30" ht="10.199999999999999" x14ac:dyDescent="0.2">
      <c r="AC338" s="122"/>
      <c r="AD338" s="125"/>
    </row>
    <row r="339" spans="29:30" ht="10.199999999999999" x14ac:dyDescent="0.2">
      <c r="AC339" s="122"/>
      <c r="AD339" s="125"/>
    </row>
    <row r="340" spans="29:30" ht="10.199999999999999" x14ac:dyDescent="0.2">
      <c r="AC340" s="122"/>
      <c r="AD340" s="125"/>
    </row>
    <row r="341" spans="29:30" ht="10.199999999999999" x14ac:dyDescent="0.2">
      <c r="AC341" s="122"/>
      <c r="AD341" s="125"/>
    </row>
    <row r="342" spans="29:30" ht="10.199999999999999" x14ac:dyDescent="0.2">
      <c r="AC342" s="122"/>
      <c r="AD342" s="125"/>
    </row>
    <row r="343" spans="29:30" ht="10.199999999999999" x14ac:dyDescent="0.2">
      <c r="AC343" s="122"/>
      <c r="AD343" s="125"/>
    </row>
    <row r="344" spans="29:30" ht="10.199999999999999" x14ac:dyDescent="0.2">
      <c r="AC344" s="122"/>
      <c r="AD344" s="125"/>
    </row>
    <row r="345" spans="29:30" ht="10.199999999999999" x14ac:dyDescent="0.2">
      <c r="AC345" s="122"/>
      <c r="AD345" s="125"/>
    </row>
    <row r="346" spans="29:30" ht="10.199999999999999" x14ac:dyDescent="0.2">
      <c r="AC346" s="122"/>
      <c r="AD346" s="125"/>
    </row>
    <row r="347" spans="29:30" ht="10.199999999999999" x14ac:dyDescent="0.2">
      <c r="AC347" s="122"/>
      <c r="AD347" s="125"/>
    </row>
    <row r="348" spans="29:30" ht="10.199999999999999" x14ac:dyDescent="0.2">
      <c r="AC348" s="122"/>
      <c r="AD348" s="125"/>
    </row>
    <row r="349" spans="29:30" ht="10.199999999999999" x14ac:dyDescent="0.2">
      <c r="AC349" s="122"/>
      <c r="AD349" s="125"/>
    </row>
    <row r="350" spans="29:30" ht="10.199999999999999" x14ac:dyDescent="0.2">
      <c r="AC350" s="122"/>
      <c r="AD350" s="125"/>
    </row>
    <row r="351" spans="29:30" ht="10.199999999999999" x14ac:dyDescent="0.2">
      <c r="AC351" s="122"/>
      <c r="AD351" s="125"/>
    </row>
    <row r="352" spans="29:30" ht="10.199999999999999" x14ac:dyDescent="0.2">
      <c r="AC352" s="122"/>
      <c r="AD352" s="125"/>
    </row>
    <row r="353" spans="29:30" ht="10.199999999999999" x14ac:dyDescent="0.2">
      <c r="AC353" s="122"/>
      <c r="AD353" s="125"/>
    </row>
    <row r="354" spans="29:30" ht="10.199999999999999" x14ac:dyDescent="0.2">
      <c r="AC354" s="122"/>
      <c r="AD354" s="125"/>
    </row>
    <row r="355" spans="29:30" ht="10.199999999999999" x14ac:dyDescent="0.2">
      <c r="AC355" s="122"/>
      <c r="AD355" s="125"/>
    </row>
    <row r="356" spans="29:30" ht="10.199999999999999" x14ac:dyDescent="0.2">
      <c r="AC356" s="122"/>
      <c r="AD356" s="125"/>
    </row>
    <row r="357" spans="29:30" ht="10.199999999999999" x14ac:dyDescent="0.2">
      <c r="AC357" s="122"/>
      <c r="AD357" s="125"/>
    </row>
    <row r="358" spans="29:30" ht="10.199999999999999" x14ac:dyDescent="0.2">
      <c r="AC358" s="122"/>
      <c r="AD358" s="125"/>
    </row>
    <row r="359" spans="29:30" ht="10.199999999999999" x14ac:dyDescent="0.2">
      <c r="AC359" s="122"/>
      <c r="AD359" s="125"/>
    </row>
    <row r="360" spans="29:30" ht="10.199999999999999" x14ac:dyDescent="0.2">
      <c r="AC360" s="122"/>
      <c r="AD360" s="125"/>
    </row>
    <row r="361" spans="29:30" ht="10.199999999999999" x14ac:dyDescent="0.2">
      <c r="AC361" s="122"/>
      <c r="AD361" s="125"/>
    </row>
    <row r="362" spans="29:30" ht="10.199999999999999" x14ac:dyDescent="0.2">
      <c r="AC362" s="122"/>
      <c r="AD362" s="125"/>
    </row>
    <row r="363" spans="29:30" ht="10.199999999999999" x14ac:dyDescent="0.2">
      <c r="AC363" s="122"/>
      <c r="AD363" s="125"/>
    </row>
    <row r="364" spans="29:30" ht="10.199999999999999" x14ac:dyDescent="0.2">
      <c r="AC364" s="122"/>
      <c r="AD364" s="125"/>
    </row>
    <row r="365" spans="29:30" ht="10.199999999999999" x14ac:dyDescent="0.2">
      <c r="AC365" s="122"/>
      <c r="AD365" s="125"/>
    </row>
    <row r="366" spans="29:30" ht="10.199999999999999" x14ac:dyDescent="0.2">
      <c r="AC366" s="122"/>
      <c r="AD366" s="125"/>
    </row>
    <row r="367" spans="29:30" ht="10.199999999999999" x14ac:dyDescent="0.2">
      <c r="AC367" s="122"/>
      <c r="AD367" s="125"/>
    </row>
    <row r="368" spans="29:30" ht="10.199999999999999" x14ac:dyDescent="0.2">
      <c r="AC368" s="122"/>
      <c r="AD368" s="125"/>
    </row>
    <row r="369" spans="29:30" ht="10.199999999999999" x14ac:dyDescent="0.2">
      <c r="AC369" s="122"/>
      <c r="AD369" s="125"/>
    </row>
    <row r="370" spans="29:30" ht="10.199999999999999" x14ac:dyDescent="0.2">
      <c r="AC370" s="122"/>
      <c r="AD370" s="125"/>
    </row>
    <row r="371" spans="29:30" ht="10.199999999999999" x14ac:dyDescent="0.2">
      <c r="AC371" s="122"/>
      <c r="AD371" s="125"/>
    </row>
    <row r="372" spans="29:30" ht="10.199999999999999" x14ac:dyDescent="0.2">
      <c r="AC372" s="122"/>
      <c r="AD372" s="125"/>
    </row>
    <row r="373" spans="29:30" ht="10.199999999999999" x14ac:dyDescent="0.2">
      <c r="AC373" s="122"/>
      <c r="AD373" s="125"/>
    </row>
    <row r="374" spans="29:30" ht="10.199999999999999" x14ac:dyDescent="0.2">
      <c r="AC374" s="122"/>
      <c r="AD374" s="125"/>
    </row>
    <row r="375" spans="29:30" ht="10.199999999999999" x14ac:dyDescent="0.2">
      <c r="AC375" s="122"/>
      <c r="AD375" s="125"/>
    </row>
    <row r="376" spans="29:30" ht="10.199999999999999" x14ac:dyDescent="0.2">
      <c r="AC376" s="122"/>
      <c r="AD376" s="125"/>
    </row>
    <row r="377" spans="29:30" ht="10.199999999999999" x14ac:dyDescent="0.2">
      <c r="AC377" s="122"/>
      <c r="AD377" s="125"/>
    </row>
    <row r="378" spans="29:30" ht="10.199999999999999" x14ac:dyDescent="0.2">
      <c r="AC378" s="122"/>
      <c r="AD378" s="125"/>
    </row>
    <row r="379" spans="29:30" ht="10.199999999999999" x14ac:dyDescent="0.2">
      <c r="AC379" s="122"/>
      <c r="AD379" s="125"/>
    </row>
    <row r="380" spans="29:30" ht="10.199999999999999" x14ac:dyDescent="0.2">
      <c r="AC380" s="122"/>
      <c r="AD380" s="125"/>
    </row>
    <row r="381" spans="29:30" ht="10.199999999999999" x14ac:dyDescent="0.2">
      <c r="AC381" s="122"/>
      <c r="AD381" s="125"/>
    </row>
    <row r="382" spans="29:30" ht="10.199999999999999" x14ac:dyDescent="0.2">
      <c r="AC382" s="122"/>
      <c r="AD382" s="125"/>
    </row>
    <row r="383" spans="29:30" ht="10.199999999999999" x14ac:dyDescent="0.2">
      <c r="AC383" s="122"/>
      <c r="AD383" s="125"/>
    </row>
    <row r="384" spans="29:30" ht="10.199999999999999" x14ac:dyDescent="0.2">
      <c r="AC384" s="122"/>
      <c r="AD384" s="125"/>
    </row>
    <row r="385" spans="29:30" ht="10.199999999999999" x14ac:dyDescent="0.2">
      <c r="AC385" s="122"/>
      <c r="AD385" s="125"/>
    </row>
    <row r="386" spans="29:30" ht="10.199999999999999" x14ac:dyDescent="0.2">
      <c r="AC386" s="122"/>
      <c r="AD386" s="125"/>
    </row>
    <row r="387" spans="29:30" ht="10.199999999999999" x14ac:dyDescent="0.2">
      <c r="AC387" s="122"/>
      <c r="AD387" s="125"/>
    </row>
    <row r="388" spans="29:30" ht="10.199999999999999" x14ac:dyDescent="0.2">
      <c r="AC388" s="122"/>
      <c r="AD388" s="125"/>
    </row>
    <row r="389" spans="29:30" ht="10.199999999999999" x14ac:dyDescent="0.2">
      <c r="AC389" s="122"/>
      <c r="AD389" s="125"/>
    </row>
    <row r="390" spans="29:30" ht="10.199999999999999" x14ac:dyDescent="0.2">
      <c r="AC390" s="122"/>
      <c r="AD390" s="125"/>
    </row>
    <row r="391" spans="29:30" ht="10.199999999999999" x14ac:dyDescent="0.2">
      <c r="AC391" s="122"/>
      <c r="AD391" s="125"/>
    </row>
    <row r="392" spans="29:30" ht="10.199999999999999" x14ac:dyDescent="0.2">
      <c r="AC392" s="122"/>
      <c r="AD392" s="125"/>
    </row>
    <row r="393" spans="29:30" ht="10.199999999999999" x14ac:dyDescent="0.2">
      <c r="AC393" s="122"/>
      <c r="AD393" s="125"/>
    </row>
    <row r="394" spans="29:30" ht="10.199999999999999" x14ac:dyDescent="0.2">
      <c r="AC394" s="122"/>
      <c r="AD394" s="125"/>
    </row>
    <row r="395" spans="29:30" ht="10.199999999999999" x14ac:dyDescent="0.2">
      <c r="AC395" s="122"/>
      <c r="AD395" s="125"/>
    </row>
    <row r="396" spans="29:30" ht="10.199999999999999" x14ac:dyDescent="0.2">
      <c r="AC396" s="122"/>
      <c r="AD396" s="125"/>
    </row>
    <row r="397" spans="29:30" ht="10.199999999999999" x14ac:dyDescent="0.2">
      <c r="AC397" s="122"/>
      <c r="AD397" s="125"/>
    </row>
    <row r="398" spans="29:30" ht="10.199999999999999" x14ac:dyDescent="0.2">
      <c r="AC398" s="122"/>
      <c r="AD398" s="125"/>
    </row>
    <row r="399" spans="29:30" ht="10.199999999999999" x14ac:dyDescent="0.2">
      <c r="AC399" s="122"/>
      <c r="AD399" s="125"/>
    </row>
    <row r="400" spans="29:30" ht="10.199999999999999" x14ac:dyDescent="0.2">
      <c r="AC400" s="122"/>
      <c r="AD400" s="125"/>
    </row>
    <row r="401" spans="29:30" ht="10.199999999999999" x14ac:dyDescent="0.2">
      <c r="AC401" s="122"/>
      <c r="AD401" s="125"/>
    </row>
    <row r="402" spans="29:30" ht="10.199999999999999" x14ac:dyDescent="0.2">
      <c r="AC402" s="122"/>
      <c r="AD402" s="125"/>
    </row>
    <row r="403" spans="29:30" ht="10.199999999999999" x14ac:dyDescent="0.2">
      <c r="AC403" s="122"/>
      <c r="AD403" s="125"/>
    </row>
    <row r="404" spans="29:30" ht="10.199999999999999" x14ac:dyDescent="0.2">
      <c r="AC404" s="122"/>
      <c r="AD404" s="125"/>
    </row>
    <row r="405" spans="29:30" ht="10.199999999999999" x14ac:dyDescent="0.2">
      <c r="AC405" s="122"/>
      <c r="AD405" s="125"/>
    </row>
    <row r="406" spans="29:30" ht="10.199999999999999" x14ac:dyDescent="0.2">
      <c r="AC406" s="122"/>
      <c r="AD406" s="125"/>
    </row>
    <row r="407" spans="29:30" ht="10.199999999999999" x14ac:dyDescent="0.2">
      <c r="AC407" s="122"/>
      <c r="AD407" s="125"/>
    </row>
    <row r="408" spans="29:30" ht="10.199999999999999" x14ac:dyDescent="0.2">
      <c r="AC408" s="122"/>
      <c r="AD408" s="125"/>
    </row>
    <row r="409" spans="29:30" ht="10.199999999999999" x14ac:dyDescent="0.2">
      <c r="AC409" s="122"/>
      <c r="AD409" s="125"/>
    </row>
    <row r="410" spans="29:30" ht="10.199999999999999" x14ac:dyDescent="0.2">
      <c r="AC410" s="122"/>
      <c r="AD410" s="125"/>
    </row>
    <row r="411" spans="29:30" ht="10.199999999999999" x14ac:dyDescent="0.2">
      <c r="AC411" s="122"/>
      <c r="AD411" s="125"/>
    </row>
    <row r="412" spans="29:30" ht="10.199999999999999" x14ac:dyDescent="0.2">
      <c r="AC412" s="122"/>
      <c r="AD412" s="125"/>
    </row>
    <row r="413" spans="29:30" ht="10.199999999999999" x14ac:dyDescent="0.2">
      <c r="AC413" s="122"/>
      <c r="AD413" s="125"/>
    </row>
    <row r="414" spans="29:30" ht="10.199999999999999" x14ac:dyDescent="0.2">
      <c r="AC414" s="122"/>
      <c r="AD414" s="125"/>
    </row>
    <row r="415" spans="29:30" ht="10.199999999999999" x14ac:dyDescent="0.2">
      <c r="AC415" s="122"/>
      <c r="AD415" s="125"/>
    </row>
    <row r="416" spans="29:30" ht="10.199999999999999" x14ac:dyDescent="0.2">
      <c r="AC416" s="122"/>
      <c r="AD416" s="125"/>
    </row>
    <row r="417" spans="29:30" ht="10.199999999999999" x14ac:dyDescent="0.2">
      <c r="AC417" s="122"/>
      <c r="AD417" s="125"/>
    </row>
    <row r="418" spans="29:30" ht="10.199999999999999" x14ac:dyDescent="0.2">
      <c r="AC418" s="122"/>
      <c r="AD418" s="125"/>
    </row>
    <row r="419" spans="29:30" ht="10.199999999999999" x14ac:dyDescent="0.2">
      <c r="AC419" s="122"/>
      <c r="AD419" s="125"/>
    </row>
    <row r="420" spans="29:30" ht="10.199999999999999" x14ac:dyDescent="0.2">
      <c r="AC420" s="122"/>
      <c r="AD420" s="125"/>
    </row>
    <row r="421" spans="29:30" ht="10.199999999999999" x14ac:dyDescent="0.2">
      <c r="AC421" s="122"/>
      <c r="AD421" s="125"/>
    </row>
    <row r="422" spans="29:30" ht="10.199999999999999" x14ac:dyDescent="0.2">
      <c r="AC422" s="122"/>
      <c r="AD422" s="125"/>
    </row>
    <row r="423" spans="29:30" ht="10.199999999999999" x14ac:dyDescent="0.2">
      <c r="AC423" s="122"/>
      <c r="AD423" s="125"/>
    </row>
    <row r="424" spans="29:30" ht="10.199999999999999" x14ac:dyDescent="0.2">
      <c r="AC424" s="122"/>
      <c r="AD424" s="125"/>
    </row>
    <row r="425" spans="29:30" ht="10.199999999999999" x14ac:dyDescent="0.2">
      <c r="AC425" s="122"/>
      <c r="AD425" s="125"/>
    </row>
    <row r="426" spans="29:30" ht="10.199999999999999" x14ac:dyDescent="0.2">
      <c r="AC426" s="122"/>
      <c r="AD426" s="125"/>
    </row>
    <row r="427" spans="29:30" ht="10.199999999999999" x14ac:dyDescent="0.2">
      <c r="AC427" s="122"/>
      <c r="AD427" s="125"/>
    </row>
    <row r="428" spans="29:30" ht="10.199999999999999" x14ac:dyDescent="0.2">
      <c r="AC428" s="122"/>
      <c r="AD428" s="125"/>
    </row>
    <row r="429" spans="29:30" ht="10.199999999999999" x14ac:dyDescent="0.2">
      <c r="AC429" s="122"/>
      <c r="AD429" s="125"/>
    </row>
    <row r="430" spans="29:30" ht="10.199999999999999" x14ac:dyDescent="0.2">
      <c r="AC430" s="122"/>
      <c r="AD430" s="125"/>
    </row>
    <row r="431" spans="29:30" ht="10.199999999999999" x14ac:dyDescent="0.2">
      <c r="AC431" s="122"/>
      <c r="AD431" s="125"/>
    </row>
    <row r="432" spans="29:30" ht="10.199999999999999" x14ac:dyDescent="0.2">
      <c r="AC432" s="122"/>
      <c r="AD432" s="125"/>
    </row>
    <row r="433" spans="29:30" ht="10.199999999999999" x14ac:dyDescent="0.2">
      <c r="AC433" s="122"/>
      <c r="AD433" s="125"/>
    </row>
    <row r="434" spans="29:30" ht="10.199999999999999" x14ac:dyDescent="0.2">
      <c r="AC434" s="122"/>
      <c r="AD434" s="125"/>
    </row>
    <row r="435" spans="29:30" ht="10.199999999999999" x14ac:dyDescent="0.2">
      <c r="AC435" s="122"/>
      <c r="AD435" s="125"/>
    </row>
    <row r="436" spans="29:30" ht="10.199999999999999" x14ac:dyDescent="0.2">
      <c r="AC436" s="122"/>
      <c r="AD436" s="125"/>
    </row>
    <row r="437" spans="29:30" ht="10.199999999999999" x14ac:dyDescent="0.2">
      <c r="AC437" s="122"/>
      <c r="AD437" s="125"/>
    </row>
    <row r="438" spans="29:30" ht="10.199999999999999" x14ac:dyDescent="0.2">
      <c r="AC438" s="122"/>
      <c r="AD438" s="125"/>
    </row>
    <row r="439" spans="29:30" ht="10.199999999999999" x14ac:dyDescent="0.2">
      <c r="AC439" s="122"/>
      <c r="AD439" s="125"/>
    </row>
    <row r="440" spans="29:30" ht="10.199999999999999" x14ac:dyDescent="0.2">
      <c r="AC440" s="122"/>
      <c r="AD440" s="125"/>
    </row>
    <row r="441" spans="29:30" ht="10.199999999999999" x14ac:dyDescent="0.2">
      <c r="AC441" s="122"/>
      <c r="AD441" s="125"/>
    </row>
    <row r="442" spans="29:30" ht="10.199999999999999" x14ac:dyDescent="0.2">
      <c r="AC442" s="122"/>
      <c r="AD442" s="125"/>
    </row>
    <row r="443" spans="29:30" ht="10.199999999999999" x14ac:dyDescent="0.2">
      <c r="AC443" s="122"/>
      <c r="AD443" s="125"/>
    </row>
    <row r="444" spans="29:30" ht="10.199999999999999" x14ac:dyDescent="0.2">
      <c r="AC444" s="122"/>
      <c r="AD444" s="125"/>
    </row>
    <row r="445" spans="29:30" ht="10.199999999999999" x14ac:dyDescent="0.2">
      <c r="AC445" s="122"/>
      <c r="AD445" s="125"/>
    </row>
    <row r="446" spans="29:30" ht="10.199999999999999" x14ac:dyDescent="0.2">
      <c r="AC446" s="122"/>
      <c r="AD446" s="125"/>
    </row>
    <row r="447" spans="29:30" ht="10.199999999999999" x14ac:dyDescent="0.2">
      <c r="AC447" s="122"/>
      <c r="AD447" s="125"/>
    </row>
    <row r="448" spans="29:30" ht="10.199999999999999" x14ac:dyDescent="0.2">
      <c r="AC448" s="122"/>
      <c r="AD448" s="125"/>
    </row>
    <row r="449" spans="29:30" ht="10.199999999999999" x14ac:dyDescent="0.2">
      <c r="AC449" s="122"/>
      <c r="AD449" s="125"/>
    </row>
    <row r="450" spans="29:30" ht="10.199999999999999" x14ac:dyDescent="0.2">
      <c r="AC450" s="122"/>
      <c r="AD450" s="125"/>
    </row>
    <row r="451" spans="29:30" ht="10.199999999999999" x14ac:dyDescent="0.2">
      <c r="AC451" s="122"/>
      <c r="AD451" s="125"/>
    </row>
    <row r="452" spans="29:30" ht="10.199999999999999" x14ac:dyDescent="0.2">
      <c r="AC452" s="122"/>
      <c r="AD452" s="125"/>
    </row>
    <row r="453" spans="29:30" ht="10.199999999999999" x14ac:dyDescent="0.2">
      <c r="AC453" s="122"/>
      <c r="AD453" s="125"/>
    </row>
    <row r="454" spans="29:30" ht="10.199999999999999" x14ac:dyDescent="0.2">
      <c r="AC454" s="122"/>
      <c r="AD454" s="125"/>
    </row>
    <row r="455" spans="29:30" ht="10.199999999999999" x14ac:dyDescent="0.2">
      <c r="AC455" s="122"/>
      <c r="AD455" s="125"/>
    </row>
    <row r="456" spans="29:30" ht="10.199999999999999" x14ac:dyDescent="0.2">
      <c r="AC456" s="122"/>
      <c r="AD456" s="125"/>
    </row>
    <row r="457" spans="29:30" ht="10.199999999999999" x14ac:dyDescent="0.2">
      <c r="AC457" s="122"/>
      <c r="AD457" s="125"/>
    </row>
    <row r="458" spans="29:30" ht="10.199999999999999" x14ac:dyDescent="0.2">
      <c r="AC458" s="122"/>
      <c r="AD458" s="125"/>
    </row>
    <row r="459" spans="29:30" ht="10.199999999999999" x14ac:dyDescent="0.2">
      <c r="AC459" s="122"/>
      <c r="AD459" s="125"/>
    </row>
    <row r="460" spans="29:30" ht="10.199999999999999" x14ac:dyDescent="0.2">
      <c r="AC460" s="122"/>
      <c r="AD460" s="125"/>
    </row>
    <row r="461" spans="29:30" ht="10.199999999999999" x14ac:dyDescent="0.2">
      <c r="AC461" s="122"/>
      <c r="AD461" s="125"/>
    </row>
    <row r="462" spans="29:30" ht="10.199999999999999" x14ac:dyDescent="0.2">
      <c r="AC462" s="122"/>
      <c r="AD462" s="125"/>
    </row>
    <row r="463" spans="29:30" ht="10.199999999999999" x14ac:dyDescent="0.2">
      <c r="AC463" s="122"/>
      <c r="AD463" s="125"/>
    </row>
    <row r="464" spans="29:30" ht="10.199999999999999" x14ac:dyDescent="0.2">
      <c r="AC464" s="122"/>
      <c r="AD464" s="125"/>
    </row>
    <row r="465" spans="29:30" ht="10.199999999999999" x14ac:dyDescent="0.2">
      <c r="AC465" s="122"/>
      <c r="AD465" s="125"/>
    </row>
    <row r="466" spans="29:30" ht="10.199999999999999" x14ac:dyDescent="0.2">
      <c r="AC466" s="122"/>
      <c r="AD466" s="125"/>
    </row>
    <row r="467" spans="29:30" ht="10.199999999999999" x14ac:dyDescent="0.2">
      <c r="AC467" s="122"/>
      <c r="AD467" s="125"/>
    </row>
    <row r="468" spans="29:30" ht="10.199999999999999" x14ac:dyDescent="0.2">
      <c r="AC468" s="122"/>
      <c r="AD468" s="125"/>
    </row>
    <row r="469" spans="29:30" ht="10.199999999999999" x14ac:dyDescent="0.2">
      <c r="AC469" s="122"/>
      <c r="AD469" s="125"/>
    </row>
    <row r="470" spans="29:30" ht="10.199999999999999" x14ac:dyDescent="0.2">
      <c r="AC470" s="122"/>
      <c r="AD470" s="125"/>
    </row>
    <row r="471" spans="29:30" ht="10.199999999999999" x14ac:dyDescent="0.2">
      <c r="AC471" s="122"/>
      <c r="AD471" s="125"/>
    </row>
    <row r="472" spans="29:30" ht="10.199999999999999" x14ac:dyDescent="0.2">
      <c r="AC472" s="122"/>
      <c r="AD472" s="125"/>
    </row>
    <row r="473" spans="29:30" ht="10.199999999999999" x14ac:dyDescent="0.2">
      <c r="AC473" s="122"/>
      <c r="AD473" s="125"/>
    </row>
    <row r="474" spans="29:30" ht="10.199999999999999" x14ac:dyDescent="0.2">
      <c r="AC474" s="122"/>
      <c r="AD474" s="125"/>
    </row>
    <row r="475" spans="29:30" ht="10.199999999999999" x14ac:dyDescent="0.2">
      <c r="AC475" s="122"/>
      <c r="AD475" s="125"/>
    </row>
    <row r="476" spans="29:30" ht="10.199999999999999" x14ac:dyDescent="0.2">
      <c r="AC476" s="122"/>
      <c r="AD476" s="125"/>
    </row>
    <row r="477" spans="29:30" ht="10.199999999999999" x14ac:dyDescent="0.2">
      <c r="AC477" s="122"/>
      <c r="AD477" s="125"/>
    </row>
    <row r="478" spans="29:30" ht="10.199999999999999" x14ac:dyDescent="0.2">
      <c r="AC478" s="122"/>
      <c r="AD478" s="125"/>
    </row>
    <row r="479" spans="29:30" ht="10.199999999999999" x14ac:dyDescent="0.2">
      <c r="AC479" s="122"/>
      <c r="AD479" s="125"/>
    </row>
    <row r="480" spans="29:30" ht="10.199999999999999" x14ac:dyDescent="0.2">
      <c r="AC480" s="122"/>
      <c r="AD480" s="125"/>
    </row>
    <row r="481" spans="29:30" ht="10.199999999999999" x14ac:dyDescent="0.2">
      <c r="AC481" s="122"/>
      <c r="AD481" s="125"/>
    </row>
    <row r="482" spans="29:30" ht="10.199999999999999" x14ac:dyDescent="0.2">
      <c r="AC482" s="122"/>
      <c r="AD482" s="125"/>
    </row>
    <row r="483" spans="29:30" ht="10.199999999999999" x14ac:dyDescent="0.2">
      <c r="AC483" s="122"/>
      <c r="AD483" s="125"/>
    </row>
    <row r="484" spans="29:30" ht="10.199999999999999" x14ac:dyDescent="0.2">
      <c r="AC484" s="122"/>
      <c r="AD484" s="125"/>
    </row>
    <row r="485" spans="29:30" ht="10.199999999999999" x14ac:dyDescent="0.2">
      <c r="AC485" s="122"/>
      <c r="AD485" s="125"/>
    </row>
    <row r="486" spans="29:30" ht="10.199999999999999" x14ac:dyDescent="0.2">
      <c r="AC486" s="122"/>
      <c r="AD486" s="125"/>
    </row>
    <row r="487" spans="29:30" ht="10.199999999999999" x14ac:dyDescent="0.2">
      <c r="AC487" s="122"/>
      <c r="AD487" s="125"/>
    </row>
    <row r="488" spans="29:30" ht="10.199999999999999" x14ac:dyDescent="0.2">
      <c r="AC488" s="122"/>
      <c r="AD488" s="125"/>
    </row>
    <row r="489" spans="29:30" ht="10.199999999999999" x14ac:dyDescent="0.2">
      <c r="AC489" s="122"/>
      <c r="AD489" s="125"/>
    </row>
    <row r="490" spans="29:30" ht="10.199999999999999" x14ac:dyDescent="0.2">
      <c r="AC490" s="122"/>
      <c r="AD490" s="125"/>
    </row>
    <row r="491" spans="29:30" ht="10.199999999999999" x14ac:dyDescent="0.2">
      <c r="AC491" s="122"/>
      <c r="AD491" s="125"/>
    </row>
    <row r="492" spans="29:30" ht="10.199999999999999" x14ac:dyDescent="0.2">
      <c r="AC492" s="122"/>
      <c r="AD492" s="125"/>
    </row>
    <row r="493" spans="29:30" ht="10.199999999999999" x14ac:dyDescent="0.2">
      <c r="AC493" s="122"/>
      <c r="AD493" s="125"/>
    </row>
    <row r="494" spans="29:30" ht="10.199999999999999" x14ac:dyDescent="0.2">
      <c r="AC494" s="122"/>
      <c r="AD494" s="125"/>
    </row>
    <row r="495" spans="29:30" ht="10.199999999999999" x14ac:dyDescent="0.2">
      <c r="AC495" s="122"/>
      <c r="AD495" s="125"/>
    </row>
    <row r="496" spans="29:30" ht="10.199999999999999" x14ac:dyDescent="0.2">
      <c r="AC496" s="122"/>
      <c r="AD496" s="125"/>
    </row>
    <row r="497" spans="29:30" ht="10.199999999999999" x14ac:dyDescent="0.2">
      <c r="AC497" s="122"/>
      <c r="AD497" s="125"/>
    </row>
    <row r="498" spans="29:30" ht="10.199999999999999" x14ac:dyDescent="0.2">
      <c r="AC498" s="122"/>
      <c r="AD498" s="125"/>
    </row>
    <row r="499" spans="29:30" ht="10.199999999999999" x14ac:dyDescent="0.2">
      <c r="AC499" s="122"/>
      <c r="AD499" s="125"/>
    </row>
    <row r="500" spans="29:30" ht="10.199999999999999" x14ac:dyDescent="0.2">
      <c r="AC500" s="122"/>
      <c r="AD500" s="125"/>
    </row>
    <row r="501" spans="29:30" ht="10.199999999999999" x14ac:dyDescent="0.2">
      <c r="AC501" s="122"/>
      <c r="AD501" s="125"/>
    </row>
    <row r="502" spans="29:30" ht="10.199999999999999" x14ac:dyDescent="0.2">
      <c r="AC502" s="122"/>
      <c r="AD502" s="125"/>
    </row>
    <row r="503" spans="29:30" ht="10.199999999999999" x14ac:dyDescent="0.2">
      <c r="AC503" s="122"/>
      <c r="AD503" s="125"/>
    </row>
    <row r="504" spans="29:30" ht="10.199999999999999" x14ac:dyDescent="0.2">
      <c r="AC504" s="122"/>
      <c r="AD504" s="125"/>
    </row>
    <row r="505" spans="29:30" ht="10.199999999999999" x14ac:dyDescent="0.2">
      <c r="AC505" s="122"/>
      <c r="AD505" s="125"/>
    </row>
    <row r="506" spans="29:30" ht="10.199999999999999" x14ac:dyDescent="0.2">
      <c r="AC506" s="122"/>
      <c r="AD506" s="125"/>
    </row>
    <row r="507" spans="29:30" ht="10.199999999999999" x14ac:dyDescent="0.2">
      <c r="AC507" s="122"/>
      <c r="AD507" s="125"/>
    </row>
    <row r="508" spans="29:30" ht="10.199999999999999" x14ac:dyDescent="0.2">
      <c r="AC508" s="122"/>
      <c r="AD508" s="125"/>
    </row>
    <row r="509" spans="29:30" ht="10.199999999999999" x14ac:dyDescent="0.2">
      <c r="AC509" s="122"/>
      <c r="AD509" s="125"/>
    </row>
    <row r="510" spans="29:30" ht="10.199999999999999" x14ac:dyDescent="0.2">
      <c r="AC510" s="122"/>
      <c r="AD510" s="125"/>
    </row>
    <row r="511" spans="29:30" ht="10.199999999999999" x14ac:dyDescent="0.2">
      <c r="AC511" s="122"/>
      <c r="AD511" s="125"/>
    </row>
    <row r="512" spans="29:30" ht="10.199999999999999" x14ac:dyDescent="0.2">
      <c r="AC512" s="122"/>
      <c r="AD512" s="125"/>
    </row>
    <row r="513" spans="29:30" ht="10.199999999999999" x14ac:dyDescent="0.2">
      <c r="AC513" s="122"/>
      <c r="AD513" s="125"/>
    </row>
    <row r="514" spans="29:30" ht="10.199999999999999" x14ac:dyDescent="0.2">
      <c r="AC514" s="122"/>
      <c r="AD514" s="125"/>
    </row>
    <row r="515" spans="29:30" ht="10.199999999999999" x14ac:dyDescent="0.2">
      <c r="AC515" s="122"/>
      <c r="AD515" s="125"/>
    </row>
    <row r="516" spans="29:30" ht="10.199999999999999" x14ac:dyDescent="0.2">
      <c r="AC516" s="122"/>
      <c r="AD516" s="125"/>
    </row>
    <row r="517" spans="29:30" ht="10.199999999999999" x14ac:dyDescent="0.2">
      <c r="AC517" s="122"/>
      <c r="AD517" s="125"/>
    </row>
    <row r="518" spans="29:30" ht="10.199999999999999" x14ac:dyDescent="0.2">
      <c r="AC518" s="122"/>
      <c r="AD518" s="125"/>
    </row>
    <row r="519" spans="29:30" ht="10.199999999999999" x14ac:dyDescent="0.2">
      <c r="AC519" s="122"/>
      <c r="AD519" s="125"/>
    </row>
    <row r="520" spans="29:30" ht="10.199999999999999" x14ac:dyDescent="0.2">
      <c r="AC520" s="122"/>
      <c r="AD520" s="125"/>
    </row>
    <row r="521" spans="29:30" ht="10.199999999999999" x14ac:dyDescent="0.2">
      <c r="AC521" s="122"/>
      <c r="AD521" s="125"/>
    </row>
    <row r="522" spans="29:30" ht="10.199999999999999" x14ac:dyDescent="0.2">
      <c r="AC522" s="122"/>
      <c r="AD522" s="125"/>
    </row>
    <row r="523" spans="29:30" ht="10.199999999999999" x14ac:dyDescent="0.2">
      <c r="AC523" s="122"/>
      <c r="AD523" s="125"/>
    </row>
    <row r="524" spans="29:30" ht="10.199999999999999" x14ac:dyDescent="0.2">
      <c r="AC524" s="122"/>
      <c r="AD524" s="125"/>
    </row>
    <row r="525" spans="29:30" ht="10.199999999999999" x14ac:dyDescent="0.2">
      <c r="AC525" s="122"/>
      <c r="AD525" s="125"/>
    </row>
    <row r="526" spans="29:30" ht="10.199999999999999" x14ac:dyDescent="0.2">
      <c r="AC526" s="122"/>
      <c r="AD526" s="125"/>
    </row>
    <row r="527" spans="29:30" ht="10.199999999999999" x14ac:dyDescent="0.2">
      <c r="AC527" s="122"/>
      <c r="AD527" s="125"/>
    </row>
    <row r="528" spans="29:30" ht="10.199999999999999" x14ac:dyDescent="0.2">
      <c r="AC528" s="122"/>
      <c r="AD528" s="125"/>
    </row>
    <row r="529" spans="29:30" ht="10.199999999999999" x14ac:dyDescent="0.2">
      <c r="AC529" s="122"/>
      <c r="AD529" s="125"/>
    </row>
    <row r="530" spans="29:30" ht="10.199999999999999" x14ac:dyDescent="0.2">
      <c r="AC530" s="122"/>
      <c r="AD530" s="125"/>
    </row>
    <row r="531" spans="29:30" ht="10.199999999999999" x14ac:dyDescent="0.2">
      <c r="AC531" s="122"/>
      <c r="AD531" s="125"/>
    </row>
    <row r="532" spans="29:30" ht="10.199999999999999" x14ac:dyDescent="0.2">
      <c r="AC532" s="122"/>
      <c r="AD532" s="125"/>
    </row>
    <row r="533" spans="29:30" ht="10.199999999999999" x14ac:dyDescent="0.2">
      <c r="AC533" s="122"/>
      <c r="AD533" s="125"/>
    </row>
    <row r="534" spans="29:30" ht="10.199999999999999" x14ac:dyDescent="0.2">
      <c r="AC534" s="122"/>
      <c r="AD534" s="125"/>
    </row>
    <row r="535" spans="29:30" ht="10.199999999999999" x14ac:dyDescent="0.2">
      <c r="AC535" s="122"/>
      <c r="AD535" s="125"/>
    </row>
    <row r="536" spans="29:30" ht="10.199999999999999" x14ac:dyDescent="0.2">
      <c r="AC536" s="122"/>
      <c r="AD536" s="125"/>
    </row>
    <row r="537" spans="29:30" ht="10.199999999999999" x14ac:dyDescent="0.2">
      <c r="AC537" s="122"/>
      <c r="AD537" s="125"/>
    </row>
    <row r="538" spans="29:30" ht="10.199999999999999" x14ac:dyDescent="0.2">
      <c r="AC538" s="122"/>
      <c r="AD538" s="125"/>
    </row>
    <row r="539" spans="29:30" ht="10.199999999999999" x14ac:dyDescent="0.2">
      <c r="AC539" s="122"/>
      <c r="AD539" s="125"/>
    </row>
    <row r="540" spans="29:30" ht="10.199999999999999" x14ac:dyDescent="0.2">
      <c r="AC540" s="122"/>
      <c r="AD540" s="125"/>
    </row>
    <row r="541" spans="29:30" ht="10.199999999999999" x14ac:dyDescent="0.2">
      <c r="AC541" s="122"/>
      <c r="AD541" s="125"/>
    </row>
    <row r="542" spans="29:30" ht="10.199999999999999" x14ac:dyDescent="0.2">
      <c r="AC542" s="122"/>
      <c r="AD542" s="125"/>
    </row>
    <row r="543" spans="29:30" ht="10.199999999999999" x14ac:dyDescent="0.2">
      <c r="AC543" s="122"/>
      <c r="AD543" s="125"/>
    </row>
    <row r="544" spans="29:30" ht="10.199999999999999" x14ac:dyDescent="0.2">
      <c r="AC544" s="122"/>
      <c r="AD544" s="125"/>
    </row>
    <row r="545" spans="29:30" ht="10.199999999999999" x14ac:dyDescent="0.2">
      <c r="AC545" s="122"/>
      <c r="AD545" s="125"/>
    </row>
    <row r="546" spans="29:30" ht="10.199999999999999" x14ac:dyDescent="0.2">
      <c r="AC546" s="122"/>
      <c r="AD546" s="125"/>
    </row>
    <row r="547" spans="29:30" ht="10.199999999999999" x14ac:dyDescent="0.2">
      <c r="AC547" s="122"/>
      <c r="AD547" s="125"/>
    </row>
    <row r="548" spans="29:30" ht="10.199999999999999" x14ac:dyDescent="0.2">
      <c r="AC548" s="122"/>
      <c r="AD548" s="125"/>
    </row>
    <row r="549" spans="29:30" ht="10.199999999999999" x14ac:dyDescent="0.2">
      <c r="AC549" s="122"/>
      <c r="AD549" s="125"/>
    </row>
    <row r="550" spans="29:30" ht="10.199999999999999" x14ac:dyDescent="0.2">
      <c r="AC550" s="122"/>
      <c r="AD550" s="125"/>
    </row>
    <row r="551" spans="29:30" ht="10.199999999999999" x14ac:dyDescent="0.2">
      <c r="AC551" s="122"/>
      <c r="AD551" s="125"/>
    </row>
    <row r="552" spans="29:30" ht="10.199999999999999" x14ac:dyDescent="0.2">
      <c r="AC552" s="122"/>
      <c r="AD552" s="125"/>
    </row>
    <row r="553" spans="29:30" ht="10.199999999999999" x14ac:dyDescent="0.2">
      <c r="AC553" s="122"/>
      <c r="AD553" s="125"/>
    </row>
    <row r="554" spans="29:30" ht="10.199999999999999" x14ac:dyDescent="0.2">
      <c r="AC554" s="122"/>
      <c r="AD554" s="125"/>
    </row>
    <row r="555" spans="29:30" ht="10.199999999999999" x14ac:dyDescent="0.2">
      <c r="AC555" s="122"/>
      <c r="AD555" s="125"/>
    </row>
    <row r="556" spans="29:30" ht="10.199999999999999" x14ac:dyDescent="0.2">
      <c r="AC556" s="122"/>
      <c r="AD556" s="125"/>
    </row>
    <row r="557" spans="29:30" ht="10.199999999999999" x14ac:dyDescent="0.2">
      <c r="AC557" s="122"/>
      <c r="AD557" s="125"/>
    </row>
    <row r="558" spans="29:30" ht="10.199999999999999" x14ac:dyDescent="0.2">
      <c r="AC558" s="122"/>
      <c r="AD558" s="125"/>
    </row>
    <row r="559" spans="29:30" ht="10.199999999999999" x14ac:dyDescent="0.2">
      <c r="AC559" s="122"/>
      <c r="AD559" s="125"/>
    </row>
    <row r="560" spans="29:30" ht="10.199999999999999" x14ac:dyDescent="0.2">
      <c r="AC560" s="122"/>
      <c r="AD560" s="125"/>
    </row>
    <row r="561" spans="29:30" ht="10.199999999999999" x14ac:dyDescent="0.2">
      <c r="AC561" s="122"/>
      <c r="AD561" s="125"/>
    </row>
    <row r="562" spans="29:30" ht="10.199999999999999" x14ac:dyDescent="0.2">
      <c r="AC562" s="122"/>
      <c r="AD562" s="125"/>
    </row>
    <row r="563" spans="29:30" ht="10.199999999999999" x14ac:dyDescent="0.2">
      <c r="AC563" s="122"/>
      <c r="AD563" s="125"/>
    </row>
    <row r="564" spans="29:30" ht="10.199999999999999" x14ac:dyDescent="0.2">
      <c r="AC564" s="122"/>
      <c r="AD564" s="125"/>
    </row>
    <row r="565" spans="29:30" ht="10.199999999999999" x14ac:dyDescent="0.2">
      <c r="AC565" s="122"/>
      <c r="AD565" s="125"/>
    </row>
    <row r="566" spans="29:30" ht="10.199999999999999" x14ac:dyDescent="0.2">
      <c r="AC566" s="122"/>
      <c r="AD566" s="125"/>
    </row>
    <row r="567" spans="29:30" ht="10.199999999999999" x14ac:dyDescent="0.2">
      <c r="AC567" s="122"/>
      <c r="AD567" s="125"/>
    </row>
    <row r="568" spans="29:30" ht="10.199999999999999" x14ac:dyDescent="0.2">
      <c r="AC568" s="122"/>
      <c r="AD568" s="125"/>
    </row>
    <row r="569" spans="29:30" ht="10.199999999999999" x14ac:dyDescent="0.2">
      <c r="AC569" s="122"/>
      <c r="AD569" s="125"/>
    </row>
    <row r="570" spans="29:30" ht="10.199999999999999" x14ac:dyDescent="0.2">
      <c r="AC570" s="122"/>
      <c r="AD570" s="125"/>
    </row>
    <row r="571" spans="29:30" ht="10.199999999999999" x14ac:dyDescent="0.2">
      <c r="AC571" s="122"/>
      <c r="AD571" s="125"/>
    </row>
    <row r="572" spans="29:30" ht="10.199999999999999" x14ac:dyDescent="0.2">
      <c r="AC572" s="122"/>
      <c r="AD572" s="125"/>
    </row>
    <row r="573" spans="29:30" ht="10.199999999999999" x14ac:dyDescent="0.2">
      <c r="AC573" s="122"/>
      <c r="AD573" s="125"/>
    </row>
    <row r="574" spans="29:30" ht="10.199999999999999" x14ac:dyDescent="0.2">
      <c r="AC574" s="122"/>
      <c r="AD574" s="125"/>
    </row>
    <row r="575" spans="29:30" ht="10.199999999999999" x14ac:dyDescent="0.2">
      <c r="AC575" s="122"/>
      <c r="AD575" s="125"/>
    </row>
    <row r="576" spans="29:30" ht="10.199999999999999" x14ac:dyDescent="0.2">
      <c r="AC576" s="122"/>
      <c r="AD576" s="125"/>
    </row>
    <row r="577" spans="29:30" ht="10.199999999999999" x14ac:dyDescent="0.2">
      <c r="AC577" s="122"/>
      <c r="AD577" s="125"/>
    </row>
    <row r="578" spans="29:30" ht="10.199999999999999" x14ac:dyDescent="0.2">
      <c r="AC578" s="122"/>
      <c r="AD578" s="125"/>
    </row>
    <row r="579" spans="29:30" ht="10.199999999999999" x14ac:dyDescent="0.2">
      <c r="AC579" s="122"/>
      <c r="AD579" s="125"/>
    </row>
    <row r="580" spans="29:30" ht="10.199999999999999" x14ac:dyDescent="0.2">
      <c r="AC580" s="122"/>
      <c r="AD580" s="125"/>
    </row>
    <row r="581" spans="29:30" ht="10.199999999999999" x14ac:dyDescent="0.2">
      <c r="AC581" s="122"/>
      <c r="AD581" s="125"/>
    </row>
    <row r="582" spans="29:30" ht="10.199999999999999" x14ac:dyDescent="0.2">
      <c r="AC582" s="122"/>
      <c r="AD582" s="125"/>
    </row>
    <row r="583" spans="29:30" ht="10.199999999999999" x14ac:dyDescent="0.2">
      <c r="AC583" s="122"/>
      <c r="AD583" s="125"/>
    </row>
    <row r="584" spans="29:30" ht="10.199999999999999" x14ac:dyDescent="0.2">
      <c r="AC584" s="122"/>
      <c r="AD584" s="125"/>
    </row>
    <row r="585" spans="29:30" ht="10.199999999999999" x14ac:dyDescent="0.2">
      <c r="AC585" s="122"/>
      <c r="AD585" s="125"/>
    </row>
    <row r="586" spans="29:30" ht="10.199999999999999" x14ac:dyDescent="0.2">
      <c r="AC586" s="122"/>
      <c r="AD586" s="125"/>
    </row>
    <row r="587" spans="29:30" ht="10.199999999999999" x14ac:dyDescent="0.2">
      <c r="AC587" s="122"/>
      <c r="AD587" s="125"/>
    </row>
    <row r="588" spans="29:30" ht="10.199999999999999" x14ac:dyDescent="0.2">
      <c r="AC588" s="122"/>
      <c r="AD588" s="125"/>
    </row>
    <row r="589" spans="29:30" ht="10.199999999999999" x14ac:dyDescent="0.2">
      <c r="AC589" s="122"/>
      <c r="AD589" s="125"/>
    </row>
    <row r="590" spans="29:30" ht="10.199999999999999" x14ac:dyDescent="0.2">
      <c r="AC590" s="122"/>
      <c r="AD590" s="125"/>
    </row>
    <row r="591" spans="29:30" ht="10.199999999999999" x14ac:dyDescent="0.2">
      <c r="AC591" s="122"/>
      <c r="AD591" s="125"/>
    </row>
    <row r="592" spans="29:30" ht="10.199999999999999" x14ac:dyDescent="0.2">
      <c r="AC592" s="122"/>
      <c r="AD592" s="125"/>
    </row>
    <row r="593" spans="29:30" ht="10.199999999999999" x14ac:dyDescent="0.2">
      <c r="AC593" s="122"/>
      <c r="AD593" s="125"/>
    </row>
    <row r="594" spans="29:30" ht="10.199999999999999" x14ac:dyDescent="0.2">
      <c r="AC594" s="122"/>
      <c r="AD594" s="125"/>
    </row>
    <row r="595" spans="29:30" ht="10.199999999999999" x14ac:dyDescent="0.2">
      <c r="AC595" s="122"/>
      <c r="AD595" s="125"/>
    </row>
    <row r="596" spans="29:30" ht="10.199999999999999" x14ac:dyDescent="0.2">
      <c r="AC596" s="122"/>
      <c r="AD596" s="125"/>
    </row>
    <row r="597" spans="29:30" ht="10.199999999999999" x14ac:dyDescent="0.2">
      <c r="AC597" s="122"/>
      <c r="AD597" s="125"/>
    </row>
    <row r="598" spans="29:30" ht="10.199999999999999" x14ac:dyDescent="0.2">
      <c r="AC598" s="122"/>
      <c r="AD598" s="125"/>
    </row>
    <row r="599" spans="29:30" ht="10.199999999999999" x14ac:dyDescent="0.2">
      <c r="AC599" s="122"/>
      <c r="AD599" s="125"/>
    </row>
    <row r="600" spans="29:30" ht="10.199999999999999" x14ac:dyDescent="0.2">
      <c r="AC600" s="122"/>
      <c r="AD600" s="125"/>
    </row>
    <row r="601" spans="29:30" ht="10.199999999999999" x14ac:dyDescent="0.2">
      <c r="AC601" s="122"/>
      <c r="AD601" s="125"/>
    </row>
    <row r="602" spans="29:30" ht="10.199999999999999" x14ac:dyDescent="0.2">
      <c r="AC602" s="122"/>
      <c r="AD602" s="125"/>
    </row>
    <row r="603" spans="29:30" ht="10.199999999999999" x14ac:dyDescent="0.2">
      <c r="AC603" s="122"/>
      <c r="AD603" s="125"/>
    </row>
    <row r="604" spans="29:30" ht="10.199999999999999" x14ac:dyDescent="0.2">
      <c r="AC604" s="122"/>
      <c r="AD604" s="125"/>
    </row>
    <row r="605" spans="29:30" ht="10.199999999999999" x14ac:dyDescent="0.2">
      <c r="AC605" s="122"/>
      <c r="AD605" s="125"/>
    </row>
    <row r="606" spans="29:30" ht="10.199999999999999" x14ac:dyDescent="0.2">
      <c r="AC606" s="122"/>
      <c r="AD606" s="125"/>
    </row>
    <row r="607" spans="29:30" ht="10.199999999999999" x14ac:dyDescent="0.2">
      <c r="AC607" s="122"/>
      <c r="AD607" s="125"/>
    </row>
    <row r="608" spans="29:30" ht="10.199999999999999" x14ac:dyDescent="0.2">
      <c r="AC608" s="122"/>
      <c r="AD608" s="125"/>
    </row>
    <row r="609" spans="29:30" ht="10.199999999999999" x14ac:dyDescent="0.2">
      <c r="AC609" s="122"/>
      <c r="AD609" s="125"/>
    </row>
    <row r="610" spans="29:30" ht="10.199999999999999" x14ac:dyDescent="0.2">
      <c r="AC610" s="122"/>
      <c r="AD610" s="125"/>
    </row>
    <row r="611" spans="29:30" ht="10.199999999999999" x14ac:dyDescent="0.2">
      <c r="AC611" s="122"/>
      <c r="AD611" s="125"/>
    </row>
    <row r="612" spans="29:30" ht="10.199999999999999" x14ac:dyDescent="0.2">
      <c r="AC612" s="122"/>
      <c r="AD612" s="125"/>
    </row>
    <row r="613" spans="29:30" ht="10.199999999999999" x14ac:dyDescent="0.2">
      <c r="AC613" s="122"/>
      <c r="AD613" s="125"/>
    </row>
    <row r="614" spans="29:30" ht="10.199999999999999" x14ac:dyDescent="0.2">
      <c r="AC614" s="122"/>
      <c r="AD614" s="125"/>
    </row>
    <row r="615" spans="29:30" ht="10.199999999999999" x14ac:dyDescent="0.2">
      <c r="AC615" s="122"/>
      <c r="AD615" s="125"/>
    </row>
    <row r="616" spans="29:30" ht="10.199999999999999" x14ac:dyDescent="0.2">
      <c r="AC616" s="122"/>
      <c r="AD616" s="125"/>
    </row>
    <row r="617" spans="29:30" ht="10.199999999999999" x14ac:dyDescent="0.2">
      <c r="AC617" s="122"/>
      <c r="AD617" s="125"/>
    </row>
    <row r="618" spans="29:30" ht="10.199999999999999" x14ac:dyDescent="0.2">
      <c r="AC618" s="122"/>
      <c r="AD618" s="125"/>
    </row>
    <row r="619" spans="29:30" ht="10.199999999999999" x14ac:dyDescent="0.2">
      <c r="AC619" s="122"/>
      <c r="AD619" s="125"/>
    </row>
    <row r="620" spans="29:30" ht="10.199999999999999" x14ac:dyDescent="0.2">
      <c r="AC620" s="122"/>
      <c r="AD620" s="125"/>
    </row>
    <row r="621" spans="29:30" ht="10.199999999999999" x14ac:dyDescent="0.2">
      <c r="AC621" s="122"/>
      <c r="AD621" s="125"/>
    </row>
    <row r="622" spans="29:30" ht="10.199999999999999" x14ac:dyDescent="0.2">
      <c r="AC622" s="122"/>
      <c r="AD622" s="125"/>
    </row>
    <row r="623" spans="29:30" ht="10.199999999999999" x14ac:dyDescent="0.2">
      <c r="AC623" s="122"/>
      <c r="AD623" s="125"/>
    </row>
    <row r="624" spans="29:30" ht="10.199999999999999" x14ac:dyDescent="0.2">
      <c r="AC624" s="122"/>
      <c r="AD624" s="125"/>
    </row>
    <row r="625" spans="29:30" ht="10.199999999999999" x14ac:dyDescent="0.2">
      <c r="AC625" s="122"/>
      <c r="AD625" s="125"/>
    </row>
    <row r="626" spans="29:30" ht="10.199999999999999" x14ac:dyDescent="0.2">
      <c r="AC626" s="122"/>
      <c r="AD626" s="125"/>
    </row>
    <row r="627" spans="29:30" ht="10.199999999999999" x14ac:dyDescent="0.2">
      <c r="AC627" s="122"/>
      <c r="AD627" s="125"/>
    </row>
    <row r="628" spans="29:30" ht="10.199999999999999" x14ac:dyDescent="0.2">
      <c r="AC628" s="122"/>
      <c r="AD628" s="125"/>
    </row>
    <row r="629" spans="29:30" ht="10.199999999999999" x14ac:dyDescent="0.2">
      <c r="AC629" s="122"/>
      <c r="AD629" s="125"/>
    </row>
    <row r="630" spans="29:30" ht="10.199999999999999" x14ac:dyDescent="0.2">
      <c r="AC630" s="122"/>
      <c r="AD630" s="125"/>
    </row>
    <row r="631" spans="29:30" ht="10.199999999999999" x14ac:dyDescent="0.2">
      <c r="AC631" s="122"/>
      <c r="AD631" s="125"/>
    </row>
    <row r="632" spans="29:30" ht="10.199999999999999" x14ac:dyDescent="0.2">
      <c r="AC632" s="122"/>
      <c r="AD632" s="125"/>
    </row>
    <row r="633" spans="29:30" ht="10.199999999999999" x14ac:dyDescent="0.2">
      <c r="AC633" s="122"/>
      <c r="AD633" s="125"/>
    </row>
    <row r="634" spans="29:30" ht="10.199999999999999" x14ac:dyDescent="0.2">
      <c r="AC634" s="122"/>
      <c r="AD634" s="125"/>
    </row>
    <row r="635" spans="29:30" ht="10.199999999999999" x14ac:dyDescent="0.2">
      <c r="AC635" s="122"/>
      <c r="AD635" s="125"/>
    </row>
    <row r="636" spans="29:30" ht="10.199999999999999" x14ac:dyDescent="0.2">
      <c r="AC636" s="122"/>
      <c r="AD636" s="125"/>
    </row>
    <row r="637" spans="29:30" ht="10.199999999999999" x14ac:dyDescent="0.2">
      <c r="AC637" s="122"/>
      <c r="AD637" s="125"/>
    </row>
    <row r="638" spans="29:30" ht="10.199999999999999" x14ac:dyDescent="0.2">
      <c r="AC638" s="122"/>
      <c r="AD638" s="125"/>
    </row>
    <row r="639" spans="29:30" ht="10.199999999999999" x14ac:dyDescent="0.2">
      <c r="AC639" s="122"/>
      <c r="AD639" s="125"/>
    </row>
    <row r="640" spans="29:30" ht="10.199999999999999" x14ac:dyDescent="0.2">
      <c r="AC640" s="122"/>
      <c r="AD640" s="125"/>
    </row>
    <row r="641" spans="29:30" ht="10.199999999999999" x14ac:dyDescent="0.2">
      <c r="AC641" s="122"/>
      <c r="AD641" s="125"/>
    </row>
    <row r="642" spans="29:30" ht="10.199999999999999" x14ac:dyDescent="0.2">
      <c r="AC642" s="122"/>
      <c r="AD642" s="125"/>
    </row>
    <row r="643" spans="29:30" ht="10.199999999999999" x14ac:dyDescent="0.2">
      <c r="AC643" s="122"/>
      <c r="AD643" s="125"/>
    </row>
    <row r="644" spans="29:30" ht="10.199999999999999" x14ac:dyDescent="0.2">
      <c r="AC644" s="122"/>
      <c r="AD644" s="125"/>
    </row>
    <row r="645" spans="29:30" ht="10.199999999999999" x14ac:dyDescent="0.2">
      <c r="AC645" s="122"/>
      <c r="AD645" s="125"/>
    </row>
    <row r="646" spans="29:30" ht="10.199999999999999" x14ac:dyDescent="0.2">
      <c r="AC646" s="122"/>
      <c r="AD646" s="125"/>
    </row>
    <row r="647" spans="29:30" ht="10.199999999999999" x14ac:dyDescent="0.2">
      <c r="AC647" s="122"/>
      <c r="AD647" s="125"/>
    </row>
    <row r="648" spans="29:30" ht="10.199999999999999" x14ac:dyDescent="0.2">
      <c r="AC648" s="122"/>
      <c r="AD648" s="125"/>
    </row>
    <row r="649" spans="29:30" ht="10.199999999999999" x14ac:dyDescent="0.2">
      <c r="AC649" s="122"/>
      <c r="AD649" s="125"/>
    </row>
    <row r="650" spans="29:30" ht="10.199999999999999" x14ac:dyDescent="0.2">
      <c r="AC650" s="122"/>
      <c r="AD650" s="125"/>
    </row>
    <row r="651" spans="29:30" ht="10.199999999999999" x14ac:dyDescent="0.2">
      <c r="AC651" s="122"/>
      <c r="AD651" s="125"/>
    </row>
    <row r="652" spans="29:30" ht="10.199999999999999" x14ac:dyDescent="0.2">
      <c r="AC652" s="122"/>
      <c r="AD652" s="125"/>
    </row>
    <row r="653" spans="29:30" ht="10.199999999999999" x14ac:dyDescent="0.2">
      <c r="AC653" s="122"/>
      <c r="AD653" s="125"/>
    </row>
    <row r="654" spans="29:30" ht="10.199999999999999" x14ac:dyDescent="0.2">
      <c r="AC654" s="122"/>
      <c r="AD654" s="125"/>
    </row>
    <row r="655" spans="29:30" ht="10.199999999999999" x14ac:dyDescent="0.2">
      <c r="AC655" s="122"/>
      <c r="AD655" s="125"/>
    </row>
    <row r="656" spans="29:30" ht="10.199999999999999" x14ac:dyDescent="0.2">
      <c r="AC656" s="122"/>
      <c r="AD656" s="125"/>
    </row>
    <row r="657" spans="29:30" ht="10.199999999999999" x14ac:dyDescent="0.2">
      <c r="AC657" s="122"/>
      <c r="AD657" s="125"/>
    </row>
    <row r="658" spans="29:30" ht="10.199999999999999" x14ac:dyDescent="0.2">
      <c r="AC658" s="122"/>
      <c r="AD658" s="125"/>
    </row>
    <row r="659" spans="29:30" ht="10.199999999999999" x14ac:dyDescent="0.2">
      <c r="AC659" s="122"/>
      <c r="AD659" s="125"/>
    </row>
    <row r="660" spans="29:30" ht="10.199999999999999" x14ac:dyDescent="0.2">
      <c r="AC660" s="122"/>
      <c r="AD660" s="125"/>
    </row>
    <row r="661" spans="29:30" ht="10.199999999999999" x14ac:dyDescent="0.2">
      <c r="AC661" s="122"/>
      <c r="AD661" s="125"/>
    </row>
    <row r="662" spans="29:30" ht="10.199999999999999" x14ac:dyDescent="0.2">
      <c r="AC662" s="122"/>
      <c r="AD662" s="125"/>
    </row>
    <row r="663" spans="29:30" ht="10.199999999999999" x14ac:dyDescent="0.2">
      <c r="AC663" s="122"/>
      <c r="AD663" s="125"/>
    </row>
    <row r="664" spans="29:30" ht="10.199999999999999" x14ac:dyDescent="0.2">
      <c r="AC664" s="122"/>
      <c r="AD664" s="125"/>
    </row>
    <row r="665" spans="29:30" ht="10.199999999999999" x14ac:dyDescent="0.2">
      <c r="AC665" s="122"/>
      <c r="AD665" s="125"/>
    </row>
    <row r="666" spans="29:30" ht="10.199999999999999" x14ac:dyDescent="0.2">
      <c r="AC666" s="122"/>
      <c r="AD666" s="125"/>
    </row>
    <row r="667" spans="29:30" ht="10.199999999999999" x14ac:dyDescent="0.2">
      <c r="AC667" s="122"/>
      <c r="AD667" s="125"/>
    </row>
    <row r="668" spans="29:30" ht="10.199999999999999" x14ac:dyDescent="0.2">
      <c r="AC668" s="122"/>
      <c r="AD668" s="125"/>
    </row>
    <row r="669" spans="29:30" ht="10.199999999999999" x14ac:dyDescent="0.2">
      <c r="AC669" s="122"/>
      <c r="AD669" s="125"/>
    </row>
    <row r="670" spans="29:30" ht="10.199999999999999" x14ac:dyDescent="0.2">
      <c r="AC670" s="122"/>
      <c r="AD670" s="125"/>
    </row>
    <row r="671" spans="29:30" ht="10.199999999999999" x14ac:dyDescent="0.2">
      <c r="AC671" s="122"/>
      <c r="AD671" s="125"/>
    </row>
    <row r="672" spans="29:30" ht="10.199999999999999" x14ac:dyDescent="0.2">
      <c r="AC672" s="122"/>
      <c r="AD672" s="125"/>
    </row>
    <row r="673" spans="29:30" ht="10.199999999999999" x14ac:dyDescent="0.2">
      <c r="AC673" s="122"/>
      <c r="AD673" s="125"/>
    </row>
    <row r="674" spans="29:30" ht="10.199999999999999" x14ac:dyDescent="0.2">
      <c r="AC674" s="122"/>
      <c r="AD674" s="125"/>
    </row>
    <row r="675" spans="29:30" ht="10.199999999999999" x14ac:dyDescent="0.2">
      <c r="AC675" s="122"/>
      <c r="AD675" s="125"/>
    </row>
    <row r="676" spans="29:30" ht="10.199999999999999" x14ac:dyDescent="0.2">
      <c r="AC676" s="122"/>
      <c r="AD676" s="125"/>
    </row>
    <row r="677" spans="29:30" ht="10.199999999999999" x14ac:dyDescent="0.2">
      <c r="AC677" s="122"/>
      <c r="AD677" s="125"/>
    </row>
    <row r="678" spans="29:30" ht="10.199999999999999" x14ac:dyDescent="0.2">
      <c r="AC678" s="122"/>
      <c r="AD678" s="125"/>
    </row>
    <row r="679" spans="29:30" ht="10.199999999999999" x14ac:dyDescent="0.2">
      <c r="AC679" s="122"/>
      <c r="AD679" s="125"/>
    </row>
    <row r="680" spans="29:30" ht="10.199999999999999" x14ac:dyDescent="0.2">
      <c r="AC680" s="122"/>
      <c r="AD680" s="125"/>
    </row>
    <row r="681" spans="29:30" ht="10.199999999999999" x14ac:dyDescent="0.2">
      <c r="AC681" s="122"/>
      <c r="AD681" s="125"/>
    </row>
    <row r="682" spans="29:30" ht="10.199999999999999" x14ac:dyDescent="0.2">
      <c r="AC682" s="122"/>
      <c r="AD682" s="125"/>
    </row>
    <row r="683" spans="29:30" ht="10.199999999999999" x14ac:dyDescent="0.2">
      <c r="AC683" s="122"/>
      <c r="AD683" s="125"/>
    </row>
    <row r="684" spans="29:30" ht="10.199999999999999" x14ac:dyDescent="0.2">
      <c r="AC684" s="122"/>
      <c r="AD684" s="125"/>
    </row>
    <row r="685" spans="29:30" ht="10.199999999999999" x14ac:dyDescent="0.2">
      <c r="AC685" s="122"/>
      <c r="AD685" s="125"/>
    </row>
    <row r="686" spans="29:30" ht="10.199999999999999" x14ac:dyDescent="0.2">
      <c r="AC686" s="122"/>
      <c r="AD686" s="125"/>
    </row>
    <row r="687" spans="29:30" ht="10.199999999999999" x14ac:dyDescent="0.2">
      <c r="AC687" s="122"/>
      <c r="AD687" s="125"/>
    </row>
    <row r="688" spans="29:30" ht="10.199999999999999" x14ac:dyDescent="0.2">
      <c r="AC688" s="122"/>
      <c r="AD688" s="125"/>
    </row>
    <row r="689" spans="29:30" ht="10.199999999999999" x14ac:dyDescent="0.2">
      <c r="AC689" s="122"/>
      <c r="AD689" s="125"/>
    </row>
    <row r="690" spans="29:30" ht="10.199999999999999" x14ac:dyDescent="0.2">
      <c r="AC690" s="122"/>
      <c r="AD690" s="125"/>
    </row>
    <row r="691" spans="29:30" ht="10.199999999999999" x14ac:dyDescent="0.2">
      <c r="AC691" s="122"/>
      <c r="AD691" s="125"/>
    </row>
    <row r="692" spans="29:30" ht="10.199999999999999" x14ac:dyDescent="0.2">
      <c r="AC692" s="122"/>
      <c r="AD692" s="125"/>
    </row>
    <row r="693" spans="29:30" ht="10.199999999999999" x14ac:dyDescent="0.2">
      <c r="AC693" s="122"/>
      <c r="AD693" s="125"/>
    </row>
    <row r="694" spans="29:30" ht="10.199999999999999" x14ac:dyDescent="0.2">
      <c r="AC694" s="122"/>
      <c r="AD694" s="125"/>
    </row>
    <row r="695" spans="29:30" ht="10.199999999999999" x14ac:dyDescent="0.2">
      <c r="AC695" s="122"/>
      <c r="AD695" s="125"/>
    </row>
    <row r="696" spans="29:30" ht="10.199999999999999" x14ac:dyDescent="0.2">
      <c r="AC696" s="122"/>
      <c r="AD696" s="125"/>
    </row>
    <row r="697" spans="29:30" ht="10.199999999999999" x14ac:dyDescent="0.2">
      <c r="AC697" s="122"/>
      <c r="AD697" s="125"/>
    </row>
    <row r="698" spans="29:30" ht="10.199999999999999" x14ac:dyDescent="0.2">
      <c r="AC698" s="122"/>
      <c r="AD698" s="125"/>
    </row>
    <row r="699" spans="29:30" ht="10.199999999999999" x14ac:dyDescent="0.2">
      <c r="AC699" s="122"/>
      <c r="AD699" s="125"/>
    </row>
    <row r="700" spans="29:30" ht="10.199999999999999" x14ac:dyDescent="0.2">
      <c r="AC700" s="122"/>
      <c r="AD700" s="125"/>
    </row>
    <row r="701" spans="29:30" ht="10.199999999999999" x14ac:dyDescent="0.2">
      <c r="AC701" s="122"/>
      <c r="AD701" s="125"/>
    </row>
    <row r="702" spans="29:30" ht="10.199999999999999" x14ac:dyDescent="0.2">
      <c r="AC702" s="122"/>
      <c r="AD702" s="125"/>
    </row>
    <row r="703" spans="29:30" ht="10.199999999999999" x14ac:dyDescent="0.2">
      <c r="AC703" s="122"/>
      <c r="AD703" s="125"/>
    </row>
    <row r="704" spans="29:30" ht="10.199999999999999" x14ac:dyDescent="0.2">
      <c r="AC704" s="122"/>
      <c r="AD704" s="125"/>
    </row>
    <row r="705" spans="29:30" ht="10.199999999999999" x14ac:dyDescent="0.2">
      <c r="AC705" s="122"/>
      <c r="AD705" s="125"/>
    </row>
    <row r="706" spans="29:30" ht="10.199999999999999" x14ac:dyDescent="0.2">
      <c r="AC706" s="122"/>
      <c r="AD706" s="125"/>
    </row>
    <row r="707" spans="29:30" ht="10.199999999999999" x14ac:dyDescent="0.2">
      <c r="AC707" s="122"/>
      <c r="AD707" s="125"/>
    </row>
    <row r="708" spans="29:30" ht="10.199999999999999" x14ac:dyDescent="0.2">
      <c r="AC708" s="122"/>
      <c r="AD708" s="125"/>
    </row>
    <row r="709" spans="29:30" ht="10.199999999999999" x14ac:dyDescent="0.2">
      <c r="AC709" s="122"/>
      <c r="AD709" s="125"/>
    </row>
    <row r="710" spans="29:30" ht="10.199999999999999" x14ac:dyDescent="0.2">
      <c r="AC710" s="122"/>
      <c r="AD710" s="125"/>
    </row>
    <row r="711" spans="29:30" ht="10.199999999999999" x14ac:dyDescent="0.2">
      <c r="AC711" s="122"/>
      <c r="AD711" s="125"/>
    </row>
    <row r="712" spans="29:30" ht="10.199999999999999" x14ac:dyDescent="0.2">
      <c r="AC712" s="122"/>
      <c r="AD712" s="125"/>
    </row>
    <row r="713" spans="29:30" ht="10.199999999999999" x14ac:dyDescent="0.2">
      <c r="AC713" s="122"/>
      <c r="AD713" s="125"/>
    </row>
    <row r="714" spans="29:30" ht="10.199999999999999" x14ac:dyDescent="0.2">
      <c r="AC714" s="122"/>
      <c r="AD714" s="125"/>
    </row>
    <row r="715" spans="29:30" ht="10.199999999999999" x14ac:dyDescent="0.2">
      <c r="AC715" s="122"/>
      <c r="AD715" s="125"/>
    </row>
    <row r="716" spans="29:30" ht="10.199999999999999" x14ac:dyDescent="0.2">
      <c r="AC716" s="122"/>
      <c r="AD716" s="125"/>
    </row>
    <row r="717" spans="29:30" ht="10.199999999999999" x14ac:dyDescent="0.2">
      <c r="AC717" s="122"/>
      <c r="AD717" s="125"/>
    </row>
    <row r="718" spans="29:30" ht="10.199999999999999" x14ac:dyDescent="0.2">
      <c r="AC718" s="122"/>
      <c r="AD718" s="125"/>
    </row>
    <row r="719" spans="29:30" ht="10.199999999999999" x14ac:dyDescent="0.2">
      <c r="AC719" s="122"/>
      <c r="AD719" s="125"/>
    </row>
    <row r="720" spans="29:30" ht="10.199999999999999" x14ac:dyDescent="0.2">
      <c r="AC720" s="122"/>
      <c r="AD720" s="125"/>
    </row>
    <row r="721" spans="29:30" ht="10.199999999999999" x14ac:dyDescent="0.2">
      <c r="AC721" s="122"/>
      <c r="AD721" s="125"/>
    </row>
    <row r="722" spans="29:30" ht="10.199999999999999" x14ac:dyDescent="0.2">
      <c r="AC722" s="122"/>
      <c r="AD722" s="125"/>
    </row>
    <row r="723" spans="29:30" ht="10.199999999999999" x14ac:dyDescent="0.2">
      <c r="AC723" s="122"/>
      <c r="AD723" s="125"/>
    </row>
    <row r="724" spans="29:30" ht="10.199999999999999" x14ac:dyDescent="0.2">
      <c r="AC724" s="122"/>
      <c r="AD724" s="125"/>
    </row>
    <row r="725" spans="29:30" ht="10.199999999999999" x14ac:dyDescent="0.2">
      <c r="AC725" s="122"/>
      <c r="AD725" s="125"/>
    </row>
    <row r="726" spans="29:30" ht="10.199999999999999" x14ac:dyDescent="0.2">
      <c r="AC726" s="122"/>
      <c r="AD726" s="125"/>
    </row>
    <row r="727" spans="29:30" ht="10.199999999999999" x14ac:dyDescent="0.2">
      <c r="AC727" s="122"/>
      <c r="AD727" s="125"/>
    </row>
    <row r="728" spans="29:30" ht="10.199999999999999" x14ac:dyDescent="0.2">
      <c r="AC728" s="122"/>
      <c r="AD728" s="125"/>
    </row>
    <row r="729" spans="29:30" ht="10.199999999999999" x14ac:dyDescent="0.2">
      <c r="AC729" s="122"/>
      <c r="AD729" s="125"/>
    </row>
    <row r="730" spans="29:30" ht="10.199999999999999" x14ac:dyDescent="0.2">
      <c r="AC730" s="122"/>
      <c r="AD730" s="125"/>
    </row>
    <row r="731" spans="29:30" ht="10.199999999999999" x14ac:dyDescent="0.2">
      <c r="AC731" s="122"/>
      <c r="AD731" s="125"/>
    </row>
    <row r="732" spans="29:30" ht="10.199999999999999" x14ac:dyDescent="0.2">
      <c r="AC732" s="122"/>
      <c r="AD732" s="125"/>
    </row>
    <row r="733" spans="29:30" ht="10.199999999999999" x14ac:dyDescent="0.2">
      <c r="AC733" s="122"/>
      <c r="AD733" s="125"/>
    </row>
    <row r="734" spans="29:30" ht="10.199999999999999" x14ac:dyDescent="0.2">
      <c r="AC734" s="122"/>
      <c r="AD734" s="125"/>
    </row>
    <row r="735" spans="29:30" ht="10.199999999999999" x14ac:dyDescent="0.2">
      <c r="AC735" s="122"/>
      <c r="AD735" s="125"/>
    </row>
    <row r="736" spans="29:30" ht="10.199999999999999" x14ac:dyDescent="0.2">
      <c r="AC736" s="122"/>
      <c r="AD736" s="125"/>
    </row>
    <row r="737" spans="29:30" ht="10.199999999999999" x14ac:dyDescent="0.2">
      <c r="AC737" s="122"/>
      <c r="AD737" s="125"/>
    </row>
    <row r="738" spans="29:30" ht="10.199999999999999" x14ac:dyDescent="0.2">
      <c r="AC738" s="122"/>
      <c r="AD738" s="125"/>
    </row>
    <row r="739" spans="29:30" ht="10.199999999999999" x14ac:dyDescent="0.2">
      <c r="AC739" s="122"/>
      <c r="AD739" s="125"/>
    </row>
    <row r="740" spans="29:30" ht="10.199999999999999" x14ac:dyDescent="0.2">
      <c r="AC740" s="122"/>
      <c r="AD740" s="125"/>
    </row>
    <row r="741" spans="29:30" ht="10.199999999999999" x14ac:dyDescent="0.2">
      <c r="AC741" s="122"/>
      <c r="AD741" s="125"/>
    </row>
    <row r="742" spans="29:30" ht="10.199999999999999" x14ac:dyDescent="0.2">
      <c r="AC742" s="122"/>
      <c r="AD742" s="125"/>
    </row>
    <row r="743" spans="29:30" ht="10.199999999999999" x14ac:dyDescent="0.2">
      <c r="AC743" s="122"/>
      <c r="AD743" s="125"/>
    </row>
    <row r="744" spans="29:30" ht="10.199999999999999" x14ac:dyDescent="0.2">
      <c r="AC744" s="122"/>
      <c r="AD744" s="125"/>
    </row>
    <row r="745" spans="29:30" ht="10.199999999999999" x14ac:dyDescent="0.2">
      <c r="AC745" s="122"/>
      <c r="AD745" s="125"/>
    </row>
    <row r="746" spans="29:30" ht="10.199999999999999" x14ac:dyDescent="0.2">
      <c r="AC746" s="122"/>
      <c r="AD746" s="125"/>
    </row>
    <row r="747" spans="29:30" ht="10.199999999999999" x14ac:dyDescent="0.2">
      <c r="AC747" s="122"/>
      <c r="AD747" s="125"/>
    </row>
    <row r="748" spans="29:30" ht="10.199999999999999" x14ac:dyDescent="0.2">
      <c r="AC748" s="122"/>
      <c r="AD748" s="125"/>
    </row>
    <row r="749" spans="29:30" ht="10.199999999999999" x14ac:dyDescent="0.2">
      <c r="AC749" s="122"/>
      <c r="AD749" s="125"/>
    </row>
    <row r="750" spans="29:30" ht="10.199999999999999" x14ac:dyDescent="0.2">
      <c r="AC750" s="122"/>
      <c r="AD750" s="125"/>
    </row>
    <row r="751" spans="29:30" ht="10.199999999999999" x14ac:dyDescent="0.2">
      <c r="AC751" s="122"/>
      <c r="AD751" s="125"/>
    </row>
    <row r="752" spans="29:30" ht="10.199999999999999" x14ac:dyDescent="0.2">
      <c r="AC752" s="122"/>
      <c r="AD752" s="125"/>
    </row>
    <row r="753" spans="29:30" ht="10.199999999999999" x14ac:dyDescent="0.2">
      <c r="AC753" s="122"/>
      <c r="AD753" s="125"/>
    </row>
    <row r="754" spans="29:30" ht="10.199999999999999" x14ac:dyDescent="0.2">
      <c r="AC754" s="122"/>
      <c r="AD754" s="125"/>
    </row>
    <row r="755" spans="29:30" ht="10.199999999999999" x14ac:dyDescent="0.2">
      <c r="AC755" s="122"/>
      <c r="AD755" s="125"/>
    </row>
    <row r="756" spans="29:30" ht="10.199999999999999" x14ac:dyDescent="0.2">
      <c r="AC756" s="122"/>
      <c r="AD756" s="125"/>
    </row>
    <row r="757" spans="29:30" ht="10.199999999999999" x14ac:dyDescent="0.2">
      <c r="AC757" s="122"/>
      <c r="AD757" s="125"/>
    </row>
    <row r="758" spans="29:30" ht="10.199999999999999" x14ac:dyDescent="0.2">
      <c r="AC758" s="122"/>
      <c r="AD758" s="125"/>
    </row>
    <row r="759" spans="29:30" ht="10.199999999999999" x14ac:dyDescent="0.2">
      <c r="AC759" s="122"/>
      <c r="AD759" s="125"/>
    </row>
    <row r="760" spans="29:30" ht="10.199999999999999" x14ac:dyDescent="0.2">
      <c r="AC760" s="122"/>
      <c r="AD760" s="125"/>
    </row>
    <row r="761" spans="29:30" ht="10.199999999999999" x14ac:dyDescent="0.2">
      <c r="AC761" s="122"/>
      <c r="AD761" s="125"/>
    </row>
    <row r="762" spans="29:30" ht="10.199999999999999" x14ac:dyDescent="0.2">
      <c r="AC762" s="122"/>
      <c r="AD762" s="125"/>
    </row>
    <row r="763" spans="29:30" ht="10.199999999999999" x14ac:dyDescent="0.2">
      <c r="AC763" s="122"/>
      <c r="AD763" s="125"/>
    </row>
    <row r="764" spans="29:30" ht="10.199999999999999" x14ac:dyDescent="0.2">
      <c r="AC764" s="122"/>
      <c r="AD764" s="125"/>
    </row>
    <row r="765" spans="29:30" ht="10.199999999999999" x14ac:dyDescent="0.2">
      <c r="AC765" s="122"/>
      <c r="AD765" s="125"/>
    </row>
    <row r="766" spans="29:30" ht="10.199999999999999" x14ac:dyDescent="0.2">
      <c r="AC766" s="122"/>
      <c r="AD766" s="125"/>
    </row>
    <row r="767" spans="29:30" ht="10.199999999999999" x14ac:dyDescent="0.2">
      <c r="AC767" s="122"/>
      <c r="AD767" s="125"/>
    </row>
    <row r="768" spans="29:30" ht="10.199999999999999" x14ac:dyDescent="0.2">
      <c r="AC768" s="122"/>
      <c r="AD768" s="125"/>
    </row>
    <row r="769" spans="29:30" ht="10.199999999999999" x14ac:dyDescent="0.2">
      <c r="AC769" s="122"/>
      <c r="AD769" s="125"/>
    </row>
    <row r="770" spans="29:30" ht="10.199999999999999" x14ac:dyDescent="0.2">
      <c r="AC770" s="122"/>
      <c r="AD770" s="125"/>
    </row>
    <row r="771" spans="29:30" ht="10.199999999999999" x14ac:dyDescent="0.2">
      <c r="AC771" s="122"/>
      <c r="AD771" s="125"/>
    </row>
    <row r="772" spans="29:30" ht="10.199999999999999" x14ac:dyDescent="0.2">
      <c r="AC772" s="122"/>
      <c r="AD772" s="125"/>
    </row>
    <row r="773" spans="29:30" ht="10.199999999999999" x14ac:dyDescent="0.2">
      <c r="AC773" s="122"/>
      <c r="AD773" s="125"/>
    </row>
    <row r="774" spans="29:30" ht="10.199999999999999" x14ac:dyDescent="0.2">
      <c r="AC774" s="122"/>
      <c r="AD774" s="125"/>
    </row>
    <row r="775" spans="29:30" ht="10.199999999999999" x14ac:dyDescent="0.2">
      <c r="AC775" s="122"/>
      <c r="AD775" s="125"/>
    </row>
    <row r="776" spans="29:30" ht="10.199999999999999" x14ac:dyDescent="0.2">
      <c r="AC776" s="122"/>
      <c r="AD776" s="125"/>
    </row>
    <row r="777" spans="29:30" ht="10.199999999999999" x14ac:dyDescent="0.2">
      <c r="AC777" s="122"/>
      <c r="AD777" s="125"/>
    </row>
    <row r="778" spans="29:30" ht="10.199999999999999" x14ac:dyDescent="0.2">
      <c r="AC778" s="122"/>
      <c r="AD778" s="125"/>
    </row>
    <row r="779" spans="29:30" ht="10.199999999999999" x14ac:dyDescent="0.2">
      <c r="AC779" s="122"/>
      <c r="AD779" s="125"/>
    </row>
    <row r="780" spans="29:30" ht="10.199999999999999" x14ac:dyDescent="0.2">
      <c r="AC780" s="122"/>
      <c r="AD780" s="125"/>
    </row>
    <row r="781" spans="29:30" ht="10.199999999999999" x14ac:dyDescent="0.2">
      <c r="AC781" s="122"/>
      <c r="AD781" s="125"/>
    </row>
    <row r="782" spans="29:30" ht="10.199999999999999" x14ac:dyDescent="0.2">
      <c r="AC782" s="122"/>
      <c r="AD782" s="125"/>
    </row>
    <row r="783" spans="29:30" ht="10.199999999999999" x14ac:dyDescent="0.2">
      <c r="AC783" s="122"/>
      <c r="AD783" s="125"/>
    </row>
    <row r="784" spans="29:30" ht="10.199999999999999" x14ac:dyDescent="0.2">
      <c r="AC784" s="122"/>
      <c r="AD784" s="125"/>
    </row>
    <row r="785" spans="29:30" ht="10.199999999999999" x14ac:dyDescent="0.2">
      <c r="AC785" s="122"/>
      <c r="AD785" s="125"/>
    </row>
    <row r="786" spans="29:30" ht="10.199999999999999" x14ac:dyDescent="0.2">
      <c r="AC786" s="122"/>
      <c r="AD786" s="125"/>
    </row>
    <row r="787" spans="29:30" ht="10.199999999999999" x14ac:dyDescent="0.2">
      <c r="AC787" s="122"/>
      <c r="AD787" s="125"/>
    </row>
    <row r="788" spans="29:30" ht="10.199999999999999" x14ac:dyDescent="0.2">
      <c r="AC788" s="122"/>
      <c r="AD788" s="125"/>
    </row>
    <row r="789" spans="29:30" ht="10.199999999999999" x14ac:dyDescent="0.2">
      <c r="AC789" s="122"/>
      <c r="AD789" s="125"/>
    </row>
    <row r="790" spans="29:30" ht="10.199999999999999" x14ac:dyDescent="0.2">
      <c r="AC790" s="122"/>
      <c r="AD790" s="125"/>
    </row>
    <row r="791" spans="29:30" ht="10.199999999999999" x14ac:dyDescent="0.2">
      <c r="AC791" s="122"/>
      <c r="AD791" s="125"/>
    </row>
    <row r="792" spans="29:30" ht="10.199999999999999" x14ac:dyDescent="0.2">
      <c r="AC792" s="122"/>
      <c r="AD792" s="125"/>
    </row>
    <row r="793" spans="29:30" ht="10.199999999999999" x14ac:dyDescent="0.2">
      <c r="AC793" s="122"/>
      <c r="AD793" s="125"/>
    </row>
    <row r="794" spans="29:30" ht="10.199999999999999" x14ac:dyDescent="0.2">
      <c r="AC794" s="122"/>
      <c r="AD794" s="125"/>
    </row>
    <row r="795" spans="29:30" ht="10.199999999999999" x14ac:dyDescent="0.2">
      <c r="AC795" s="122"/>
      <c r="AD795" s="125"/>
    </row>
    <row r="796" spans="29:30" ht="10.199999999999999" x14ac:dyDescent="0.2">
      <c r="AC796" s="122"/>
      <c r="AD796" s="125"/>
    </row>
    <row r="797" spans="29:30" ht="10.199999999999999" x14ac:dyDescent="0.2">
      <c r="AC797" s="122"/>
      <c r="AD797" s="125"/>
    </row>
    <row r="798" spans="29:30" ht="10.199999999999999" x14ac:dyDescent="0.2">
      <c r="AC798" s="122"/>
      <c r="AD798" s="125"/>
    </row>
    <row r="799" spans="29:30" ht="10.199999999999999" x14ac:dyDescent="0.2">
      <c r="AC799" s="122"/>
      <c r="AD799" s="125"/>
    </row>
    <row r="800" spans="29:30" ht="10.199999999999999" x14ac:dyDescent="0.2">
      <c r="AC800" s="122"/>
      <c r="AD800" s="125"/>
    </row>
    <row r="801" spans="29:30" ht="10.199999999999999" x14ac:dyDescent="0.2">
      <c r="AC801" s="122"/>
      <c r="AD801" s="125"/>
    </row>
    <row r="802" spans="29:30" ht="10.199999999999999" x14ac:dyDescent="0.2">
      <c r="AC802" s="122"/>
      <c r="AD802" s="125"/>
    </row>
    <row r="803" spans="29:30" ht="10.199999999999999" x14ac:dyDescent="0.2">
      <c r="AC803" s="122"/>
      <c r="AD803" s="125"/>
    </row>
    <row r="804" spans="29:30" ht="10.199999999999999" x14ac:dyDescent="0.2">
      <c r="AC804" s="122"/>
      <c r="AD804" s="125"/>
    </row>
    <row r="805" spans="29:30" ht="10.199999999999999" x14ac:dyDescent="0.2">
      <c r="AC805" s="122"/>
      <c r="AD805" s="125"/>
    </row>
    <row r="806" spans="29:30" ht="10.199999999999999" x14ac:dyDescent="0.2">
      <c r="AC806" s="122"/>
      <c r="AD806" s="125"/>
    </row>
    <row r="807" spans="29:30" ht="10.199999999999999" x14ac:dyDescent="0.2">
      <c r="AC807" s="122"/>
      <c r="AD807" s="125"/>
    </row>
    <row r="808" spans="29:30" ht="10.199999999999999" x14ac:dyDescent="0.2">
      <c r="AC808" s="122"/>
      <c r="AD808" s="125"/>
    </row>
    <row r="809" spans="29:30" ht="10.199999999999999" x14ac:dyDescent="0.2">
      <c r="AC809" s="122"/>
      <c r="AD809" s="125"/>
    </row>
    <row r="810" spans="29:30" ht="10.199999999999999" x14ac:dyDescent="0.2">
      <c r="AC810" s="122"/>
      <c r="AD810" s="125"/>
    </row>
    <row r="811" spans="29:30" ht="10.199999999999999" x14ac:dyDescent="0.2">
      <c r="AC811" s="122"/>
      <c r="AD811" s="125"/>
    </row>
    <row r="812" spans="29:30" ht="10.199999999999999" x14ac:dyDescent="0.2">
      <c r="AC812" s="122"/>
      <c r="AD812" s="125"/>
    </row>
    <row r="813" spans="29:30" ht="10.199999999999999" x14ac:dyDescent="0.2">
      <c r="AC813" s="122"/>
      <c r="AD813" s="125"/>
    </row>
    <row r="814" spans="29:30" ht="10.199999999999999" x14ac:dyDescent="0.2">
      <c r="AC814" s="122"/>
      <c r="AD814" s="125"/>
    </row>
    <row r="815" spans="29:30" ht="10.199999999999999" x14ac:dyDescent="0.2">
      <c r="AC815" s="122"/>
      <c r="AD815" s="125"/>
    </row>
    <row r="816" spans="29:30" ht="10.199999999999999" x14ac:dyDescent="0.2">
      <c r="AC816" s="122"/>
      <c r="AD816" s="125"/>
    </row>
    <row r="817" spans="29:30" ht="10.199999999999999" x14ac:dyDescent="0.2">
      <c r="AC817" s="122"/>
      <c r="AD817" s="125"/>
    </row>
    <row r="818" spans="29:30" ht="10.199999999999999" x14ac:dyDescent="0.2">
      <c r="AC818" s="122"/>
      <c r="AD818" s="125"/>
    </row>
    <row r="819" spans="29:30" ht="10.199999999999999" x14ac:dyDescent="0.2">
      <c r="AC819" s="122"/>
      <c r="AD819" s="125"/>
    </row>
    <row r="820" spans="29:30" ht="10.199999999999999" x14ac:dyDescent="0.2">
      <c r="AC820" s="122"/>
      <c r="AD820" s="125"/>
    </row>
    <row r="821" spans="29:30" ht="10.199999999999999" x14ac:dyDescent="0.2">
      <c r="AC821" s="122"/>
      <c r="AD821" s="125"/>
    </row>
    <row r="822" spans="29:30" ht="10.199999999999999" x14ac:dyDescent="0.2">
      <c r="AC822" s="122"/>
      <c r="AD822" s="125"/>
    </row>
    <row r="823" spans="29:30" ht="10.199999999999999" x14ac:dyDescent="0.2">
      <c r="AC823" s="122"/>
      <c r="AD823" s="125"/>
    </row>
    <row r="824" spans="29:30" ht="10.199999999999999" x14ac:dyDescent="0.2">
      <c r="AC824" s="122"/>
      <c r="AD824" s="125"/>
    </row>
    <row r="825" spans="29:30" ht="10.199999999999999" x14ac:dyDescent="0.2">
      <c r="AC825" s="122"/>
      <c r="AD825" s="125"/>
    </row>
    <row r="826" spans="29:30" ht="10.199999999999999" x14ac:dyDescent="0.2">
      <c r="AC826" s="122"/>
      <c r="AD826" s="125"/>
    </row>
    <row r="827" spans="29:30" ht="10.199999999999999" x14ac:dyDescent="0.2">
      <c r="AC827" s="122"/>
      <c r="AD827" s="125"/>
    </row>
    <row r="828" spans="29:30" ht="10.199999999999999" x14ac:dyDescent="0.2">
      <c r="AC828" s="122"/>
      <c r="AD828" s="125"/>
    </row>
    <row r="829" spans="29:30" ht="10.199999999999999" x14ac:dyDescent="0.2">
      <c r="AC829" s="122"/>
      <c r="AD829" s="125"/>
    </row>
    <row r="830" spans="29:30" ht="10.199999999999999" x14ac:dyDescent="0.2">
      <c r="AC830" s="122"/>
      <c r="AD830" s="125"/>
    </row>
    <row r="831" spans="29:30" ht="10.199999999999999" x14ac:dyDescent="0.2">
      <c r="AC831" s="122"/>
      <c r="AD831" s="125"/>
    </row>
    <row r="832" spans="29:30" ht="10.199999999999999" x14ac:dyDescent="0.2">
      <c r="AC832" s="122"/>
      <c r="AD832" s="125"/>
    </row>
    <row r="833" spans="29:30" ht="10.199999999999999" x14ac:dyDescent="0.2">
      <c r="AC833" s="122"/>
      <c r="AD833" s="125"/>
    </row>
    <row r="834" spans="29:30" ht="10.199999999999999" x14ac:dyDescent="0.2">
      <c r="AC834" s="122"/>
      <c r="AD834" s="125"/>
    </row>
    <row r="835" spans="29:30" ht="10.199999999999999" x14ac:dyDescent="0.2">
      <c r="AC835" s="122"/>
      <c r="AD835" s="125"/>
    </row>
    <row r="836" spans="29:30" ht="10.199999999999999" x14ac:dyDescent="0.2">
      <c r="AC836" s="122"/>
      <c r="AD836" s="125"/>
    </row>
    <row r="837" spans="29:30" ht="10.199999999999999" x14ac:dyDescent="0.2">
      <c r="AC837" s="122"/>
      <c r="AD837" s="125"/>
    </row>
    <row r="838" spans="29:30" ht="10.199999999999999" x14ac:dyDescent="0.2">
      <c r="AC838" s="122"/>
      <c r="AD838" s="125"/>
    </row>
    <row r="839" spans="29:30" ht="10.199999999999999" x14ac:dyDescent="0.2">
      <c r="AC839" s="122"/>
      <c r="AD839" s="125"/>
    </row>
    <row r="840" spans="29:30" ht="10.199999999999999" x14ac:dyDescent="0.2">
      <c r="AC840" s="122"/>
      <c r="AD840" s="125"/>
    </row>
    <row r="841" spans="29:30" ht="10.199999999999999" x14ac:dyDescent="0.2">
      <c r="AC841" s="122"/>
      <c r="AD841" s="125"/>
    </row>
    <row r="842" spans="29:30" ht="10.199999999999999" x14ac:dyDescent="0.2">
      <c r="AC842" s="122"/>
      <c r="AD842" s="125"/>
    </row>
    <row r="843" spans="29:30" ht="10.199999999999999" x14ac:dyDescent="0.2">
      <c r="AC843" s="122"/>
      <c r="AD843" s="125"/>
    </row>
    <row r="844" spans="29:30" ht="10.199999999999999" x14ac:dyDescent="0.2">
      <c r="AC844" s="122"/>
      <c r="AD844" s="125"/>
    </row>
    <row r="845" spans="29:30" ht="10.199999999999999" x14ac:dyDescent="0.2">
      <c r="AC845" s="122"/>
      <c r="AD845" s="125"/>
    </row>
    <row r="846" spans="29:30" ht="10.199999999999999" x14ac:dyDescent="0.2">
      <c r="AC846" s="122"/>
      <c r="AD846" s="125"/>
    </row>
    <row r="847" spans="29:30" ht="10.199999999999999" x14ac:dyDescent="0.2">
      <c r="AC847" s="122"/>
      <c r="AD847" s="125"/>
    </row>
    <row r="848" spans="29:30" ht="10.199999999999999" x14ac:dyDescent="0.2">
      <c r="AC848" s="122"/>
      <c r="AD848" s="125"/>
    </row>
    <row r="849" spans="29:30" ht="10.199999999999999" x14ac:dyDescent="0.2">
      <c r="AC849" s="122"/>
      <c r="AD849" s="125"/>
    </row>
    <row r="850" spans="29:30" ht="10.199999999999999" x14ac:dyDescent="0.2">
      <c r="AC850" s="122"/>
      <c r="AD850" s="125"/>
    </row>
    <row r="851" spans="29:30" ht="10.199999999999999" x14ac:dyDescent="0.2">
      <c r="AC851" s="122"/>
      <c r="AD851" s="125"/>
    </row>
    <row r="852" spans="29:30" ht="10.199999999999999" x14ac:dyDescent="0.2">
      <c r="AC852" s="122"/>
      <c r="AD852" s="125"/>
    </row>
    <row r="853" spans="29:30" ht="10.199999999999999" x14ac:dyDescent="0.2">
      <c r="AC853" s="122"/>
      <c r="AD853" s="125"/>
    </row>
    <row r="854" spans="29:30" ht="10.199999999999999" x14ac:dyDescent="0.2">
      <c r="AC854" s="122"/>
      <c r="AD854" s="125"/>
    </row>
    <row r="855" spans="29:30" ht="10.199999999999999" x14ac:dyDescent="0.2">
      <c r="AC855" s="122"/>
      <c r="AD855" s="125"/>
    </row>
    <row r="856" spans="29:30" ht="10.199999999999999" x14ac:dyDescent="0.2">
      <c r="AC856" s="122"/>
      <c r="AD856" s="125"/>
    </row>
    <row r="857" spans="29:30" ht="10.199999999999999" x14ac:dyDescent="0.2">
      <c r="AC857" s="122"/>
      <c r="AD857" s="125"/>
    </row>
    <row r="858" spans="29:30" ht="10.199999999999999" x14ac:dyDescent="0.2">
      <c r="AC858" s="122"/>
      <c r="AD858" s="125"/>
    </row>
    <row r="859" spans="29:30" ht="10.199999999999999" x14ac:dyDescent="0.2">
      <c r="AC859" s="122"/>
      <c r="AD859" s="125"/>
    </row>
    <row r="860" spans="29:30" ht="10.199999999999999" x14ac:dyDescent="0.2">
      <c r="AC860" s="122"/>
      <c r="AD860" s="125"/>
    </row>
    <row r="861" spans="29:30" ht="10.199999999999999" x14ac:dyDescent="0.2">
      <c r="AC861" s="122"/>
      <c r="AD861" s="125"/>
    </row>
    <row r="862" spans="29:30" ht="10.199999999999999" x14ac:dyDescent="0.2">
      <c r="AC862" s="122"/>
      <c r="AD862" s="125"/>
    </row>
    <row r="863" spans="29:30" ht="10.199999999999999" x14ac:dyDescent="0.2">
      <c r="AC863" s="122"/>
      <c r="AD863" s="125"/>
    </row>
    <row r="864" spans="29:30" ht="10.199999999999999" x14ac:dyDescent="0.2">
      <c r="AC864" s="122"/>
      <c r="AD864" s="125"/>
    </row>
    <row r="865" spans="29:30" ht="10.199999999999999" x14ac:dyDescent="0.2">
      <c r="AC865" s="122"/>
      <c r="AD865" s="125"/>
    </row>
    <row r="866" spans="29:30" ht="10.199999999999999" x14ac:dyDescent="0.2">
      <c r="AC866" s="122"/>
      <c r="AD866" s="125"/>
    </row>
    <row r="867" spans="29:30" ht="10.199999999999999" x14ac:dyDescent="0.2">
      <c r="AC867" s="122"/>
      <c r="AD867" s="125"/>
    </row>
    <row r="868" spans="29:30" ht="10.199999999999999" x14ac:dyDescent="0.2">
      <c r="AC868" s="122"/>
      <c r="AD868" s="125"/>
    </row>
    <row r="869" spans="29:30" ht="10.199999999999999" x14ac:dyDescent="0.2">
      <c r="AC869" s="122"/>
      <c r="AD869" s="125"/>
    </row>
    <row r="870" spans="29:30" ht="10.199999999999999" x14ac:dyDescent="0.2">
      <c r="AC870" s="122"/>
      <c r="AD870" s="125"/>
    </row>
    <row r="871" spans="29:30" ht="10.199999999999999" x14ac:dyDescent="0.2">
      <c r="AC871" s="122"/>
      <c r="AD871" s="125"/>
    </row>
    <row r="872" spans="29:30" ht="10.199999999999999" x14ac:dyDescent="0.2">
      <c r="AC872" s="122"/>
      <c r="AD872" s="125"/>
    </row>
    <row r="873" spans="29:30" ht="10.199999999999999" x14ac:dyDescent="0.2">
      <c r="AC873" s="122"/>
      <c r="AD873" s="125"/>
    </row>
    <row r="874" spans="29:30" ht="10.199999999999999" x14ac:dyDescent="0.2">
      <c r="AC874" s="122"/>
      <c r="AD874" s="125"/>
    </row>
    <row r="875" spans="29:30" ht="10.199999999999999" x14ac:dyDescent="0.2">
      <c r="AC875" s="122"/>
      <c r="AD875" s="125"/>
    </row>
    <row r="876" spans="29:30" ht="10.199999999999999" x14ac:dyDescent="0.2">
      <c r="AC876" s="122"/>
      <c r="AD876" s="125"/>
    </row>
    <row r="877" spans="29:30" ht="10.199999999999999" x14ac:dyDescent="0.2">
      <c r="AC877" s="122"/>
      <c r="AD877" s="125"/>
    </row>
    <row r="878" spans="29:30" ht="10.199999999999999" x14ac:dyDescent="0.2">
      <c r="AC878" s="122"/>
      <c r="AD878" s="125"/>
    </row>
    <row r="879" spans="29:30" ht="10.199999999999999" x14ac:dyDescent="0.2">
      <c r="AC879" s="122"/>
      <c r="AD879" s="125"/>
    </row>
    <row r="880" spans="29:30" ht="10.199999999999999" x14ac:dyDescent="0.2">
      <c r="AC880" s="122"/>
      <c r="AD880" s="125"/>
    </row>
    <row r="881" spans="29:30" ht="10.199999999999999" x14ac:dyDescent="0.2">
      <c r="AC881" s="122"/>
      <c r="AD881" s="125"/>
    </row>
    <row r="882" spans="29:30" ht="10.199999999999999" x14ac:dyDescent="0.2">
      <c r="AC882" s="122"/>
      <c r="AD882" s="125"/>
    </row>
    <row r="883" spans="29:30" ht="10.199999999999999" x14ac:dyDescent="0.2">
      <c r="AC883" s="122"/>
      <c r="AD883" s="125"/>
    </row>
    <row r="884" spans="29:30" ht="10.199999999999999" x14ac:dyDescent="0.2">
      <c r="AC884" s="122"/>
      <c r="AD884" s="125"/>
    </row>
    <row r="885" spans="29:30" ht="10.199999999999999" x14ac:dyDescent="0.2">
      <c r="AC885" s="122"/>
      <c r="AD885" s="125"/>
    </row>
    <row r="886" spans="29:30" ht="10.199999999999999" x14ac:dyDescent="0.2">
      <c r="AC886" s="122"/>
      <c r="AD886" s="125"/>
    </row>
    <row r="887" spans="29:30" ht="10.199999999999999" x14ac:dyDescent="0.2">
      <c r="AC887" s="122"/>
      <c r="AD887" s="125"/>
    </row>
    <row r="888" spans="29:30" ht="10.199999999999999" x14ac:dyDescent="0.2">
      <c r="AC888" s="122"/>
      <c r="AD888" s="125"/>
    </row>
    <row r="889" spans="29:30" ht="10.199999999999999" x14ac:dyDescent="0.2">
      <c r="AC889" s="122"/>
      <c r="AD889" s="125"/>
    </row>
    <row r="890" spans="29:30" ht="10.199999999999999" x14ac:dyDescent="0.2">
      <c r="AC890" s="122"/>
      <c r="AD890" s="125"/>
    </row>
    <row r="891" spans="29:30" ht="10.199999999999999" x14ac:dyDescent="0.2">
      <c r="AC891" s="122"/>
      <c r="AD891" s="125"/>
    </row>
    <row r="892" spans="29:30" ht="10.199999999999999" x14ac:dyDescent="0.2">
      <c r="AC892" s="122"/>
      <c r="AD892" s="125"/>
    </row>
    <row r="893" spans="29:30" ht="10.199999999999999" x14ac:dyDescent="0.2">
      <c r="AC893" s="122"/>
      <c r="AD893" s="125"/>
    </row>
    <row r="894" spans="29:30" ht="10.199999999999999" x14ac:dyDescent="0.2">
      <c r="AC894" s="122"/>
      <c r="AD894" s="125"/>
    </row>
    <row r="895" spans="29:30" ht="10.199999999999999" x14ac:dyDescent="0.2">
      <c r="AC895" s="122"/>
      <c r="AD895" s="125"/>
    </row>
    <row r="896" spans="29:30" ht="10.199999999999999" x14ac:dyDescent="0.2">
      <c r="AC896" s="122"/>
      <c r="AD896" s="125"/>
    </row>
    <row r="897" spans="29:30" ht="10.199999999999999" x14ac:dyDescent="0.2">
      <c r="AC897" s="122"/>
      <c r="AD897" s="125"/>
    </row>
    <row r="898" spans="29:30" ht="10.199999999999999" x14ac:dyDescent="0.2">
      <c r="AC898" s="122"/>
      <c r="AD898" s="125"/>
    </row>
    <row r="899" spans="29:30" ht="10.199999999999999" x14ac:dyDescent="0.2">
      <c r="AC899" s="122"/>
      <c r="AD899" s="125"/>
    </row>
    <row r="900" spans="29:30" ht="10.199999999999999" x14ac:dyDescent="0.2">
      <c r="AC900" s="122"/>
      <c r="AD900" s="125"/>
    </row>
    <row r="901" spans="29:30" ht="10.199999999999999" x14ac:dyDescent="0.2">
      <c r="AC901" s="122"/>
      <c r="AD901" s="125"/>
    </row>
    <row r="902" spans="29:30" ht="10.199999999999999" x14ac:dyDescent="0.2">
      <c r="AC902" s="122"/>
      <c r="AD902" s="125"/>
    </row>
    <row r="903" spans="29:30" ht="10.199999999999999" x14ac:dyDescent="0.2">
      <c r="AC903" s="122"/>
      <c r="AD903" s="125"/>
    </row>
    <row r="904" spans="29:30" ht="10.199999999999999" x14ac:dyDescent="0.2">
      <c r="AC904" s="122"/>
      <c r="AD904" s="125"/>
    </row>
    <row r="905" spans="29:30" ht="10.199999999999999" x14ac:dyDescent="0.2">
      <c r="AC905" s="122"/>
      <c r="AD905" s="125"/>
    </row>
    <row r="906" spans="29:30" ht="10.199999999999999" x14ac:dyDescent="0.2">
      <c r="AC906" s="122"/>
      <c r="AD906" s="125"/>
    </row>
    <row r="907" spans="29:30" ht="10.199999999999999" x14ac:dyDescent="0.2">
      <c r="AC907" s="122"/>
      <c r="AD907" s="125"/>
    </row>
    <row r="908" spans="29:30" ht="10.199999999999999" x14ac:dyDescent="0.2">
      <c r="AC908" s="122"/>
      <c r="AD908" s="125"/>
    </row>
    <row r="909" spans="29:30" ht="10.199999999999999" x14ac:dyDescent="0.2">
      <c r="AC909" s="122"/>
      <c r="AD909" s="125"/>
    </row>
    <row r="910" spans="29:30" ht="10.199999999999999" x14ac:dyDescent="0.2">
      <c r="AC910" s="122"/>
      <c r="AD910" s="125"/>
    </row>
    <row r="911" spans="29:30" ht="10.199999999999999" x14ac:dyDescent="0.2">
      <c r="AC911" s="122"/>
      <c r="AD911" s="125"/>
    </row>
    <row r="912" spans="29:30" ht="10.199999999999999" x14ac:dyDescent="0.2">
      <c r="AC912" s="122"/>
      <c r="AD912" s="125"/>
    </row>
    <row r="913" spans="29:30" ht="10.199999999999999" x14ac:dyDescent="0.2">
      <c r="AC913" s="122"/>
      <c r="AD913" s="125"/>
    </row>
    <row r="914" spans="29:30" ht="10.199999999999999" x14ac:dyDescent="0.2">
      <c r="AC914" s="122"/>
      <c r="AD914" s="125"/>
    </row>
    <row r="915" spans="29:30" ht="10.199999999999999" x14ac:dyDescent="0.2">
      <c r="AC915" s="122"/>
      <c r="AD915" s="125"/>
    </row>
    <row r="916" spans="29:30" ht="10.199999999999999" x14ac:dyDescent="0.2">
      <c r="AC916" s="122"/>
      <c r="AD916" s="125"/>
    </row>
    <row r="917" spans="29:30" ht="10.199999999999999" x14ac:dyDescent="0.2">
      <c r="AC917" s="122"/>
      <c r="AD917" s="125"/>
    </row>
    <row r="918" spans="29:30" ht="10.199999999999999" x14ac:dyDescent="0.2">
      <c r="AC918" s="122"/>
      <c r="AD918" s="125"/>
    </row>
    <row r="919" spans="29:30" ht="10.199999999999999" x14ac:dyDescent="0.2">
      <c r="AC919" s="122"/>
      <c r="AD919" s="125"/>
    </row>
    <row r="920" spans="29:30" ht="10.199999999999999" x14ac:dyDescent="0.2">
      <c r="AC920" s="122"/>
      <c r="AD920" s="125"/>
    </row>
    <row r="921" spans="29:30" ht="10.199999999999999" x14ac:dyDescent="0.2">
      <c r="AC921" s="122"/>
      <c r="AD921" s="125"/>
    </row>
    <row r="922" spans="29:30" ht="10.199999999999999" x14ac:dyDescent="0.2">
      <c r="AC922" s="122"/>
      <c r="AD922" s="125"/>
    </row>
    <row r="923" spans="29:30" ht="10.199999999999999" x14ac:dyDescent="0.2">
      <c r="AC923" s="122"/>
      <c r="AD923" s="125"/>
    </row>
    <row r="924" spans="29:30" ht="10.199999999999999" x14ac:dyDescent="0.2">
      <c r="AC924" s="122"/>
      <c r="AD924" s="125"/>
    </row>
    <row r="925" spans="29:30" ht="10.199999999999999" x14ac:dyDescent="0.2">
      <c r="AC925" s="122"/>
      <c r="AD925" s="125"/>
    </row>
    <row r="926" spans="29:30" ht="10.199999999999999" x14ac:dyDescent="0.2">
      <c r="AC926" s="122"/>
      <c r="AD926" s="125"/>
    </row>
    <row r="927" spans="29:30" ht="10.199999999999999" x14ac:dyDescent="0.2">
      <c r="AC927" s="122"/>
      <c r="AD927" s="125"/>
    </row>
    <row r="928" spans="29:30" ht="10.199999999999999" x14ac:dyDescent="0.2">
      <c r="AC928" s="122"/>
      <c r="AD928" s="125"/>
    </row>
    <row r="929" spans="29:30" ht="10.199999999999999" x14ac:dyDescent="0.2">
      <c r="AC929" s="122"/>
      <c r="AD929" s="125"/>
    </row>
    <row r="930" spans="29:30" ht="10.199999999999999" x14ac:dyDescent="0.2">
      <c r="AC930" s="122"/>
      <c r="AD930" s="125"/>
    </row>
    <row r="931" spans="29:30" ht="10.199999999999999" x14ac:dyDescent="0.2">
      <c r="AC931" s="122"/>
      <c r="AD931" s="125"/>
    </row>
    <row r="932" spans="29:30" ht="10.199999999999999" x14ac:dyDescent="0.2">
      <c r="AC932" s="122"/>
      <c r="AD932" s="125"/>
    </row>
    <row r="933" spans="29:30" ht="10.199999999999999" x14ac:dyDescent="0.2">
      <c r="AC933" s="122"/>
      <c r="AD933" s="125"/>
    </row>
    <row r="934" spans="29:30" ht="10.199999999999999" x14ac:dyDescent="0.2">
      <c r="AC934" s="122"/>
      <c r="AD934" s="125"/>
    </row>
    <row r="935" spans="29:30" ht="10.199999999999999" x14ac:dyDescent="0.2">
      <c r="AC935" s="122"/>
      <c r="AD935" s="125"/>
    </row>
    <row r="936" spans="29:30" ht="10.199999999999999" x14ac:dyDescent="0.2">
      <c r="AC936" s="122"/>
      <c r="AD936" s="125"/>
    </row>
    <row r="937" spans="29:30" ht="10.199999999999999" x14ac:dyDescent="0.2">
      <c r="AC937" s="122"/>
      <c r="AD937" s="125"/>
    </row>
    <row r="938" spans="29:30" ht="10.199999999999999" x14ac:dyDescent="0.2">
      <c r="AC938" s="122"/>
      <c r="AD938" s="125"/>
    </row>
    <row r="939" spans="29:30" ht="10.199999999999999" x14ac:dyDescent="0.2">
      <c r="AC939" s="122"/>
      <c r="AD939" s="125"/>
    </row>
    <row r="940" spans="29:30" ht="10.199999999999999" x14ac:dyDescent="0.2">
      <c r="AC940" s="122"/>
      <c r="AD940" s="125"/>
    </row>
    <row r="941" spans="29:30" ht="10.199999999999999" x14ac:dyDescent="0.2">
      <c r="AC941" s="122"/>
      <c r="AD941" s="125"/>
    </row>
    <row r="942" spans="29:30" ht="10.199999999999999" x14ac:dyDescent="0.2">
      <c r="AC942" s="122"/>
      <c r="AD942" s="125"/>
    </row>
    <row r="943" spans="29:30" ht="10.199999999999999" x14ac:dyDescent="0.2">
      <c r="AC943" s="122"/>
      <c r="AD943" s="125"/>
    </row>
    <row r="944" spans="29:30" ht="10.199999999999999" x14ac:dyDescent="0.2">
      <c r="AC944" s="122"/>
      <c r="AD944" s="125"/>
    </row>
    <row r="945" spans="29:30" ht="10.199999999999999" x14ac:dyDescent="0.2">
      <c r="AC945" s="122"/>
      <c r="AD945" s="125"/>
    </row>
    <row r="946" spans="29:30" ht="10.199999999999999" x14ac:dyDescent="0.2">
      <c r="AC946" s="122"/>
      <c r="AD946" s="125"/>
    </row>
    <row r="947" spans="29:30" ht="10.199999999999999" x14ac:dyDescent="0.2">
      <c r="AC947" s="122"/>
      <c r="AD947" s="125"/>
    </row>
    <row r="948" spans="29:30" ht="10.199999999999999" x14ac:dyDescent="0.2">
      <c r="AC948" s="122"/>
      <c r="AD948" s="125"/>
    </row>
    <row r="949" spans="29:30" ht="10.199999999999999" x14ac:dyDescent="0.2">
      <c r="AC949" s="122"/>
      <c r="AD949" s="125"/>
    </row>
    <row r="950" spans="29:30" ht="10.199999999999999" x14ac:dyDescent="0.2">
      <c r="AC950" s="122"/>
      <c r="AD950" s="125"/>
    </row>
    <row r="951" spans="29:30" ht="10.199999999999999" x14ac:dyDescent="0.2">
      <c r="AC951" s="122"/>
      <c r="AD951" s="125"/>
    </row>
    <row r="952" spans="29:30" ht="10.199999999999999" x14ac:dyDescent="0.2">
      <c r="AC952" s="122"/>
      <c r="AD952" s="125"/>
    </row>
    <row r="953" spans="29:30" ht="10.199999999999999" x14ac:dyDescent="0.2">
      <c r="AC953" s="122"/>
      <c r="AD953" s="125"/>
    </row>
    <row r="954" spans="29:30" ht="10.199999999999999" x14ac:dyDescent="0.2">
      <c r="AC954" s="122"/>
      <c r="AD954" s="125"/>
    </row>
    <row r="955" spans="29:30" ht="10.199999999999999" x14ac:dyDescent="0.2">
      <c r="AC955" s="122"/>
      <c r="AD955" s="125"/>
    </row>
    <row r="956" spans="29:30" ht="10.199999999999999" x14ac:dyDescent="0.2">
      <c r="AC956" s="122"/>
      <c r="AD956" s="125"/>
    </row>
    <row r="957" spans="29:30" ht="10.199999999999999" x14ac:dyDescent="0.2">
      <c r="AC957" s="122"/>
      <c r="AD957" s="125"/>
    </row>
    <row r="958" spans="29:30" ht="10.199999999999999" x14ac:dyDescent="0.2">
      <c r="AC958" s="122"/>
      <c r="AD958" s="125"/>
    </row>
    <row r="959" spans="29:30" ht="10.199999999999999" x14ac:dyDescent="0.2">
      <c r="AC959" s="122"/>
      <c r="AD959" s="125"/>
    </row>
    <row r="960" spans="29:30" ht="10.199999999999999" x14ac:dyDescent="0.2">
      <c r="AC960" s="122"/>
      <c r="AD960" s="125"/>
    </row>
    <row r="961" spans="29:30" ht="10.199999999999999" x14ac:dyDescent="0.2">
      <c r="AC961" s="122"/>
      <c r="AD961" s="125"/>
    </row>
    <row r="962" spans="29:30" ht="10.199999999999999" x14ac:dyDescent="0.2">
      <c r="AC962" s="122"/>
      <c r="AD962" s="125"/>
    </row>
    <row r="963" spans="29:30" ht="10.199999999999999" x14ac:dyDescent="0.2">
      <c r="AC963" s="122"/>
      <c r="AD963" s="125"/>
    </row>
    <row r="964" spans="29:30" ht="10.199999999999999" x14ac:dyDescent="0.2">
      <c r="AC964" s="122"/>
      <c r="AD964" s="125"/>
    </row>
    <row r="965" spans="29:30" ht="10.199999999999999" x14ac:dyDescent="0.2">
      <c r="AC965" s="122"/>
      <c r="AD965" s="125"/>
    </row>
    <row r="966" spans="29:30" ht="10.199999999999999" x14ac:dyDescent="0.2">
      <c r="AC966" s="122"/>
      <c r="AD966" s="125"/>
    </row>
    <row r="967" spans="29:30" ht="10.199999999999999" x14ac:dyDescent="0.2">
      <c r="AC967" s="122"/>
      <c r="AD967" s="125"/>
    </row>
    <row r="968" spans="29:30" ht="10.199999999999999" x14ac:dyDescent="0.2">
      <c r="AC968" s="122"/>
      <c r="AD968" s="125"/>
    </row>
    <row r="969" spans="29:30" ht="10.199999999999999" x14ac:dyDescent="0.2">
      <c r="AC969" s="122"/>
      <c r="AD969" s="125"/>
    </row>
    <row r="970" spans="29:30" ht="10.199999999999999" x14ac:dyDescent="0.2">
      <c r="AC970" s="122"/>
      <c r="AD970" s="125"/>
    </row>
    <row r="971" spans="29:30" ht="10.199999999999999" x14ac:dyDescent="0.2">
      <c r="AC971" s="122"/>
      <c r="AD971" s="125"/>
    </row>
    <row r="972" spans="29:30" ht="10.199999999999999" x14ac:dyDescent="0.2">
      <c r="AC972" s="122"/>
      <c r="AD972" s="125"/>
    </row>
    <row r="973" spans="29:30" ht="10.199999999999999" x14ac:dyDescent="0.2">
      <c r="AC973" s="122"/>
      <c r="AD973" s="125"/>
    </row>
    <row r="974" spans="29:30" ht="10.199999999999999" x14ac:dyDescent="0.2">
      <c r="AC974" s="122"/>
      <c r="AD974" s="125"/>
    </row>
    <row r="975" spans="29:30" ht="10.199999999999999" x14ac:dyDescent="0.2">
      <c r="AC975" s="122"/>
      <c r="AD975" s="125"/>
    </row>
    <row r="976" spans="29:30" ht="10.199999999999999" x14ac:dyDescent="0.2">
      <c r="AC976" s="122"/>
      <c r="AD976" s="125"/>
    </row>
    <row r="977" spans="29:30" ht="10.199999999999999" x14ac:dyDescent="0.2">
      <c r="AC977" s="122"/>
      <c r="AD977" s="125"/>
    </row>
    <row r="978" spans="29:30" ht="10.199999999999999" x14ac:dyDescent="0.2">
      <c r="AC978" s="122"/>
      <c r="AD978" s="125"/>
    </row>
    <row r="979" spans="29:30" ht="10.199999999999999" x14ac:dyDescent="0.2">
      <c r="AC979" s="122"/>
      <c r="AD979" s="125"/>
    </row>
    <row r="980" spans="29:30" ht="10.199999999999999" x14ac:dyDescent="0.2">
      <c r="AC980" s="122"/>
      <c r="AD980" s="125"/>
    </row>
    <row r="981" spans="29:30" ht="10.199999999999999" x14ac:dyDescent="0.2">
      <c r="AC981" s="122"/>
      <c r="AD981" s="125"/>
    </row>
    <row r="982" spans="29:30" ht="10.199999999999999" x14ac:dyDescent="0.2">
      <c r="AC982" s="122"/>
      <c r="AD982" s="125"/>
    </row>
    <row r="983" spans="29:30" ht="10.199999999999999" x14ac:dyDescent="0.2">
      <c r="AC983" s="122"/>
      <c r="AD983" s="125"/>
    </row>
    <row r="984" spans="29:30" ht="10.199999999999999" x14ac:dyDescent="0.2">
      <c r="AC984" s="122"/>
      <c r="AD984" s="125"/>
    </row>
    <row r="985" spans="29:30" ht="10.199999999999999" x14ac:dyDescent="0.2">
      <c r="AC985" s="122"/>
      <c r="AD985" s="125"/>
    </row>
    <row r="986" spans="29:30" ht="10.199999999999999" x14ac:dyDescent="0.2">
      <c r="AC986" s="122"/>
      <c r="AD986" s="125"/>
    </row>
    <row r="987" spans="29:30" ht="10.199999999999999" x14ac:dyDescent="0.2">
      <c r="AC987" s="122"/>
      <c r="AD987" s="125"/>
    </row>
    <row r="988" spans="29:30" ht="10.199999999999999" x14ac:dyDescent="0.2">
      <c r="AC988" s="122"/>
      <c r="AD988" s="125"/>
    </row>
    <row r="989" spans="29:30" ht="10.199999999999999" x14ac:dyDescent="0.2">
      <c r="AC989" s="122"/>
      <c r="AD989" s="125"/>
    </row>
    <row r="990" spans="29:30" ht="10.199999999999999" x14ac:dyDescent="0.2">
      <c r="AC990" s="122"/>
      <c r="AD990" s="125"/>
    </row>
    <row r="991" spans="29:30" ht="10.199999999999999" x14ac:dyDescent="0.2">
      <c r="AC991" s="122"/>
      <c r="AD991" s="125"/>
    </row>
    <row r="992" spans="29:30" ht="10.199999999999999" x14ac:dyDescent="0.2">
      <c r="AC992" s="122"/>
      <c r="AD992" s="125"/>
    </row>
    <row r="993" spans="29:30" ht="10.199999999999999" x14ac:dyDescent="0.2">
      <c r="AC993" s="122"/>
      <c r="AD993" s="125"/>
    </row>
    <row r="994" spans="29:30" ht="10.199999999999999" x14ac:dyDescent="0.2">
      <c r="AC994" s="122"/>
      <c r="AD994" s="125"/>
    </row>
    <row r="995" spans="29:30" ht="10.199999999999999" x14ac:dyDescent="0.2">
      <c r="AC995" s="122"/>
      <c r="AD995" s="125"/>
    </row>
    <row r="996" spans="29:30" ht="10.199999999999999" x14ac:dyDescent="0.2">
      <c r="AC996" s="122"/>
      <c r="AD996" s="125"/>
    </row>
    <row r="997" spans="29:30" ht="10.199999999999999" x14ac:dyDescent="0.2">
      <c r="AC997" s="122"/>
      <c r="AD997" s="125"/>
    </row>
    <row r="998" spans="29:30" ht="10.199999999999999" x14ac:dyDescent="0.2">
      <c r="AC998" s="122"/>
      <c r="AD998" s="125"/>
    </row>
    <row r="999" spans="29:30" ht="10.199999999999999" x14ac:dyDescent="0.2">
      <c r="AC999" s="122"/>
      <c r="AD999" s="125"/>
    </row>
    <row r="1000" spans="29:30" ht="10.199999999999999" x14ac:dyDescent="0.2">
      <c r="AC1000" s="122"/>
      <c r="AD1000" s="125"/>
    </row>
  </sheetData>
  <pageMargins left="0.7" right="0.7" top="0.75" bottom="0.75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8"/>
  <sheetViews>
    <sheetView showGridLines="0" workbookViewId="0">
      <pane xSplit="3" ySplit="2" topLeftCell="N3" activePane="bottomRight" state="frozen"/>
      <selection activeCell="B1" sqref="B1:B1048576"/>
      <selection pane="topRight" activeCell="B1" sqref="B1:B1048576"/>
      <selection pane="bottomLeft" activeCell="B1" sqref="B1:B1048576"/>
      <selection pane="bottomRight" activeCell="B3" sqref="B3"/>
    </sheetView>
  </sheetViews>
  <sheetFormatPr baseColWidth="10" defaultColWidth="12.59765625" defaultRowHeight="15" customHeight="1" x14ac:dyDescent="0.2"/>
  <cols>
    <col min="1" max="1" width="1.5" style="121" customWidth="1"/>
    <col min="2" max="2" width="12" style="121" customWidth="1"/>
    <col min="3" max="3" width="34.19921875" style="121" customWidth="1"/>
    <col min="4" max="5" width="9.09765625" style="121" customWidth="1"/>
    <col min="6" max="7" width="7.8984375" style="121" customWidth="1"/>
    <col min="8" max="9" width="9.69921875" style="121" customWidth="1"/>
    <col min="10" max="11" width="7.59765625" style="121" customWidth="1"/>
    <col min="12" max="13" width="9" style="121" customWidth="1"/>
    <col min="14" max="15" width="8.59765625" style="121" customWidth="1"/>
    <col min="16" max="18" width="7.8984375" style="121" customWidth="1"/>
    <col min="19" max="19" width="7.8984375" style="121" hidden="1" customWidth="1"/>
    <col min="20" max="20" width="8.19921875" style="121" customWidth="1"/>
    <col min="21" max="21" width="8.19921875" style="121" hidden="1" customWidth="1"/>
    <col min="22" max="22" width="8.19921875" style="121" customWidth="1"/>
    <col min="23" max="23" width="8.19921875" style="121" hidden="1" customWidth="1"/>
    <col min="24" max="24" width="7.59765625" style="121" customWidth="1"/>
    <col min="25" max="25" width="7.59765625" style="121" hidden="1" customWidth="1"/>
    <col min="26" max="26" width="8" style="121" customWidth="1"/>
    <col min="27" max="27" width="8" style="121" hidden="1" customWidth="1"/>
    <col min="28" max="28" width="10.59765625" style="121" customWidth="1"/>
    <col min="29" max="29" width="8.19921875" style="121" customWidth="1"/>
    <col min="30" max="16384" width="12.59765625" style="121"/>
  </cols>
  <sheetData>
    <row r="1" spans="1:31" ht="12" customHeight="1" x14ac:dyDescent="0.2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72" t="s">
        <v>78</v>
      </c>
      <c r="AE1" s="173" t="s">
        <v>79</v>
      </c>
    </row>
    <row r="2" spans="1:31" ht="12" customHeight="1" x14ac:dyDescent="0.2">
      <c r="A2" s="125"/>
      <c r="B2" s="125"/>
      <c r="C2" s="174" t="s">
        <v>100</v>
      </c>
      <c r="D2" s="172">
        <v>45658</v>
      </c>
      <c r="E2" s="173">
        <v>45658</v>
      </c>
      <c r="F2" s="172">
        <v>45689</v>
      </c>
      <c r="G2" s="173">
        <v>45689</v>
      </c>
      <c r="H2" s="172">
        <v>45717</v>
      </c>
      <c r="I2" s="173">
        <v>45717</v>
      </c>
      <c r="J2" s="172">
        <v>45748</v>
      </c>
      <c r="K2" s="173">
        <v>45748</v>
      </c>
      <c r="L2" s="172">
        <v>45778</v>
      </c>
      <c r="M2" s="173">
        <v>45778</v>
      </c>
      <c r="N2" s="172">
        <v>45809</v>
      </c>
      <c r="O2" s="173">
        <v>45809</v>
      </c>
      <c r="P2" s="172">
        <v>45839</v>
      </c>
      <c r="Q2" s="173">
        <v>45839</v>
      </c>
      <c r="R2" s="172">
        <v>45870</v>
      </c>
      <c r="S2" s="173">
        <v>45870</v>
      </c>
      <c r="T2" s="172">
        <v>45901</v>
      </c>
      <c r="U2" s="173">
        <v>45901</v>
      </c>
      <c r="V2" s="172">
        <v>45931</v>
      </c>
      <c r="W2" s="173">
        <v>45931</v>
      </c>
      <c r="X2" s="172">
        <v>45962</v>
      </c>
      <c r="Y2" s="173">
        <v>45962</v>
      </c>
      <c r="Z2" s="172">
        <v>45992</v>
      </c>
      <c r="AA2" s="173">
        <v>45992</v>
      </c>
      <c r="AB2" s="127">
        <v>2025</v>
      </c>
      <c r="AC2" s="125"/>
      <c r="AD2" s="172" t="s">
        <v>81</v>
      </c>
      <c r="AE2" s="173" t="s">
        <v>81</v>
      </c>
    </row>
    <row r="3" spans="1:31" ht="12" customHeight="1" x14ac:dyDescent="0.2">
      <c r="A3" s="125"/>
      <c r="B3" s="125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5"/>
      <c r="AD3" s="125"/>
      <c r="AE3" s="125"/>
    </row>
    <row r="4" spans="1:31" ht="12" customHeight="1" x14ac:dyDescent="0.2">
      <c r="A4" s="125"/>
      <c r="B4" s="125"/>
      <c r="C4" s="129" t="s">
        <v>101</v>
      </c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</row>
    <row r="5" spans="1:31" ht="10.199999999999999" x14ac:dyDescent="0.2">
      <c r="A5" s="125"/>
      <c r="B5" s="125" t="s">
        <v>102</v>
      </c>
      <c r="C5" s="175" t="s">
        <v>103</v>
      </c>
      <c r="D5" s="134">
        <v>0</v>
      </c>
      <c r="E5" s="134">
        <v>0</v>
      </c>
      <c r="F5" s="134">
        <v>8400</v>
      </c>
      <c r="G5" s="134">
        <v>0</v>
      </c>
      <c r="H5" s="134">
        <v>0</v>
      </c>
      <c r="I5" s="134">
        <v>0</v>
      </c>
      <c r="J5" s="134">
        <v>8400</v>
      </c>
      <c r="K5" s="134">
        <v>0</v>
      </c>
      <c r="L5" s="134">
        <v>0</v>
      </c>
      <c r="M5" s="134">
        <v>0</v>
      </c>
      <c r="N5" s="134">
        <v>8400</v>
      </c>
      <c r="O5" s="134">
        <v>1120.7</v>
      </c>
      <c r="P5" s="134">
        <v>0</v>
      </c>
      <c r="Q5" s="134">
        <v>9525.9500000000007</v>
      </c>
      <c r="R5" s="134">
        <v>8400</v>
      </c>
      <c r="S5" s="134"/>
      <c r="T5" s="134">
        <v>0</v>
      </c>
      <c r="U5" s="134"/>
      <c r="V5" s="134">
        <v>8400</v>
      </c>
      <c r="W5" s="134"/>
      <c r="X5" s="134">
        <v>0</v>
      </c>
      <c r="Y5" s="134"/>
      <c r="Z5" s="134">
        <v>8400</v>
      </c>
      <c r="AA5" s="134"/>
      <c r="AB5" s="134">
        <f t="shared" ref="AB5:AB15" si="0">D5+F5+H5+J5+L5+N5+P5+R5+T5+V5+X5+Z5</f>
        <v>50400</v>
      </c>
      <c r="AC5" s="125"/>
      <c r="AD5" s="134">
        <f t="shared" ref="AD5:AD15" si="1">D5+F5+H5+J5+L5+N5+P5</f>
        <v>25200</v>
      </c>
      <c r="AE5" s="153">
        <f t="shared" ref="AE5:AE15" si="2">E5+G5+I5+K5+M5+O5+Q5</f>
        <v>10646.650000000001</v>
      </c>
    </row>
    <row r="6" spans="1:31" ht="12" customHeight="1" x14ac:dyDescent="0.2">
      <c r="A6" s="125"/>
      <c r="B6" s="125" t="s">
        <v>104</v>
      </c>
      <c r="C6" s="176" t="s">
        <v>105</v>
      </c>
      <c r="D6" s="134">
        <v>11200</v>
      </c>
      <c r="E6" s="134">
        <v>0</v>
      </c>
      <c r="F6" s="134">
        <v>11200</v>
      </c>
      <c r="G6" s="134">
        <v>0</v>
      </c>
      <c r="H6" s="134">
        <v>11200</v>
      </c>
      <c r="I6" s="134">
        <v>0</v>
      </c>
      <c r="J6" s="134">
        <v>11200</v>
      </c>
      <c r="K6" s="134">
        <v>0</v>
      </c>
      <c r="L6" s="134">
        <v>11200</v>
      </c>
      <c r="M6" s="134">
        <v>12006.98</v>
      </c>
      <c r="N6" s="134">
        <v>11200</v>
      </c>
      <c r="O6" s="134">
        <v>1120.7</v>
      </c>
      <c r="P6" s="134">
        <v>11200</v>
      </c>
      <c r="Q6" s="134">
        <v>0</v>
      </c>
      <c r="R6" s="134">
        <v>11200</v>
      </c>
      <c r="S6" s="134"/>
      <c r="T6" s="134">
        <v>11200</v>
      </c>
      <c r="U6" s="134"/>
      <c r="V6" s="134">
        <v>11200</v>
      </c>
      <c r="W6" s="134"/>
      <c r="X6" s="134">
        <v>11200</v>
      </c>
      <c r="Y6" s="134"/>
      <c r="Z6" s="134">
        <v>11200</v>
      </c>
      <c r="AA6" s="134"/>
      <c r="AB6" s="134">
        <f t="shared" si="0"/>
        <v>134400</v>
      </c>
      <c r="AC6" s="125"/>
      <c r="AD6" s="134">
        <f t="shared" si="1"/>
        <v>78400</v>
      </c>
      <c r="AE6" s="153">
        <f t="shared" si="2"/>
        <v>13127.68</v>
      </c>
    </row>
    <row r="7" spans="1:31" ht="12" customHeight="1" x14ac:dyDescent="0.2">
      <c r="A7" s="125"/>
      <c r="B7" s="125" t="s">
        <v>106</v>
      </c>
      <c r="C7" s="176" t="s">
        <v>107</v>
      </c>
      <c r="D7" s="134">
        <v>19600</v>
      </c>
      <c r="E7" s="134">
        <v>0</v>
      </c>
      <c r="F7" s="134">
        <v>19600</v>
      </c>
      <c r="G7" s="134">
        <v>0</v>
      </c>
      <c r="H7" s="134">
        <v>19600</v>
      </c>
      <c r="I7" s="134">
        <v>0</v>
      </c>
      <c r="J7" s="134">
        <v>19600</v>
      </c>
      <c r="K7" s="134">
        <v>0</v>
      </c>
      <c r="L7" s="134">
        <f>560*35</f>
        <v>19600</v>
      </c>
      <c r="M7" s="134">
        <v>5603.5</v>
      </c>
      <c r="N7" s="134">
        <f>560*35</f>
        <v>19600</v>
      </c>
      <c r="O7" s="134">
        <v>12327.7</v>
      </c>
      <c r="P7" s="134">
        <f>560*35</f>
        <v>19600</v>
      </c>
      <c r="Q7" s="134">
        <v>3922.45</v>
      </c>
      <c r="R7" s="134">
        <f t="shared" ref="R7:Z7" si="3">560*35</f>
        <v>19600</v>
      </c>
      <c r="S7" s="134"/>
      <c r="T7" s="134">
        <f t="shared" si="3"/>
        <v>19600</v>
      </c>
      <c r="U7" s="134"/>
      <c r="V7" s="134">
        <f t="shared" si="3"/>
        <v>19600</v>
      </c>
      <c r="W7" s="134"/>
      <c r="X7" s="134">
        <f t="shared" si="3"/>
        <v>19600</v>
      </c>
      <c r="Y7" s="134"/>
      <c r="Z7" s="134">
        <f t="shared" si="3"/>
        <v>19600</v>
      </c>
      <c r="AA7" s="134"/>
      <c r="AB7" s="134">
        <f t="shared" si="0"/>
        <v>235200</v>
      </c>
      <c r="AC7" s="125"/>
      <c r="AD7" s="134">
        <f t="shared" si="1"/>
        <v>137200</v>
      </c>
      <c r="AE7" s="153">
        <f t="shared" si="2"/>
        <v>21853.65</v>
      </c>
    </row>
    <row r="8" spans="1:31" ht="12" customHeight="1" x14ac:dyDescent="0.2">
      <c r="A8" s="125"/>
      <c r="B8" s="125" t="s">
        <v>108</v>
      </c>
      <c r="C8" s="176" t="s">
        <v>109</v>
      </c>
      <c r="D8" s="134">
        <v>8400</v>
      </c>
      <c r="E8" s="134">
        <v>0</v>
      </c>
      <c r="F8" s="134">
        <v>8400</v>
      </c>
      <c r="G8" s="134">
        <v>0</v>
      </c>
      <c r="H8" s="134">
        <v>8400</v>
      </c>
      <c r="I8" s="134">
        <v>0</v>
      </c>
      <c r="J8" s="134">
        <v>8400</v>
      </c>
      <c r="K8" s="134">
        <v>0</v>
      </c>
      <c r="L8" s="134">
        <v>8400</v>
      </c>
      <c r="M8" s="134">
        <v>6724.2</v>
      </c>
      <c r="N8" s="134">
        <v>8400</v>
      </c>
      <c r="O8" s="134">
        <v>1120.7</v>
      </c>
      <c r="P8" s="134">
        <v>8400</v>
      </c>
      <c r="Q8" s="134">
        <v>2241.4</v>
      </c>
      <c r="R8" s="134">
        <v>8400</v>
      </c>
      <c r="S8" s="134"/>
      <c r="T8" s="134">
        <v>8400</v>
      </c>
      <c r="U8" s="134"/>
      <c r="V8" s="134">
        <v>8400</v>
      </c>
      <c r="W8" s="134"/>
      <c r="X8" s="134">
        <v>8400</v>
      </c>
      <c r="Y8" s="134"/>
      <c r="Z8" s="134">
        <v>8400</v>
      </c>
      <c r="AA8" s="134"/>
      <c r="AB8" s="134">
        <f t="shared" si="0"/>
        <v>100800</v>
      </c>
      <c r="AC8" s="125"/>
      <c r="AD8" s="134">
        <f t="shared" si="1"/>
        <v>58800</v>
      </c>
      <c r="AE8" s="153">
        <f t="shared" si="2"/>
        <v>10086.299999999999</v>
      </c>
    </row>
    <row r="9" spans="1:31" ht="12" customHeight="1" x14ac:dyDescent="0.2">
      <c r="A9" s="125"/>
      <c r="B9" s="125" t="s">
        <v>110</v>
      </c>
      <c r="C9" s="176" t="s">
        <v>111</v>
      </c>
      <c r="D9" s="134">
        <v>0</v>
      </c>
      <c r="E9" s="134">
        <v>0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4">
        <v>0</v>
      </c>
      <c r="M9" s="134">
        <v>2094.33</v>
      </c>
      <c r="N9" s="134">
        <v>0</v>
      </c>
      <c r="O9" s="134">
        <v>0</v>
      </c>
      <c r="P9" s="134">
        <v>0</v>
      </c>
      <c r="Q9" s="134">
        <v>0</v>
      </c>
      <c r="R9" s="134">
        <v>0</v>
      </c>
      <c r="S9" s="134"/>
      <c r="T9" s="134">
        <v>0</v>
      </c>
      <c r="U9" s="134"/>
      <c r="V9" s="134">
        <v>0</v>
      </c>
      <c r="W9" s="134"/>
      <c r="X9" s="134">
        <v>0</v>
      </c>
      <c r="Y9" s="134"/>
      <c r="Z9" s="134">
        <v>0</v>
      </c>
      <c r="AA9" s="134"/>
      <c r="AB9" s="134">
        <f t="shared" si="0"/>
        <v>0</v>
      </c>
      <c r="AC9" s="125"/>
      <c r="AD9" s="134">
        <f t="shared" si="1"/>
        <v>0</v>
      </c>
      <c r="AE9" s="134">
        <f t="shared" si="2"/>
        <v>2094.33</v>
      </c>
    </row>
    <row r="10" spans="1:31" ht="12" customHeight="1" x14ac:dyDescent="0.2">
      <c r="A10" s="125"/>
      <c r="B10" s="125" t="s">
        <v>112</v>
      </c>
      <c r="C10" s="176" t="s">
        <v>113</v>
      </c>
      <c r="D10" s="134">
        <v>11200</v>
      </c>
      <c r="E10" s="134">
        <v>0</v>
      </c>
      <c r="F10" s="134">
        <v>11200</v>
      </c>
      <c r="G10" s="134">
        <v>0</v>
      </c>
      <c r="H10" s="134">
        <v>11200</v>
      </c>
      <c r="I10" s="134">
        <v>0</v>
      </c>
      <c r="J10" s="134">
        <v>11200</v>
      </c>
      <c r="K10" s="134">
        <v>0</v>
      </c>
      <c r="L10" s="134">
        <v>11200</v>
      </c>
      <c r="M10" s="134">
        <v>0</v>
      </c>
      <c r="N10" s="134">
        <v>11200</v>
      </c>
      <c r="O10" s="134">
        <v>0</v>
      </c>
      <c r="P10" s="134">
        <v>11200</v>
      </c>
      <c r="Q10" s="134">
        <v>0</v>
      </c>
      <c r="R10" s="134">
        <v>11200</v>
      </c>
      <c r="S10" s="134"/>
      <c r="T10" s="134">
        <v>11200</v>
      </c>
      <c r="U10" s="134"/>
      <c r="V10" s="134">
        <v>11200</v>
      </c>
      <c r="W10" s="134"/>
      <c r="X10" s="134">
        <v>11200</v>
      </c>
      <c r="Y10" s="134"/>
      <c r="Z10" s="134">
        <v>11200</v>
      </c>
      <c r="AA10" s="134"/>
      <c r="AB10" s="134">
        <f t="shared" si="0"/>
        <v>134400</v>
      </c>
      <c r="AC10" s="125"/>
      <c r="AD10" s="134">
        <f t="shared" si="1"/>
        <v>78400</v>
      </c>
      <c r="AE10" s="134">
        <f t="shared" si="2"/>
        <v>0</v>
      </c>
    </row>
    <row r="11" spans="1:31" ht="12" customHeight="1" x14ac:dyDescent="0.2">
      <c r="A11" s="125"/>
      <c r="B11" s="125" t="s">
        <v>114</v>
      </c>
      <c r="C11" s="176" t="s">
        <v>115</v>
      </c>
      <c r="D11" s="134">
        <v>0</v>
      </c>
      <c r="E11" s="134">
        <v>0</v>
      </c>
      <c r="F11" s="134">
        <v>0</v>
      </c>
      <c r="G11" s="134">
        <v>0</v>
      </c>
      <c r="H11" s="134">
        <v>0</v>
      </c>
      <c r="I11" s="134">
        <v>0</v>
      </c>
      <c r="J11" s="134">
        <v>0</v>
      </c>
      <c r="K11" s="134">
        <v>0</v>
      </c>
      <c r="L11" s="134">
        <v>0</v>
      </c>
      <c r="M11" s="134">
        <v>0</v>
      </c>
      <c r="N11" s="134">
        <v>0</v>
      </c>
      <c r="O11" s="134">
        <v>0</v>
      </c>
      <c r="P11" s="134">
        <v>0</v>
      </c>
      <c r="Q11" s="134">
        <v>0</v>
      </c>
      <c r="R11" s="134">
        <v>0</v>
      </c>
      <c r="S11" s="134"/>
      <c r="T11" s="134">
        <v>0</v>
      </c>
      <c r="U11" s="134"/>
      <c r="V11" s="134">
        <v>0</v>
      </c>
      <c r="W11" s="134"/>
      <c r="X11" s="134">
        <v>0</v>
      </c>
      <c r="Y11" s="134"/>
      <c r="Z11" s="134">
        <v>0</v>
      </c>
      <c r="AA11" s="134"/>
      <c r="AB11" s="134">
        <f t="shared" si="0"/>
        <v>0</v>
      </c>
      <c r="AC11" s="125"/>
      <c r="AD11" s="134">
        <f t="shared" si="1"/>
        <v>0</v>
      </c>
      <c r="AE11" s="134">
        <f t="shared" si="2"/>
        <v>0</v>
      </c>
    </row>
    <row r="12" spans="1:31" ht="12" customHeight="1" x14ac:dyDescent="0.2">
      <c r="A12" s="125"/>
      <c r="B12" s="125" t="s">
        <v>116</v>
      </c>
      <c r="C12" s="177" t="s">
        <v>117</v>
      </c>
      <c r="D12" s="134">
        <v>8400</v>
      </c>
      <c r="E12" s="134">
        <v>0</v>
      </c>
      <c r="F12" s="134">
        <v>8400</v>
      </c>
      <c r="G12" s="134">
        <v>0</v>
      </c>
      <c r="H12" s="134">
        <v>8400</v>
      </c>
      <c r="I12" s="134">
        <v>0</v>
      </c>
      <c r="J12" s="134">
        <v>8400</v>
      </c>
      <c r="K12" s="134">
        <v>0</v>
      </c>
      <c r="L12" s="134">
        <v>8400</v>
      </c>
      <c r="M12" s="134">
        <v>0</v>
      </c>
      <c r="N12" s="134">
        <v>8400</v>
      </c>
      <c r="O12" s="134">
        <v>0</v>
      </c>
      <c r="P12" s="134">
        <v>8400</v>
      </c>
      <c r="Q12" s="134">
        <v>0</v>
      </c>
      <c r="R12" s="134">
        <v>8400</v>
      </c>
      <c r="S12" s="134"/>
      <c r="T12" s="134">
        <v>8400</v>
      </c>
      <c r="U12" s="134"/>
      <c r="V12" s="134">
        <v>8400</v>
      </c>
      <c r="W12" s="134"/>
      <c r="X12" s="134">
        <v>8400</v>
      </c>
      <c r="Y12" s="134"/>
      <c r="Z12" s="134">
        <v>8400</v>
      </c>
      <c r="AA12" s="134"/>
      <c r="AB12" s="134">
        <f t="shared" si="0"/>
        <v>100800</v>
      </c>
      <c r="AC12" s="125"/>
      <c r="AD12" s="134">
        <f t="shared" si="1"/>
        <v>58800</v>
      </c>
      <c r="AE12" s="134">
        <f t="shared" si="2"/>
        <v>0</v>
      </c>
    </row>
    <row r="13" spans="1:31" ht="12" customHeight="1" x14ac:dyDescent="0.2">
      <c r="A13" s="125"/>
      <c r="B13" s="125"/>
      <c r="C13" s="177" t="s">
        <v>118</v>
      </c>
      <c r="D13" s="134">
        <v>0</v>
      </c>
      <c r="E13" s="134">
        <v>0</v>
      </c>
      <c r="F13" s="134">
        <v>0</v>
      </c>
      <c r="G13" s="134">
        <v>0</v>
      </c>
      <c r="H13" s="134">
        <v>0</v>
      </c>
      <c r="I13" s="134">
        <v>0</v>
      </c>
      <c r="J13" s="134">
        <v>0</v>
      </c>
      <c r="K13" s="134">
        <v>0</v>
      </c>
      <c r="L13" s="134">
        <v>0</v>
      </c>
      <c r="M13" s="134">
        <v>0</v>
      </c>
      <c r="N13" s="134">
        <v>0</v>
      </c>
      <c r="O13" s="134">
        <v>0</v>
      </c>
      <c r="P13" s="134">
        <v>0</v>
      </c>
      <c r="Q13" s="134">
        <v>0</v>
      </c>
      <c r="R13" s="134">
        <v>0</v>
      </c>
      <c r="S13" s="134"/>
      <c r="T13" s="134">
        <v>0</v>
      </c>
      <c r="U13" s="134"/>
      <c r="V13" s="134">
        <v>0</v>
      </c>
      <c r="W13" s="134"/>
      <c r="X13" s="134">
        <v>0</v>
      </c>
      <c r="Y13" s="134"/>
      <c r="Z13" s="134">
        <v>0</v>
      </c>
      <c r="AA13" s="134"/>
      <c r="AB13" s="134">
        <f t="shared" si="0"/>
        <v>0</v>
      </c>
      <c r="AC13" s="125"/>
      <c r="AD13" s="134">
        <f t="shared" si="1"/>
        <v>0</v>
      </c>
      <c r="AE13" s="134">
        <f t="shared" si="2"/>
        <v>0</v>
      </c>
    </row>
    <row r="14" spans="1:31" ht="12" customHeight="1" x14ac:dyDescent="0.2">
      <c r="A14" s="125"/>
      <c r="B14" s="125" t="s">
        <v>119</v>
      </c>
      <c r="C14" s="177" t="s">
        <v>120</v>
      </c>
      <c r="D14" s="134">
        <v>0</v>
      </c>
      <c r="E14" s="134">
        <v>0</v>
      </c>
      <c r="F14" s="134">
        <v>0</v>
      </c>
      <c r="G14" s="134">
        <v>0</v>
      </c>
      <c r="H14" s="134">
        <v>0</v>
      </c>
      <c r="I14" s="134">
        <v>0</v>
      </c>
      <c r="J14" s="134">
        <v>0</v>
      </c>
      <c r="K14" s="134">
        <v>0</v>
      </c>
      <c r="L14" s="134">
        <v>0</v>
      </c>
      <c r="M14" s="134">
        <v>0</v>
      </c>
      <c r="N14" s="134">
        <v>0</v>
      </c>
      <c r="O14" s="134">
        <v>0</v>
      </c>
      <c r="P14" s="134">
        <v>0</v>
      </c>
      <c r="Q14" s="134">
        <v>0</v>
      </c>
      <c r="R14" s="134">
        <v>0</v>
      </c>
      <c r="S14" s="134"/>
      <c r="T14" s="134">
        <v>0</v>
      </c>
      <c r="U14" s="134"/>
      <c r="V14" s="134">
        <v>0</v>
      </c>
      <c r="W14" s="134"/>
      <c r="X14" s="134">
        <v>0</v>
      </c>
      <c r="Y14" s="134"/>
      <c r="Z14" s="134">
        <v>0</v>
      </c>
      <c r="AA14" s="134"/>
      <c r="AB14" s="134">
        <f t="shared" si="0"/>
        <v>0</v>
      </c>
      <c r="AC14" s="125"/>
      <c r="AD14" s="134">
        <f t="shared" si="1"/>
        <v>0</v>
      </c>
      <c r="AE14" s="134">
        <f t="shared" si="2"/>
        <v>0</v>
      </c>
    </row>
    <row r="15" spans="1:31" ht="12" customHeight="1" x14ac:dyDescent="0.2">
      <c r="A15" s="125"/>
      <c r="B15" s="125" t="s">
        <v>121</v>
      </c>
      <c r="C15" s="177" t="s">
        <v>122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65000</v>
      </c>
      <c r="N15" s="150">
        <v>162500</v>
      </c>
      <c r="O15" s="150">
        <v>195833.33</v>
      </c>
      <c r="P15" s="150">
        <v>162500</v>
      </c>
      <c r="Q15" s="150">
        <v>152499.99</v>
      </c>
      <c r="R15" s="150">
        <v>162500</v>
      </c>
      <c r="S15" s="151"/>
      <c r="T15" s="150">
        <v>162500</v>
      </c>
      <c r="U15" s="151"/>
      <c r="V15" s="134">
        <v>0</v>
      </c>
      <c r="W15" s="134"/>
      <c r="X15" s="134">
        <v>0</v>
      </c>
      <c r="Y15" s="134"/>
      <c r="Z15" s="134">
        <v>0</v>
      </c>
      <c r="AA15" s="134"/>
      <c r="AB15" s="134">
        <f t="shared" si="0"/>
        <v>650000</v>
      </c>
      <c r="AC15" s="125"/>
      <c r="AD15" s="134">
        <f t="shared" si="1"/>
        <v>325000</v>
      </c>
      <c r="AE15" s="134">
        <f t="shared" si="2"/>
        <v>413333.31999999995</v>
      </c>
    </row>
    <row r="16" spans="1:31" ht="12" customHeight="1" x14ac:dyDescent="0.2">
      <c r="A16" s="125"/>
      <c r="B16" s="125"/>
      <c r="C16" s="135" t="s">
        <v>123</v>
      </c>
      <c r="D16" s="136">
        <f t="shared" ref="D16:AB16" si="4">SUM(D5:D15)</f>
        <v>58800</v>
      </c>
      <c r="E16" s="136">
        <f t="shared" si="4"/>
        <v>0</v>
      </c>
      <c r="F16" s="136">
        <f t="shared" si="4"/>
        <v>67200</v>
      </c>
      <c r="G16" s="136">
        <f t="shared" si="4"/>
        <v>0</v>
      </c>
      <c r="H16" s="136">
        <f t="shared" si="4"/>
        <v>58800</v>
      </c>
      <c r="I16" s="136">
        <f t="shared" si="4"/>
        <v>0</v>
      </c>
      <c r="J16" s="136">
        <f t="shared" si="4"/>
        <v>67200</v>
      </c>
      <c r="K16" s="136">
        <f t="shared" si="4"/>
        <v>0</v>
      </c>
      <c r="L16" s="136">
        <f t="shared" si="4"/>
        <v>58800</v>
      </c>
      <c r="M16" s="136">
        <f t="shared" si="4"/>
        <v>91429.010000000009</v>
      </c>
      <c r="N16" s="136">
        <f t="shared" si="4"/>
        <v>229700</v>
      </c>
      <c r="O16" s="136">
        <f t="shared" si="4"/>
        <v>211523.12999999998</v>
      </c>
      <c r="P16" s="136">
        <f t="shared" si="4"/>
        <v>221300</v>
      </c>
      <c r="Q16" s="136">
        <f t="shared" si="4"/>
        <v>168189.78999999998</v>
      </c>
      <c r="R16" s="136">
        <f t="shared" si="4"/>
        <v>229700</v>
      </c>
      <c r="S16" s="137"/>
      <c r="T16" s="136">
        <f t="shared" si="4"/>
        <v>221300</v>
      </c>
      <c r="U16" s="137"/>
      <c r="V16" s="136">
        <f t="shared" si="4"/>
        <v>67200</v>
      </c>
      <c r="W16" s="137"/>
      <c r="X16" s="136">
        <f t="shared" si="4"/>
        <v>58800</v>
      </c>
      <c r="Y16" s="137"/>
      <c r="Z16" s="136">
        <f t="shared" si="4"/>
        <v>67200</v>
      </c>
      <c r="AA16" s="137"/>
      <c r="AB16" s="136">
        <f t="shared" si="4"/>
        <v>1406000</v>
      </c>
      <c r="AC16" s="125"/>
      <c r="AD16" s="136">
        <f t="shared" ref="AD16:AE16" si="5">SUM(AD5:AD15)</f>
        <v>761800</v>
      </c>
      <c r="AE16" s="136">
        <f t="shared" si="5"/>
        <v>471141.92999999993</v>
      </c>
    </row>
    <row r="17" spans="1:31" ht="12" customHeight="1" x14ac:dyDescent="0.2">
      <c r="A17" s="125"/>
      <c r="B17" s="125"/>
      <c r="C17" s="129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25"/>
      <c r="AD17" s="125"/>
      <c r="AE17" s="125"/>
    </row>
    <row r="18" spans="1:31" ht="12" customHeight="1" x14ac:dyDescent="0.2">
      <c r="A18" s="125"/>
      <c r="B18" s="125"/>
      <c r="C18" s="129" t="s">
        <v>124</v>
      </c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25"/>
      <c r="AD18" s="144"/>
      <c r="AE18" s="125"/>
    </row>
    <row r="19" spans="1:31" ht="10.199999999999999" x14ac:dyDescent="0.2">
      <c r="A19" s="125"/>
      <c r="B19" s="125" t="s">
        <v>125</v>
      </c>
      <c r="C19" s="175" t="s">
        <v>126</v>
      </c>
      <c r="D19" s="134">
        <v>0</v>
      </c>
      <c r="E19" s="134">
        <v>0</v>
      </c>
      <c r="F19" s="134">
        <v>6000</v>
      </c>
      <c r="G19" s="134">
        <v>0</v>
      </c>
      <c r="H19" s="134">
        <v>0</v>
      </c>
      <c r="I19" s="134">
        <v>0</v>
      </c>
      <c r="J19" s="134">
        <v>6000</v>
      </c>
      <c r="K19" s="134">
        <v>0</v>
      </c>
      <c r="L19" s="134">
        <v>0</v>
      </c>
      <c r="M19" s="134">
        <v>0</v>
      </c>
      <c r="N19" s="134">
        <v>6000</v>
      </c>
      <c r="O19" s="134">
        <v>45.56</v>
      </c>
      <c r="P19" s="134">
        <v>0</v>
      </c>
      <c r="Q19" s="134">
        <v>5651.27</v>
      </c>
      <c r="R19" s="134">
        <v>6000</v>
      </c>
      <c r="S19" s="134"/>
      <c r="T19" s="134">
        <v>0</v>
      </c>
      <c r="U19" s="134"/>
      <c r="V19" s="134">
        <v>6000</v>
      </c>
      <c r="W19" s="134"/>
      <c r="X19" s="134">
        <v>0</v>
      </c>
      <c r="Y19" s="134"/>
      <c r="Z19" s="134">
        <v>6000</v>
      </c>
      <c r="AA19" s="134"/>
      <c r="AB19" s="134">
        <f t="shared" ref="AB19:AB29" si="6">D19+F19+H19+J19+L19+N19+P19+R19+T19+V19+X19+Z19</f>
        <v>36000</v>
      </c>
      <c r="AC19" s="125"/>
      <c r="AD19" s="134">
        <f t="shared" ref="AD19:AD29" si="7">D19+F19+H19+J19+L19+N19+P19</f>
        <v>18000</v>
      </c>
      <c r="AE19" s="134">
        <f t="shared" ref="AE19:AE29" si="8">E19+G19+I19+K19+M19+O19+Q19</f>
        <v>5696.8300000000008</v>
      </c>
    </row>
    <row r="20" spans="1:31" ht="12" customHeight="1" x14ac:dyDescent="0.2">
      <c r="A20" s="125"/>
      <c r="B20" s="125" t="s">
        <v>127</v>
      </c>
      <c r="C20" s="176" t="s">
        <v>105</v>
      </c>
      <c r="D20" s="134">
        <v>8000</v>
      </c>
      <c r="E20" s="134">
        <v>0</v>
      </c>
      <c r="F20" s="134">
        <v>8000</v>
      </c>
      <c r="G20" s="134">
        <v>0</v>
      </c>
      <c r="H20" s="134">
        <v>8000</v>
      </c>
      <c r="I20" s="134">
        <v>0</v>
      </c>
      <c r="J20" s="134">
        <v>8000</v>
      </c>
      <c r="K20" s="134">
        <v>0</v>
      </c>
      <c r="L20" s="134">
        <v>8000</v>
      </c>
      <c r="M20" s="134">
        <v>10815.12</v>
      </c>
      <c r="N20" s="134">
        <v>8000</v>
      </c>
      <c r="O20" s="134">
        <v>0</v>
      </c>
      <c r="P20" s="134">
        <v>8000</v>
      </c>
      <c r="Q20" s="134">
        <v>420</v>
      </c>
      <c r="R20" s="134">
        <v>8000</v>
      </c>
      <c r="S20" s="134"/>
      <c r="T20" s="134">
        <v>8000</v>
      </c>
      <c r="U20" s="134"/>
      <c r="V20" s="134">
        <v>8000</v>
      </c>
      <c r="W20" s="134"/>
      <c r="X20" s="134">
        <v>8000</v>
      </c>
      <c r="Y20" s="134"/>
      <c r="Z20" s="134">
        <v>8000</v>
      </c>
      <c r="AA20" s="134"/>
      <c r="AB20" s="134">
        <f t="shared" si="6"/>
        <v>96000</v>
      </c>
      <c r="AC20" s="125"/>
      <c r="AD20" s="134">
        <f t="shared" si="7"/>
        <v>56000</v>
      </c>
      <c r="AE20" s="134">
        <f t="shared" si="8"/>
        <v>11235.12</v>
      </c>
    </row>
    <row r="21" spans="1:31" ht="12" customHeight="1" x14ac:dyDescent="0.2">
      <c r="A21" s="125"/>
      <c r="B21" s="125" t="s">
        <v>128</v>
      </c>
      <c r="C21" s="176" t="s">
        <v>107</v>
      </c>
      <c r="D21" s="134">
        <v>0</v>
      </c>
      <c r="E21" s="134">
        <v>0</v>
      </c>
      <c r="F21" s="134">
        <v>0</v>
      </c>
      <c r="G21" s="134">
        <v>0</v>
      </c>
      <c r="H21" s="134">
        <v>0</v>
      </c>
      <c r="I21" s="134">
        <v>0</v>
      </c>
      <c r="J21" s="134">
        <v>0</v>
      </c>
      <c r="K21" s="134">
        <v>0</v>
      </c>
      <c r="L21" s="134">
        <v>0</v>
      </c>
      <c r="M21" s="134">
        <v>113.9</v>
      </c>
      <c r="N21" s="134">
        <v>0</v>
      </c>
      <c r="O21" s="134">
        <v>30001.66</v>
      </c>
      <c r="P21" s="134">
        <v>0</v>
      </c>
      <c r="Q21" s="134">
        <v>375.03</v>
      </c>
      <c r="R21" s="134">
        <v>0</v>
      </c>
      <c r="S21" s="134"/>
      <c r="T21" s="134">
        <v>0</v>
      </c>
      <c r="U21" s="134"/>
      <c r="V21" s="134">
        <v>0</v>
      </c>
      <c r="W21" s="134"/>
      <c r="X21" s="134">
        <v>0</v>
      </c>
      <c r="Y21" s="134"/>
      <c r="Z21" s="134">
        <v>0</v>
      </c>
      <c r="AA21" s="134"/>
      <c r="AB21" s="134">
        <f t="shared" si="6"/>
        <v>0</v>
      </c>
      <c r="AC21" s="125"/>
      <c r="AD21" s="134">
        <f t="shared" si="7"/>
        <v>0</v>
      </c>
      <c r="AE21" s="134">
        <f t="shared" si="8"/>
        <v>30490.59</v>
      </c>
    </row>
    <row r="22" spans="1:31" ht="12" customHeight="1" x14ac:dyDescent="0.2">
      <c r="A22" s="125"/>
      <c r="B22" s="125" t="s">
        <v>129</v>
      </c>
      <c r="C22" s="176" t="s">
        <v>109</v>
      </c>
      <c r="D22" s="134">
        <v>6000</v>
      </c>
      <c r="E22" s="134">
        <v>0</v>
      </c>
      <c r="F22" s="134">
        <v>6000</v>
      </c>
      <c r="G22" s="134">
        <v>0</v>
      </c>
      <c r="H22" s="134">
        <v>6000</v>
      </c>
      <c r="I22" s="134">
        <v>768</v>
      </c>
      <c r="J22" s="134">
        <v>6000</v>
      </c>
      <c r="K22" s="134">
        <v>0</v>
      </c>
      <c r="L22" s="134">
        <v>6000</v>
      </c>
      <c r="M22" s="134">
        <v>91.12</v>
      </c>
      <c r="N22" s="134">
        <v>6000</v>
      </c>
      <c r="O22" s="134">
        <v>11512.78</v>
      </c>
      <c r="P22" s="134">
        <v>6000</v>
      </c>
      <c r="Q22" s="134">
        <v>0</v>
      </c>
      <c r="R22" s="134">
        <v>6000</v>
      </c>
      <c r="S22" s="134"/>
      <c r="T22" s="134">
        <v>6000</v>
      </c>
      <c r="U22" s="134"/>
      <c r="V22" s="134">
        <v>6000</v>
      </c>
      <c r="W22" s="134"/>
      <c r="X22" s="134">
        <v>6000</v>
      </c>
      <c r="Y22" s="134"/>
      <c r="Z22" s="134">
        <v>6000</v>
      </c>
      <c r="AA22" s="134"/>
      <c r="AB22" s="134">
        <f t="shared" si="6"/>
        <v>72000</v>
      </c>
      <c r="AC22" s="125"/>
      <c r="AD22" s="134">
        <f t="shared" si="7"/>
        <v>42000</v>
      </c>
      <c r="AE22" s="134">
        <f t="shared" si="8"/>
        <v>12371.900000000001</v>
      </c>
    </row>
    <row r="23" spans="1:31" ht="12" customHeight="1" x14ac:dyDescent="0.2">
      <c r="A23" s="125"/>
      <c r="B23" s="125" t="s">
        <v>130</v>
      </c>
      <c r="C23" s="176" t="s">
        <v>111</v>
      </c>
      <c r="D23" s="134">
        <v>0</v>
      </c>
      <c r="E23" s="134">
        <v>0</v>
      </c>
      <c r="F23" s="134">
        <v>0</v>
      </c>
      <c r="G23" s="134">
        <v>916</v>
      </c>
      <c r="H23" s="134">
        <v>0</v>
      </c>
      <c r="I23" s="134">
        <v>0</v>
      </c>
      <c r="J23" s="134">
        <v>0</v>
      </c>
      <c r="K23" s="134">
        <v>0</v>
      </c>
      <c r="L23" s="134">
        <v>0</v>
      </c>
      <c r="M23" s="134">
        <v>623.36</v>
      </c>
      <c r="N23" s="134">
        <v>0</v>
      </c>
      <c r="O23" s="134">
        <v>0</v>
      </c>
      <c r="P23" s="134">
        <v>0</v>
      </c>
      <c r="Q23" s="134">
        <v>0</v>
      </c>
      <c r="R23" s="134">
        <v>0</v>
      </c>
      <c r="S23" s="134"/>
      <c r="T23" s="134">
        <v>0</v>
      </c>
      <c r="U23" s="134"/>
      <c r="V23" s="134">
        <v>0</v>
      </c>
      <c r="W23" s="134"/>
      <c r="X23" s="134">
        <v>0</v>
      </c>
      <c r="Y23" s="134"/>
      <c r="Z23" s="134">
        <v>0</v>
      </c>
      <c r="AA23" s="134"/>
      <c r="AB23" s="134">
        <f t="shared" si="6"/>
        <v>0</v>
      </c>
      <c r="AC23" s="125"/>
      <c r="AD23" s="134">
        <f t="shared" si="7"/>
        <v>0</v>
      </c>
      <c r="AE23" s="134">
        <f t="shared" si="8"/>
        <v>1539.3600000000001</v>
      </c>
    </row>
    <row r="24" spans="1:31" ht="12" customHeight="1" x14ac:dyDescent="0.2">
      <c r="A24" s="125"/>
      <c r="B24" s="125" t="s">
        <v>131</v>
      </c>
      <c r="C24" s="176" t="s">
        <v>113</v>
      </c>
      <c r="D24" s="134">
        <v>11200</v>
      </c>
      <c r="E24" s="134">
        <v>0</v>
      </c>
      <c r="F24" s="134">
        <v>11200</v>
      </c>
      <c r="G24" s="134">
        <v>0</v>
      </c>
      <c r="H24" s="134">
        <v>11200</v>
      </c>
      <c r="I24" s="134">
        <v>0</v>
      </c>
      <c r="J24" s="134">
        <v>11200</v>
      </c>
      <c r="K24" s="134">
        <v>0</v>
      </c>
      <c r="L24" s="134">
        <v>11200</v>
      </c>
      <c r="M24" s="134">
        <v>745.43</v>
      </c>
      <c r="N24" s="134">
        <v>11200</v>
      </c>
      <c r="O24" s="134">
        <v>0</v>
      </c>
      <c r="P24" s="134">
        <v>11200</v>
      </c>
      <c r="Q24" s="134">
        <v>0</v>
      </c>
      <c r="R24" s="134">
        <v>11200</v>
      </c>
      <c r="S24" s="134"/>
      <c r="T24" s="134">
        <v>11200</v>
      </c>
      <c r="U24" s="134"/>
      <c r="V24" s="134">
        <v>11200</v>
      </c>
      <c r="W24" s="134"/>
      <c r="X24" s="134">
        <v>11200</v>
      </c>
      <c r="Y24" s="134"/>
      <c r="Z24" s="134">
        <v>11200</v>
      </c>
      <c r="AA24" s="134"/>
      <c r="AB24" s="134">
        <f t="shared" si="6"/>
        <v>134400</v>
      </c>
      <c r="AC24" s="125"/>
      <c r="AD24" s="134">
        <f t="shared" si="7"/>
        <v>78400</v>
      </c>
      <c r="AE24" s="134">
        <f t="shared" si="8"/>
        <v>745.43</v>
      </c>
    </row>
    <row r="25" spans="1:31" ht="12" customHeight="1" x14ac:dyDescent="0.2">
      <c r="A25" s="125"/>
      <c r="B25" s="125" t="s">
        <v>132</v>
      </c>
      <c r="C25" s="176" t="s">
        <v>115</v>
      </c>
      <c r="D25" s="134">
        <v>0</v>
      </c>
      <c r="E25" s="134">
        <v>0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4">
        <v>185.01</v>
      </c>
      <c r="L25" s="134">
        <v>0</v>
      </c>
      <c r="M25" s="134">
        <v>0</v>
      </c>
      <c r="N25" s="134">
        <v>0</v>
      </c>
      <c r="O25" s="134">
        <v>0</v>
      </c>
      <c r="P25" s="134">
        <v>0</v>
      </c>
      <c r="Q25" s="134">
        <v>0</v>
      </c>
      <c r="R25" s="134">
        <v>0</v>
      </c>
      <c r="S25" s="134"/>
      <c r="T25" s="134">
        <v>0</v>
      </c>
      <c r="U25" s="134"/>
      <c r="V25" s="134">
        <v>0</v>
      </c>
      <c r="W25" s="134"/>
      <c r="X25" s="134">
        <v>0</v>
      </c>
      <c r="Y25" s="134"/>
      <c r="Z25" s="134">
        <v>0</v>
      </c>
      <c r="AA25" s="134"/>
      <c r="AB25" s="134">
        <f t="shared" si="6"/>
        <v>0</v>
      </c>
      <c r="AC25" s="125"/>
      <c r="AD25" s="134">
        <f t="shared" si="7"/>
        <v>0</v>
      </c>
      <c r="AE25" s="134">
        <f t="shared" si="8"/>
        <v>185.01</v>
      </c>
    </row>
    <row r="26" spans="1:31" ht="12" customHeight="1" x14ac:dyDescent="0.2">
      <c r="A26" s="125"/>
      <c r="B26" s="125" t="s">
        <v>133</v>
      </c>
      <c r="C26" s="177" t="s">
        <v>117</v>
      </c>
      <c r="D26" s="134">
        <v>6000</v>
      </c>
      <c r="E26" s="134">
        <v>0</v>
      </c>
      <c r="F26" s="134">
        <v>6000</v>
      </c>
      <c r="G26" s="134">
        <v>0</v>
      </c>
      <c r="H26" s="134">
        <v>6000</v>
      </c>
      <c r="I26" s="134">
        <v>109.38</v>
      </c>
      <c r="J26" s="134">
        <v>6000</v>
      </c>
      <c r="K26" s="134">
        <v>0</v>
      </c>
      <c r="L26" s="134">
        <v>6000</v>
      </c>
      <c r="M26" s="134">
        <v>0</v>
      </c>
      <c r="N26" s="134">
        <v>6000</v>
      </c>
      <c r="O26" s="134">
        <v>769.91</v>
      </c>
      <c r="P26" s="134">
        <v>6000</v>
      </c>
      <c r="Q26" s="134">
        <v>0</v>
      </c>
      <c r="R26" s="134">
        <v>6000</v>
      </c>
      <c r="S26" s="134"/>
      <c r="T26" s="134">
        <v>6000</v>
      </c>
      <c r="U26" s="134"/>
      <c r="V26" s="134">
        <v>6000</v>
      </c>
      <c r="W26" s="134"/>
      <c r="X26" s="134">
        <v>6000</v>
      </c>
      <c r="Y26" s="134"/>
      <c r="Z26" s="134">
        <v>6000</v>
      </c>
      <c r="AA26" s="134"/>
      <c r="AB26" s="134">
        <f t="shared" si="6"/>
        <v>72000</v>
      </c>
      <c r="AC26" s="125"/>
      <c r="AD26" s="134">
        <f t="shared" si="7"/>
        <v>42000</v>
      </c>
      <c r="AE26" s="134">
        <f t="shared" si="8"/>
        <v>879.29</v>
      </c>
    </row>
    <row r="27" spans="1:31" ht="12" customHeight="1" x14ac:dyDescent="0.2">
      <c r="A27" s="125"/>
      <c r="B27" s="125" t="s">
        <v>350</v>
      </c>
      <c r="C27" s="177" t="s">
        <v>118</v>
      </c>
      <c r="D27" s="134">
        <v>0</v>
      </c>
      <c r="E27" s="134">
        <v>0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4">
        <v>0</v>
      </c>
      <c r="L27" s="134">
        <v>0</v>
      </c>
      <c r="M27" s="134">
        <v>0</v>
      </c>
      <c r="N27" s="134">
        <v>0</v>
      </c>
      <c r="O27" s="134">
        <v>0</v>
      </c>
      <c r="P27" s="134">
        <v>0</v>
      </c>
      <c r="Q27" s="134">
        <v>511.66</v>
      </c>
      <c r="R27" s="134">
        <v>0</v>
      </c>
      <c r="S27" s="134"/>
      <c r="T27" s="134">
        <v>0</v>
      </c>
      <c r="U27" s="134"/>
      <c r="V27" s="134">
        <v>0</v>
      </c>
      <c r="W27" s="134"/>
      <c r="X27" s="134">
        <v>0</v>
      </c>
      <c r="Y27" s="134"/>
      <c r="Z27" s="134">
        <v>0</v>
      </c>
      <c r="AA27" s="134"/>
      <c r="AB27" s="134">
        <f t="shared" si="6"/>
        <v>0</v>
      </c>
      <c r="AC27" s="125"/>
      <c r="AD27" s="134">
        <f t="shared" si="7"/>
        <v>0</v>
      </c>
      <c r="AE27" s="134">
        <f t="shared" si="8"/>
        <v>511.66</v>
      </c>
    </row>
    <row r="28" spans="1:31" ht="12" customHeight="1" x14ac:dyDescent="0.2">
      <c r="A28" s="125"/>
      <c r="B28" s="125" t="s">
        <v>134</v>
      </c>
      <c r="C28" s="177" t="s">
        <v>120</v>
      </c>
      <c r="D28" s="134">
        <v>0</v>
      </c>
      <c r="E28" s="134">
        <v>0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4">
        <v>0</v>
      </c>
      <c r="L28" s="134">
        <v>0</v>
      </c>
      <c r="M28" s="134">
        <v>0</v>
      </c>
      <c r="N28" s="134">
        <v>0</v>
      </c>
      <c r="O28" s="134">
        <v>0</v>
      </c>
      <c r="P28" s="134">
        <v>0</v>
      </c>
      <c r="Q28" s="134">
        <v>0</v>
      </c>
      <c r="R28" s="134">
        <v>0</v>
      </c>
      <c r="S28" s="134"/>
      <c r="T28" s="134">
        <v>0</v>
      </c>
      <c r="U28" s="134"/>
      <c r="V28" s="134">
        <v>0</v>
      </c>
      <c r="W28" s="134"/>
      <c r="X28" s="134">
        <v>0</v>
      </c>
      <c r="Y28" s="134"/>
      <c r="Z28" s="134">
        <v>0</v>
      </c>
      <c r="AA28" s="134"/>
      <c r="AB28" s="134">
        <f t="shared" si="6"/>
        <v>0</v>
      </c>
      <c r="AC28" s="125"/>
      <c r="AD28" s="134">
        <f t="shared" si="7"/>
        <v>0</v>
      </c>
      <c r="AE28" s="134">
        <f t="shared" si="8"/>
        <v>0</v>
      </c>
    </row>
    <row r="29" spans="1:31" ht="12" customHeight="1" x14ac:dyDescent="0.2">
      <c r="A29" s="125"/>
      <c r="B29" s="125" t="s">
        <v>135</v>
      </c>
      <c r="C29" s="177" t="s">
        <v>122</v>
      </c>
      <c r="D29" s="134">
        <v>0</v>
      </c>
      <c r="E29" s="134">
        <v>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4">
        <v>0</v>
      </c>
      <c r="L29" s="134">
        <v>0</v>
      </c>
      <c r="M29" s="134">
        <v>325059</v>
      </c>
      <c r="N29" s="150">
        <v>36000</v>
      </c>
      <c r="O29" s="150">
        <v>3047.95</v>
      </c>
      <c r="P29" s="150">
        <v>32000</v>
      </c>
      <c r="Q29" s="150">
        <v>3693.21</v>
      </c>
      <c r="R29" s="150">
        <v>36000</v>
      </c>
      <c r="S29" s="151"/>
      <c r="T29" s="150">
        <v>32000</v>
      </c>
      <c r="U29" s="151"/>
      <c r="V29" s="134">
        <v>0</v>
      </c>
      <c r="W29" s="134"/>
      <c r="X29" s="134">
        <v>0</v>
      </c>
      <c r="Y29" s="134"/>
      <c r="Z29" s="134">
        <v>40000</v>
      </c>
      <c r="AA29" s="134"/>
      <c r="AB29" s="134">
        <f t="shared" si="6"/>
        <v>176000</v>
      </c>
      <c r="AC29" s="125"/>
      <c r="AD29" s="134">
        <f t="shared" si="7"/>
        <v>68000</v>
      </c>
      <c r="AE29" s="134">
        <f t="shared" si="8"/>
        <v>331800.16000000003</v>
      </c>
    </row>
    <row r="30" spans="1:31" ht="12" customHeight="1" x14ac:dyDescent="0.2">
      <c r="A30" s="125"/>
      <c r="B30" s="125"/>
      <c r="C30" s="135" t="s">
        <v>136</v>
      </c>
      <c r="D30" s="136">
        <f t="shared" ref="D30:AB30" si="9">SUM(D19:D29)</f>
        <v>31200</v>
      </c>
      <c r="E30" s="136">
        <f t="shared" si="9"/>
        <v>0</v>
      </c>
      <c r="F30" s="136">
        <f t="shared" si="9"/>
        <v>37200</v>
      </c>
      <c r="G30" s="136">
        <f t="shared" si="9"/>
        <v>916</v>
      </c>
      <c r="H30" s="136">
        <f t="shared" si="9"/>
        <v>31200</v>
      </c>
      <c r="I30" s="136">
        <f t="shared" si="9"/>
        <v>877.38</v>
      </c>
      <c r="J30" s="136">
        <f t="shared" si="9"/>
        <v>37200</v>
      </c>
      <c r="K30" s="136">
        <f t="shared" si="9"/>
        <v>185.01</v>
      </c>
      <c r="L30" s="136">
        <f t="shared" si="9"/>
        <v>31200</v>
      </c>
      <c r="M30" s="136">
        <f t="shared" si="9"/>
        <v>337447.93</v>
      </c>
      <c r="N30" s="136">
        <f t="shared" si="9"/>
        <v>73200</v>
      </c>
      <c r="O30" s="136">
        <f t="shared" si="9"/>
        <v>45377.86</v>
      </c>
      <c r="P30" s="136">
        <f t="shared" si="9"/>
        <v>63200</v>
      </c>
      <c r="Q30" s="136">
        <f t="shared" si="9"/>
        <v>10651.17</v>
      </c>
      <c r="R30" s="136">
        <f t="shared" si="9"/>
        <v>73200</v>
      </c>
      <c r="S30" s="137"/>
      <c r="T30" s="136">
        <f t="shared" si="9"/>
        <v>63200</v>
      </c>
      <c r="U30" s="137"/>
      <c r="V30" s="136">
        <f t="shared" si="9"/>
        <v>37200</v>
      </c>
      <c r="W30" s="137"/>
      <c r="X30" s="136">
        <f t="shared" si="9"/>
        <v>31200</v>
      </c>
      <c r="Y30" s="137"/>
      <c r="Z30" s="136">
        <f t="shared" si="9"/>
        <v>77200</v>
      </c>
      <c r="AA30" s="137"/>
      <c r="AB30" s="136">
        <f t="shared" si="9"/>
        <v>586400</v>
      </c>
      <c r="AC30" s="125"/>
      <c r="AD30" s="136">
        <f t="shared" ref="AD30:AE30" si="10">SUM(AD19:AD29)</f>
        <v>304400</v>
      </c>
      <c r="AE30" s="136">
        <f t="shared" si="10"/>
        <v>395455.35000000003</v>
      </c>
    </row>
    <row r="31" spans="1:31" ht="12" customHeight="1" x14ac:dyDescent="0.2">
      <c r="A31" s="125"/>
      <c r="B31" s="125"/>
      <c r="C31" s="178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25"/>
      <c r="AD31" s="179"/>
      <c r="AE31" s="179"/>
    </row>
    <row r="32" spans="1:31" ht="12" customHeight="1" x14ac:dyDescent="0.2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</row>
    <row r="33" spans="1:31" ht="12" customHeight="1" x14ac:dyDescent="0.2">
      <c r="A33" s="125"/>
      <c r="B33" s="125"/>
      <c r="C33" s="138" t="s">
        <v>137</v>
      </c>
      <c r="D33" s="139">
        <f t="shared" ref="D33:AB33" si="11">+D16-D30</f>
        <v>27600</v>
      </c>
      <c r="E33" s="139">
        <f t="shared" si="11"/>
        <v>0</v>
      </c>
      <c r="F33" s="139">
        <f t="shared" si="11"/>
        <v>30000</v>
      </c>
      <c r="G33" s="139">
        <f t="shared" si="11"/>
        <v>-916</v>
      </c>
      <c r="H33" s="139">
        <f t="shared" si="11"/>
        <v>27600</v>
      </c>
      <c r="I33" s="139">
        <f t="shared" si="11"/>
        <v>-877.38</v>
      </c>
      <c r="J33" s="139">
        <f t="shared" si="11"/>
        <v>30000</v>
      </c>
      <c r="K33" s="139">
        <f t="shared" si="11"/>
        <v>-185.01</v>
      </c>
      <c r="L33" s="139">
        <f t="shared" si="11"/>
        <v>27600</v>
      </c>
      <c r="M33" s="139">
        <f t="shared" si="11"/>
        <v>-246018.91999999998</v>
      </c>
      <c r="N33" s="139">
        <f t="shared" si="11"/>
        <v>156500</v>
      </c>
      <c r="O33" s="139">
        <f t="shared" si="11"/>
        <v>166145.26999999996</v>
      </c>
      <c r="P33" s="139">
        <f t="shared" si="11"/>
        <v>158100</v>
      </c>
      <c r="Q33" s="139">
        <f t="shared" si="11"/>
        <v>157538.61999999997</v>
      </c>
      <c r="R33" s="139">
        <f t="shared" si="11"/>
        <v>156500</v>
      </c>
      <c r="S33" s="139"/>
      <c r="T33" s="139">
        <f t="shared" si="11"/>
        <v>158100</v>
      </c>
      <c r="U33" s="139"/>
      <c r="V33" s="139">
        <f t="shared" si="11"/>
        <v>30000</v>
      </c>
      <c r="W33" s="139"/>
      <c r="X33" s="139">
        <f t="shared" si="11"/>
        <v>27600</v>
      </c>
      <c r="Y33" s="139"/>
      <c r="Z33" s="139">
        <f t="shared" si="11"/>
        <v>-10000</v>
      </c>
      <c r="AA33" s="139"/>
      <c r="AB33" s="140">
        <f t="shared" si="11"/>
        <v>819600</v>
      </c>
      <c r="AC33" s="125"/>
      <c r="AD33" s="139">
        <f t="shared" ref="AD33:AE33" si="12">+AD16-AD30</f>
        <v>457400</v>
      </c>
      <c r="AE33" s="139">
        <f t="shared" si="12"/>
        <v>75686.5799999999</v>
      </c>
    </row>
    <row r="34" spans="1:31" ht="12" customHeight="1" x14ac:dyDescent="0.2">
      <c r="A34" s="125"/>
      <c r="B34" s="125"/>
      <c r="C34" s="125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</row>
    <row r="35" spans="1:31" ht="12" customHeight="1" x14ac:dyDescent="0.2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70">
        <v>100301.72413793104</v>
      </c>
      <c r="AC35" s="125"/>
      <c r="AD35" s="125"/>
      <c r="AE35" s="125"/>
    </row>
    <row r="36" spans="1:31" ht="12" customHeight="1" x14ac:dyDescent="0.2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</row>
    <row r="37" spans="1:31" ht="12" customHeight="1" x14ac:dyDescent="0.2">
      <c r="A37" s="125"/>
      <c r="B37" s="125"/>
      <c r="C37" s="171" t="s">
        <v>138</v>
      </c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</row>
    <row r="38" spans="1:31" ht="12" customHeight="1" x14ac:dyDescent="0.2">
      <c r="A38" s="125"/>
      <c r="B38" s="125"/>
      <c r="C38" s="171" t="s">
        <v>139</v>
      </c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</row>
    <row r="39" spans="1:31" ht="12" customHeight="1" x14ac:dyDescent="0.2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</row>
    <row r="40" spans="1:31" ht="12" customHeight="1" x14ac:dyDescent="0.2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</row>
    <row r="41" spans="1:31" ht="12" customHeight="1" x14ac:dyDescent="0.2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</row>
    <row r="42" spans="1:31" ht="12" customHeight="1" x14ac:dyDescent="0.2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</row>
    <row r="43" spans="1:31" ht="12" customHeight="1" x14ac:dyDescent="0.2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</row>
    <row r="44" spans="1:31" ht="12" customHeight="1" x14ac:dyDescent="0.2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</row>
    <row r="45" spans="1:31" ht="12" customHeight="1" x14ac:dyDescent="0.2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</row>
    <row r="46" spans="1:31" ht="12" customHeight="1" x14ac:dyDescent="0.2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</row>
    <row r="47" spans="1:31" ht="12" customHeight="1" x14ac:dyDescent="0.2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</row>
    <row r="48" spans="1:31" ht="12" customHeight="1" x14ac:dyDescent="0.2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</row>
    <row r="49" spans="1:31" ht="12" customHeight="1" x14ac:dyDescent="0.2">
      <c r="A49" s="125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</row>
    <row r="50" spans="1:31" ht="12" customHeight="1" x14ac:dyDescent="0.2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</row>
    <row r="51" spans="1:31" ht="12" customHeight="1" x14ac:dyDescent="0.2">
      <c r="A51" s="125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</row>
    <row r="52" spans="1:31" ht="12" customHeight="1" x14ac:dyDescent="0.2">
      <c r="A52" s="125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</row>
    <row r="53" spans="1:31" ht="12" customHeight="1" x14ac:dyDescent="0.2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</row>
    <row r="54" spans="1:31" ht="12" customHeight="1" x14ac:dyDescent="0.2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</row>
    <row r="55" spans="1:31" ht="12" customHeight="1" x14ac:dyDescent="0.2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</row>
    <row r="56" spans="1:31" ht="12" customHeight="1" x14ac:dyDescent="0.2">
      <c r="A56" s="125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</row>
    <row r="57" spans="1:31" ht="12" customHeight="1" x14ac:dyDescent="0.2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</row>
    <row r="58" spans="1:31" ht="12" customHeight="1" x14ac:dyDescent="0.2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</row>
    <row r="59" spans="1:31" ht="12" customHeight="1" x14ac:dyDescent="0.2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</row>
    <row r="60" spans="1:31" ht="12" customHeight="1" x14ac:dyDescent="0.2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</row>
    <row r="61" spans="1:31" ht="12" customHeight="1" x14ac:dyDescent="0.2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</row>
    <row r="62" spans="1:31" ht="12" customHeight="1" x14ac:dyDescent="0.2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</row>
    <row r="63" spans="1:31" ht="12" customHeight="1" x14ac:dyDescent="0.2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</row>
    <row r="64" spans="1:31" ht="12" customHeight="1" x14ac:dyDescent="0.2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</row>
    <row r="65" spans="1:31" ht="12" customHeight="1" x14ac:dyDescent="0.2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</row>
    <row r="66" spans="1:31" ht="12" customHeight="1" x14ac:dyDescent="0.2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</row>
    <row r="67" spans="1:31" ht="12" customHeight="1" x14ac:dyDescent="0.2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</row>
    <row r="68" spans="1:31" ht="12" customHeight="1" x14ac:dyDescent="0.2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</row>
    <row r="69" spans="1:31" ht="12" customHeight="1" x14ac:dyDescent="0.2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</row>
    <row r="70" spans="1:31" ht="12" customHeight="1" x14ac:dyDescent="0.2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</row>
    <row r="71" spans="1:31" ht="12" customHeight="1" x14ac:dyDescent="0.2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</row>
    <row r="72" spans="1:31" ht="12" customHeight="1" x14ac:dyDescent="0.2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</row>
    <row r="73" spans="1:31" ht="12" customHeight="1" x14ac:dyDescent="0.2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</row>
    <row r="74" spans="1:31" ht="12" customHeight="1" x14ac:dyDescent="0.2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</row>
    <row r="75" spans="1:31" ht="12" customHeight="1" x14ac:dyDescent="0.2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</row>
    <row r="76" spans="1:31" ht="12" customHeight="1" x14ac:dyDescent="0.2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</row>
    <row r="77" spans="1:31" ht="12" customHeight="1" x14ac:dyDescent="0.2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</row>
    <row r="78" spans="1:31" ht="12" customHeight="1" x14ac:dyDescent="0.2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</row>
    <row r="79" spans="1:31" ht="12" customHeight="1" x14ac:dyDescent="0.2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</row>
    <row r="80" spans="1:31" ht="12" customHeight="1" x14ac:dyDescent="0.2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</row>
    <row r="81" spans="1:31" ht="12" customHeight="1" x14ac:dyDescent="0.2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</row>
    <row r="82" spans="1:31" ht="12" customHeight="1" x14ac:dyDescent="0.2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</row>
    <row r="83" spans="1:31" ht="12" customHeight="1" x14ac:dyDescent="0.2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</row>
    <row r="84" spans="1:31" ht="12" customHeight="1" x14ac:dyDescent="0.2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</row>
    <row r="85" spans="1:31" ht="12" customHeight="1" x14ac:dyDescent="0.2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</row>
    <row r="86" spans="1:31" ht="12" customHeight="1" x14ac:dyDescent="0.2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</row>
    <row r="87" spans="1:31" ht="12" customHeight="1" x14ac:dyDescent="0.2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</row>
    <row r="88" spans="1:31" ht="12" customHeight="1" x14ac:dyDescent="0.2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</row>
    <row r="89" spans="1:31" ht="12" customHeight="1" x14ac:dyDescent="0.2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</row>
    <row r="90" spans="1:31" ht="12" customHeight="1" x14ac:dyDescent="0.2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</row>
    <row r="91" spans="1:31" ht="12" customHeight="1" x14ac:dyDescent="0.2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</row>
    <row r="92" spans="1:31" ht="12" customHeight="1" x14ac:dyDescent="0.2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</row>
    <row r="93" spans="1:31" ht="12" customHeight="1" x14ac:dyDescent="0.2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</row>
    <row r="94" spans="1:31" ht="12" customHeight="1" x14ac:dyDescent="0.2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</row>
    <row r="95" spans="1:31" ht="12" customHeight="1" x14ac:dyDescent="0.2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</row>
    <row r="96" spans="1:31" ht="12" customHeight="1" x14ac:dyDescent="0.2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</row>
    <row r="97" spans="1:31" ht="12" customHeight="1" x14ac:dyDescent="0.2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</row>
    <row r="98" spans="1:31" ht="12" customHeight="1" x14ac:dyDescent="0.2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</row>
    <row r="99" spans="1:31" ht="12" customHeight="1" x14ac:dyDescent="0.2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</row>
    <row r="100" spans="1:31" ht="12" customHeight="1" x14ac:dyDescent="0.2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</row>
    <row r="101" spans="1:31" ht="12" customHeight="1" x14ac:dyDescent="0.2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</row>
    <row r="102" spans="1:31" ht="12" customHeight="1" x14ac:dyDescent="0.2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</row>
    <row r="103" spans="1:31" ht="12" customHeight="1" x14ac:dyDescent="0.2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</row>
    <row r="104" spans="1:31" ht="12" customHeight="1" x14ac:dyDescent="0.2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</row>
    <row r="105" spans="1:31" ht="12" customHeight="1" x14ac:dyDescent="0.2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</row>
    <row r="106" spans="1:31" ht="12" customHeight="1" x14ac:dyDescent="0.2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</row>
    <row r="107" spans="1:31" ht="12" customHeight="1" x14ac:dyDescent="0.2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</row>
    <row r="108" spans="1:31" ht="12" customHeight="1" x14ac:dyDescent="0.2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</row>
    <row r="109" spans="1:31" ht="12" customHeight="1" x14ac:dyDescent="0.2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</row>
    <row r="110" spans="1:31" ht="12" customHeight="1" x14ac:dyDescent="0.2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</row>
    <row r="111" spans="1:31" ht="12" customHeight="1" x14ac:dyDescent="0.2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</row>
    <row r="112" spans="1:31" ht="12" customHeight="1" x14ac:dyDescent="0.2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</row>
    <row r="113" spans="1:31" ht="12" customHeight="1" x14ac:dyDescent="0.2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</row>
    <row r="114" spans="1:31" ht="12" customHeight="1" x14ac:dyDescent="0.2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</row>
    <row r="115" spans="1:31" ht="12" customHeight="1" x14ac:dyDescent="0.2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</row>
    <row r="116" spans="1:31" ht="12" customHeight="1" x14ac:dyDescent="0.2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</row>
    <row r="117" spans="1:31" ht="12" customHeight="1" x14ac:dyDescent="0.2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</row>
    <row r="118" spans="1:31" ht="12" customHeight="1" x14ac:dyDescent="0.2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</row>
    <row r="119" spans="1:31" ht="12" customHeight="1" x14ac:dyDescent="0.2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</row>
    <row r="120" spans="1:31" ht="12" customHeight="1" x14ac:dyDescent="0.2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</row>
    <row r="121" spans="1:31" ht="12" customHeight="1" x14ac:dyDescent="0.2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</row>
    <row r="122" spans="1:31" ht="12" customHeight="1" x14ac:dyDescent="0.2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</row>
    <row r="123" spans="1:31" ht="12" customHeight="1" x14ac:dyDescent="0.2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</row>
    <row r="124" spans="1:31" ht="12" customHeight="1" x14ac:dyDescent="0.2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</row>
    <row r="125" spans="1:31" ht="12" customHeight="1" x14ac:dyDescent="0.2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</row>
    <row r="126" spans="1:31" ht="12" customHeight="1" x14ac:dyDescent="0.2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</row>
    <row r="127" spans="1:31" ht="12" customHeight="1" x14ac:dyDescent="0.2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</row>
    <row r="128" spans="1:31" ht="12" customHeight="1" x14ac:dyDescent="0.2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</row>
    <row r="129" spans="1:31" ht="12" customHeight="1" x14ac:dyDescent="0.2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</row>
    <row r="130" spans="1:31" ht="12" customHeight="1" x14ac:dyDescent="0.2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</row>
    <row r="131" spans="1:31" ht="12" customHeight="1" x14ac:dyDescent="0.2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</row>
    <row r="132" spans="1:31" ht="12" customHeight="1" x14ac:dyDescent="0.2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</row>
    <row r="133" spans="1:31" ht="12" customHeight="1" x14ac:dyDescent="0.2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</row>
    <row r="134" spans="1:31" ht="12" customHeight="1" x14ac:dyDescent="0.2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</row>
    <row r="135" spans="1:31" ht="12" customHeight="1" x14ac:dyDescent="0.2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</row>
    <row r="136" spans="1:31" ht="12" customHeight="1" x14ac:dyDescent="0.2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</row>
    <row r="137" spans="1:31" ht="12" customHeight="1" x14ac:dyDescent="0.2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</row>
    <row r="138" spans="1:31" ht="12" customHeight="1" x14ac:dyDescent="0.2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</row>
    <row r="139" spans="1:31" ht="12" customHeight="1" x14ac:dyDescent="0.2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</row>
    <row r="140" spans="1:31" ht="12" customHeight="1" x14ac:dyDescent="0.2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</row>
    <row r="141" spans="1:31" ht="12" customHeight="1" x14ac:dyDescent="0.2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</row>
    <row r="142" spans="1:31" ht="12" customHeight="1" x14ac:dyDescent="0.2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</row>
    <row r="143" spans="1:31" ht="12" customHeight="1" x14ac:dyDescent="0.2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</row>
    <row r="144" spans="1:31" ht="12" customHeight="1" x14ac:dyDescent="0.2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</row>
    <row r="145" spans="1:31" ht="12" customHeight="1" x14ac:dyDescent="0.2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</row>
    <row r="146" spans="1:31" ht="12" customHeight="1" x14ac:dyDescent="0.2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</row>
    <row r="147" spans="1:31" ht="12" customHeight="1" x14ac:dyDescent="0.2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</row>
    <row r="148" spans="1:31" ht="12" customHeight="1" x14ac:dyDescent="0.2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</row>
    <row r="149" spans="1:31" ht="12" customHeight="1" x14ac:dyDescent="0.2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</row>
    <row r="150" spans="1:31" ht="12" customHeight="1" x14ac:dyDescent="0.2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</row>
    <row r="151" spans="1:31" ht="12" customHeight="1" x14ac:dyDescent="0.2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</row>
    <row r="152" spans="1:31" ht="12" customHeight="1" x14ac:dyDescent="0.2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5"/>
    </row>
    <row r="153" spans="1:31" ht="12" customHeight="1" x14ac:dyDescent="0.2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</row>
    <row r="154" spans="1:31" ht="12" customHeight="1" x14ac:dyDescent="0.2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</row>
    <row r="155" spans="1:31" ht="12" customHeight="1" x14ac:dyDescent="0.2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</row>
    <row r="156" spans="1:31" ht="12" customHeight="1" x14ac:dyDescent="0.2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</row>
    <row r="157" spans="1:31" ht="12" customHeight="1" x14ac:dyDescent="0.2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</row>
    <row r="158" spans="1:31" ht="12" customHeight="1" x14ac:dyDescent="0.2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</row>
    <row r="159" spans="1:31" ht="12" customHeight="1" x14ac:dyDescent="0.2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</row>
    <row r="160" spans="1:31" ht="12" customHeight="1" x14ac:dyDescent="0.2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</row>
    <row r="161" spans="1:31" ht="12" customHeight="1" x14ac:dyDescent="0.2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</row>
    <row r="162" spans="1:31" ht="12" customHeight="1" x14ac:dyDescent="0.2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</row>
    <row r="163" spans="1:31" ht="12" customHeight="1" x14ac:dyDescent="0.2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</row>
    <row r="164" spans="1:31" ht="12" customHeight="1" x14ac:dyDescent="0.2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</row>
    <row r="165" spans="1:31" ht="12" customHeight="1" x14ac:dyDescent="0.2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</row>
    <row r="166" spans="1:31" ht="12" customHeight="1" x14ac:dyDescent="0.2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5"/>
    </row>
    <row r="167" spans="1:31" ht="12" customHeight="1" x14ac:dyDescent="0.2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</row>
    <row r="168" spans="1:31" ht="12" customHeight="1" x14ac:dyDescent="0.2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</row>
    <row r="169" spans="1:31" ht="12" customHeight="1" x14ac:dyDescent="0.2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</row>
    <row r="170" spans="1:31" ht="12" customHeight="1" x14ac:dyDescent="0.2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</row>
    <row r="171" spans="1:31" ht="12" customHeight="1" x14ac:dyDescent="0.2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</row>
    <row r="172" spans="1:31" ht="12" customHeight="1" x14ac:dyDescent="0.2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25"/>
    </row>
    <row r="173" spans="1:31" ht="12" customHeight="1" x14ac:dyDescent="0.2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25"/>
    </row>
    <row r="174" spans="1:31" ht="12" customHeight="1" x14ac:dyDescent="0.2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</row>
    <row r="175" spans="1:31" ht="12" customHeight="1" x14ac:dyDescent="0.2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</row>
    <row r="176" spans="1:31" ht="12" customHeight="1" x14ac:dyDescent="0.2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</row>
    <row r="177" spans="1:31" ht="12" customHeight="1" x14ac:dyDescent="0.2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</row>
    <row r="178" spans="1:31" ht="12" customHeight="1" x14ac:dyDescent="0.2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</row>
    <row r="179" spans="1:31" ht="12" customHeight="1" x14ac:dyDescent="0.2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</row>
    <row r="180" spans="1:31" ht="12" customHeight="1" x14ac:dyDescent="0.2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</row>
    <row r="181" spans="1:31" ht="12" customHeight="1" x14ac:dyDescent="0.2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</row>
    <row r="182" spans="1:31" ht="12" customHeight="1" x14ac:dyDescent="0.2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</row>
    <row r="183" spans="1:31" ht="12" customHeight="1" x14ac:dyDescent="0.2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</row>
    <row r="184" spans="1:31" ht="12" customHeight="1" x14ac:dyDescent="0.2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</row>
    <row r="185" spans="1:31" ht="12" customHeight="1" x14ac:dyDescent="0.2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</row>
    <row r="186" spans="1:31" ht="12" customHeight="1" x14ac:dyDescent="0.2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</row>
    <row r="187" spans="1:31" ht="12" customHeight="1" x14ac:dyDescent="0.2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</row>
    <row r="188" spans="1:31" ht="12" customHeight="1" x14ac:dyDescent="0.2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</row>
    <row r="189" spans="1:31" ht="12" customHeight="1" x14ac:dyDescent="0.2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</row>
    <row r="190" spans="1:31" ht="12" customHeight="1" x14ac:dyDescent="0.2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</row>
    <row r="191" spans="1:31" ht="12" customHeight="1" x14ac:dyDescent="0.2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</row>
    <row r="192" spans="1:31" ht="12" customHeight="1" x14ac:dyDescent="0.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</row>
    <row r="193" spans="1:31" ht="12" customHeight="1" x14ac:dyDescent="0.2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</row>
    <row r="194" spans="1:31" ht="12" customHeight="1" x14ac:dyDescent="0.2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</row>
    <row r="195" spans="1:31" ht="12" customHeight="1" x14ac:dyDescent="0.2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</row>
    <row r="196" spans="1:31" ht="12" customHeight="1" x14ac:dyDescent="0.2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</row>
    <row r="197" spans="1:31" ht="12" customHeight="1" x14ac:dyDescent="0.2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</row>
    <row r="198" spans="1:31" ht="12" customHeight="1" x14ac:dyDescent="0.2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</row>
    <row r="199" spans="1:31" ht="12" customHeight="1" x14ac:dyDescent="0.2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</row>
    <row r="200" spans="1:31" ht="12" customHeight="1" x14ac:dyDescent="0.2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</row>
    <row r="201" spans="1:31" ht="12" customHeight="1" x14ac:dyDescent="0.2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</row>
    <row r="202" spans="1:31" ht="12" customHeight="1" x14ac:dyDescent="0.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</row>
    <row r="203" spans="1:31" ht="12" customHeight="1" x14ac:dyDescent="0.2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</row>
    <row r="204" spans="1:31" ht="12" customHeight="1" x14ac:dyDescent="0.2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</row>
    <row r="205" spans="1:31" ht="12" customHeight="1" x14ac:dyDescent="0.2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</row>
    <row r="206" spans="1:31" ht="12" customHeight="1" x14ac:dyDescent="0.2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</row>
    <row r="207" spans="1:31" ht="12" customHeight="1" x14ac:dyDescent="0.2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</row>
    <row r="208" spans="1:31" ht="12" customHeight="1" x14ac:dyDescent="0.2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5"/>
    </row>
    <row r="209" spans="1:31" ht="12" customHeight="1" x14ac:dyDescent="0.2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5"/>
    </row>
    <row r="210" spans="1:31" ht="12" customHeight="1" x14ac:dyDescent="0.2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</row>
    <row r="211" spans="1:31" ht="12" customHeight="1" x14ac:dyDescent="0.2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</row>
    <row r="212" spans="1:31" ht="12" customHeight="1" x14ac:dyDescent="0.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</row>
    <row r="213" spans="1:31" ht="12" customHeight="1" x14ac:dyDescent="0.2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</row>
    <row r="214" spans="1:31" ht="12" customHeight="1" x14ac:dyDescent="0.2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</row>
    <row r="215" spans="1:31" ht="12" customHeight="1" x14ac:dyDescent="0.2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</row>
    <row r="216" spans="1:31" ht="12" customHeight="1" x14ac:dyDescent="0.2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</row>
    <row r="217" spans="1:31" ht="12" customHeight="1" x14ac:dyDescent="0.2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</row>
    <row r="218" spans="1:31" ht="12" customHeight="1" x14ac:dyDescent="0.2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5"/>
    </row>
    <row r="219" spans="1:31" ht="12" customHeight="1" x14ac:dyDescent="0.2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5"/>
    </row>
    <row r="220" spans="1:31" ht="12" customHeight="1" x14ac:dyDescent="0.2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25"/>
    </row>
    <row r="221" spans="1:31" ht="12" customHeight="1" x14ac:dyDescent="0.2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25"/>
    </row>
    <row r="222" spans="1:31" ht="12" customHeight="1" x14ac:dyDescent="0.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25"/>
    </row>
    <row r="223" spans="1:31" ht="12" customHeight="1" x14ac:dyDescent="0.2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5"/>
    </row>
    <row r="224" spans="1:31" ht="12" customHeight="1" x14ac:dyDescent="0.2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25"/>
    </row>
    <row r="225" spans="1:31" ht="12" customHeight="1" x14ac:dyDescent="0.2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25"/>
    </row>
    <row r="226" spans="1:31" ht="12" customHeight="1" x14ac:dyDescent="0.2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  <c r="AE226" s="125"/>
    </row>
    <row r="227" spans="1:31" ht="12" customHeight="1" x14ac:dyDescent="0.2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</row>
    <row r="228" spans="1:31" ht="12" customHeight="1" x14ac:dyDescent="0.2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25"/>
    </row>
    <row r="229" spans="1:31" ht="12" customHeight="1" x14ac:dyDescent="0.2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25"/>
    </row>
    <row r="230" spans="1:31" ht="12" customHeight="1" x14ac:dyDescent="0.2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</row>
    <row r="231" spans="1:31" ht="12" customHeight="1" x14ac:dyDescent="0.2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25"/>
    </row>
    <row r="232" spans="1:31" ht="12" customHeight="1" x14ac:dyDescent="0.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5"/>
      <c r="AD232" s="125"/>
      <c r="AE232" s="125"/>
    </row>
    <row r="233" spans="1:31" ht="12" customHeight="1" x14ac:dyDescent="0.2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25"/>
    </row>
    <row r="234" spans="1:31" ht="12" customHeight="1" x14ac:dyDescent="0.2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  <c r="AE234" s="125"/>
    </row>
    <row r="235" spans="1:31" ht="12" customHeight="1" x14ac:dyDescent="0.2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</row>
    <row r="236" spans="1:31" ht="12" customHeight="1" x14ac:dyDescent="0.2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</row>
    <row r="237" spans="1:31" ht="12" customHeight="1" x14ac:dyDescent="0.2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  <c r="AE237" s="125"/>
    </row>
    <row r="238" spans="1:31" ht="12" customHeight="1" x14ac:dyDescent="0.2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25"/>
    </row>
    <row r="239" spans="1:31" ht="12" customHeight="1" x14ac:dyDescent="0.2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  <c r="AE239" s="125"/>
    </row>
    <row r="240" spans="1:31" ht="12" customHeight="1" x14ac:dyDescent="0.2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5"/>
      <c r="AD240" s="125"/>
      <c r="AE240" s="125"/>
    </row>
    <row r="241" spans="1:31" ht="12" customHeight="1" x14ac:dyDescent="0.2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  <c r="AC241" s="125"/>
      <c r="AD241" s="125"/>
      <c r="AE241" s="125"/>
    </row>
    <row r="242" spans="1:31" ht="12" customHeight="1" x14ac:dyDescent="0.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  <c r="AE242" s="125"/>
    </row>
    <row r="243" spans="1:31" ht="12" customHeight="1" x14ac:dyDescent="0.2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5"/>
      <c r="AD243" s="125"/>
      <c r="AE243" s="125"/>
    </row>
    <row r="244" spans="1:31" ht="12" customHeight="1" x14ac:dyDescent="0.2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  <c r="AB244" s="125"/>
      <c r="AC244" s="125"/>
      <c r="AD244" s="125"/>
      <c r="AE244" s="125"/>
    </row>
    <row r="245" spans="1:31" ht="12" customHeight="1" x14ac:dyDescent="0.2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5"/>
      <c r="AD245" s="125"/>
      <c r="AE245" s="125"/>
    </row>
    <row r="246" spans="1:31" ht="12" customHeight="1" x14ac:dyDescent="0.2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  <c r="AC246" s="125"/>
      <c r="AD246" s="125"/>
      <c r="AE246" s="125"/>
    </row>
    <row r="247" spans="1:31" ht="12" customHeight="1" x14ac:dyDescent="0.2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5"/>
      <c r="AD247" s="125"/>
      <c r="AE247" s="125"/>
    </row>
    <row r="248" spans="1:31" ht="12" customHeight="1" x14ac:dyDescent="0.2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5"/>
      <c r="AD248" s="125"/>
      <c r="AE248" s="125"/>
    </row>
    <row r="249" spans="1:31" ht="12" customHeight="1" x14ac:dyDescent="0.2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5"/>
      <c r="AD249" s="125"/>
      <c r="AE249" s="125"/>
    </row>
    <row r="250" spans="1:31" ht="12" customHeight="1" x14ac:dyDescent="0.2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  <c r="AC250" s="125"/>
      <c r="AD250" s="125"/>
      <c r="AE250" s="125"/>
    </row>
    <row r="251" spans="1:31" ht="12" customHeight="1" x14ac:dyDescent="0.2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  <c r="AB251" s="125"/>
      <c r="AC251" s="125"/>
      <c r="AD251" s="125"/>
      <c r="AE251" s="125"/>
    </row>
    <row r="252" spans="1:31" ht="12" customHeight="1" x14ac:dyDescent="0.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5"/>
      <c r="AD252" s="125"/>
      <c r="AE252" s="125"/>
    </row>
    <row r="253" spans="1:31" ht="12" customHeight="1" x14ac:dyDescent="0.2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  <c r="AE253" s="125"/>
    </row>
    <row r="254" spans="1:31" ht="12" customHeight="1" x14ac:dyDescent="0.2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  <c r="AB254" s="125"/>
      <c r="AC254" s="125"/>
      <c r="AD254" s="125"/>
      <c r="AE254" s="125"/>
    </row>
    <row r="255" spans="1:31" ht="12" customHeight="1" x14ac:dyDescent="0.2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  <c r="AB255" s="125"/>
      <c r="AC255" s="125"/>
      <c r="AD255" s="125"/>
      <c r="AE255" s="125"/>
    </row>
    <row r="256" spans="1:31" ht="12" customHeight="1" x14ac:dyDescent="0.2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5"/>
      <c r="AD256" s="125"/>
      <c r="AE256" s="125"/>
    </row>
    <row r="257" spans="1:31" ht="12" customHeight="1" x14ac:dyDescent="0.2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5"/>
      <c r="AD257" s="125"/>
      <c r="AE257" s="125"/>
    </row>
    <row r="258" spans="1:31" ht="12" customHeight="1" x14ac:dyDescent="0.2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  <c r="AE258" s="125"/>
    </row>
    <row r="259" spans="1:31" ht="12" customHeight="1" x14ac:dyDescent="0.2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  <c r="AE259" s="125"/>
    </row>
    <row r="260" spans="1:31" ht="12" customHeight="1" x14ac:dyDescent="0.2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25"/>
    </row>
    <row r="261" spans="1:31" ht="12" customHeight="1" x14ac:dyDescent="0.2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  <c r="AC261" s="125"/>
      <c r="AD261" s="125"/>
      <c r="AE261" s="125"/>
    </row>
    <row r="262" spans="1:31" ht="12" customHeight="1" x14ac:dyDescent="0.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  <c r="AB262" s="125"/>
      <c r="AC262" s="125"/>
      <c r="AD262" s="125"/>
      <c r="AE262" s="125"/>
    </row>
    <row r="263" spans="1:31" ht="12" customHeight="1" x14ac:dyDescent="0.2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  <c r="AC263" s="125"/>
      <c r="AD263" s="125"/>
      <c r="AE263" s="125"/>
    </row>
    <row r="264" spans="1:31" ht="12" customHeight="1" x14ac:dyDescent="0.2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  <c r="AC264" s="125"/>
      <c r="AD264" s="125"/>
      <c r="AE264" s="125"/>
    </row>
    <row r="265" spans="1:31" ht="12" customHeight="1" x14ac:dyDescent="0.2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  <c r="AE265" s="125"/>
    </row>
    <row r="266" spans="1:31" ht="12" customHeight="1" x14ac:dyDescent="0.2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25"/>
    </row>
    <row r="267" spans="1:31" ht="12" customHeight="1" x14ac:dyDescent="0.2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25"/>
    </row>
    <row r="268" spans="1:31" ht="12" customHeight="1" x14ac:dyDescent="0.2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25"/>
    </row>
    <row r="269" spans="1:31" ht="12" customHeight="1" x14ac:dyDescent="0.2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25"/>
    </row>
    <row r="270" spans="1:31" ht="12" customHeight="1" x14ac:dyDescent="0.2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125"/>
      <c r="AE270" s="125"/>
    </row>
    <row r="271" spans="1:31" ht="12" customHeight="1" x14ac:dyDescent="0.2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  <c r="AB271" s="125"/>
      <c r="AC271" s="125"/>
      <c r="AD271" s="125"/>
      <c r="AE271" s="125"/>
    </row>
    <row r="272" spans="1:31" ht="12" customHeight="1" x14ac:dyDescent="0.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125"/>
      <c r="AE272" s="125"/>
    </row>
    <row r="273" spans="1:31" ht="12" customHeight="1" x14ac:dyDescent="0.2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  <c r="AE273" s="125"/>
    </row>
    <row r="274" spans="1:31" ht="12" customHeight="1" x14ac:dyDescent="0.2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  <c r="AB274" s="125"/>
      <c r="AC274" s="125"/>
      <c r="AD274" s="125"/>
      <c r="AE274" s="125"/>
    </row>
    <row r="275" spans="1:31" ht="12" customHeight="1" x14ac:dyDescent="0.2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  <c r="AB275" s="125"/>
      <c r="AC275" s="125"/>
      <c r="AD275" s="125"/>
      <c r="AE275" s="125"/>
    </row>
    <row r="276" spans="1:31" ht="12" customHeight="1" x14ac:dyDescent="0.2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5"/>
      <c r="AD276" s="125"/>
      <c r="AE276" s="125"/>
    </row>
    <row r="277" spans="1:31" ht="12" customHeight="1" x14ac:dyDescent="0.2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25"/>
    </row>
    <row r="278" spans="1:31" ht="12" customHeight="1" x14ac:dyDescent="0.2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  <c r="AE278" s="125"/>
    </row>
    <row r="279" spans="1:31" ht="12" customHeight="1" x14ac:dyDescent="0.2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  <c r="AE279" s="125"/>
    </row>
    <row r="280" spans="1:31" ht="12" customHeight="1" x14ac:dyDescent="0.2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  <c r="AE280" s="125"/>
    </row>
    <row r="281" spans="1:31" ht="12" customHeight="1" x14ac:dyDescent="0.2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5"/>
      <c r="AD281" s="125"/>
      <c r="AE281" s="125"/>
    </row>
    <row r="282" spans="1:31" ht="12" customHeight="1" x14ac:dyDescent="0.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  <c r="AE282" s="125"/>
    </row>
    <row r="283" spans="1:31" ht="12" customHeight="1" x14ac:dyDescent="0.2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5"/>
      <c r="AD283" s="125"/>
      <c r="AE283" s="125"/>
    </row>
    <row r="284" spans="1:31" ht="12" customHeight="1" x14ac:dyDescent="0.2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  <c r="AE284" s="125"/>
    </row>
    <row r="285" spans="1:31" ht="12" customHeight="1" x14ac:dyDescent="0.2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  <c r="AE285" s="125"/>
    </row>
    <row r="286" spans="1:31" ht="12" customHeight="1" x14ac:dyDescent="0.2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  <c r="AE286" s="125"/>
    </row>
    <row r="287" spans="1:31" ht="12" customHeight="1" x14ac:dyDescent="0.2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  <c r="AE287" s="125"/>
    </row>
    <row r="288" spans="1:31" ht="12" customHeight="1" x14ac:dyDescent="0.2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  <c r="AE288" s="125"/>
    </row>
    <row r="289" spans="1:31" ht="12" customHeight="1" x14ac:dyDescent="0.2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25"/>
      <c r="AE289" s="125"/>
    </row>
    <row r="290" spans="1:31" ht="12" customHeight="1" x14ac:dyDescent="0.2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/>
      <c r="AC290" s="125"/>
      <c r="AD290" s="125"/>
      <c r="AE290" s="125"/>
    </row>
    <row r="291" spans="1:31" ht="12" customHeight="1" x14ac:dyDescent="0.2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  <c r="AC291" s="125"/>
      <c r="AD291" s="125"/>
      <c r="AE291" s="125"/>
    </row>
    <row r="292" spans="1:31" ht="12" customHeight="1" x14ac:dyDescent="0.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  <c r="AC292" s="125"/>
      <c r="AD292" s="125"/>
      <c r="AE292" s="125"/>
    </row>
    <row r="293" spans="1:31" ht="12" customHeight="1" x14ac:dyDescent="0.2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  <c r="AC293" s="125"/>
      <c r="AD293" s="125"/>
      <c r="AE293" s="125"/>
    </row>
    <row r="294" spans="1:31" ht="12" customHeight="1" x14ac:dyDescent="0.2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5"/>
      <c r="AD294" s="125"/>
      <c r="AE294" s="125"/>
    </row>
    <row r="295" spans="1:31" ht="12" customHeight="1" x14ac:dyDescent="0.2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  <c r="AC295" s="125"/>
      <c r="AD295" s="125"/>
      <c r="AE295" s="125"/>
    </row>
    <row r="296" spans="1:31" ht="12" customHeight="1" x14ac:dyDescent="0.2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5"/>
      <c r="AD296" s="125"/>
      <c r="AE296" s="125"/>
    </row>
    <row r="297" spans="1:31" ht="12" customHeight="1" x14ac:dyDescent="0.2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  <c r="AC297" s="125"/>
      <c r="AD297" s="125"/>
      <c r="AE297" s="125"/>
    </row>
    <row r="298" spans="1:31" ht="12" customHeight="1" x14ac:dyDescent="0.2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  <c r="AB298" s="125"/>
      <c r="AC298" s="125"/>
      <c r="AD298" s="125"/>
      <c r="AE298" s="125"/>
    </row>
    <row r="299" spans="1:31" ht="12" customHeight="1" x14ac:dyDescent="0.2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  <c r="AC299" s="125"/>
      <c r="AD299" s="125"/>
      <c r="AE299" s="125"/>
    </row>
    <row r="300" spans="1:31" ht="12" customHeight="1" x14ac:dyDescent="0.2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  <c r="AC300" s="125"/>
      <c r="AD300" s="125"/>
      <c r="AE300" s="125"/>
    </row>
    <row r="301" spans="1:31" ht="12" customHeight="1" x14ac:dyDescent="0.2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5"/>
      <c r="AD301" s="125"/>
      <c r="AE301" s="125"/>
    </row>
    <row r="302" spans="1:31" ht="12" customHeight="1" x14ac:dyDescent="0.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5"/>
      <c r="AD302" s="125"/>
      <c r="AE302" s="125"/>
    </row>
    <row r="303" spans="1:31" ht="12" customHeight="1" x14ac:dyDescent="0.2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  <c r="AC303" s="125"/>
      <c r="AD303" s="125"/>
      <c r="AE303" s="125"/>
    </row>
    <row r="304" spans="1:31" ht="12" customHeight="1" x14ac:dyDescent="0.2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  <c r="AE304" s="125"/>
    </row>
    <row r="305" spans="1:31" ht="12" customHeight="1" x14ac:dyDescent="0.2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5"/>
      <c r="AD305" s="125"/>
      <c r="AE305" s="125"/>
    </row>
    <row r="306" spans="1:31" ht="12" customHeight="1" x14ac:dyDescent="0.2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  <c r="AC306" s="125"/>
      <c r="AD306" s="125"/>
      <c r="AE306" s="125"/>
    </row>
    <row r="307" spans="1:31" ht="12" customHeight="1" x14ac:dyDescent="0.2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  <c r="AC307" s="125"/>
      <c r="AD307" s="125"/>
      <c r="AE307" s="125"/>
    </row>
    <row r="308" spans="1:31" ht="12" customHeight="1" x14ac:dyDescent="0.2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  <c r="AC308" s="125"/>
      <c r="AD308" s="125"/>
      <c r="AE308" s="125"/>
    </row>
    <row r="309" spans="1:31" ht="12" customHeight="1" x14ac:dyDescent="0.2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  <c r="AC309" s="125"/>
      <c r="AD309" s="125"/>
      <c r="AE309" s="125"/>
    </row>
    <row r="310" spans="1:31" ht="12" customHeight="1" x14ac:dyDescent="0.2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5"/>
      <c r="AD310" s="125"/>
      <c r="AE310" s="125"/>
    </row>
    <row r="311" spans="1:31" ht="12" customHeight="1" x14ac:dyDescent="0.2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  <c r="AE311" s="125"/>
    </row>
    <row r="312" spans="1:31" ht="12" customHeight="1" x14ac:dyDescent="0.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  <c r="AE312" s="125"/>
    </row>
    <row r="313" spans="1:31" ht="12" customHeight="1" x14ac:dyDescent="0.2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  <c r="AE313" s="125"/>
    </row>
    <row r="314" spans="1:31" ht="12" customHeight="1" x14ac:dyDescent="0.2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  <c r="AE314" s="125"/>
    </row>
    <row r="315" spans="1:31" ht="12" customHeight="1" x14ac:dyDescent="0.2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  <c r="AE315" s="125"/>
    </row>
    <row r="316" spans="1:31" ht="12" customHeight="1" x14ac:dyDescent="0.2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  <c r="AE316" s="125"/>
    </row>
    <row r="317" spans="1:31" ht="12" customHeight="1" x14ac:dyDescent="0.2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  <c r="AE317" s="125"/>
    </row>
    <row r="318" spans="1:31" ht="12" customHeight="1" x14ac:dyDescent="0.2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  <c r="AE318" s="125"/>
    </row>
    <row r="319" spans="1:31" ht="12" customHeight="1" x14ac:dyDescent="0.2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  <c r="AE319" s="125"/>
    </row>
    <row r="320" spans="1:31" ht="12" customHeight="1" x14ac:dyDescent="0.2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  <c r="AE320" s="125"/>
    </row>
    <row r="321" spans="1:31" ht="12" customHeight="1" x14ac:dyDescent="0.2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5"/>
      <c r="AD321" s="125"/>
      <c r="AE321" s="125"/>
    </row>
    <row r="322" spans="1:31" ht="12" customHeight="1" x14ac:dyDescent="0.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  <c r="AC322" s="125"/>
      <c r="AD322" s="125"/>
      <c r="AE322" s="125"/>
    </row>
    <row r="323" spans="1:31" ht="12" customHeight="1" x14ac:dyDescent="0.2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  <c r="AC323" s="125"/>
      <c r="AD323" s="125"/>
      <c r="AE323" s="125"/>
    </row>
    <row r="324" spans="1:31" ht="12" customHeight="1" x14ac:dyDescent="0.2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  <c r="AC324" s="125"/>
      <c r="AD324" s="125"/>
      <c r="AE324" s="125"/>
    </row>
    <row r="325" spans="1:31" ht="12" customHeight="1" x14ac:dyDescent="0.2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  <c r="AC325" s="125"/>
      <c r="AD325" s="125"/>
      <c r="AE325" s="125"/>
    </row>
    <row r="326" spans="1:31" ht="12" customHeight="1" x14ac:dyDescent="0.2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  <c r="AC326" s="125"/>
      <c r="AD326" s="125"/>
      <c r="AE326" s="125"/>
    </row>
    <row r="327" spans="1:31" ht="12" customHeight="1" x14ac:dyDescent="0.2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  <c r="AE327" s="125"/>
    </row>
    <row r="328" spans="1:31" ht="12" customHeight="1" x14ac:dyDescent="0.2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  <c r="AC328" s="125"/>
      <c r="AD328" s="125"/>
      <c r="AE328" s="125"/>
    </row>
    <row r="329" spans="1:31" ht="12" customHeight="1" x14ac:dyDescent="0.2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  <c r="AC329" s="125"/>
      <c r="AD329" s="125"/>
      <c r="AE329" s="125"/>
    </row>
    <row r="330" spans="1:31" ht="12" customHeight="1" x14ac:dyDescent="0.2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5"/>
      <c r="AD330" s="125"/>
      <c r="AE330" s="125"/>
    </row>
    <row r="331" spans="1:31" ht="12" customHeight="1" x14ac:dyDescent="0.2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5"/>
      <c r="AD331" s="125"/>
      <c r="AE331" s="125"/>
    </row>
    <row r="332" spans="1:31" ht="12" customHeight="1" x14ac:dyDescent="0.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  <c r="AC332" s="125"/>
      <c r="AD332" s="125"/>
      <c r="AE332" s="125"/>
    </row>
    <row r="333" spans="1:31" ht="12" customHeight="1" x14ac:dyDescent="0.2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5"/>
      <c r="AD333" s="125"/>
      <c r="AE333" s="125"/>
    </row>
    <row r="334" spans="1:31" ht="12" customHeight="1" x14ac:dyDescent="0.2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5"/>
      <c r="AD334" s="125"/>
      <c r="AE334" s="125"/>
    </row>
    <row r="335" spans="1:31" ht="12" customHeight="1" x14ac:dyDescent="0.2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  <c r="AE335" s="125"/>
    </row>
    <row r="336" spans="1:31" ht="12" customHeight="1" x14ac:dyDescent="0.2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  <c r="AC336" s="125"/>
      <c r="AD336" s="125"/>
      <c r="AE336" s="125"/>
    </row>
    <row r="337" spans="1:31" ht="12" customHeight="1" x14ac:dyDescent="0.2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  <c r="AC337" s="125"/>
      <c r="AD337" s="125"/>
      <c r="AE337" s="125"/>
    </row>
    <row r="338" spans="1:31" ht="12" customHeight="1" x14ac:dyDescent="0.2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  <c r="AC338" s="125"/>
      <c r="AD338" s="125"/>
      <c r="AE338" s="125"/>
    </row>
    <row r="339" spans="1:31" ht="12" customHeight="1" x14ac:dyDescent="0.2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  <c r="AC339" s="125"/>
      <c r="AD339" s="125"/>
      <c r="AE339" s="125"/>
    </row>
    <row r="340" spans="1:31" ht="12" customHeight="1" x14ac:dyDescent="0.2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  <c r="AC340" s="125"/>
      <c r="AD340" s="125"/>
      <c r="AE340" s="125"/>
    </row>
    <row r="341" spans="1:31" ht="12" customHeight="1" x14ac:dyDescent="0.2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5"/>
      <c r="AD341" s="125"/>
      <c r="AE341" s="125"/>
    </row>
    <row r="342" spans="1:31" ht="12" customHeight="1" x14ac:dyDescent="0.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  <c r="AC342" s="125"/>
      <c r="AD342" s="125"/>
      <c r="AE342" s="125"/>
    </row>
    <row r="343" spans="1:31" ht="12" customHeight="1" x14ac:dyDescent="0.2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  <c r="AC343" s="125"/>
      <c r="AD343" s="125"/>
      <c r="AE343" s="125"/>
    </row>
    <row r="344" spans="1:31" ht="12" customHeight="1" x14ac:dyDescent="0.2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  <c r="AB344" s="125"/>
      <c r="AC344" s="125"/>
      <c r="AD344" s="125"/>
      <c r="AE344" s="125"/>
    </row>
    <row r="345" spans="1:31" ht="12" customHeight="1" x14ac:dyDescent="0.2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  <c r="AB345" s="125"/>
      <c r="AC345" s="125"/>
      <c r="AD345" s="125"/>
      <c r="AE345" s="125"/>
    </row>
    <row r="346" spans="1:31" ht="12" customHeight="1" x14ac:dyDescent="0.2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  <c r="AC346" s="125"/>
      <c r="AD346" s="125"/>
      <c r="AE346" s="125"/>
    </row>
    <row r="347" spans="1:31" ht="12" customHeight="1" x14ac:dyDescent="0.2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  <c r="AB347" s="125"/>
      <c r="AC347" s="125"/>
      <c r="AD347" s="125"/>
      <c r="AE347" s="125"/>
    </row>
    <row r="348" spans="1:31" ht="12" customHeight="1" x14ac:dyDescent="0.2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  <c r="AB348" s="125"/>
      <c r="AC348" s="125"/>
      <c r="AD348" s="125"/>
      <c r="AE348" s="125"/>
    </row>
    <row r="349" spans="1:31" ht="12" customHeight="1" x14ac:dyDescent="0.2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  <c r="AB349" s="125"/>
      <c r="AC349" s="125"/>
      <c r="AD349" s="125"/>
      <c r="AE349" s="125"/>
    </row>
    <row r="350" spans="1:31" ht="12" customHeight="1" x14ac:dyDescent="0.2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  <c r="AB350" s="125"/>
      <c r="AC350" s="125"/>
      <c r="AD350" s="125"/>
      <c r="AE350" s="125"/>
    </row>
    <row r="351" spans="1:31" ht="12" customHeight="1" x14ac:dyDescent="0.2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  <c r="AB351" s="125"/>
      <c r="AC351" s="125"/>
      <c r="AD351" s="125"/>
      <c r="AE351" s="125"/>
    </row>
    <row r="352" spans="1:31" ht="12" customHeight="1" x14ac:dyDescent="0.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  <c r="AB352" s="125"/>
      <c r="AC352" s="125"/>
      <c r="AD352" s="125"/>
      <c r="AE352" s="125"/>
    </row>
    <row r="353" spans="1:31" ht="12" customHeight="1" x14ac:dyDescent="0.2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  <c r="AB353" s="125"/>
      <c r="AC353" s="125"/>
      <c r="AD353" s="125"/>
      <c r="AE353" s="125"/>
    </row>
    <row r="354" spans="1:31" ht="12" customHeight="1" x14ac:dyDescent="0.2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  <c r="AB354" s="125"/>
      <c r="AC354" s="125"/>
      <c r="AD354" s="125"/>
      <c r="AE354" s="125"/>
    </row>
    <row r="355" spans="1:31" ht="12" customHeight="1" x14ac:dyDescent="0.2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  <c r="AB355" s="125"/>
      <c r="AC355" s="125"/>
      <c r="AD355" s="125"/>
      <c r="AE355" s="125"/>
    </row>
    <row r="356" spans="1:31" ht="12" customHeight="1" x14ac:dyDescent="0.2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  <c r="AB356" s="125"/>
      <c r="AC356" s="125"/>
      <c r="AD356" s="125"/>
      <c r="AE356" s="125"/>
    </row>
    <row r="357" spans="1:31" ht="12" customHeight="1" x14ac:dyDescent="0.2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  <c r="AB357" s="125"/>
      <c r="AC357" s="125"/>
      <c r="AD357" s="125"/>
      <c r="AE357" s="125"/>
    </row>
    <row r="358" spans="1:31" ht="12" customHeight="1" x14ac:dyDescent="0.2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  <c r="AB358" s="125"/>
      <c r="AC358" s="125"/>
      <c r="AD358" s="125"/>
      <c r="AE358" s="125"/>
    </row>
    <row r="359" spans="1:31" ht="12" customHeight="1" x14ac:dyDescent="0.2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  <c r="AB359" s="125"/>
      <c r="AC359" s="125"/>
      <c r="AD359" s="125"/>
      <c r="AE359" s="125"/>
    </row>
    <row r="360" spans="1:31" ht="12" customHeight="1" x14ac:dyDescent="0.2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  <c r="AB360" s="125"/>
      <c r="AC360" s="125"/>
      <c r="AD360" s="125"/>
      <c r="AE360" s="125"/>
    </row>
    <row r="361" spans="1:31" ht="12" customHeight="1" x14ac:dyDescent="0.2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  <c r="AB361" s="125"/>
      <c r="AC361" s="125"/>
      <c r="AD361" s="125"/>
      <c r="AE361" s="125"/>
    </row>
    <row r="362" spans="1:31" ht="12" customHeight="1" x14ac:dyDescent="0.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  <c r="AB362" s="125"/>
      <c r="AC362" s="125"/>
      <c r="AD362" s="125"/>
      <c r="AE362" s="125"/>
    </row>
    <row r="363" spans="1:31" ht="12" customHeight="1" x14ac:dyDescent="0.2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  <c r="AB363" s="125"/>
      <c r="AC363" s="125"/>
      <c r="AD363" s="125"/>
      <c r="AE363" s="125"/>
    </row>
    <row r="364" spans="1:31" ht="12" customHeight="1" x14ac:dyDescent="0.2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</row>
    <row r="365" spans="1:31" ht="12" customHeight="1" x14ac:dyDescent="0.2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  <c r="AB365" s="125"/>
      <c r="AC365" s="125"/>
      <c r="AD365" s="125"/>
      <c r="AE365" s="125"/>
    </row>
    <row r="366" spans="1:31" ht="12" customHeight="1" x14ac:dyDescent="0.2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  <c r="AB366" s="125"/>
      <c r="AC366" s="125"/>
      <c r="AD366" s="125"/>
      <c r="AE366" s="125"/>
    </row>
    <row r="367" spans="1:31" ht="12" customHeight="1" x14ac:dyDescent="0.2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  <c r="AB367" s="125"/>
      <c r="AC367" s="125"/>
      <c r="AD367" s="125"/>
      <c r="AE367" s="125"/>
    </row>
    <row r="368" spans="1:31" ht="12" customHeight="1" x14ac:dyDescent="0.2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  <c r="AB368" s="125"/>
      <c r="AC368" s="125"/>
      <c r="AD368" s="125"/>
      <c r="AE368" s="125"/>
    </row>
    <row r="369" spans="1:31" ht="12" customHeight="1" x14ac:dyDescent="0.2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  <c r="AB369" s="125"/>
      <c r="AC369" s="125"/>
      <c r="AD369" s="125"/>
      <c r="AE369" s="125"/>
    </row>
    <row r="370" spans="1:31" ht="12" customHeight="1" x14ac:dyDescent="0.2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  <c r="AB370" s="125"/>
      <c r="AC370" s="125"/>
      <c r="AD370" s="125"/>
      <c r="AE370" s="125"/>
    </row>
    <row r="371" spans="1:31" ht="12" customHeight="1" x14ac:dyDescent="0.2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  <c r="AB371" s="125"/>
      <c r="AC371" s="125"/>
      <c r="AD371" s="125"/>
      <c r="AE371" s="125"/>
    </row>
    <row r="372" spans="1:31" ht="12" customHeight="1" x14ac:dyDescent="0.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  <c r="AB372" s="125"/>
      <c r="AC372" s="125"/>
      <c r="AD372" s="125"/>
      <c r="AE372" s="125"/>
    </row>
    <row r="373" spans="1:31" ht="12" customHeight="1" x14ac:dyDescent="0.2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  <c r="AB373" s="125"/>
      <c r="AC373" s="125"/>
      <c r="AD373" s="125"/>
      <c r="AE373" s="125"/>
    </row>
    <row r="374" spans="1:31" ht="12" customHeight="1" x14ac:dyDescent="0.2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  <c r="AB374" s="125"/>
      <c r="AC374" s="125"/>
      <c r="AD374" s="125"/>
      <c r="AE374" s="125"/>
    </row>
    <row r="375" spans="1:31" ht="12" customHeight="1" x14ac:dyDescent="0.2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  <c r="AB375" s="125"/>
      <c r="AC375" s="125"/>
      <c r="AD375" s="125"/>
      <c r="AE375" s="125"/>
    </row>
    <row r="376" spans="1:31" ht="12" customHeight="1" x14ac:dyDescent="0.2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  <c r="AB376" s="125"/>
      <c r="AC376" s="125"/>
      <c r="AD376" s="125"/>
      <c r="AE376" s="125"/>
    </row>
    <row r="377" spans="1:31" ht="12" customHeight="1" x14ac:dyDescent="0.2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  <c r="AB377" s="125"/>
      <c r="AC377" s="125"/>
      <c r="AD377" s="125"/>
      <c r="AE377" s="125"/>
    </row>
    <row r="378" spans="1:31" ht="12" customHeight="1" x14ac:dyDescent="0.2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  <c r="AB378" s="125"/>
      <c r="AC378" s="125"/>
      <c r="AD378" s="125"/>
      <c r="AE378" s="125"/>
    </row>
    <row r="379" spans="1:31" ht="12" customHeight="1" x14ac:dyDescent="0.2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  <c r="AB379" s="125"/>
      <c r="AC379" s="125"/>
      <c r="AD379" s="125"/>
      <c r="AE379" s="125"/>
    </row>
    <row r="380" spans="1:31" ht="12" customHeight="1" x14ac:dyDescent="0.2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  <c r="AB380" s="125"/>
      <c r="AC380" s="125"/>
      <c r="AD380" s="125"/>
      <c r="AE380" s="125"/>
    </row>
    <row r="381" spans="1:31" ht="12" customHeight="1" x14ac:dyDescent="0.2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  <c r="AB381" s="125"/>
      <c r="AC381" s="125"/>
      <c r="AD381" s="125"/>
      <c r="AE381" s="125"/>
    </row>
    <row r="382" spans="1:31" ht="12" customHeight="1" x14ac:dyDescent="0.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  <c r="AB382" s="125"/>
      <c r="AC382" s="125"/>
      <c r="AD382" s="125"/>
      <c r="AE382" s="125"/>
    </row>
    <row r="383" spans="1:31" ht="12" customHeight="1" x14ac:dyDescent="0.2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  <c r="AB383" s="125"/>
      <c r="AC383" s="125"/>
      <c r="AD383" s="125"/>
      <c r="AE383" s="125"/>
    </row>
    <row r="384" spans="1:31" ht="12" customHeight="1" x14ac:dyDescent="0.2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  <c r="AB384" s="125"/>
      <c r="AC384" s="125"/>
      <c r="AD384" s="125"/>
      <c r="AE384" s="125"/>
    </row>
    <row r="385" spans="1:31" ht="12" customHeight="1" x14ac:dyDescent="0.2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  <c r="AB385" s="125"/>
      <c r="AC385" s="125"/>
      <c r="AD385" s="125"/>
      <c r="AE385" s="125"/>
    </row>
    <row r="386" spans="1:31" ht="12" customHeight="1" x14ac:dyDescent="0.2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  <c r="AB386" s="125"/>
      <c r="AC386" s="125"/>
      <c r="AD386" s="125"/>
      <c r="AE386" s="125"/>
    </row>
    <row r="387" spans="1:31" ht="12" customHeight="1" x14ac:dyDescent="0.2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  <c r="AB387" s="125"/>
      <c r="AC387" s="125"/>
      <c r="AD387" s="125"/>
      <c r="AE387" s="125"/>
    </row>
    <row r="388" spans="1:31" ht="12" customHeight="1" x14ac:dyDescent="0.2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  <c r="AB388" s="125"/>
      <c r="AC388" s="125"/>
      <c r="AD388" s="125"/>
      <c r="AE388" s="125"/>
    </row>
    <row r="389" spans="1:31" ht="12" customHeight="1" x14ac:dyDescent="0.2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  <c r="AB389" s="125"/>
      <c r="AC389" s="125"/>
      <c r="AD389" s="125"/>
      <c r="AE389" s="125"/>
    </row>
    <row r="390" spans="1:31" ht="12" customHeight="1" x14ac:dyDescent="0.2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  <c r="AB390" s="125"/>
      <c r="AC390" s="125"/>
      <c r="AD390" s="125"/>
      <c r="AE390" s="125"/>
    </row>
    <row r="391" spans="1:31" ht="12" customHeight="1" x14ac:dyDescent="0.2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  <c r="AB391" s="125"/>
      <c r="AC391" s="125"/>
      <c r="AD391" s="125"/>
      <c r="AE391" s="125"/>
    </row>
    <row r="392" spans="1:31" ht="12" customHeight="1" x14ac:dyDescent="0.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  <c r="AB392" s="125"/>
      <c r="AC392" s="125"/>
      <c r="AD392" s="125"/>
      <c r="AE392" s="125"/>
    </row>
    <row r="393" spans="1:31" ht="12" customHeight="1" x14ac:dyDescent="0.2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  <c r="AB393" s="125"/>
      <c r="AC393" s="125"/>
      <c r="AD393" s="125"/>
      <c r="AE393" s="125"/>
    </row>
    <row r="394" spans="1:31" ht="12" customHeight="1" x14ac:dyDescent="0.2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  <c r="AB394" s="125"/>
      <c r="AC394" s="125"/>
      <c r="AD394" s="125"/>
      <c r="AE394" s="125"/>
    </row>
    <row r="395" spans="1:31" ht="12" customHeight="1" x14ac:dyDescent="0.2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  <c r="AB395" s="125"/>
      <c r="AC395" s="125"/>
      <c r="AD395" s="125"/>
      <c r="AE395" s="125"/>
    </row>
    <row r="396" spans="1:31" ht="12" customHeight="1" x14ac:dyDescent="0.2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  <c r="AB396" s="125"/>
      <c r="AC396" s="125"/>
      <c r="AD396" s="125"/>
      <c r="AE396" s="125"/>
    </row>
    <row r="397" spans="1:31" ht="12" customHeight="1" x14ac:dyDescent="0.2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  <c r="AB397" s="125"/>
      <c r="AC397" s="125"/>
      <c r="AD397" s="125"/>
      <c r="AE397" s="125"/>
    </row>
    <row r="398" spans="1:31" ht="12" customHeight="1" x14ac:dyDescent="0.2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  <c r="AB398" s="125"/>
      <c r="AC398" s="125"/>
      <c r="AD398" s="125"/>
      <c r="AE398" s="125"/>
    </row>
    <row r="399" spans="1:31" ht="12" customHeight="1" x14ac:dyDescent="0.2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  <c r="AB399" s="125"/>
      <c r="AC399" s="125"/>
      <c r="AD399" s="125"/>
      <c r="AE399" s="125"/>
    </row>
    <row r="400" spans="1:31" ht="12" customHeight="1" x14ac:dyDescent="0.2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  <c r="AB400" s="125"/>
      <c r="AC400" s="125"/>
      <c r="AD400" s="125"/>
      <c r="AE400" s="125"/>
    </row>
    <row r="401" spans="1:31" ht="12" customHeight="1" x14ac:dyDescent="0.2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  <c r="AB401" s="125"/>
      <c r="AC401" s="125"/>
      <c r="AD401" s="125"/>
      <c r="AE401" s="125"/>
    </row>
    <row r="402" spans="1:31" ht="12" customHeight="1" x14ac:dyDescent="0.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  <c r="AB402" s="125"/>
      <c r="AC402" s="125"/>
      <c r="AD402" s="125"/>
      <c r="AE402" s="125"/>
    </row>
    <row r="403" spans="1:31" ht="12" customHeight="1" x14ac:dyDescent="0.2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  <c r="AB403" s="125"/>
      <c r="AC403" s="125"/>
      <c r="AD403" s="125"/>
      <c r="AE403" s="125"/>
    </row>
    <row r="404" spans="1:31" ht="12" customHeight="1" x14ac:dyDescent="0.2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  <c r="AB404" s="125"/>
      <c r="AC404" s="125"/>
      <c r="AD404" s="125"/>
      <c r="AE404" s="125"/>
    </row>
    <row r="405" spans="1:31" ht="12" customHeight="1" x14ac:dyDescent="0.2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  <c r="AB405" s="125"/>
      <c r="AC405" s="125"/>
      <c r="AD405" s="125"/>
      <c r="AE405" s="125"/>
    </row>
    <row r="406" spans="1:31" ht="12" customHeight="1" x14ac:dyDescent="0.2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  <c r="AB406" s="125"/>
      <c r="AC406" s="125"/>
      <c r="AD406" s="125"/>
      <c r="AE406" s="125"/>
    </row>
    <row r="407" spans="1:31" ht="12" customHeight="1" x14ac:dyDescent="0.2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  <c r="AB407" s="125"/>
      <c r="AC407" s="125"/>
      <c r="AD407" s="125"/>
      <c r="AE407" s="125"/>
    </row>
    <row r="408" spans="1:31" ht="12" customHeight="1" x14ac:dyDescent="0.2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  <c r="AB408" s="125"/>
      <c r="AC408" s="125"/>
      <c r="AD408" s="125"/>
      <c r="AE408" s="125"/>
    </row>
    <row r="409" spans="1:31" ht="12" customHeight="1" x14ac:dyDescent="0.2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  <c r="AB409" s="125"/>
      <c r="AC409" s="125"/>
      <c r="AD409" s="125"/>
      <c r="AE409" s="125"/>
    </row>
    <row r="410" spans="1:31" ht="12" customHeight="1" x14ac:dyDescent="0.2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  <c r="AB410" s="125"/>
      <c r="AC410" s="125"/>
      <c r="AD410" s="125"/>
      <c r="AE410" s="125"/>
    </row>
    <row r="411" spans="1:31" ht="12" customHeight="1" x14ac:dyDescent="0.2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  <c r="AB411" s="125"/>
      <c r="AC411" s="125"/>
      <c r="AD411" s="125"/>
      <c r="AE411" s="125"/>
    </row>
    <row r="412" spans="1:31" ht="12" customHeight="1" x14ac:dyDescent="0.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  <c r="AB412" s="125"/>
      <c r="AC412" s="125"/>
      <c r="AD412" s="125"/>
      <c r="AE412" s="125"/>
    </row>
    <row r="413" spans="1:31" ht="12" customHeight="1" x14ac:dyDescent="0.2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  <c r="AB413" s="125"/>
      <c r="AC413" s="125"/>
      <c r="AD413" s="125"/>
      <c r="AE413" s="125"/>
    </row>
    <row r="414" spans="1:31" ht="12" customHeight="1" x14ac:dyDescent="0.2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  <c r="AB414" s="125"/>
      <c r="AC414" s="125"/>
      <c r="AD414" s="125"/>
      <c r="AE414" s="125"/>
    </row>
    <row r="415" spans="1:31" ht="12" customHeight="1" x14ac:dyDescent="0.2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  <c r="AB415" s="125"/>
      <c r="AC415" s="125"/>
      <c r="AD415" s="125"/>
      <c r="AE415" s="125"/>
    </row>
    <row r="416" spans="1:31" ht="12" customHeight="1" x14ac:dyDescent="0.2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  <c r="AB416" s="125"/>
      <c r="AC416" s="125"/>
      <c r="AD416" s="125"/>
      <c r="AE416" s="125"/>
    </row>
    <row r="417" spans="1:31" ht="12" customHeight="1" x14ac:dyDescent="0.2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  <c r="AB417" s="125"/>
      <c r="AC417" s="125"/>
      <c r="AD417" s="125"/>
      <c r="AE417" s="125"/>
    </row>
    <row r="418" spans="1:31" ht="12" customHeight="1" x14ac:dyDescent="0.2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  <c r="AB418" s="125"/>
      <c r="AC418" s="125"/>
      <c r="AD418" s="125"/>
      <c r="AE418" s="125"/>
    </row>
    <row r="419" spans="1:31" ht="12" customHeight="1" x14ac:dyDescent="0.2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  <c r="AB419" s="125"/>
      <c r="AC419" s="125"/>
      <c r="AD419" s="125"/>
      <c r="AE419" s="125"/>
    </row>
    <row r="420" spans="1:31" ht="12" customHeight="1" x14ac:dyDescent="0.2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  <c r="AB420" s="125"/>
      <c r="AC420" s="125"/>
      <c r="AD420" s="125"/>
      <c r="AE420" s="125"/>
    </row>
    <row r="421" spans="1:31" ht="12" customHeight="1" x14ac:dyDescent="0.2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  <c r="AB421" s="125"/>
      <c r="AC421" s="125"/>
      <c r="AD421" s="125"/>
      <c r="AE421" s="125"/>
    </row>
    <row r="422" spans="1:31" ht="12" customHeight="1" x14ac:dyDescent="0.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  <c r="AB422" s="125"/>
      <c r="AC422" s="125"/>
      <c r="AD422" s="125"/>
      <c r="AE422" s="125"/>
    </row>
    <row r="423" spans="1:31" ht="12" customHeight="1" x14ac:dyDescent="0.2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  <c r="AB423" s="125"/>
      <c r="AC423" s="125"/>
      <c r="AD423" s="125"/>
      <c r="AE423" s="125"/>
    </row>
    <row r="424" spans="1:31" ht="12" customHeight="1" x14ac:dyDescent="0.2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  <c r="AB424" s="125"/>
      <c r="AC424" s="125"/>
      <c r="AD424" s="125"/>
      <c r="AE424" s="125"/>
    </row>
    <row r="425" spans="1:31" ht="12" customHeight="1" x14ac:dyDescent="0.2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  <c r="AB425" s="125"/>
      <c r="AC425" s="125"/>
      <c r="AD425" s="125"/>
      <c r="AE425" s="125"/>
    </row>
    <row r="426" spans="1:31" ht="12" customHeight="1" x14ac:dyDescent="0.2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  <c r="AB426" s="125"/>
      <c r="AC426" s="125"/>
      <c r="AD426" s="125"/>
      <c r="AE426" s="125"/>
    </row>
    <row r="427" spans="1:31" ht="12" customHeight="1" x14ac:dyDescent="0.2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  <c r="AB427" s="125"/>
      <c r="AC427" s="125"/>
      <c r="AD427" s="125"/>
      <c r="AE427" s="125"/>
    </row>
    <row r="428" spans="1:31" ht="12" customHeight="1" x14ac:dyDescent="0.2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  <c r="AB428" s="125"/>
      <c r="AC428" s="125"/>
      <c r="AD428" s="125"/>
      <c r="AE428" s="125"/>
    </row>
    <row r="429" spans="1:31" ht="12" customHeight="1" x14ac:dyDescent="0.2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  <c r="AB429" s="125"/>
      <c r="AC429" s="125"/>
      <c r="AD429" s="125"/>
      <c r="AE429" s="125"/>
    </row>
    <row r="430" spans="1:31" ht="12" customHeight="1" x14ac:dyDescent="0.2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  <c r="AB430" s="125"/>
      <c r="AC430" s="125"/>
      <c r="AD430" s="125"/>
      <c r="AE430" s="125"/>
    </row>
    <row r="431" spans="1:31" ht="12" customHeight="1" x14ac:dyDescent="0.2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  <c r="AB431" s="125"/>
      <c r="AC431" s="125"/>
      <c r="AD431" s="125"/>
      <c r="AE431" s="125"/>
    </row>
    <row r="432" spans="1:31" ht="12" customHeight="1" x14ac:dyDescent="0.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  <c r="AB432" s="125"/>
      <c r="AC432" s="125"/>
      <c r="AD432" s="125"/>
      <c r="AE432" s="125"/>
    </row>
    <row r="433" spans="1:31" ht="12" customHeight="1" x14ac:dyDescent="0.2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  <c r="AB433" s="125"/>
      <c r="AC433" s="125"/>
      <c r="AD433" s="125"/>
      <c r="AE433" s="125"/>
    </row>
    <row r="434" spans="1:31" ht="12" customHeight="1" x14ac:dyDescent="0.2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  <c r="AB434" s="125"/>
      <c r="AC434" s="125"/>
      <c r="AD434" s="125"/>
      <c r="AE434" s="125"/>
    </row>
    <row r="435" spans="1:31" ht="12" customHeight="1" x14ac:dyDescent="0.2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  <c r="AB435" s="125"/>
      <c r="AC435" s="125"/>
      <c r="AD435" s="125"/>
      <c r="AE435" s="125"/>
    </row>
    <row r="436" spans="1:31" ht="12" customHeight="1" x14ac:dyDescent="0.2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  <c r="AB436" s="125"/>
      <c r="AC436" s="125"/>
      <c r="AD436" s="125"/>
      <c r="AE436" s="125"/>
    </row>
    <row r="437" spans="1:31" ht="12" customHeight="1" x14ac:dyDescent="0.2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  <c r="AB437" s="125"/>
      <c r="AC437" s="125"/>
      <c r="AD437" s="125"/>
      <c r="AE437" s="125"/>
    </row>
    <row r="438" spans="1:31" ht="12" customHeight="1" x14ac:dyDescent="0.2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  <c r="AB438" s="125"/>
      <c r="AC438" s="125"/>
      <c r="AD438" s="125"/>
      <c r="AE438" s="125"/>
    </row>
    <row r="439" spans="1:31" ht="12" customHeight="1" x14ac:dyDescent="0.2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  <c r="AB439" s="125"/>
      <c r="AC439" s="125"/>
      <c r="AD439" s="125"/>
      <c r="AE439" s="125"/>
    </row>
    <row r="440" spans="1:31" ht="12" customHeight="1" x14ac:dyDescent="0.2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  <c r="AB440" s="125"/>
      <c r="AC440" s="125"/>
      <c r="AD440" s="125"/>
      <c r="AE440" s="125"/>
    </row>
    <row r="441" spans="1:31" ht="12" customHeight="1" x14ac:dyDescent="0.2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  <c r="AB441" s="125"/>
      <c r="AC441" s="125"/>
      <c r="AD441" s="125"/>
      <c r="AE441" s="125"/>
    </row>
    <row r="442" spans="1:31" ht="12" customHeight="1" x14ac:dyDescent="0.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  <c r="AB442" s="125"/>
      <c r="AC442" s="125"/>
      <c r="AD442" s="125"/>
      <c r="AE442" s="125"/>
    </row>
    <row r="443" spans="1:31" ht="12" customHeight="1" x14ac:dyDescent="0.2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  <c r="AB443" s="125"/>
      <c r="AC443" s="125"/>
      <c r="AD443" s="125"/>
      <c r="AE443" s="125"/>
    </row>
    <row r="444" spans="1:31" ht="12" customHeight="1" x14ac:dyDescent="0.2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  <c r="AB444" s="125"/>
      <c r="AC444" s="125"/>
      <c r="AD444" s="125"/>
      <c r="AE444" s="125"/>
    </row>
    <row r="445" spans="1:31" ht="12" customHeight="1" x14ac:dyDescent="0.2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  <c r="AB445" s="125"/>
      <c r="AC445" s="125"/>
      <c r="AD445" s="125"/>
      <c r="AE445" s="125"/>
    </row>
    <row r="446" spans="1:31" ht="12" customHeight="1" x14ac:dyDescent="0.2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  <c r="AB446" s="125"/>
      <c r="AC446" s="125"/>
      <c r="AD446" s="125"/>
      <c r="AE446" s="125"/>
    </row>
    <row r="447" spans="1:31" ht="12" customHeight="1" x14ac:dyDescent="0.2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  <c r="AB447" s="125"/>
      <c r="AC447" s="125"/>
      <c r="AD447" s="125"/>
      <c r="AE447" s="125"/>
    </row>
    <row r="448" spans="1:31" ht="12" customHeight="1" x14ac:dyDescent="0.2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  <c r="AB448" s="125"/>
      <c r="AC448" s="125"/>
      <c r="AD448" s="125"/>
      <c r="AE448" s="125"/>
    </row>
    <row r="449" spans="1:31" ht="12" customHeight="1" x14ac:dyDescent="0.2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  <c r="AB449" s="125"/>
      <c r="AC449" s="125"/>
      <c r="AD449" s="125"/>
      <c r="AE449" s="125"/>
    </row>
    <row r="450" spans="1:31" ht="12" customHeight="1" x14ac:dyDescent="0.2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  <c r="AB450" s="125"/>
      <c r="AC450" s="125"/>
      <c r="AD450" s="125"/>
      <c r="AE450" s="125"/>
    </row>
    <row r="451" spans="1:31" ht="12" customHeight="1" x14ac:dyDescent="0.2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  <c r="AB451" s="125"/>
      <c r="AC451" s="125"/>
      <c r="AD451" s="125"/>
      <c r="AE451" s="125"/>
    </row>
    <row r="452" spans="1:31" ht="12" customHeight="1" x14ac:dyDescent="0.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  <c r="AB452" s="125"/>
      <c r="AC452" s="125"/>
      <c r="AD452" s="125"/>
      <c r="AE452" s="125"/>
    </row>
    <row r="453" spans="1:31" ht="12" customHeight="1" x14ac:dyDescent="0.2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  <c r="AB453" s="125"/>
      <c r="AC453" s="125"/>
      <c r="AD453" s="125"/>
      <c r="AE453" s="125"/>
    </row>
    <row r="454" spans="1:31" ht="12" customHeight="1" x14ac:dyDescent="0.2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  <c r="AB454" s="125"/>
      <c r="AC454" s="125"/>
      <c r="AD454" s="125"/>
      <c r="AE454" s="125"/>
    </row>
    <row r="455" spans="1:31" ht="12" customHeight="1" x14ac:dyDescent="0.2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  <c r="AB455" s="125"/>
      <c r="AC455" s="125"/>
      <c r="AD455" s="125"/>
      <c r="AE455" s="125"/>
    </row>
    <row r="456" spans="1:31" ht="12" customHeight="1" x14ac:dyDescent="0.2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  <c r="AB456" s="125"/>
      <c r="AC456" s="125"/>
      <c r="AD456" s="125"/>
      <c r="AE456" s="125"/>
    </row>
    <row r="457" spans="1:31" ht="12" customHeight="1" x14ac:dyDescent="0.2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  <c r="AB457" s="125"/>
      <c r="AC457" s="125"/>
      <c r="AD457" s="125"/>
      <c r="AE457" s="125"/>
    </row>
    <row r="458" spans="1:31" ht="12" customHeight="1" x14ac:dyDescent="0.2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  <c r="AB458" s="125"/>
      <c r="AC458" s="125"/>
      <c r="AD458" s="125"/>
      <c r="AE458" s="125"/>
    </row>
    <row r="459" spans="1:31" ht="12" customHeight="1" x14ac:dyDescent="0.2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  <c r="AB459" s="125"/>
      <c r="AC459" s="125"/>
      <c r="AD459" s="125"/>
      <c r="AE459" s="125"/>
    </row>
    <row r="460" spans="1:31" ht="12" customHeight="1" x14ac:dyDescent="0.2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  <c r="AB460" s="125"/>
      <c r="AC460" s="125"/>
      <c r="AD460" s="125"/>
      <c r="AE460" s="125"/>
    </row>
    <row r="461" spans="1:31" ht="12" customHeight="1" x14ac:dyDescent="0.2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  <c r="AB461" s="125"/>
      <c r="AC461" s="125"/>
      <c r="AD461" s="125"/>
      <c r="AE461" s="125"/>
    </row>
    <row r="462" spans="1:31" ht="12" customHeight="1" x14ac:dyDescent="0.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  <c r="AB462" s="125"/>
      <c r="AC462" s="125"/>
      <c r="AD462" s="125"/>
      <c r="AE462" s="125"/>
    </row>
    <row r="463" spans="1:31" ht="12" customHeight="1" x14ac:dyDescent="0.2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  <c r="AB463" s="125"/>
      <c r="AC463" s="125"/>
      <c r="AD463" s="125"/>
      <c r="AE463" s="125"/>
    </row>
    <row r="464" spans="1:31" ht="12" customHeight="1" x14ac:dyDescent="0.2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  <c r="AB464" s="125"/>
      <c r="AC464" s="125"/>
      <c r="AD464" s="125"/>
      <c r="AE464" s="125"/>
    </row>
    <row r="465" spans="1:31" ht="12" customHeight="1" x14ac:dyDescent="0.2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  <c r="AB465" s="125"/>
      <c r="AC465" s="125"/>
      <c r="AD465" s="125"/>
      <c r="AE465" s="125"/>
    </row>
    <row r="466" spans="1:31" ht="12" customHeight="1" x14ac:dyDescent="0.2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  <c r="AB466" s="125"/>
      <c r="AC466" s="125"/>
      <c r="AD466" s="125"/>
      <c r="AE466" s="125"/>
    </row>
    <row r="467" spans="1:31" ht="12" customHeight="1" x14ac:dyDescent="0.2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  <c r="AB467" s="125"/>
      <c r="AC467" s="125"/>
      <c r="AD467" s="125"/>
      <c r="AE467" s="125"/>
    </row>
    <row r="468" spans="1:31" ht="12" customHeight="1" x14ac:dyDescent="0.2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  <c r="AB468" s="125"/>
      <c r="AC468" s="125"/>
      <c r="AD468" s="125"/>
      <c r="AE468" s="125"/>
    </row>
    <row r="469" spans="1:31" ht="12" customHeight="1" x14ac:dyDescent="0.2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  <c r="AB469" s="125"/>
      <c r="AC469" s="125"/>
      <c r="AD469" s="125"/>
      <c r="AE469" s="125"/>
    </row>
    <row r="470" spans="1:31" ht="12" customHeight="1" x14ac:dyDescent="0.2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  <c r="AB470" s="125"/>
      <c r="AC470" s="125"/>
      <c r="AD470" s="125"/>
      <c r="AE470" s="125"/>
    </row>
    <row r="471" spans="1:31" ht="12" customHeight="1" x14ac:dyDescent="0.2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  <c r="AB471" s="125"/>
      <c r="AC471" s="125"/>
      <c r="AD471" s="125"/>
      <c r="AE471" s="125"/>
    </row>
    <row r="472" spans="1:31" ht="12" customHeight="1" x14ac:dyDescent="0.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  <c r="AB472" s="125"/>
      <c r="AC472" s="125"/>
      <c r="AD472" s="125"/>
      <c r="AE472" s="125"/>
    </row>
    <row r="473" spans="1:31" ht="12" customHeight="1" x14ac:dyDescent="0.2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  <c r="AB473" s="125"/>
      <c r="AC473" s="125"/>
      <c r="AD473" s="125"/>
      <c r="AE473" s="125"/>
    </row>
    <row r="474" spans="1:31" ht="12" customHeight="1" x14ac:dyDescent="0.2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  <c r="AB474" s="125"/>
      <c r="AC474" s="125"/>
      <c r="AD474" s="125"/>
      <c r="AE474" s="125"/>
    </row>
    <row r="475" spans="1:31" ht="12" customHeight="1" x14ac:dyDescent="0.2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  <c r="AB475" s="125"/>
      <c r="AC475" s="125"/>
      <c r="AD475" s="125"/>
      <c r="AE475" s="125"/>
    </row>
    <row r="476" spans="1:31" ht="12" customHeight="1" x14ac:dyDescent="0.2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  <c r="AB476" s="125"/>
      <c r="AC476" s="125"/>
      <c r="AD476" s="125"/>
      <c r="AE476" s="125"/>
    </row>
    <row r="477" spans="1:31" ht="12" customHeight="1" x14ac:dyDescent="0.2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  <c r="AB477" s="125"/>
      <c r="AC477" s="125"/>
      <c r="AD477" s="125"/>
      <c r="AE477" s="125"/>
    </row>
    <row r="478" spans="1:31" ht="12" customHeight="1" x14ac:dyDescent="0.2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  <c r="AB478" s="125"/>
      <c r="AC478" s="125"/>
      <c r="AD478" s="125"/>
      <c r="AE478" s="125"/>
    </row>
    <row r="479" spans="1:31" ht="12" customHeight="1" x14ac:dyDescent="0.2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  <c r="AB479" s="125"/>
      <c r="AC479" s="125"/>
      <c r="AD479" s="125"/>
      <c r="AE479" s="125"/>
    </row>
    <row r="480" spans="1:31" ht="12" customHeight="1" x14ac:dyDescent="0.2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  <c r="AB480" s="125"/>
      <c r="AC480" s="125"/>
      <c r="AD480" s="125"/>
      <c r="AE480" s="125"/>
    </row>
    <row r="481" spans="1:31" ht="12" customHeight="1" x14ac:dyDescent="0.2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  <c r="AB481" s="125"/>
      <c r="AC481" s="125"/>
      <c r="AD481" s="125"/>
      <c r="AE481" s="125"/>
    </row>
    <row r="482" spans="1:31" ht="12" customHeight="1" x14ac:dyDescent="0.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  <c r="AB482" s="125"/>
      <c r="AC482" s="125"/>
      <c r="AD482" s="125"/>
      <c r="AE482" s="125"/>
    </row>
    <row r="483" spans="1:31" ht="12" customHeight="1" x14ac:dyDescent="0.2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  <c r="AB483" s="125"/>
      <c r="AC483" s="125"/>
      <c r="AD483" s="125"/>
      <c r="AE483" s="125"/>
    </row>
    <row r="484" spans="1:31" ht="12" customHeight="1" x14ac:dyDescent="0.2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  <c r="AB484" s="125"/>
      <c r="AC484" s="125"/>
      <c r="AD484" s="125"/>
      <c r="AE484" s="125"/>
    </row>
    <row r="485" spans="1:31" ht="12" customHeight="1" x14ac:dyDescent="0.2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  <c r="AB485" s="125"/>
      <c r="AC485" s="125"/>
      <c r="AD485" s="125"/>
      <c r="AE485" s="125"/>
    </row>
    <row r="486" spans="1:31" ht="12" customHeight="1" x14ac:dyDescent="0.2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  <c r="AB486" s="125"/>
      <c r="AC486" s="125"/>
      <c r="AD486" s="125"/>
      <c r="AE486" s="125"/>
    </row>
    <row r="487" spans="1:31" ht="12" customHeight="1" x14ac:dyDescent="0.2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  <c r="AB487" s="125"/>
      <c r="AC487" s="125"/>
      <c r="AD487" s="125"/>
      <c r="AE487" s="125"/>
    </row>
    <row r="488" spans="1:31" ht="12" customHeight="1" x14ac:dyDescent="0.2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B488" s="125"/>
      <c r="AC488" s="125"/>
      <c r="AD488" s="125"/>
      <c r="AE488" s="125"/>
    </row>
    <row r="489" spans="1:31" ht="12" customHeight="1" x14ac:dyDescent="0.2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  <c r="AB489" s="125"/>
      <c r="AC489" s="125"/>
      <c r="AD489" s="125"/>
      <c r="AE489" s="125"/>
    </row>
    <row r="490" spans="1:31" ht="12" customHeight="1" x14ac:dyDescent="0.2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  <c r="AB490" s="125"/>
      <c r="AC490" s="125"/>
      <c r="AD490" s="125"/>
      <c r="AE490" s="125"/>
    </row>
    <row r="491" spans="1:31" ht="12" customHeight="1" x14ac:dyDescent="0.2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  <c r="AB491" s="125"/>
      <c r="AC491" s="125"/>
      <c r="AD491" s="125"/>
      <c r="AE491" s="125"/>
    </row>
    <row r="492" spans="1:31" ht="12" customHeight="1" x14ac:dyDescent="0.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  <c r="AB492" s="125"/>
      <c r="AC492" s="125"/>
      <c r="AD492" s="125"/>
      <c r="AE492" s="125"/>
    </row>
    <row r="493" spans="1:31" ht="12" customHeight="1" x14ac:dyDescent="0.2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  <c r="AB493" s="125"/>
      <c r="AC493" s="125"/>
      <c r="AD493" s="125"/>
      <c r="AE493" s="125"/>
    </row>
    <row r="494" spans="1:31" ht="12" customHeight="1" x14ac:dyDescent="0.2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  <c r="AB494" s="125"/>
      <c r="AC494" s="125"/>
      <c r="AD494" s="125"/>
      <c r="AE494" s="125"/>
    </row>
    <row r="495" spans="1:31" ht="12" customHeight="1" x14ac:dyDescent="0.2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  <c r="AB495" s="125"/>
      <c r="AC495" s="125"/>
      <c r="AD495" s="125"/>
      <c r="AE495" s="125"/>
    </row>
    <row r="496" spans="1:31" ht="12" customHeight="1" x14ac:dyDescent="0.2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  <c r="AB496" s="125"/>
      <c r="AC496" s="125"/>
      <c r="AD496" s="125"/>
      <c r="AE496" s="125"/>
    </row>
    <row r="497" spans="1:31" ht="12" customHeight="1" x14ac:dyDescent="0.2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  <c r="AB497" s="125"/>
      <c r="AC497" s="125"/>
      <c r="AD497" s="125"/>
      <c r="AE497" s="125"/>
    </row>
    <row r="498" spans="1:31" ht="12" customHeight="1" x14ac:dyDescent="0.2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  <c r="AB498" s="125"/>
      <c r="AC498" s="125"/>
      <c r="AD498" s="125"/>
      <c r="AE498" s="125"/>
    </row>
    <row r="499" spans="1:31" ht="12" customHeight="1" x14ac:dyDescent="0.2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  <c r="AB499" s="125"/>
      <c r="AC499" s="125"/>
      <c r="AD499" s="125"/>
      <c r="AE499" s="125"/>
    </row>
    <row r="500" spans="1:31" ht="12" customHeight="1" x14ac:dyDescent="0.2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  <c r="AB500" s="125"/>
      <c r="AC500" s="125"/>
      <c r="AD500" s="125"/>
      <c r="AE500" s="125"/>
    </row>
    <row r="501" spans="1:31" ht="12" customHeight="1" x14ac:dyDescent="0.2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  <c r="AB501" s="125"/>
      <c r="AC501" s="125"/>
      <c r="AD501" s="125"/>
      <c r="AE501" s="125"/>
    </row>
    <row r="502" spans="1:31" ht="12" customHeight="1" x14ac:dyDescent="0.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  <c r="AB502" s="125"/>
      <c r="AC502" s="125"/>
      <c r="AD502" s="125"/>
      <c r="AE502" s="125"/>
    </row>
    <row r="503" spans="1:31" ht="12" customHeight="1" x14ac:dyDescent="0.2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  <c r="AB503" s="125"/>
      <c r="AC503" s="125"/>
      <c r="AD503" s="125"/>
      <c r="AE503" s="125"/>
    </row>
    <row r="504" spans="1:31" ht="12" customHeight="1" x14ac:dyDescent="0.2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  <c r="AB504" s="125"/>
      <c r="AC504" s="125"/>
      <c r="AD504" s="125"/>
      <c r="AE504" s="125"/>
    </row>
    <row r="505" spans="1:31" ht="12" customHeight="1" x14ac:dyDescent="0.2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  <c r="AB505" s="125"/>
      <c r="AC505" s="125"/>
      <c r="AD505" s="125"/>
      <c r="AE505" s="125"/>
    </row>
    <row r="506" spans="1:31" ht="12" customHeight="1" x14ac:dyDescent="0.2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  <c r="AB506" s="125"/>
      <c r="AC506" s="125"/>
      <c r="AD506" s="125"/>
      <c r="AE506" s="125"/>
    </row>
    <row r="507" spans="1:31" ht="12" customHeight="1" x14ac:dyDescent="0.2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  <c r="AB507" s="125"/>
      <c r="AC507" s="125"/>
      <c r="AD507" s="125"/>
      <c r="AE507" s="125"/>
    </row>
    <row r="508" spans="1:31" ht="12" customHeight="1" x14ac:dyDescent="0.2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  <c r="AB508" s="125"/>
      <c r="AC508" s="125"/>
      <c r="AD508" s="125"/>
      <c r="AE508" s="125"/>
    </row>
    <row r="509" spans="1:31" ht="12" customHeight="1" x14ac:dyDescent="0.2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  <c r="AB509" s="125"/>
      <c r="AC509" s="125"/>
      <c r="AD509" s="125"/>
      <c r="AE509" s="125"/>
    </row>
    <row r="510" spans="1:31" ht="12" customHeight="1" x14ac:dyDescent="0.2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  <c r="AB510" s="125"/>
      <c r="AC510" s="125"/>
      <c r="AD510" s="125"/>
      <c r="AE510" s="125"/>
    </row>
    <row r="511" spans="1:31" ht="12" customHeight="1" x14ac:dyDescent="0.2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5"/>
      <c r="AE511" s="125"/>
    </row>
    <row r="512" spans="1:31" ht="12" customHeight="1" x14ac:dyDescent="0.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5"/>
      <c r="AE512" s="125"/>
    </row>
    <row r="513" spans="1:31" ht="12" customHeight="1" x14ac:dyDescent="0.2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5"/>
      <c r="AE513" s="125"/>
    </row>
    <row r="514" spans="1:31" ht="12" customHeight="1" x14ac:dyDescent="0.2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5"/>
      <c r="AE514" s="125"/>
    </row>
    <row r="515" spans="1:31" ht="12" customHeight="1" x14ac:dyDescent="0.2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  <c r="AB515" s="125"/>
      <c r="AC515" s="125"/>
      <c r="AD515" s="125"/>
      <c r="AE515" s="125"/>
    </row>
    <row r="516" spans="1:31" ht="12" customHeight="1" x14ac:dyDescent="0.2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  <c r="AB516" s="125"/>
      <c r="AC516" s="125"/>
      <c r="AD516" s="125"/>
      <c r="AE516" s="125"/>
    </row>
    <row r="517" spans="1:31" ht="12" customHeight="1" x14ac:dyDescent="0.2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  <c r="AB517" s="125"/>
      <c r="AC517" s="125"/>
      <c r="AD517" s="125"/>
      <c r="AE517" s="125"/>
    </row>
    <row r="518" spans="1:31" ht="12" customHeight="1" x14ac:dyDescent="0.2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  <c r="AB518" s="125"/>
      <c r="AC518" s="125"/>
      <c r="AD518" s="125"/>
      <c r="AE518" s="125"/>
    </row>
    <row r="519" spans="1:31" ht="12" customHeight="1" x14ac:dyDescent="0.2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  <c r="AB519" s="125"/>
      <c r="AC519" s="125"/>
      <c r="AD519" s="125"/>
      <c r="AE519" s="125"/>
    </row>
    <row r="520" spans="1:31" ht="12" customHeight="1" x14ac:dyDescent="0.2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  <c r="AB520" s="125"/>
      <c r="AC520" s="125"/>
      <c r="AD520" s="125"/>
      <c r="AE520" s="125"/>
    </row>
    <row r="521" spans="1:31" ht="12" customHeight="1" x14ac:dyDescent="0.2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  <c r="AB521" s="125"/>
      <c r="AC521" s="125"/>
      <c r="AD521" s="125"/>
      <c r="AE521" s="125"/>
    </row>
    <row r="522" spans="1:31" ht="12" customHeight="1" x14ac:dyDescent="0.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  <c r="AB522" s="125"/>
      <c r="AC522" s="125"/>
      <c r="AD522" s="125"/>
      <c r="AE522" s="125"/>
    </row>
    <row r="523" spans="1:31" ht="12" customHeight="1" x14ac:dyDescent="0.2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  <c r="AB523" s="125"/>
      <c r="AC523" s="125"/>
      <c r="AD523" s="125"/>
      <c r="AE523" s="125"/>
    </row>
    <row r="524" spans="1:31" ht="12" customHeight="1" x14ac:dyDescent="0.2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  <c r="AB524" s="125"/>
      <c r="AC524" s="125"/>
      <c r="AD524" s="125"/>
      <c r="AE524" s="125"/>
    </row>
    <row r="525" spans="1:31" ht="12" customHeight="1" x14ac:dyDescent="0.2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  <c r="AB525" s="125"/>
      <c r="AC525" s="125"/>
      <c r="AD525" s="125"/>
      <c r="AE525" s="125"/>
    </row>
    <row r="526" spans="1:31" ht="12" customHeight="1" x14ac:dyDescent="0.2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  <c r="AB526" s="125"/>
      <c r="AC526" s="125"/>
      <c r="AD526" s="125"/>
      <c r="AE526" s="125"/>
    </row>
    <row r="527" spans="1:31" ht="12" customHeight="1" x14ac:dyDescent="0.2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  <c r="AB527" s="125"/>
      <c r="AC527" s="125"/>
      <c r="AD527" s="125"/>
      <c r="AE527" s="125"/>
    </row>
    <row r="528" spans="1:31" ht="12" customHeight="1" x14ac:dyDescent="0.2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  <c r="AB528" s="125"/>
      <c r="AC528" s="125"/>
      <c r="AD528" s="125"/>
      <c r="AE528" s="125"/>
    </row>
    <row r="529" spans="1:31" ht="12" customHeight="1" x14ac:dyDescent="0.2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  <c r="AB529" s="125"/>
      <c r="AC529" s="125"/>
      <c r="AD529" s="125"/>
      <c r="AE529" s="125"/>
    </row>
    <row r="530" spans="1:31" ht="12" customHeight="1" x14ac:dyDescent="0.2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  <c r="AB530" s="125"/>
      <c r="AC530" s="125"/>
      <c r="AD530" s="125"/>
      <c r="AE530" s="125"/>
    </row>
    <row r="531" spans="1:31" ht="12" customHeight="1" x14ac:dyDescent="0.2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  <c r="AB531" s="125"/>
      <c r="AC531" s="125"/>
      <c r="AD531" s="125"/>
      <c r="AE531" s="125"/>
    </row>
    <row r="532" spans="1:31" ht="12" customHeight="1" x14ac:dyDescent="0.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  <c r="AB532" s="125"/>
      <c r="AC532" s="125"/>
      <c r="AD532" s="125"/>
      <c r="AE532" s="125"/>
    </row>
    <row r="533" spans="1:31" ht="12" customHeight="1" x14ac:dyDescent="0.2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  <c r="AB533" s="125"/>
      <c r="AC533" s="125"/>
      <c r="AD533" s="125"/>
      <c r="AE533" s="125"/>
    </row>
    <row r="534" spans="1:31" ht="12" customHeight="1" x14ac:dyDescent="0.2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  <c r="AB534" s="125"/>
      <c r="AC534" s="125"/>
      <c r="AD534" s="125"/>
      <c r="AE534" s="125"/>
    </row>
    <row r="535" spans="1:31" ht="12" customHeight="1" x14ac:dyDescent="0.2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  <c r="AB535" s="125"/>
      <c r="AC535" s="125"/>
      <c r="AD535" s="125"/>
      <c r="AE535" s="125"/>
    </row>
    <row r="536" spans="1:31" ht="12" customHeight="1" x14ac:dyDescent="0.2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  <c r="AB536" s="125"/>
      <c r="AC536" s="125"/>
      <c r="AD536" s="125"/>
      <c r="AE536" s="125"/>
    </row>
    <row r="537" spans="1:31" ht="12" customHeight="1" x14ac:dyDescent="0.2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  <c r="AB537" s="125"/>
      <c r="AC537" s="125"/>
      <c r="AD537" s="125"/>
      <c r="AE537" s="125"/>
    </row>
    <row r="538" spans="1:31" ht="12" customHeight="1" x14ac:dyDescent="0.2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  <c r="AB538" s="125"/>
      <c r="AC538" s="125"/>
      <c r="AD538" s="125"/>
      <c r="AE538" s="125"/>
    </row>
    <row r="539" spans="1:31" ht="12" customHeight="1" x14ac:dyDescent="0.2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  <c r="AB539" s="125"/>
      <c r="AC539" s="125"/>
      <c r="AD539" s="125"/>
      <c r="AE539" s="125"/>
    </row>
    <row r="540" spans="1:31" ht="12" customHeight="1" x14ac:dyDescent="0.2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  <c r="AB540" s="125"/>
      <c r="AC540" s="125"/>
      <c r="AD540" s="125"/>
      <c r="AE540" s="125"/>
    </row>
    <row r="541" spans="1:31" ht="12" customHeight="1" x14ac:dyDescent="0.2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  <c r="AB541" s="125"/>
      <c r="AC541" s="125"/>
      <c r="AD541" s="125"/>
      <c r="AE541" s="125"/>
    </row>
    <row r="542" spans="1:31" ht="12" customHeight="1" x14ac:dyDescent="0.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  <c r="AB542" s="125"/>
      <c r="AC542" s="125"/>
      <c r="AD542" s="125"/>
      <c r="AE542" s="125"/>
    </row>
    <row r="543" spans="1:31" ht="12" customHeight="1" x14ac:dyDescent="0.2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  <c r="AB543" s="125"/>
      <c r="AC543" s="125"/>
      <c r="AD543" s="125"/>
      <c r="AE543" s="125"/>
    </row>
    <row r="544" spans="1:31" ht="12" customHeight="1" x14ac:dyDescent="0.2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  <c r="AB544" s="125"/>
      <c r="AC544" s="125"/>
      <c r="AD544" s="125"/>
      <c r="AE544" s="125"/>
    </row>
    <row r="545" spans="1:31" ht="12" customHeight="1" x14ac:dyDescent="0.2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  <c r="AB545" s="125"/>
      <c r="AC545" s="125"/>
      <c r="AD545" s="125"/>
      <c r="AE545" s="125"/>
    </row>
    <row r="546" spans="1:31" ht="12" customHeight="1" x14ac:dyDescent="0.2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  <c r="AB546" s="125"/>
      <c r="AC546" s="125"/>
      <c r="AD546" s="125"/>
      <c r="AE546" s="125"/>
    </row>
    <row r="547" spans="1:31" ht="12" customHeight="1" x14ac:dyDescent="0.2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  <c r="AB547" s="125"/>
      <c r="AC547" s="125"/>
      <c r="AD547" s="125"/>
      <c r="AE547" s="125"/>
    </row>
    <row r="548" spans="1:31" ht="12" customHeight="1" x14ac:dyDescent="0.2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  <c r="AB548" s="125"/>
      <c r="AC548" s="125"/>
      <c r="AD548" s="125"/>
      <c r="AE548" s="125"/>
    </row>
    <row r="549" spans="1:31" ht="12" customHeight="1" x14ac:dyDescent="0.2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  <c r="AB549" s="125"/>
      <c r="AC549" s="125"/>
      <c r="AD549" s="125"/>
      <c r="AE549" s="125"/>
    </row>
    <row r="550" spans="1:31" ht="12" customHeight="1" x14ac:dyDescent="0.2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  <c r="AB550" s="125"/>
      <c r="AC550" s="125"/>
      <c r="AD550" s="125"/>
      <c r="AE550" s="125"/>
    </row>
    <row r="551" spans="1:31" ht="12" customHeight="1" x14ac:dyDescent="0.2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  <c r="AB551" s="125"/>
      <c r="AC551" s="125"/>
      <c r="AD551" s="125"/>
      <c r="AE551" s="125"/>
    </row>
    <row r="552" spans="1:31" ht="12" customHeight="1" x14ac:dyDescent="0.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  <c r="AB552" s="125"/>
      <c r="AC552" s="125"/>
      <c r="AD552" s="125"/>
      <c r="AE552" s="125"/>
    </row>
    <row r="553" spans="1:31" ht="12" customHeight="1" x14ac:dyDescent="0.2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  <c r="AB553" s="125"/>
      <c r="AC553" s="125"/>
      <c r="AD553" s="125"/>
      <c r="AE553" s="125"/>
    </row>
    <row r="554" spans="1:31" ht="12" customHeight="1" x14ac:dyDescent="0.2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  <c r="AB554" s="125"/>
      <c r="AC554" s="125"/>
      <c r="AD554" s="125"/>
      <c r="AE554" s="125"/>
    </row>
    <row r="555" spans="1:31" ht="12" customHeight="1" x14ac:dyDescent="0.2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  <c r="AB555" s="125"/>
      <c r="AC555" s="125"/>
      <c r="AD555" s="125"/>
      <c r="AE555" s="125"/>
    </row>
    <row r="556" spans="1:31" ht="12" customHeight="1" x14ac:dyDescent="0.2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  <c r="AB556" s="125"/>
      <c r="AC556" s="125"/>
      <c r="AD556" s="125"/>
      <c r="AE556" s="125"/>
    </row>
    <row r="557" spans="1:31" ht="12" customHeight="1" x14ac:dyDescent="0.2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  <c r="AB557" s="125"/>
      <c r="AC557" s="125"/>
      <c r="AD557" s="125"/>
      <c r="AE557" s="125"/>
    </row>
    <row r="558" spans="1:31" ht="12" customHeight="1" x14ac:dyDescent="0.2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  <c r="AB558" s="125"/>
      <c r="AC558" s="125"/>
      <c r="AD558" s="125"/>
      <c r="AE558" s="125"/>
    </row>
    <row r="559" spans="1:31" ht="12" customHeight="1" x14ac:dyDescent="0.2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  <c r="AB559" s="125"/>
      <c r="AC559" s="125"/>
      <c r="AD559" s="125"/>
      <c r="AE559" s="125"/>
    </row>
    <row r="560" spans="1:31" ht="12" customHeight="1" x14ac:dyDescent="0.2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  <c r="AB560" s="125"/>
      <c r="AC560" s="125"/>
      <c r="AD560" s="125"/>
      <c r="AE560" s="125"/>
    </row>
    <row r="561" spans="1:31" ht="12" customHeight="1" x14ac:dyDescent="0.2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  <c r="AB561" s="125"/>
      <c r="AC561" s="125"/>
      <c r="AD561" s="125"/>
      <c r="AE561" s="125"/>
    </row>
    <row r="562" spans="1:31" ht="12" customHeight="1" x14ac:dyDescent="0.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  <c r="AB562" s="125"/>
      <c r="AC562" s="125"/>
      <c r="AD562" s="125"/>
      <c r="AE562" s="125"/>
    </row>
    <row r="563" spans="1:31" ht="12" customHeight="1" x14ac:dyDescent="0.2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  <c r="AB563" s="125"/>
      <c r="AC563" s="125"/>
      <c r="AD563" s="125"/>
      <c r="AE563" s="125"/>
    </row>
    <row r="564" spans="1:31" ht="12" customHeight="1" x14ac:dyDescent="0.2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  <c r="AB564" s="125"/>
      <c r="AC564" s="125"/>
      <c r="AD564" s="125"/>
      <c r="AE564" s="125"/>
    </row>
    <row r="565" spans="1:31" ht="12" customHeight="1" x14ac:dyDescent="0.2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  <c r="AB565" s="125"/>
      <c r="AC565" s="125"/>
      <c r="AD565" s="125"/>
      <c r="AE565" s="125"/>
    </row>
    <row r="566" spans="1:31" ht="12" customHeight="1" x14ac:dyDescent="0.2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  <c r="AB566" s="125"/>
      <c r="AC566" s="125"/>
      <c r="AD566" s="125"/>
      <c r="AE566" s="125"/>
    </row>
    <row r="567" spans="1:31" ht="12" customHeight="1" x14ac:dyDescent="0.2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  <c r="AB567" s="125"/>
      <c r="AC567" s="125"/>
      <c r="AD567" s="125"/>
      <c r="AE567" s="125"/>
    </row>
    <row r="568" spans="1:31" ht="12" customHeight="1" x14ac:dyDescent="0.2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  <c r="AB568" s="125"/>
      <c r="AC568" s="125"/>
      <c r="AD568" s="125"/>
      <c r="AE568" s="125"/>
    </row>
    <row r="569" spans="1:31" ht="12" customHeight="1" x14ac:dyDescent="0.2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  <c r="AB569" s="125"/>
      <c r="AC569" s="125"/>
      <c r="AD569" s="125"/>
      <c r="AE569" s="125"/>
    </row>
    <row r="570" spans="1:31" ht="12" customHeight="1" x14ac:dyDescent="0.2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  <c r="AB570" s="125"/>
      <c r="AC570" s="125"/>
      <c r="AD570" s="125"/>
      <c r="AE570" s="125"/>
    </row>
    <row r="571" spans="1:31" ht="12" customHeight="1" x14ac:dyDescent="0.2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  <c r="AB571" s="125"/>
      <c r="AC571" s="125"/>
      <c r="AD571" s="125"/>
      <c r="AE571" s="125"/>
    </row>
    <row r="572" spans="1:31" ht="12" customHeight="1" x14ac:dyDescent="0.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  <c r="AB572" s="125"/>
      <c r="AC572" s="125"/>
      <c r="AD572" s="125"/>
      <c r="AE572" s="125"/>
    </row>
    <row r="573" spans="1:31" ht="12" customHeight="1" x14ac:dyDescent="0.2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  <c r="AB573" s="125"/>
      <c r="AC573" s="125"/>
      <c r="AD573" s="125"/>
      <c r="AE573" s="125"/>
    </row>
    <row r="574" spans="1:31" ht="12" customHeight="1" x14ac:dyDescent="0.2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  <c r="AB574" s="125"/>
      <c r="AC574" s="125"/>
      <c r="AD574" s="125"/>
      <c r="AE574" s="125"/>
    </row>
    <row r="575" spans="1:31" ht="12" customHeight="1" x14ac:dyDescent="0.2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  <c r="AB575" s="125"/>
      <c r="AC575" s="125"/>
      <c r="AD575" s="125"/>
      <c r="AE575" s="125"/>
    </row>
    <row r="576" spans="1:31" ht="12" customHeight="1" x14ac:dyDescent="0.2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  <c r="AB576" s="125"/>
      <c r="AC576" s="125"/>
      <c r="AD576" s="125"/>
      <c r="AE576" s="125"/>
    </row>
    <row r="577" spans="1:31" ht="12" customHeight="1" x14ac:dyDescent="0.2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  <c r="AB577" s="125"/>
      <c r="AC577" s="125"/>
      <c r="AD577" s="125"/>
      <c r="AE577" s="125"/>
    </row>
    <row r="578" spans="1:31" ht="12" customHeight="1" x14ac:dyDescent="0.2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  <c r="AB578" s="125"/>
      <c r="AC578" s="125"/>
      <c r="AD578" s="125"/>
      <c r="AE578" s="125"/>
    </row>
    <row r="579" spans="1:31" ht="12" customHeight="1" x14ac:dyDescent="0.2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  <c r="AB579" s="125"/>
      <c r="AC579" s="125"/>
      <c r="AD579" s="125"/>
      <c r="AE579" s="125"/>
    </row>
    <row r="580" spans="1:31" ht="12" customHeight="1" x14ac:dyDescent="0.2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  <c r="AB580" s="125"/>
      <c r="AC580" s="125"/>
      <c r="AD580" s="125"/>
      <c r="AE580" s="125"/>
    </row>
    <row r="581" spans="1:31" ht="12" customHeight="1" x14ac:dyDescent="0.2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  <c r="AB581" s="125"/>
      <c r="AC581" s="125"/>
      <c r="AD581" s="125"/>
      <c r="AE581" s="125"/>
    </row>
    <row r="582" spans="1:31" ht="12" customHeight="1" x14ac:dyDescent="0.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  <c r="AB582" s="125"/>
      <c r="AC582" s="125"/>
      <c r="AD582" s="125"/>
      <c r="AE582" s="125"/>
    </row>
    <row r="583" spans="1:31" ht="12" customHeight="1" x14ac:dyDescent="0.2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  <c r="AB583" s="125"/>
      <c r="AC583" s="125"/>
      <c r="AD583" s="125"/>
      <c r="AE583" s="125"/>
    </row>
    <row r="584" spans="1:31" ht="12" customHeight="1" x14ac:dyDescent="0.2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  <c r="AB584" s="125"/>
      <c r="AC584" s="125"/>
      <c r="AD584" s="125"/>
      <c r="AE584" s="125"/>
    </row>
    <row r="585" spans="1:31" ht="12" customHeight="1" x14ac:dyDescent="0.2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  <c r="AB585" s="125"/>
      <c r="AC585" s="125"/>
      <c r="AD585" s="125"/>
      <c r="AE585" s="125"/>
    </row>
    <row r="586" spans="1:31" ht="12" customHeight="1" x14ac:dyDescent="0.2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  <c r="AB586" s="125"/>
      <c r="AC586" s="125"/>
      <c r="AD586" s="125"/>
      <c r="AE586" s="125"/>
    </row>
    <row r="587" spans="1:31" ht="12" customHeight="1" x14ac:dyDescent="0.2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  <c r="AB587" s="125"/>
      <c r="AC587" s="125"/>
      <c r="AD587" s="125"/>
      <c r="AE587" s="125"/>
    </row>
    <row r="588" spans="1:31" ht="12" customHeight="1" x14ac:dyDescent="0.2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  <c r="AB588" s="125"/>
      <c r="AC588" s="125"/>
      <c r="AD588" s="125"/>
      <c r="AE588" s="125"/>
    </row>
    <row r="589" spans="1:31" ht="12" customHeight="1" x14ac:dyDescent="0.2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  <c r="AB589" s="125"/>
      <c r="AC589" s="125"/>
      <c r="AD589" s="125"/>
      <c r="AE589" s="125"/>
    </row>
    <row r="590" spans="1:31" ht="12" customHeight="1" x14ac:dyDescent="0.2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  <c r="AB590" s="125"/>
      <c r="AC590" s="125"/>
      <c r="AD590" s="125"/>
      <c r="AE590" s="125"/>
    </row>
    <row r="591" spans="1:31" ht="12" customHeight="1" x14ac:dyDescent="0.2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  <c r="AB591" s="125"/>
      <c r="AC591" s="125"/>
      <c r="AD591" s="125"/>
      <c r="AE591" s="125"/>
    </row>
    <row r="592" spans="1:31" ht="12" customHeight="1" x14ac:dyDescent="0.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  <c r="AB592" s="125"/>
      <c r="AC592" s="125"/>
      <c r="AD592" s="125"/>
      <c r="AE592" s="125"/>
    </row>
    <row r="593" spans="1:31" ht="12" customHeight="1" x14ac:dyDescent="0.2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  <c r="AB593" s="125"/>
      <c r="AC593" s="125"/>
      <c r="AD593" s="125"/>
      <c r="AE593" s="125"/>
    </row>
    <row r="594" spans="1:31" ht="12" customHeight="1" x14ac:dyDescent="0.2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  <c r="AB594" s="125"/>
      <c r="AC594" s="125"/>
      <c r="AD594" s="125"/>
      <c r="AE594" s="125"/>
    </row>
    <row r="595" spans="1:31" ht="12" customHeight="1" x14ac:dyDescent="0.2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  <c r="AB595" s="125"/>
      <c r="AC595" s="125"/>
      <c r="AD595" s="125"/>
      <c r="AE595" s="125"/>
    </row>
    <row r="596" spans="1:31" ht="12" customHeight="1" x14ac:dyDescent="0.2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  <c r="AB596" s="125"/>
      <c r="AC596" s="125"/>
      <c r="AD596" s="125"/>
      <c r="AE596" s="125"/>
    </row>
    <row r="597" spans="1:31" ht="12" customHeight="1" x14ac:dyDescent="0.2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  <c r="AB597" s="125"/>
      <c r="AC597" s="125"/>
      <c r="AD597" s="125"/>
      <c r="AE597" s="125"/>
    </row>
    <row r="598" spans="1:31" ht="12" customHeight="1" x14ac:dyDescent="0.2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  <c r="AB598" s="125"/>
      <c r="AC598" s="125"/>
      <c r="AD598" s="125"/>
      <c r="AE598" s="125"/>
    </row>
    <row r="599" spans="1:31" ht="12" customHeight="1" x14ac:dyDescent="0.2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  <c r="AB599" s="125"/>
      <c r="AC599" s="125"/>
      <c r="AD599" s="125"/>
      <c r="AE599" s="125"/>
    </row>
    <row r="600" spans="1:31" ht="12" customHeight="1" x14ac:dyDescent="0.2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  <c r="AB600" s="125"/>
      <c r="AC600" s="125"/>
      <c r="AD600" s="125"/>
      <c r="AE600" s="125"/>
    </row>
    <row r="601" spans="1:31" ht="12" customHeight="1" x14ac:dyDescent="0.2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  <c r="AB601" s="125"/>
      <c r="AC601" s="125"/>
      <c r="AD601" s="125"/>
      <c r="AE601" s="125"/>
    </row>
    <row r="602" spans="1:31" ht="12" customHeight="1" x14ac:dyDescent="0.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  <c r="AB602" s="125"/>
      <c r="AC602" s="125"/>
      <c r="AD602" s="125"/>
      <c r="AE602" s="125"/>
    </row>
    <row r="603" spans="1:31" ht="12" customHeight="1" x14ac:dyDescent="0.2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  <c r="AB603" s="125"/>
      <c r="AC603" s="125"/>
      <c r="AD603" s="125"/>
      <c r="AE603" s="125"/>
    </row>
    <row r="604" spans="1:31" ht="12" customHeight="1" x14ac:dyDescent="0.2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  <c r="AB604" s="125"/>
      <c r="AC604" s="125"/>
      <c r="AD604" s="125"/>
      <c r="AE604" s="125"/>
    </row>
    <row r="605" spans="1:31" ht="12" customHeight="1" x14ac:dyDescent="0.2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  <c r="AB605" s="125"/>
      <c r="AC605" s="125"/>
      <c r="AD605" s="125"/>
      <c r="AE605" s="125"/>
    </row>
    <row r="606" spans="1:31" ht="12" customHeight="1" x14ac:dyDescent="0.2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  <c r="AB606" s="125"/>
      <c r="AC606" s="125"/>
      <c r="AD606" s="125"/>
      <c r="AE606" s="125"/>
    </row>
    <row r="607" spans="1:31" ht="12" customHeight="1" x14ac:dyDescent="0.2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  <c r="AB607" s="125"/>
      <c r="AC607" s="125"/>
      <c r="AD607" s="125"/>
      <c r="AE607" s="125"/>
    </row>
    <row r="608" spans="1:31" ht="12" customHeight="1" x14ac:dyDescent="0.2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  <c r="AB608" s="125"/>
      <c r="AC608" s="125"/>
      <c r="AD608" s="125"/>
      <c r="AE608" s="125"/>
    </row>
    <row r="609" spans="1:31" ht="12" customHeight="1" x14ac:dyDescent="0.2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  <c r="AB609" s="125"/>
      <c r="AC609" s="125"/>
      <c r="AD609" s="125"/>
      <c r="AE609" s="125"/>
    </row>
    <row r="610" spans="1:31" ht="12" customHeight="1" x14ac:dyDescent="0.2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  <c r="AB610" s="125"/>
      <c r="AC610" s="125"/>
      <c r="AD610" s="125"/>
      <c r="AE610" s="125"/>
    </row>
    <row r="611" spans="1:31" ht="12" customHeight="1" x14ac:dyDescent="0.2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  <c r="AB611" s="125"/>
      <c r="AC611" s="125"/>
      <c r="AD611" s="125"/>
      <c r="AE611" s="125"/>
    </row>
    <row r="612" spans="1:31" ht="12" customHeight="1" x14ac:dyDescent="0.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  <c r="AB612" s="125"/>
      <c r="AC612" s="125"/>
      <c r="AD612" s="125"/>
      <c r="AE612" s="125"/>
    </row>
    <row r="613" spans="1:31" ht="12" customHeight="1" x14ac:dyDescent="0.2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  <c r="AB613" s="125"/>
      <c r="AC613" s="125"/>
      <c r="AD613" s="125"/>
      <c r="AE613" s="125"/>
    </row>
    <row r="614" spans="1:31" ht="12" customHeight="1" x14ac:dyDescent="0.2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  <c r="AB614" s="125"/>
      <c r="AC614" s="125"/>
      <c r="AD614" s="125"/>
      <c r="AE614" s="125"/>
    </row>
    <row r="615" spans="1:31" ht="12" customHeight="1" x14ac:dyDescent="0.2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  <c r="AB615" s="125"/>
      <c r="AC615" s="125"/>
      <c r="AD615" s="125"/>
      <c r="AE615" s="125"/>
    </row>
    <row r="616" spans="1:31" ht="12" customHeight="1" x14ac:dyDescent="0.2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  <c r="AB616" s="125"/>
      <c r="AC616" s="125"/>
      <c r="AD616" s="125"/>
      <c r="AE616" s="125"/>
    </row>
    <row r="617" spans="1:31" ht="12" customHeight="1" x14ac:dyDescent="0.2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5"/>
      <c r="AC617" s="125"/>
      <c r="AD617" s="125"/>
      <c r="AE617" s="125"/>
    </row>
    <row r="618" spans="1:31" ht="12" customHeight="1" x14ac:dyDescent="0.2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  <c r="AB618" s="125"/>
      <c r="AC618" s="125"/>
      <c r="AD618" s="125"/>
      <c r="AE618" s="125"/>
    </row>
    <row r="619" spans="1:31" ht="12" customHeight="1" x14ac:dyDescent="0.2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  <c r="AB619" s="125"/>
      <c r="AC619" s="125"/>
      <c r="AD619" s="125"/>
      <c r="AE619" s="125"/>
    </row>
    <row r="620" spans="1:31" ht="12" customHeight="1" x14ac:dyDescent="0.2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5"/>
      <c r="AC620" s="125"/>
      <c r="AD620" s="125"/>
      <c r="AE620" s="125"/>
    </row>
    <row r="621" spans="1:31" ht="12" customHeight="1" x14ac:dyDescent="0.2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5"/>
      <c r="AC621" s="125"/>
      <c r="AD621" s="125"/>
      <c r="AE621" s="125"/>
    </row>
    <row r="622" spans="1:31" ht="12" customHeight="1" x14ac:dyDescent="0.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  <c r="AB622" s="125"/>
      <c r="AC622" s="125"/>
      <c r="AD622" s="125"/>
      <c r="AE622" s="125"/>
    </row>
    <row r="623" spans="1:31" ht="12" customHeight="1" x14ac:dyDescent="0.2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  <c r="AB623" s="125"/>
      <c r="AC623" s="125"/>
      <c r="AD623" s="125"/>
      <c r="AE623" s="125"/>
    </row>
    <row r="624" spans="1:31" ht="12" customHeight="1" x14ac:dyDescent="0.2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  <c r="AB624" s="125"/>
      <c r="AC624" s="125"/>
      <c r="AD624" s="125"/>
      <c r="AE624" s="125"/>
    </row>
    <row r="625" spans="1:31" ht="12" customHeight="1" x14ac:dyDescent="0.2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5"/>
      <c r="AC625" s="125"/>
      <c r="AD625" s="125"/>
      <c r="AE625" s="125"/>
    </row>
    <row r="626" spans="1:31" ht="12" customHeight="1" x14ac:dyDescent="0.2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  <c r="AB626" s="125"/>
      <c r="AC626" s="125"/>
      <c r="AD626" s="125"/>
      <c r="AE626" s="125"/>
    </row>
    <row r="627" spans="1:31" ht="12" customHeight="1" x14ac:dyDescent="0.2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  <c r="AB627" s="125"/>
      <c r="AC627" s="125"/>
      <c r="AD627" s="125"/>
      <c r="AE627" s="125"/>
    </row>
    <row r="628" spans="1:31" ht="12" customHeight="1" x14ac:dyDescent="0.2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  <c r="AB628" s="125"/>
      <c r="AC628" s="125"/>
      <c r="AD628" s="125"/>
      <c r="AE628" s="125"/>
    </row>
    <row r="629" spans="1:31" ht="12" customHeight="1" x14ac:dyDescent="0.2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  <c r="AB629" s="125"/>
      <c r="AC629" s="125"/>
      <c r="AD629" s="125"/>
      <c r="AE629" s="125"/>
    </row>
    <row r="630" spans="1:31" ht="12" customHeight="1" x14ac:dyDescent="0.2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125"/>
      <c r="AC630" s="125"/>
      <c r="AD630" s="125"/>
      <c r="AE630" s="125"/>
    </row>
    <row r="631" spans="1:31" ht="12" customHeight="1" x14ac:dyDescent="0.2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5"/>
      <c r="AC631" s="125"/>
      <c r="AD631" s="125"/>
      <c r="AE631" s="125"/>
    </row>
    <row r="632" spans="1:31" ht="12" customHeight="1" x14ac:dyDescent="0.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125"/>
      <c r="AC632" s="125"/>
      <c r="AD632" s="125"/>
      <c r="AE632" s="125"/>
    </row>
    <row r="633" spans="1:31" ht="12" customHeight="1" x14ac:dyDescent="0.2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  <c r="AB633" s="125"/>
      <c r="AC633" s="125"/>
      <c r="AD633" s="125"/>
      <c r="AE633" s="125"/>
    </row>
    <row r="634" spans="1:31" ht="12" customHeight="1" x14ac:dyDescent="0.2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  <c r="AB634" s="125"/>
      <c r="AC634" s="125"/>
      <c r="AD634" s="125"/>
      <c r="AE634" s="125"/>
    </row>
    <row r="635" spans="1:31" ht="12" customHeight="1" x14ac:dyDescent="0.2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  <c r="AB635" s="125"/>
      <c r="AC635" s="125"/>
      <c r="AD635" s="125"/>
      <c r="AE635" s="125"/>
    </row>
    <row r="636" spans="1:31" ht="12" customHeight="1" x14ac:dyDescent="0.2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  <c r="AB636" s="125"/>
      <c r="AC636" s="125"/>
      <c r="AD636" s="125"/>
      <c r="AE636" s="125"/>
    </row>
    <row r="637" spans="1:31" ht="12" customHeight="1" x14ac:dyDescent="0.2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  <c r="AB637" s="125"/>
      <c r="AC637" s="125"/>
      <c r="AD637" s="125"/>
      <c r="AE637" s="125"/>
    </row>
    <row r="638" spans="1:31" ht="12" customHeight="1" x14ac:dyDescent="0.2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125"/>
      <c r="AC638" s="125"/>
      <c r="AD638" s="125"/>
      <c r="AE638" s="125"/>
    </row>
    <row r="639" spans="1:31" ht="12" customHeight="1" x14ac:dyDescent="0.2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B639" s="125"/>
      <c r="AC639" s="125"/>
      <c r="AD639" s="125"/>
      <c r="AE639" s="125"/>
    </row>
    <row r="640" spans="1:31" ht="12" customHeight="1" x14ac:dyDescent="0.2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5"/>
      <c r="AE640" s="125"/>
    </row>
    <row r="641" spans="1:31" ht="12" customHeight="1" x14ac:dyDescent="0.2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5"/>
      <c r="AE641" s="125"/>
    </row>
    <row r="642" spans="1:31" ht="12" customHeight="1" x14ac:dyDescent="0.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5"/>
      <c r="AE642" s="125"/>
    </row>
    <row r="643" spans="1:31" ht="12" customHeight="1" x14ac:dyDescent="0.2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5"/>
      <c r="AE643" s="125"/>
    </row>
    <row r="644" spans="1:31" ht="12" customHeight="1" x14ac:dyDescent="0.2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5"/>
      <c r="AE644" s="125"/>
    </row>
    <row r="645" spans="1:31" ht="12" customHeight="1" x14ac:dyDescent="0.2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5"/>
      <c r="AE645" s="125"/>
    </row>
    <row r="646" spans="1:31" ht="12" customHeight="1" x14ac:dyDescent="0.2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125"/>
      <c r="AE646" s="125"/>
    </row>
    <row r="647" spans="1:31" ht="12" customHeight="1" x14ac:dyDescent="0.2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5"/>
      <c r="AE647" s="125"/>
    </row>
    <row r="648" spans="1:31" ht="12" customHeight="1" x14ac:dyDescent="0.2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5"/>
      <c r="AE648" s="125"/>
    </row>
    <row r="649" spans="1:31" ht="12" customHeight="1" x14ac:dyDescent="0.2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125"/>
      <c r="AE649" s="125"/>
    </row>
    <row r="650" spans="1:31" ht="12" customHeight="1" x14ac:dyDescent="0.2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5"/>
      <c r="AE650" s="125"/>
    </row>
    <row r="651" spans="1:31" ht="12" customHeight="1" x14ac:dyDescent="0.2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5"/>
      <c r="AE651" s="125"/>
    </row>
    <row r="652" spans="1:31" ht="12" customHeight="1" x14ac:dyDescent="0.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5"/>
      <c r="AE652" s="125"/>
    </row>
    <row r="653" spans="1:31" ht="12" customHeight="1" x14ac:dyDescent="0.2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5"/>
      <c r="AE653" s="125"/>
    </row>
    <row r="654" spans="1:31" ht="12" customHeight="1" x14ac:dyDescent="0.2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5"/>
      <c r="AE654" s="125"/>
    </row>
    <row r="655" spans="1:31" ht="12" customHeight="1" x14ac:dyDescent="0.2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5"/>
      <c r="AE655" s="125"/>
    </row>
    <row r="656" spans="1:31" ht="12" customHeight="1" x14ac:dyDescent="0.2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5"/>
      <c r="AE656" s="125"/>
    </row>
    <row r="657" spans="1:31" ht="12" customHeight="1" x14ac:dyDescent="0.2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125"/>
      <c r="AE657" s="125"/>
    </row>
    <row r="658" spans="1:31" ht="12" customHeight="1" x14ac:dyDescent="0.2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5"/>
      <c r="AE658" s="125"/>
    </row>
    <row r="659" spans="1:31" ht="12" customHeight="1" x14ac:dyDescent="0.2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5"/>
      <c r="AE659" s="125"/>
    </row>
    <row r="660" spans="1:31" ht="12" customHeight="1" x14ac:dyDescent="0.2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125"/>
      <c r="AE660" s="125"/>
    </row>
    <row r="661" spans="1:31" ht="12" customHeight="1" x14ac:dyDescent="0.2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5"/>
      <c r="AE661" s="125"/>
    </row>
    <row r="662" spans="1:31" ht="12" customHeight="1" x14ac:dyDescent="0.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5"/>
      <c r="AE662" s="125"/>
    </row>
    <row r="663" spans="1:31" ht="12" customHeight="1" x14ac:dyDescent="0.2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5"/>
      <c r="AE663" s="125"/>
    </row>
    <row r="664" spans="1:31" ht="12" customHeight="1" x14ac:dyDescent="0.2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5"/>
      <c r="AE664" s="125"/>
    </row>
    <row r="665" spans="1:31" ht="12" customHeight="1" x14ac:dyDescent="0.2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5"/>
      <c r="AE665" s="125"/>
    </row>
    <row r="666" spans="1:31" ht="12" customHeight="1" x14ac:dyDescent="0.2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5"/>
      <c r="AE666" s="125"/>
    </row>
    <row r="667" spans="1:31" ht="12" customHeight="1" x14ac:dyDescent="0.2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5"/>
      <c r="AE667" s="125"/>
    </row>
    <row r="668" spans="1:31" ht="12" customHeight="1" x14ac:dyDescent="0.2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5"/>
      <c r="AE668" s="125"/>
    </row>
    <row r="669" spans="1:31" ht="12" customHeight="1" x14ac:dyDescent="0.2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5"/>
      <c r="AE669" s="125"/>
    </row>
    <row r="670" spans="1:31" ht="12" customHeight="1" x14ac:dyDescent="0.2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5"/>
      <c r="AE670" s="125"/>
    </row>
    <row r="671" spans="1:31" ht="12" customHeight="1" x14ac:dyDescent="0.2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5"/>
      <c r="AE671" s="125"/>
    </row>
    <row r="672" spans="1:31" ht="12" customHeight="1" x14ac:dyDescent="0.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5"/>
      <c r="AE672" s="125"/>
    </row>
    <row r="673" spans="1:31" ht="12" customHeight="1" x14ac:dyDescent="0.2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5"/>
      <c r="AE673" s="125"/>
    </row>
    <row r="674" spans="1:31" ht="12" customHeight="1" x14ac:dyDescent="0.2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5"/>
      <c r="AE674" s="125"/>
    </row>
    <row r="675" spans="1:31" ht="12" customHeight="1" x14ac:dyDescent="0.2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125"/>
      <c r="AE675" s="125"/>
    </row>
    <row r="676" spans="1:31" ht="12" customHeight="1" x14ac:dyDescent="0.2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5"/>
      <c r="AE676" s="125"/>
    </row>
    <row r="677" spans="1:31" ht="12" customHeight="1" x14ac:dyDescent="0.2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5"/>
      <c r="AE677" s="125"/>
    </row>
    <row r="678" spans="1:31" ht="12" customHeight="1" x14ac:dyDescent="0.2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5"/>
      <c r="AE678" s="125"/>
    </row>
    <row r="679" spans="1:31" ht="12" customHeight="1" x14ac:dyDescent="0.2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5"/>
      <c r="AE679" s="125"/>
    </row>
    <row r="680" spans="1:31" ht="12" customHeight="1" x14ac:dyDescent="0.2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5"/>
      <c r="AE680" s="125"/>
    </row>
    <row r="681" spans="1:31" ht="12" customHeight="1" x14ac:dyDescent="0.2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5"/>
      <c r="AE681" s="125"/>
    </row>
    <row r="682" spans="1:31" ht="12" customHeight="1" x14ac:dyDescent="0.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125"/>
      <c r="AE682" s="125"/>
    </row>
    <row r="683" spans="1:31" ht="12" customHeight="1" x14ac:dyDescent="0.2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5"/>
      <c r="AE683" s="125"/>
    </row>
    <row r="684" spans="1:31" ht="12" customHeight="1" x14ac:dyDescent="0.2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125"/>
      <c r="AE684" s="125"/>
    </row>
    <row r="685" spans="1:31" ht="12" customHeight="1" x14ac:dyDescent="0.2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5"/>
      <c r="AE685" s="125"/>
    </row>
    <row r="686" spans="1:31" ht="12" customHeight="1" x14ac:dyDescent="0.2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125"/>
      <c r="AE686" s="125"/>
    </row>
    <row r="687" spans="1:31" ht="12" customHeight="1" x14ac:dyDescent="0.2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5"/>
      <c r="AE687" s="125"/>
    </row>
    <row r="688" spans="1:31" ht="12" customHeight="1" x14ac:dyDescent="0.2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125"/>
      <c r="AE688" s="125"/>
    </row>
    <row r="689" spans="1:31" ht="12" customHeight="1" x14ac:dyDescent="0.2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5"/>
      <c r="AE689" s="125"/>
    </row>
    <row r="690" spans="1:31" ht="12" customHeight="1" x14ac:dyDescent="0.2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5"/>
      <c r="AE690" s="125"/>
    </row>
    <row r="691" spans="1:31" ht="12" customHeight="1" x14ac:dyDescent="0.2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125"/>
      <c r="AE691" s="125"/>
    </row>
    <row r="692" spans="1:31" ht="12" customHeight="1" x14ac:dyDescent="0.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5"/>
      <c r="AE692" s="125"/>
    </row>
    <row r="693" spans="1:31" ht="12" customHeight="1" x14ac:dyDescent="0.2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125"/>
      <c r="AE693" s="125"/>
    </row>
    <row r="694" spans="1:31" ht="12" customHeight="1" x14ac:dyDescent="0.2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125"/>
      <c r="AE694" s="125"/>
    </row>
    <row r="695" spans="1:31" ht="12" customHeight="1" x14ac:dyDescent="0.2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D695" s="125"/>
      <c r="AE695" s="125"/>
    </row>
    <row r="696" spans="1:31" ht="12" customHeight="1" x14ac:dyDescent="0.2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D696" s="125"/>
      <c r="AE696" s="125"/>
    </row>
    <row r="697" spans="1:31" ht="12" customHeight="1" x14ac:dyDescent="0.2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D697" s="125"/>
      <c r="AE697" s="125"/>
    </row>
    <row r="698" spans="1:31" ht="12" customHeight="1" x14ac:dyDescent="0.2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D698" s="125"/>
      <c r="AE698" s="125"/>
    </row>
    <row r="699" spans="1:31" ht="12" customHeight="1" x14ac:dyDescent="0.2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D699" s="125"/>
      <c r="AE699" s="125"/>
    </row>
    <row r="700" spans="1:31" ht="12" customHeight="1" x14ac:dyDescent="0.2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D700" s="125"/>
      <c r="AE700" s="125"/>
    </row>
    <row r="701" spans="1:31" ht="12" customHeight="1" x14ac:dyDescent="0.2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D701" s="125"/>
      <c r="AE701" s="125"/>
    </row>
    <row r="702" spans="1:31" ht="12" customHeight="1" x14ac:dyDescent="0.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D702" s="125"/>
      <c r="AE702" s="125"/>
    </row>
    <row r="703" spans="1:31" ht="12" customHeight="1" x14ac:dyDescent="0.2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D703" s="125"/>
      <c r="AE703" s="125"/>
    </row>
    <row r="704" spans="1:31" ht="12" customHeight="1" x14ac:dyDescent="0.2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D704" s="125"/>
      <c r="AE704" s="125"/>
    </row>
    <row r="705" spans="1:31" ht="12" customHeight="1" x14ac:dyDescent="0.2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D705" s="125"/>
      <c r="AE705" s="125"/>
    </row>
    <row r="706" spans="1:31" ht="12" customHeight="1" x14ac:dyDescent="0.2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D706" s="125"/>
      <c r="AE706" s="125"/>
    </row>
    <row r="707" spans="1:31" ht="12" customHeight="1" x14ac:dyDescent="0.2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D707" s="125"/>
      <c r="AE707" s="125"/>
    </row>
    <row r="708" spans="1:31" ht="12" customHeight="1" x14ac:dyDescent="0.2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D708" s="125"/>
      <c r="AE708" s="125"/>
    </row>
    <row r="709" spans="1:31" ht="12" customHeight="1" x14ac:dyDescent="0.2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D709" s="125"/>
      <c r="AE709" s="125"/>
    </row>
    <row r="710" spans="1:31" ht="12" customHeight="1" x14ac:dyDescent="0.2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D710" s="125"/>
      <c r="AE710" s="125"/>
    </row>
    <row r="711" spans="1:31" ht="12" customHeight="1" x14ac:dyDescent="0.2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D711" s="125"/>
      <c r="AE711" s="125"/>
    </row>
    <row r="712" spans="1:31" ht="12" customHeight="1" x14ac:dyDescent="0.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D712" s="125"/>
      <c r="AE712" s="125"/>
    </row>
    <row r="713" spans="1:31" ht="12" customHeight="1" x14ac:dyDescent="0.2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D713" s="125"/>
      <c r="AE713" s="125"/>
    </row>
    <row r="714" spans="1:31" ht="12" customHeight="1" x14ac:dyDescent="0.2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D714" s="125"/>
      <c r="AE714" s="125"/>
    </row>
    <row r="715" spans="1:31" ht="12" customHeight="1" x14ac:dyDescent="0.2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D715" s="125"/>
      <c r="AE715" s="125"/>
    </row>
    <row r="716" spans="1:31" ht="12" customHeight="1" x14ac:dyDescent="0.2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D716" s="125"/>
      <c r="AE716" s="125"/>
    </row>
    <row r="717" spans="1:31" ht="12" customHeight="1" x14ac:dyDescent="0.2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D717" s="125"/>
      <c r="AE717" s="125"/>
    </row>
    <row r="718" spans="1:31" ht="12" customHeight="1" x14ac:dyDescent="0.2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D718" s="125"/>
      <c r="AE718" s="125"/>
    </row>
    <row r="719" spans="1:31" ht="12" customHeight="1" x14ac:dyDescent="0.2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D719" s="125"/>
      <c r="AE719" s="125"/>
    </row>
    <row r="720" spans="1:31" ht="12" customHeight="1" x14ac:dyDescent="0.2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D720" s="125"/>
      <c r="AE720" s="125"/>
    </row>
    <row r="721" spans="1:31" ht="12" customHeight="1" x14ac:dyDescent="0.2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D721" s="125"/>
      <c r="AE721" s="125"/>
    </row>
    <row r="722" spans="1:31" ht="12" customHeight="1" x14ac:dyDescent="0.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D722" s="125"/>
      <c r="AE722" s="125"/>
    </row>
    <row r="723" spans="1:31" ht="12" customHeight="1" x14ac:dyDescent="0.2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D723" s="125"/>
      <c r="AE723" s="125"/>
    </row>
    <row r="724" spans="1:31" ht="12" customHeight="1" x14ac:dyDescent="0.2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D724" s="125"/>
      <c r="AE724" s="125"/>
    </row>
    <row r="725" spans="1:31" ht="12" customHeight="1" x14ac:dyDescent="0.2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D725" s="125"/>
      <c r="AE725" s="125"/>
    </row>
    <row r="726" spans="1:31" ht="12" customHeight="1" x14ac:dyDescent="0.2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D726" s="125"/>
      <c r="AE726" s="125"/>
    </row>
    <row r="727" spans="1:31" ht="12" customHeight="1" x14ac:dyDescent="0.2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D727" s="125"/>
      <c r="AE727" s="125"/>
    </row>
    <row r="728" spans="1:31" ht="12" customHeight="1" x14ac:dyDescent="0.2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D728" s="125"/>
      <c r="AE728" s="125"/>
    </row>
    <row r="729" spans="1:31" ht="12" customHeight="1" x14ac:dyDescent="0.2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D729" s="125"/>
      <c r="AE729" s="125"/>
    </row>
    <row r="730" spans="1:31" ht="12" customHeight="1" x14ac:dyDescent="0.2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D730" s="125"/>
      <c r="AE730" s="125"/>
    </row>
    <row r="731" spans="1:31" ht="12" customHeight="1" x14ac:dyDescent="0.2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D731" s="125"/>
      <c r="AE731" s="125"/>
    </row>
    <row r="732" spans="1:31" ht="12" customHeight="1" x14ac:dyDescent="0.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D732" s="125"/>
      <c r="AE732" s="125"/>
    </row>
    <row r="733" spans="1:31" ht="12" customHeight="1" x14ac:dyDescent="0.2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D733" s="125"/>
      <c r="AE733" s="125"/>
    </row>
    <row r="734" spans="1:31" ht="12" customHeight="1" x14ac:dyDescent="0.2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D734" s="125"/>
      <c r="AE734" s="125"/>
    </row>
    <row r="735" spans="1:31" ht="12" customHeight="1" x14ac:dyDescent="0.2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D735" s="125"/>
      <c r="AE735" s="125"/>
    </row>
    <row r="736" spans="1:31" ht="12" customHeight="1" x14ac:dyDescent="0.2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D736" s="125"/>
      <c r="AE736" s="125"/>
    </row>
    <row r="737" spans="1:31" ht="12" customHeight="1" x14ac:dyDescent="0.2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D737" s="125"/>
      <c r="AE737" s="125"/>
    </row>
    <row r="738" spans="1:31" ht="12" customHeight="1" x14ac:dyDescent="0.2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D738" s="125"/>
      <c r="AE738" s="125"/>
    </row>
    <row r="739" spans="1:31" ht="12" customHeight="1" x14ac:dyDescent="0.2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D739" s="125"/>
      <c r="AE739" s="125"/>
    </row>
    <row r="740" spans="1:31" ht="12" customHeight="1" x14ac:dyDescent="0.2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  <c r="AB740" s="125"/>
      <c r="AC740" s="125"/>
      <c r="AD740" s="125"/>
      <c r="AE740" s="125"/>
    </row>
    <row r="741" spans="1:31" ht="12" customHeight="1" x14ac:dyDescent="0.2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  <c r="AB741" s="125"/>
      <c r="AC741" s="125"/>
      <c r="AD741" s="125"/>
      <c r="AE741" s="125"/>
    </row>
    <row r="742" spans="1:31" ht="12" customHeight="1" x14ac:dyDescent="0.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  <c r="AB742" s="125"/>
      <c r="AC742" s="125"/>
      <c r="AD742" s="125"/>
      <c r="AE742" s="125"/>
    </row>
    <row r="743" spans="1:31" ht="12" customHeight="1" x14ac:dyDescent="0.2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  <c r="AB743" s="125"/>
      <c r="AC743" s="125"/>
      <c r="AD743" s="125"/>
      <c r="AE743" s="125"/>
    </row>
    <row r="744" spans="1:31" ht="12" customHeight="1" x14ac:dyDescent="0.2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  <c r="AB744" s="125"/>
      <c r="AC744" s="125"/>
      <c r="AD744" s="125"/>
      <c r="AE744" s="125"/>
    </row>
    <row r="745" spans="1:31" ht="12" customHeight="1" x14ac:dyDescent="0.2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  <c r="AB745" s="125"/>
      <c r="AC745" s="125"/>
      <c r="AD745" s="125"/>
      <c r="AE745" s="125"/>
    </row>
    <row r="746" spans="1:31" ht="12" customHeight="1" x14ac:dyDescent="0.2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  <c r="AB746" s="125"/>
      <c r="AC746" s="125"/>
      <c r="AD746" s="125"/>
      <c r="AE746" s="125"/>
    </row>
    <row r="747" spans="1:31" ht="12" customHeight="1" x14ac:dyDescent="0.2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  <c r="AB747" s="125"/>
      <c r="AC747" s="125"/>
      <c r="AD747" s="125"/>
      <c r="AE747" s="125"/>
    </row>
    <row r="748" spans="1:31" ht="12" customHeight="1" x14ac:dyDescent="0.2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  <c r="AB748" s="125"/>
      <c r="AC748" s="125"/>
      <c r="AD748" s="125"/>
      <c r="AE748" s="125"/>
    </row>
    <row r="749" spans="1:31" ht="12" customHeight="1" x14ac:dyDescent="0.2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  <c r="AB749" s="125"/>
      <c r="AC749" s="125"/>
      <c r="AD749" s="125"/>
      <c r="AE749" s="125"/>
    </row>
    <row r="750" spans="1:31" ht="12" customHeight="1" x14ac:dyDescent="0.2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  <c r="AB750" s="125"/>
      <c r="AC750" s="125"/>
      <c r="AD750" s="125"/>
      <c r="AE750" s="125"/>
    </row>
    <row r="751" spans="1:31" ht="12" customHeight="1" x14ac:dyDescent="0.2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  <c r="AB751" s="125"/>
      <c r="AC751" s="125"/>
      <c r="AD751" s="125"/>
      <c r="AE751" s="125"/>
    </row>
    <row r="752" spans="1:31" ht="12" customHeight="1" x14ac:dyDescent="0.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  <c r="AB752" s="125"/>
      <c r="AC752" s="125"/>
      <c r="AD752" s="125"/>
      <c r="AE752" s="125"/>
    </row>
    <row r="753" spans="1:31" ht="12" customHeight="1" x14ac:dyDescent="0.2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  <c r="AB753" s="125"/>
      <c r="AC753" s="125"/>
      <c r="AD753" s="125"/>
      <c r="AE753" s="125"/>
    </row>
    <row r="754" spans="1:31" ht="12" customHeight="1" x14ac:dyDescent="0.2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  <c r="AB754" s="125"/>
      <c r="AC754" s="125"/>
      <c r="AD754" s="125"/>
      <c r="AE754" s="125"/>
    </row>
    <row r="755" spans="1:31" ht="12" customHeight="1" x14ac:dyDescent="0.2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  <c r="AB755" s="125"/>
      <c r="AC755" s="125"/>
      <c r="AD755" s="125"/>
      <c r="AE755" s="125"/>
    </row>
    <row r="756" spans="1:31" ht="12" customHeight="1" x14ac:dyDescent="0.2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  <c r="AB756" s="125"/>
      <c r="AC756" s="125"/>
      <c r="AD756" s="125"/>
      <c r="AE756" s="125"/>
    </row>
    <row r="757" spans="1:31" ht="12" customHeight="1" x14ac:dyDescent="0.2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  <c r="AB757" s="125"/>
      <c r="AC757" s="125"/>
      <c r="AD757" s="125"/>
      <c r="AE757" s="125"/>
    </row>
    <row r="758" spans="1:31" ht="12" customHeight="1" x14ac:dyDescent="0.2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  <c r="AB758" s="125"/>
      <c r="AC758" s="125"/>
      <c r="AD758" s="125"/>
      <c r="AE758" s="125"/>
    </row>
    <row r="759" spans="1:31" ht="12" customHeight="1" x14ac:dyDescent="0.2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  <c r="AB759" s="125"/>
      <c r="AC759" s="125"/>
      <c r="AD759" s="125"/>
      <c r="AE759" s="125"/>
    </row>
    <row r="760" spans="1:31" ht="12" customHeight="1" x14ac:dyDescent="0.2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  <c r="AB760" s="125"/>
      <c r="AC760" s="125"/>
      <c r="AD760" s="125"/>
      <c r="AE760" s="125"/>
    </row>
    <row r="761" spans="1:31" ht="12" customHeight="1" x14ac:dyDescent="0.2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  <c r="AB761" s="125"/>
      <c r="AC761" s="125"/>
      <c r="AD761" s="125"/>
      <c r="AE761" s="125"/>
    </row>
    <row r="762" spans="1:31" ht="12" customHeight="1" x14ac:dyDescent="0.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  <c r="AB762" s="125"/>
      <c r="AC762" s="125"/>
      <c r="AD762" s="125"/>
      <c r="AE762" s="125"/>
    </row>
    <row r="763" spans="1:31" ht="12" customHeight="1" x14ac:dyDescent="0.2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  <c r="AB763" s="125"/>
      <c r="AC763" s="125"/>
      <c r="AD763" s="125"/>
      <c r="AE763" s="125"/>
    </row>
    <row r="764" spans="1:31" ht="12" customHeight="1" x14ac:dyDescent="0.2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  <c r="AB764" s="125"/>
      <c r="AC764" s="125"/>
      <c r="AD764" s="125"/>
      <c r="AE764" s="125"/>
    </row>
    <row r="765" spans="1:31" ht="12" customHeight="1" x14ac:dyDescent="0.2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  <c r="AB765" s="125"/>
      <c r="AC765" s="125"/>
      <c r="AD765" s="125"/>
      <c r="AE765" s="125"/>
    </row>
    <row r="766" spans="1:31" ht="12" customHeight="1" x14ac:dyDescent="0.2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  <c r="AB766" s="125"/>
      <c r="AC766" s="125"/>
      <c r="AD766" s="125"/>
      <c r="AE766" s="125"/>
    </row>
    <row r="767" spans="1:31" ht="12" customHeight="1" x14ac:dyDescent="0.2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  <c r="AB767" s="125"/>
      <c r="AC767" s="125"/>
      <c r="AD767" s="125"/>
      <c r="AE767" s="125"/>
    </row>
    <row r="768" spans="1:31" ht="12" customHeight="1" x14ac:dyDescent="0.2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  <c r="AB768" s="125"/>
      <c r="AC768" s="125"/>
      <c r="AD768" s="125"/>
      <c r="AE768" s="125"/>
    </row>
    <row r="769" spans="1:31" ht="12" customHeight="1" x14ac:dyDescent="0.2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  <c r="AB769" s="125"/>
      <c r="AC769" s="125"/>
      <c r="AD769" s="125"/>
      <c r="AE769" s="125"/>
    </row>
    <row r="770" spans="1:31" ht="12" customHeight="1" x14ac:dyDescent="0.2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  <c r="AB770" s="125"/>
      <c r="AC770" s="125"/>
      <c r="AD770" s="125"/>
      <c r="AE770" s="125"/>
    </row>
    <row r="771" spans="1:31" ht="12" customHeight="1" x14ac:dyDescent="0.2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  <c r="AB771" s="125"/>
      <c r="AC771" s="125"/>
      <c r="AD771" s="125"/>
      <c r="AE771" s="125"/>
    </row>
    <row r="772" spans="1:31" ht="12" customHeight="1" x14ac:dyDescent="0.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  <c r="AB772" s="125"/>
      <c r="AC772" s="125"/>
      <c r="AD772" s="125"/>
      <c r="AE772" s="125"/>
    </row>
    <row r="773" spans="1:31" ht="12" customHeight="1" x14ac:dyDescent="0.2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  <c r="AB773" s="125"/>
      <c r="AC773" s="125"/>
      <c r="AD773" s="125"/>
      <c r="AE773" s="125"/>
    </row>
    <row r="774" spans="1:31" ht="12" customHeight="1" x14ac:dyDescent="0.2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  <c r="AB774" s="125"/>
      <c r="AC774" s="125"/>
      <c r="AD774" s="125"/>
      <c r="AE774" s="125"/>
    </row>
    <row r="775" spans="1:31" ht="12" customHeight="1" x14ac:dyDescent="0.2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  <c r="AB775" s="125"/>
      <c r="AC775" s="125"/>
      <c r="AD775" s="125"/>
      <c r="AE775" s="125"/>
    </row>
    <row r="776" spans="1:31" ht="12" customHeight="1" x14ac:dyDescent="0.2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  <c r="AB776" s="125"/>
      <c r="AC776" s="125"/>
      <c r="AD776" s="125"/>
      <c r="AE776" s="125"/>
    </row>
    <row r="777" spans="1:31" ht="12" customHeight="1" x14ac:dyDescent="0.2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  <c r="AB777" s="125"/>
      <c r="AC777" s="125"/>
      <c r="AD777" s="125"/>
      <c r="AE777" s="125"/>
    </row>
    <row r="778" spans="1:31" ht="12" customHeight="1" x14ac:dyDescent="0.2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  <c r="AB778" s="125"/>
      <c r="AC778" s="125"/>
      <c r="AD778" s="125"/>
      <c r="AE778" s="125"/>
    </row>
    <row r="779" spans="1:31" ht="12" customHeight="1" x14ac:dyDescent="0.2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  <c r="AB779" s="125"/>
      <c r="AC779" s="125"/>
      <c r="AD779" s="125"/>
      <c r="AE779" s="125"/>
    </row>
    <row r="780" spans="1:31" ht="12" customHeight="1" x14ac:dyDescent="0.2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  <c r="AB780" s="125"/>
      <c r="AC780" s="125"/>
      <c r="AD780" s="125"/>
      <c r="AE780" s="125"/>
    </row>
    <row r="781" spans="1:31" ht="12" customHeight="1" x14ac:dyDescent="0.2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  <c r="AB781" s="125"/>
      <c r="AC781" s="125"/>
      <c r="AD781" s="125"/>
      <c r="AE781" s="125"/>
    </row>
    <row r="782" spans="1:31" ht="12" customHeight="1" x14ac:dyDescent="0.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  <c r="AB782" s="125"/>
      <c r="AC782" s="125"/>
      <c r="AD782" s="125"/>
      <c r="AE782" s="125"/>
    </row>
    <row r="783" spans="1:31" ht="12" customHeight="1" x14ac:dyDescent="0.2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  <c r="AB783" s="125"/>
      <c r="AC783" s="125"/>
      <c r="AD783" s="125"/>
      <c r="AE783" s="125"/>
    </row>
    <row r="784" spans="1:31" ht="12" customHeight="1" x14ac:dyDescent="0.2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  <c r="AB784" s="125"/>
      <c r="AC784" s="125"/>
      <c r="AD784" s="125"/>
      <c r="AE784" s="125"/>
    </row>
    <row r="785" spans="1:31" ht="12" customHeight="1" x14ac:dyDescent="0.2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  <c r="AB785" s="125"/>
      <c r="AC785" s="125"/>
      <c r="AD785" s="125"/>
      <c r="AE785" s="125"/>
    </row>
    <row r="786" spans="1:31" ht="12" customHeight="1" x14ac:dyDescent="0.2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  <c r="AB786" s="125"/>
      <c r="AC786" s="125"/>
      <c r="AD786" s="125"/>
      <c r="AE786" s="125"/>
    </row>
    <row r="787" spans="1:31" ht="12" customHeight="1" x14ac:dyDescent="0.2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  <c r="AB787" s="125"/>
      <c r="AC787" s="125"/>
      <c r="AD787" s="125"/>
      <c r="AE787" s="125"/>
    </row>
    <row r="788" spans="1:31" ht="12" customHeight="1" x14ac:dyDescent="0.2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  <c r="AB788" s="125"/>
      <c r="AC788" s="125"/>
      <c r="AD788" s="125"/>
      <c r="AE788" s="125"/>
    </row>
    <row r="789" spans="1:31" ht="12" customHeight="1" x14ac:dyDescent="0.2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  <c r="AB789" s="125"/>
      <c r="AC789" s="125"/>
      <c r="AD789" s="125"/>
      <c r="AE789" s="125"/>
    </row>
    <row r="790" spans="1:31" ht="12" customHeight="1" x14ac:dyDescent="0.2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  <c r="AB790" s="125"/>
      <c r="AC790" s="125"/>
      <c r="AD790" s="125"/>
      <c r="AE790" s="125"/>
    </row>
    <row r="791" spans="1:31" ht="12" customHeight="1" x14ac:dyDescent="0.2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  <c r="AB791" s="125"/>
      <c r="AC791" s="125"/>
      <c r="AD791" s="125"/>
      <c r="AE791" s="125"/>
    </row>
    <row r="792" spans="1:31" ht="12" customHeight="1" x14ac:dyDescent="0.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  <c r="AB792" s="125"/>
      <c r="AC792" s="125"/>
      <c r="AD792" s="125"/>
      <c r="AE792" s="125"/>
    </row>
    <row r="793" spans="1:31" ht="12" customHeight="1" x14ac:dyDescent="0.2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  <c r="AB793" s="125"/>
      <c r="AC793" s="125"/>
      <c r="AD793" s="125"/>
      <c r="AE793" s="125"/>
    </row>
    <row r="794" spans="1:31" ht="12" customHeight="1" x14ac:dyDescent="0.2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  <c r="AB794" s="125"/>
      <c r="AC794" s="125"/>
      <c r="AD794" s="125"/>
      <c r="AE794" s="125"/>
    </row>
    <row r="795" spans="1:31" ht="12" customHeight="1" x14ac:dyDescent="0.2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  <c r="AB795" s="125"/>
      <c r="AC795" s="125"/>
      <c r="AD795" s="125"/>
      <c r="AE795" s="125"/>
    </row>
    <row r="796" spans="1:31" ht="12" customHeight="1" x14ac:dyDescent="0.2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  <c r="AB796" s="125"/>
      <c r="AC796" s="125"/>
      <c r="AD796" s="125"/>
      <c r="AE796" s="125"/>
    </row>
    <row r="797" spans="1:31" ht="12" customHeight="1" x14ac:dyDescent="0.2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  <c r="AB797" s="125"/>
      <c r="AC797" s="125"/>
      <c r="AD797" s="125"/>
      <c r="AE797" s="125"/>
    </row>
    <row r="798" spans="1:31" ht="12" customHeight="1" x14ac:dyDescent="0.2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  <c r="AB798" s="125"/>
      <c r="AC798" s="125"/>
      <c r="AD798" s="125"/>
      <c r="AE798" s="125"/>
    </row>
    <row r="799" spans="1:31" ht="12" customHeight="1" x14ac:dyDescent="0.2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  <c r="AB799" s="125"/>
      <c r="AC799" s="125"/>
      <c r="AD799" s="125"/>
      <c r="AE799" s="125"/>
    </row>
    <row r="800" spans="1:31" ht="12" customHeight="1" x14ac:dyDescent="0.2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  <c r="AB800" s="125"/>
      <c r="AC800" s="125"/>
      <c r="AD800" s="125"/>
      <c r="AE800" s="125"/>
    </row>
    <row r="801" spans="1:31" ht="12" customHeight="1" x14ac:dyDescent="0.2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  <c r="AB801" s="125"/>
      <c r="AC801" s="125"/>
      <c r="AD801" s="125"/>
      <c r="AE801" s="125"/>
    </row>
    <row r="802" spans="1:31" ht="12" customHeight="1" x14ac:dyDescent="0.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  <c r="AB802" s="125"/>
      <c r="AC802" s="125"/>
      <c r="AD802" s="125"/>
      <c r="AE802" s="125"/>
    </row>
    <row r="803" spans="1:31" ht="12" customHeight="1" x14ac:dyDescent="0.2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  <c r="AB803" s="125"/>
      <c r="AC803" s="125"/>
      <c r="AD803" s="125"/>
      <c r="AE803" s="125"/>
    </row>
    <row r="804" spans="1:31" ht="12" customHeight="1" x14ac:dyDescent="0.2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  <c r="AB804" s="125"/>
      <c r="AC804" s="125"/>
      <c r="AD804" s="125"/>
      <c r="AE804" s="125"/>
    </row>
    <row r="805" spans="1:31" ht="12" customHeight="1" x14ac:dyDescent="0.2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  <c r="AB805" s="125"/>
      <c r="AC805" s="125"/>
      <c r="AD805" s="125"/>
      <c r="AE805" s="125"/>
    </row>
    <row r="806" spans="1:31" ht="12" customHeight="1" x14ac:dyDescent="0.2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  <c r="AB806" s="125"/>
      <c r="AC806" s="125"/>
      <c r="AD806" s="125"/>
      <c r="AE806" s="125"/>
    </row>
    <row r="807" spans="1:31" ht="12" customHeight="1" x14ac:dyDescent="0.2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  <c r="AB807" s="125"/>
      <c r="AC807" s="125"/>
      <c r="AD807" s="125"/>
      <c r="AE807" s="125"/>
    </row>
    <row r="808" spans="1:31" ht="12" customHeight="1" x14ac:dyDescent="0.2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  <c r="AB808" s="125"/>
      <c r="AC808" s="125"/>
      <c r="AD808" s="125"/>
      <c r="AE808" s="125"/>
    </row>
    <row r="809" spans="1:31" ht="12" customHeight="1" x14ac:dyDescent="0.2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  <c r="AB809" s="125"/>
      <c r="AC809" s="125"/>
      <c r="AD809" s="125"/>
      <c r="AE809" s="125"/>
    </row>
    <row r="810" spans="1:31" ht="12" customHeight="1" x14ac:dyDescent="0.2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  <c r="AB810" s="125"/>
      <c r="AC810" s="125"/>
      <c r="AD810" s="125"/>
      <c r="AE810" s="125"/>
    </row>
    <row r="811" spans="1:31" ht="12" customHeight="1" x14ac:dyDescent="0.2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  <c r="AB811" s="125"/>
      <c r="AC811" s="125"/>
      <c r="AD811" s="125"/>
      <c r="AE811" s="125"/>
    </row>
    <row r="812" spans="1:31" ht="12" customHeight="1" x14ac:dyDescent="0.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  <c r="AB812" s="125"/>
      <c r="AC812" s="125"/>
      <c r="AD812" s="125"/>
      <c r="AE812" s="125"/>
    </row>
    <row r="813" spans="1:31" ht="12" customHeight="1" x14ac:dyDescent="0.2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  <c r="AB813" s="125"/>
      <c r="AC813" s="125"/>
      <c r="AD813" s="125"/>
      <c r="AE813" s="125"/>
    </row>
    <row r="814" spans="1:31" ht="12" customHeight="1" x14ac:dyDescent="0.2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  <c r="AB814" s="125"/>
      <c r="AC814" s="125"/>
      <c r="AD814" s="125"/>
      <c r="AE814" s="125"/>
    </row>
    <row r="815" spans="1:31" ht="12" customHeight="1" x14ac:dyDescent="0.2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  <c r="AB815" s="125"/>
      <c r="AC815" s="125"/>
      <c r="AD815" s="125"/>
      <c r="AE815" s="125"/>
    </row>
    <row r="816" spans="1:31" ht="12" customHeight="1" x14ac:dyDescent="0.2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  <c r="AB816" s="125"/>
      <c r="AC816" s="125"/>
      <c r="AD816" s="125"/>
      <c r="AE816" s="125"/>
    </row>
    <row r="817" spans="1:31" ht="12" customHeight="1" x14ac:dyDescent="0.2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  <c r="AB817" s="125"/>
      <c r="AC817" s="125"/>
      <c r="AD817" s="125"/>
      <c r="AE817" s="125"/>
    </row>
    <row r="818" spans="1:31" ht="12" customHeight="1" x14ac:dyDescent="0.2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  <c r="AB818" s="125"/>
      <c r="AC818" s="125"/>
      <c r="AD818" s="125"/>
      <c r="AE818" s="125"/>
    </row>
    <row r="819" spans="1:31" ht="12" customHeight="1" x14ac:dyDescent="0.2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  <c r="AB819" s="125"/>
      <c r="AC819" s="125"/>
      <c r="AD819" s="125"/>
      <c r="AE819" s="125"/>
    </row>
    <row r="820" spans="1:31" ht="12" customHeight="1" x14ac:dyDescent="0.2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  <c r="AB820" s="125"/>
      <c r="AC820" s="125"/>
      <c r="AD820" s="125"/>
      <c r="AE820" s="125"/>
    </row>
    <row r="821" spans="1:31" ht="12" customHeight="1" x14ac:dyDescent="0.2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  <c r="AB821" s="125"/>
      <c r="AC821" s="125"/>
      <c r="AD821" s="125"/>
      <c r="AE821" s="125"/>
    </row>
    <row r="822" spans="1:31" ht="12" customHeight="1" x14ac:dyDescent="0.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  <c r="AB822" s="125"/>
      <c r="AC822" s="125"/>
      <c r="AD822" s="125"/>
      <c r="AE822" s="125"/>
    </row>
    <row r="823" spans="1:31" ht="12" customHeight="1" x14ac:dyDescent="0.2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  <c r="AB823" s="125"/>
      <c r="AC823" s="125"/>
      <c r="AD823" s="125"/>
      <c r="AE823" s="125"/>
    </row>
    <row r="824" spans="1:31" ht="12" customHeight="1" x14ac:dyDescent="0.2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  <c r="AB824" s="125"/>
      <c r="AC824" s="125"/>
      <c r="AD824" s="125"/>
      <c r="AE824" s="125"/>
    </row>
    <row r="825" spans="1:31" ht="12" customHeight="1" x14ac:dyDescent="0.2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  <c r="AB825" s="125"/>
      <c r="AC825" s="125"/>
      <c r="AD825" s="125"/>
      <c r="AE825" s="125"/>
    </row>
    <row r="826" spans="1:31" ht="12" customHeight="1" x14ac:dyDescent="0.2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  <c r="AB826" s="125"/>
      <c r="AC826" s="125"/>
      <c r="AD826" s="125"/>
      <c r="AE826" s="125"/>
    </row>
    <row r="827" spans="1:31" ht="12" customHeight="1" x14ac:dyDescent="0.2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  <c r="AB827" s="125"/>
      <c r="AC827" s="125"/>
      <c r="AD827" s="125"/>
      <c r="AE827" s="125"/>
    </row>
    <row r="828" spans="1:31" ht="12" customHeight="1" x14ac:dyDescent="0.2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  <c r="AB828" s="125"/>
      <c r="AC828" s="125"/>
      <c r="AD828" s="125"/>
      <c r="AE828" s="125"/>
    </row>
    <row r="829" spans="1:31" ht="12" customHeight="1" x14ac:dyDescent="0.2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  <c r="AB829" s="125"/>
      <c r="AC829" s="125"/>
      <c r="AD829" s="125"/>
      <c r="AE829" s="125"/>
    </row>
    <row r="830" spans="1:31" ht="12" customHeight="1" x14ac:dyDescent="0.2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  <c r="AB830" s="125"/>
      <c r="AC830" s="125"/>
      <c r="AD830" s="125"/>
      <c r="AE830" s="125"/>
    </row>
    <row r="831" spans="1:31" ht="12" customHeight="1" x14ac:dyDescent="0.2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  <c r="AB831" s="125"/>
      <c r="AC831" s="125"/>
      <c r="AD831" s="125"/>
      <c r="AE831" s="125"/>
    </row>
    <row r="832" spans="1:31" ht="12" customHeight="1" x14ac:dyDescent="0.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  <c r="AB832" s="125"/>
      <c r="AC832" s="125"/>
      <c r="AD832" s="125"/>
      <c r="AE832" s="125"/>
    </row>
    <row r="833" spans="1:31" ht="12" customHeight="1" x14ac:dyDescent="0.2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  <c r="AB833" s="125"/>
      <c r="AC833" s="125"/>
      <c r="AD833" s="125"/>
      <c r="AE833" s="125"/>
    </row>
    <row r="834" spans="1:31" ht="12" customHeight="1" x14ac:dyDescent="0.2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  <c r="AB834" s="125"/>
      <c r="AC834" s="125"/>
      <c r="AD834" s="125"/>
      <c r="AE834" s="125"/>
    </row>
    <row r="835" spans="1:31" ht="12" customHeight="1" x14ac:dyDescent="0.2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  <c r="AB835" s="125"/>
      <c r="AC835" s="125"/>
      <c r="AD835" s="125"/>
      <c r="AE835" s="125"/>
    </row>
    <row r="836" spans="1:31" ht="12" customHeight="1" x14ac:dyDescent="0.2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  <c r="AB836" s="125"/>
      <c r="AC836" s="125"/>
      <c r="AD836" s="125"/>
      <c r="AE836" s="125"/>
    </row>
    <row r="837" spans="1:31" ht="12" customHeight="1" x14ac:dyDescent="0.2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  <c r="AB837" s="125"/>
      <c r="AC837" s="125"/>
      <c r="AD837" s="125"/>
      <c r="AE837" s="125"/>
    </row>
    <row r="838" spans="1:31" ht="12" customHeight="1" x14ac:dyDescent="0.2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  <c r="AB838" s="125"/>
      <c r="AC838" s="125"/>
      <c r="AD838" s="125"/>
      <c r="AE838" s="125"/>
    </row>
    <row r="839" spans="1:31" ht="12" customHeight="1" x14ac:dyDescent="0.2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  <c r="AB839" s="125"/>
      <c r="AC839" s="125"/>
      <c r="AD839" s="125"/>
      <c r="AE839" s="125"/>
    </row>
    <row r="840" spans="1:31" ht="12" customHeight="1" x14ac:dyDescent="0.2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  <c r="AB840" s="125"/>
      <c r="AC840" s="125"/>
      <c r="AD840" s="125"/>
      <c r="AE840" s="125"/>
    </row>
    <row r="841" spans="1:31" ht="12" customHeight="1" x14ac:dyDescent="0.2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  <c r="AB841" s="125"/>
      <c r="AC841" s="125"/>
      <c r="AD841" s="125"/>
      <c r="AE841" s="125"/>
    </row>
    <row r="842" spans="1:31" ht="12" customHeight="1" x14ac:dyDescent="0.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  <c r="AB842" s="125"/>
      <c r="AC842" s="125"/>
      <c r="AD842" s="125"/>
      <c r="AE842" s="125"/>
    </row>
    <row r="843" spans="1:31" ht="12" customHeight="1" x14ac:dyDescent="0.2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  <c r="AB843" s="125"/>
      <c r="AC843" s="125"/>
      <c r="AD843" s="125"/>
      <c r="AE843" s="125"/>
    </row>
    <row r="844" spans="1:31" ht="12" customHeight="1" x14ac:dyDescent="0.2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  <c r="AB844" s="125"/>
      <c r="AC844" s="125"/>
      <c r="AD844" s="125"/>
      <c r="AE844" s="125"/>
    </row>
    <row r="845" spans="1:31" ht="12" customHeight="1" x14ac:dyDescent="0.2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  <c r="AB845" s="125"/>
      <c r="AC845" s="125"/>
      <c r="AD845" s="125"/>
      <c r="AE845" s="125"/>
    </row>
    <row r="846" spans="1:31" ht="12" customHeight="1" x14ac:dyDescent="0.2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  <c r="AB846" s="125"/>
      <c r="AC846" s="125"/>
      <c r="AD846" s="125"/>
      <c r="AE846" s="125"/>
    </row>
    <row r="847" spans="1:31" ht="12" customHeight="1" x14ac:dyDescent="0.2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  <c r="AB847" s="125"/>
      <c r="AC847" s="125"/>
      <c r="AD847" s="125"/>
      <c r="AE847" s="125"/>
    </row>
    <row r="848" spans="1:31" ht="12" customHeight="1" x14ac:dyDescent="0.2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  <c r="AB848" s="125"/>
      <c r="AC848" s="125"/>
      <c r="AD848" s="125"/>
      <c r="AE848" s="125"/>
    </row>
    <row r="849" spans="1:31" ht="12" customHeight="1" x14ac:dyDescent="0.2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  <c r="AB849" s="125"/>
      <c r="AC849" s="125"/>
      <c r="AD849" s="125"/>
      <c r="AE849" s="125"/>
    </row>
    <row r="850" spans="1:31" ht="12" customHeight="1" x14ac:dyDescent="0.2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  <c r="AB850" s="125"/>
      <c r="AC850" s="125"/>
      <c r="AD850" s="125"/>
      <c r="AE850" s="125"/>
    </row>
    <row r="851" spans="1:31" ht="12" customHeight="1" x14ac:dyDescent="0.2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  <c r="AB851" s="125"/>
      <c r="AC851" s="125"/>
      <c r="AD851" s="125"/>
      <c r="AE851" s="125"/>
    </row>
    <row r="852" spans="1:31" ht="12" customHeight="1" x14ac:dyDescent="0.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  <c r="AB852" s="125"/>
      <c r="AC852" s="125"/>
      <c r="AD852" s="125"/>
      <c r="AE852" s="125"/>
    </row>
    <row r="853" spans="1:31" ht="12" customHeight="1" x14ac:dyDescent="0.2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  <c r="AB853" s="125"/>
      <c r="AC853" s="125"/>
      <c r="AD853" s="125"/>
      <c r="AE853" s="125"/>
    </row>
    <row r="854" spans="1:31" ht="12" customHeight="1" x14ac:dyDescent="0.2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  <c r="AB854" s="125"/>
      <c r="AC854" s="125"/>
      <c r="AD854" s="125"/>
      <c r="AE854" s="125"/>
    </row>
    <row r="855" spans="1:31" ht="12" customHeight="1" x14ac:dyDescent="0.2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  <c r="AB855" s="125"/>
      <c r="AC855" s="125"/>
      <c r="AD855" s="125"/>
      <c r="AE855" s="125"/>
    </row>
    <row r="856" spans="1:31" ht="12" customHeight="1" x14ac:dyDescent="0.2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  <c r="AB856" s="125"/>
      <c r="AC856" s="125"/>
      <c r="AD856" s="125"/>
      <c r="AE856" s="125"/>
    </row>
    <row r="857" spans="1:31" ht="12" customHeight="1" x14ac:dyDescent="0.2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  <c r="AB857" s="125"/>
      <c r="AC857" s="125"/>
      <c r="AD857" s="125"/>
      <c r="AE857" s="125"/>
    </row>
    <row r="858" spans="1:31" ht="12" customHeight="1" x14ac:dyDescent="0.2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  <c r="AB858" s="125"/>
      <c r="AC858" s="125"/>
      <c r="AD858" s="125"/>
      <c r="AE858" s="125"/>
    </row>
    <row r="859" spans="1:31" ht="12" customHeight="1" x14ac:dyDescent="0.2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  <c r="AB859" s="125"/>
      <c r="AC859" s="125"/>
      <c r="AD859" s="125"/>
      <c r="AE859" s="125"/>
    </row>
    <row r="860" spans="1:31" ht="12" customHeight="1" x14ac:dyDescent="0.2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  <c r="AB860" s="125"/>
      <c r="AC860" s="125"/>
      <c r="AD860" s="125"/>
      <c r="AE860" s="125"/>
    </row>
    <row r="861" spans="1:31" ht="12" customHeight="1" x14ac:dyDescent="0.2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  <c r="AB861" s="125"/>
      <c r="AC861" s="125"/>
      <c r="AD861" s="125"/>
      <c r="AE861" s="125"/>
    </row>
    <row r="862" spans="1:31" ht="12" customHeight="1" x14ac:dyDescent="0.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  <c r="AB862" s="125"/>
      <c r="AC862" s="125"/>
      <c r="AD862" s="125"/>
      <c r="AE862" s="125"/>
    </row>
    <row r="863" spans="1:31" ht="12" customHeight="1" x14ac:dyDescent="0.2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  <c r="AB863" s="125"/>
      <c r="AC863" s="125"/>
      <c r="AD863" s="125"/>
      <c r="AE863" s="125"/>
    </row>
    <row r="864" spans="1:31" ht="12" customHeight="1" x14ac:dyDescent="0.2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  <c r="AB864" s="125"/>
      <c r="AC864" s="125"/>
      <c r="AD864" s="125"/>
      <c r="AE864" s="125"/>
    </row>
    <row r="865" spans="1:31" ht="12" customHeight="1" x14ac:dyDescent="0.2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  <c r="AB865" s="125"/>
      <c r="AC865" s="125"/>
      <c r="AD865" s="125"/>
      <c r="AE865" s="125"/>
    </row>
    <row r="866" spans="1:31" ht="12" customHeight="1" x14ac:dyDescent="0.2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  <c r="AB866" s="125"/>
      <c r="AC866" s="125"/>
      <c r="AD866" s="125"/>
      <c r="AE866" s="125"/>
    </row>
    <row r="867" spans="1:31" ht="12" customHeight="1" x14ac:dyDescent="0.2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  <c r="AB867" s="125"/>
      <c r="AC867" s="125"/>
      <c r="AD867" s="125"/>
      <c r="AE867" s="125"/>
    </row>
    <row r="868" spans="1:31" ht="12" customHeight="1" x14ac:dyDescent="0.2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  <c r="AB868" s="125"/>
      <c r="AC868" s="125"/>
      <c r="AD868" s="125"/>
      <c r="AE868" s="125"/>
    </row>
    <row r="869" spans="1:31" ht="12" customHeight="1" x14ac:dyDescent="0.2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  <c r="AB869" s="125"/>
      <c r="AC869" s="125"/>
      <c r="AD869" s="125"/>
      <c r="AE869" s="125"/>
    </row>
    <row r="870" spans="1:31" ht="12" customHeight="1" x14ac:dyDescent="0.2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  <c r="AB870" s="125"/>
      <c r="AC870" s="125"/>
      <c r="AD870" s="125"/>
      <c r="AE870" s="125"/>
    </row>
    <row r="871" spans="1:31" ht="12" customHeight="1" x14ac:dyDescent="0.2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  <c r="AB871" s="125"/>
      <c r="AC871" s="125"/>
      <c r="AD871" s="125"/>
      <c r="AE871" s="125"/>
    </row>
    <row r="872" spans="1:31" ht="12" customHeight="1" x14ac:dyDescent="0.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  <c r="AB872" s="125"/>
      <c r="AC872" s="125"/>
      <c r="AD872" s="125"/>
      <c r="AE872" s="125"/>
    </row>
    <row r="873" spans="1:31" ht="12" customHeight="1" x14ac:dyDescent="0.2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  <c r="AB873" s="125"/>
      <c r="AC873" s="125"/>
      <c r="AD873" s="125"/>
      <c r="AE873" s="125"/>
    </row>
    <row r="874" spans="1:31" ht="12" customHeight="1" x14ac:dyDescent="0.2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  <c r="AB874" s="125"/>
      <c r="AC874" s="125"/>
      <c r="AD874" s="125"/>
      <c r="AE874" s="125"/>
    </row>
    <row r="875" spans="1:31" ht="12" customHeight="1" x14ac:dyDescent="0.2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  <c r="AB875" s="125"/>
      <c r="AC875" s="125"/>
      <c r="AD875" s="125"/>
      <c r="AE875" s="125"/>
    </row>
    <row r="876" spans="1:31" ht="12" customHeight="1" x14ac:dyDescent="0.2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  <c r="AB876" s="125"/>
      <c r="AC876" s="125"/>
      <c r="AD876" s="125"/>
      <c r="AE876" s="125"/>
    </row>
    <row r="877" spans="1:31" ht="12" customHeight="1" x14ac:dyDescent="0.2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  <c r="AB877" s="125"/>
      <c r="AC877" s="125"/>
      <c r="AD877" s="125"/>
      <c r="AE877" s="125"/>
    </row>
    <row r="878" spans="1:31" ht="12" customHeight="1" x14ac:dyDescent="0.2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  <c r="AB878" s="125"/>
      <c r="AC878" s="125"/>
      <c r="AD878" s="125"/>
      <c r="AE878" s="125"/>
    </row>
    <row r="879" spans="1:31" ht="12" customHeight="1" x14ac:dyDescent="0.2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  <c r="AB879" s="125"/>
      <c r="AC879" s="125"/>
      <c r="AD879" s="125"/>
      <c r="AE879" s="125"/>
    </row>
    <row r="880" spans="1:31" ht="12" customHeight="1" x14ac:dyDescent="0.2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  <c r="AB880" s="125"/>
      <c r="AC880" s="125"/>
      <c r="AD880" s="125"/>
      <c r="AE880" s="125"/>
    </row>
    <row r="881" spans="1:31" ht="12" customHeight="1" x14ac:dyDescent="0.2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  <c r="AB881" s="125"/>
      <c r="AC881" s="125"/>
      <c r="AD881" s="125"/>
      <c r="AE881" s="125"/>
    </row>
    <row r="882" spans="1:31" ht="12" customHeight="1" x14ac:dyDescent="0.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  <c r="AB882" s="125"/>
      <c r="AC882" s="125"/>
      <c r="AD882" s="125"/>
      <c r="AE882" s="125"/>
    </row>
    <row r="883" spans="1:31" ht="12" customHeight="1" x14ac:dyDescent="0.2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  <c r="AB883" s="125"/>
      <c r="AC883" s="125"/>
      <c r="AD883" s="125"/>
      <c r="AE883" s="125"/>
    </row>
    <row r="884" spans="1:31" ht="12" customHeight="1" x14ac:dyDescent="0.2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  <c r="AB884" s="125"/>
      <c r="AC884" s="125"/>
      <c r="AD884" s="125"/>
      <c r="AE884" s="125"/>
    </row>
    <row r="885" spans="1:31" ht="12" customHeight="1" x14ac:dyDescent="0.2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  <c r="AB885" s="125"/>
      <c r="AC885" s="125"/>
      <c r="AD885" s="125"/>
      <c r="AE885" s="125"/>
    </row>
    <row r="886" spans="1:31" ht="12" customHeight="1" x14ac:dyDescent="0.2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  <c r="AB886" s="125"/>
      <c r="AC886" s="125"/>
      <c r="AD886" s="125"/>
      <c r="AE886" s="125"/>
    </row>
    <row r="887" spans="1:31" ht="12" customHeight="1" x14ac:dyDescent="0.2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  <c r="AB887" s="125"/>
      <c r="AC887" s="125"/>
      <c r="AD887" s="125"/>
      <c r="AE887" s="125"/>
    </row>
    <row r="888" spans="1:31" ht="12" customHeight="1" x14ac:dyDescent="0.2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  <c r="AB888" s="125"/>
      <c r="AC888" s="125"/>
      <c r="AD888" s="125"/>
      <c r="AE888" s="125"/>
    </row>
    <row r="889" spans="1:31" ht="12" customHeight="1" x14ac:dyDescent="0.2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  <c r="AB889" s="125"/>
      <c r="AC889" s="125"/>
      <c r="AD889" s="125"/>
      <c r="AE889" s="125"/>
    </row>
    <row r="890" spans="1:31" ht="12" customHeight="1" x14ac:dyDescent="0.2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  <c r="AB890" s="125"/>
      <c r="AC890" s="125"/>
      <c r="AD890" s="125"/>
      <c r="AE890" s="125"/>
    </row>
    <row r="891" spans="1:31" ht="12" customHeight="1" x14ac:dyDescent="0.2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  <c r="AB891" s="125"/>
      <c r="AC891" s="125"/>
      <c r="AD891" s="125"/>
      <c r="AE891" s="125"/>
    </row>
    <row r="892" spans="1:31" ht="12" customHeight="1" x14ac:dyDescent="0.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  <c r="AB892" s="125"/>
      <c r="AC892" s="125"/>
      <c r="AD892" s="125"/>
      <c r="AE892" s="125"/>
    </row>
    <row r="893" spans="1:31" ht="12" customHeight="1" x14ac:dyDescent="0.2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  <c r="AB893" s="125"/>
      <c r="AC893" s="125"/>
      <c r="AD893" s="125"/>
      <c r="AE893" s="125"/>
    </row>
    <row r="894" spans="1:31" ht="12" customHeight="1" x14ac:dyDescent="0.2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  <c r="AB894" s="125"/>
      <c r="AC894" s="125"/>
      <c r="AD894" s="125"/>
      <c r="AE894" s="125"/>
    </row>
    <row r="895" spans="1:31" ht="12" customHeight="1" x14ac:dyDescent="0.2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  <c r="AB895" s="125"/>
      <c r="AC895" s="125"/>
      <c r="AD895" s="125"/>
      <c r="AE895" s="125"/>
    </row>
    <row r="896" spans="1:31" ht="12" customHeight="1" x14ac:dyDescent="0.2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  <c r="AB896" s="125"/>
      <c r="AC896" s="125"/>
      <c r="AD896" s="125"/>
      <c r="AE896" s="125"/>
    </row>
    <row r="897" spans="1:31" ht="12" customHeight="1" x14ac:dyDescent="0.2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  <c r="AB897" s="125"/>
      <c r="AC897" s="125"/>
      <c r="AD897" s="125"/>
      <c r="AE897" s="125"/>
    </row>
    <row r="898" spans="1:31" ht="12" customHeight="1" x14ac:dyDescent="0.2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  <c r="AB898" s="125"/>
      <c r="AC898" s="125"/>
      <c r="AD898" s="125"/>
      <c r="AE898" s="125"/>
    </row>
    <row r="899" spans="1:31" ht="12" customHeight="1" x14ac:dyDescent="0.2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  <c r="AB899" s="125"/>
      <c r="AC899" s="125"/>
      <c r="AD899" s="125"/>
      <c r="AE899" s="125"/>
    </row>
    <row r="900" spans="1:31" ht="12" customHeight="1" x14ac:dyDescent="0.2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  <c r="AB900" s="125"/>
      <c r="AC900" s="125"/>
      <c r="AD900" s="125"/>
      <c r="AE900" s="125"/>
    </row>
    <row r="901" spans="1:31" ht="12" customHeight="1" x14ac:dyDescent="0.2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  <c r="AB901" s="125"/>
      <c r="AC901" s="125"/>
      <c r="AD901" s="125"/>
      <c r="AE901" s="125"/>
    </row>
    <row r="902" spans="1:31" ht="12" customHeight="1" x14ac:dyDescent="0.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  <c r="AB902" s="125"/>
      <c r="AC902" s="125"/>
      <c r="AD902" s="125"/>
      <c r="AE902" s="125"/>
    </row>
    <row r="903" spans="1:31" ht="12" customHeight="1" x14ac:dyDescent="0.2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  <c r="AB903" s="125"/>
      <c r="AC903" s="125"/>
      <c r="AD903" s="125"/>
      <c r="AE903" s="125"/>
    </row>
    <row r="904" spans="1:31" ht="12" customHeight="1" x14ac:dyDescent="0.2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  <c r="AB904" s="125"/>
      <c r="AC904" s="125"/>
      <c r="AD904" s="125"/>
      <c r="AE904" s="125"/>
    </row>
    <row r="905" spans="1:31" ht="12" customHeight="1" x14ac:dyDescent="0.2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  <c r="AB905" s="125"/>
      <c r="AC905" s="125"/>
      <c r="AD905" s="125"/>
      <c r="AE905" s="125"/>
    </row>
    <row r="906" spans="1:31" ht="12" customHeight="1" x14ac:dyDescent="0.2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  <c r="AB906" s="125"/>
      <c r="AC906" s="125"/>
      <c r="AD906" s="125"/>
      <c r="AE906" s="125"/>
    </row>
    <row r="907" spans="1:31" ht="12" customHeight="1" x14ac:dyDescent="0.2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  <c r="AB907" s="125"/>
      <c r="AC907" s="125"/>
      <c r="AD907" s="125"/>
      <c r="AE907" s="125"/>
    </row>
    <row r="908" spans="1:31" ht="12" customHeight="1" x14ac:dyDescent="0.2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  <c r="AB908" s="125"/>
      <c r="AC908" s="125"/>
      <c r="AD908" s="125"/>
      <c r="AE908" s="125"/>
    </row>
    <row r="909" spans="1:31" ht="12" customHeight="1" x14ac:dyDescent="0.2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  <c r="AB909" s="125"/>
      <c r="AC909" s="125"/>
      <c r="AD909" s="125"/>
      <c r="AE909" s="125"/>
    </row>
    <row r="910" spans="1:31" ht="12" customHeight="1" x14ac:dyDescent="0.2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  <c r="AB910" s="125"/>
      <c r="AC910" s="125"/>
      <c r="AD910" s="125"/>
      <c r="AE910" s="125"/>
    </row>
    <row r="911" spans="1:31" ht="12" customHeight="1" x14ac:dyDescent="0.2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  <c r="AB911" s="125"/>
      <c r="AC911" s="125"/>
      <c r="AD911" s="125"/>
      <c r="AE911" s="125"/>
    </row>
    <row r="912" spans="1:31" ht="12" customHeight="1" x14ac:dyDescent="0.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  <c r="AB912" s="125"/>
      <c r="AC912" s="125"/>
      <c r="AD912" s="125"/>
      <c r="AE912" s="125"/>
    </row>
    <row r="913" spans="1:31" ht="12" customHeight="1" x14ac:dyDescent="0.2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  <c r="AB913" s="125"/>
      <c r="AC913" s="125"/>
      <c r="AD913" s="125"/>
      <c r="AE913" s="125"/>
    </row>
    <row r="914" spans="1:31" ht="12" customHeight="1" x14ac:dyDescent="0.2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  <c r="AB914" s="125"/>
      <c r="AC914" s="125"/>
      <c r="AD914" s="125"/>
      <c r="AE914" s="125"/>
    </row>
    <row r="915" spans="1:31" ht="12" customHeight="1" x14ac:dyDescent="0.2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  <c r="AB915" s="125"/>
      <c r="AC915" s="125"/>
      <c r="AD915" s="125"/>
      <c r="AE915" s="125"/>
    </row>
    <row r="916" spans="1:31" ht="12" customHeight="1" x14ac:dyDescent="0.2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  <c r="AB916" s="125"/>
      <c r="AC916" s="125"/>
      <c r="AD916" s="125"/>
      <c r="AE916" s="125"/>
    </row>
    <row r="917" spans="1:31" ht="12" customHeight="1" x14ac:dyDescent="0.2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  <c r="AB917" s="125"/>
      <c r="AC917" s="125"/>
      <c r="AD917" s="125"/>
      <c r="AE917" s="125"/>
    </row>
    <row r="918" spans="1:31" ht="12" customHeight="1" x14ac:dyDescent="0.2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  <c r="AB918" s="125"/>
      <c r="AC918" s="125"/>
      <c r="AD918" s="125"/>
      <c r="AE918" s="125"/>
    </row>
    <row r="919" spans="1:31" ht="12" customHeight="1" x14ac:dyDescent="0.2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  <c r="AB919" s="125"/>
      <c r="AC919" s="125"/>
      <c r="AD919" s="125"/>
      <c r="AE919" s="125"/>
    </row>
    <row r="920" spans="1:31" ht="12" customHeight="1" x14ac:dyDescent="0.2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  <c r="AB920" s="125"/>
      <c r="AC920" s="125"/>
      <c r="AD920" s="125"/>
      <c r="AE920" s="125"/>
    </row>
    <row r="921" spans="1:31" ht="12" customHeight="1" x14ac:dyDescent="0.2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  <c r="AB921" s="125"/>
      <c r="AC921" s="125"/>
      <c r="AD921" s="125"/>
      <c r="AE921" s="125"/>
    </row>
    <row r="922" spans="1:31" ht="12" customHeight="1" x14ac:dyDescent="0.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  <c r="AB922" s="125"/>
      <c r="AC922" s="125"/>
      <c r="AD922" s="125"/>
      <c r="AE922" s="125"/>
    </row>
    <row r="923" spans="1:31" ht="12" customHeight="1" x14ac:dyDescent="0.2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  <c r="AB923" s="125"/>
      <c r="AC923" s="125"/>
      <c r="AD923" s="125"/>
      <c r="AE923" s="125"/>
    </row>
    <row r="924" spans="1:31" ht="12" customHeight="1" x14ac:dyDescent="0.2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  <c r="AB924" s="125"/>
      <c r="AC924" s="125"/>
      <c r="AD924" s="125"/>
      <c r="AE924" s="125"/>
    </row>
    <row r="925" spans="1:31" ht="12" customHeight="1" x14ac:dyDescent="0.2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  <c r="AB925" s="125"/>
      <c r="AC925" s="125"/>
      <c r="AD925" s="125"/>
      <c r="AE925" s="125"/>
    </row>
    <row r="926" spans="1:31" ht="12" customHeight="1" x14ac:dyDescent="0.2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  <c r="AB926" s="125"/>
      <c r="AC926" s="125"/>
      <c r="AD926" s="125"/>
      <c r="AE926" s="125"/>
    </row>
    <row r="927" spans="1:31" ht="12" customHeight="1" x14ac:dyDescent="0.2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  <c r="AB927" s="125"/>
      <c r="AC927" s="125"/>
      <c r="AD927" s="125"/>
      <c r="AE927" s="125"/>
    </row>
    <row r="928" spans="1:31" ht="12" customHeight="1" x14ac:dyDescent="0.2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  <c r="AB928" s="125"/>
      <c r="AC928" s="125"/>
      <c r="AD928" s="125"/>
      <c r="AE928" s="125"/>
    </row>
    <row r="929" spans="1:31" ht="12" customHeight="1" x14ac:dyDescent="0.2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  <c r="AB929" s="125"/>
      <c r="AC929" s="125"/>
      <c r="AD929" s="125"/>
      <c r="AE929" s="125"/>
    </row>
    <row r="930" spans="1:31" ht="12" customHeight="1" x14ac:dyDescent="0.2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  <c r="AB930" s="125"/>
      <c r="AC930" s="125"/>
      <c r="AD930" s="125"/>
      <c r="AE930" s="125"/>
    </row>
    <row r="931" spans="1:31" ht="12" customHeight="1" x14ac:dyDescent="0.2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  <c r="AB931" s="125"/>
      <c r="AC931" s="125"/>
      <c r="AD931" s="125"/>
      <c r="AE931" s="125"/>
    </row>
    <row r="932" spans="1:31" ht="12" customHeight="1" x14ac:dyDescent="0.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  <c r="AB932" s="125"/>
      <c r="AC932" s="125"/>
      <c r="AD932" s="125"/>
      <c r="AE932" s="125"/>
    </row>
    <row r="933" spans="1:31" ht="12" customHeight="1" x14ac:dyDescent="0.2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  <c r="AB933" s="125"/>
      <c r="AC933" s="125"/>
      <c r="AD933" s="125"/>
      <c r="AE933" s="125"/>
    </row>
    <row r="934" spans="1:31" ht="12" customHeight="1" x14ac:dyDescent="0.2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  <c r="AB934" s="125"/>
      <c r="AC934" s="125"/>
      <c r="AD934" s="125"/>
      <c r="AE934" s="125"/>
    </row>
    <row r="935" spans="1:31" ht="12" customHeight="1" x14ac:dyDescent="0.2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  <c r="AB935" s="125"/>
      <c r="AC935" s="125"/>
      <c r="AD935" s="125"/>
      <c r="AE935" s="125"/>
    </row>
    <row r="936" spans="1:31" ht="12" customHeight="1" x14ac:dyDescent="0.2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  <c r="AB936" s="125"/>
      <c r="AC936" s="125"/>
      <c r="AD936" s="125"/>
      <c r="AE936" s="125"/>
    </row>
    <row r="937" spans="1:31" ht="12" customHeight="1" x14ac:dyDescent="0.2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  <c r="AB937" s="125"/>
      <c r="AC937" s="125"/>
      <c r="AD937" s="125"/>
      <c r="AE937" s="125"/>
    </row>
    <row r="938" spans="1:31" ht="12" customHeight="1" x14ac:dyDescent="0.2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  <c r="AB938" s="125"/>
      <c r="AC938" s="125"/>
      <c r="AD938" s="125"/>
      <c r="AE938" s="125"/>
    </row>
    <row r="939" spans="1:31" ht="12" customHeight="1" x14ac:dyDescent="0.2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  <c r="AB939" s="125"/>
      <c r="AC939" s="125"/>
      <c r="AD939" s="125"/>
      <c r="AE939" s="125"/>
    </row>
    <row r="940" spans="1:31" ht="12" customHeight="1" x14ac:dyDescent="0.2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  <c r="AB940" s="125"/>
      <c r="AC940" s="125"/>
      <c r="AD940" s="125"/>
      <c r="AE940" s="125"/>
    </row>
    <row r="941" spans="1:31" ht="12" customHeight="1" x14ac:dyDescent="0.2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  <c r="AB941" s="125"/>
      <c r="AC941" s="125"/>
      <c r="AD941" s="125"/>
      <c r="AE941" s="125"/>
    </row>
    <row r="942" spans="1:31" ht="12" customHeight="1" x14ac:dyDescent="0.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  <c r="AB942" s="125"/>
      <c r="AC942" s="125"/>
      <c r="AD942" s="125"/>
      <c r="AE942" s="125"/>
    </row>
    <row r="943" spans="1:31" ht="12" customHeight="1" x14ac:dyDescent="0.2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  <c r="AB943" s="125"/>
      <c r="AC943" s="125"/>
      <c r="AD943" s="125"/>
      <c r="AE943" s="125"/>
    </row>
    <row r="944" spans="1:31" ht="12" customHeight="1" x14ac:dyDescent="0.2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  <c r="AB944" s="125"/>
      <c r="AC944" s="125"/>
      <c r="AD944" s="125"/>
      <c r="AE944" s="125"/>
    </row>
    <row r="945" spans="1:31" ht="12" customHeight="1" x14ac:dyDescent="0.2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  <c r="AB945" s="125"/>
      <c r="AC945" s="125"/>
      <c r="AD945" s="125"/>
      <c r="AE945" s="125"/>
    </row>
    <row r="946" spans="1:31" ht="12" customHeight="1" x14ac:dyDescent="0.2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  <c r="AB946" s="125"/>
      <c r="AC946" s="125"/>
      <c r="AD946" s="125"/>
      <c r="AE946" s="125"/>
    </row>
    <row r="947" spans="1:31" ht="12" customHeight="1" x14ac:dyDescent="0.2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  <c r="AB947" s="125"/>
      <c r="AC947" s="125"/>
      <c r="AD947" s="125"/>
      <c r="AE947" s="125"/>
    </row>
    <row r="948" spans="1:31" ht="12" customHeight="1" x14ac:dyDescent="0.2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  <c r="AB948" s="125"/>
      <c r="AC948" s="125"/>
      <c r="AD948" s="125"/>
      <c r="AE948" s="125"/>
    </row>
    <row r="949" spans="1:31" ht="12" customHeight="1" x14ac:dyDescent="0.2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  <c r="AB949" s="125"/>
      <c r="AC949" s="125"/>
      <c r="AD949" s="125"/>
      <c r="AE949" s="125"/>
    </row>
    <row r="950" spans="1:31" ht="12" customHeight="1" x14ac:dyDescent="0.2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  <c r="AB950" s="125"/>
      <c r="AC950" s="125"/>
      <c r="AD950" s="125"/>
      <c r="AE950" s="125"/>
    </row>
    <row r="951" spans="1:31" ht="12" customHeight="1" x14ac:dyDescent="0.2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  <c r="AB951" s="125"/>
      <c r="AC951" s="125"/>
      <c r="AD951" s="125"/>
      <c r="AE951" s="125"/>
    </row>
    <row r="952" spans="1:31" ht="12" customHeight="1" x14ac:dyDescent="0.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  <c r="AB952" s="125"/>
      <c r="AC952" s="125"/>
      <c r="AD952" s="125"/>
      <c r="AE952" s="125"/>
    </row>
    <row r="953" spans="1:31" ht="12" customHeight="1" x14ac:dyDescent="0.2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  <c r="AB953" s="125"/>
      <c r="AC953" s="125"/>
      <c r="AD953" s="125"/>
      <c r="AE953" s="125"/>
    </row>
    <row r="954" spans="1:31" ht="12" customHeight="1" x14ac:dyDescent="0.2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  <c r="AB954" s="125"/>
      <c r="AC954" s="125"/>
      <c r="AD954" s="125"/>
      <c r="AE954" s="125"/>
    </row>
    <row r="955" spans="1:31" ht="12" customHeight="1" x14ac:dyDescent="0.2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  <c r="AB955" s="125"/>
      <c r="AC955" s="125"/>
      <c r="AD955" s="125"/>
      <c r="AE955" s="125"/>
    </row>
    <row r="956" spans="1:31" ht="12" customHeight="1" x14ac:dyDescent="0.2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  <c r="AB956" s="125"/>
      <c r="AC956" s="125"/>
      <c r="AD956" s="125"/>
      <c r="AE956" s="125"/>
    </row>
    <row r="957" spans="1:31" ht="12" customHeight="1" x14ac:dyDescent="0.2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  <c r="AB957" s="125"/>
      <c r="AC957" s="125"/>
      <c r="AD957" s="125"/>
      <c r="AE957" s="125"/>
    </row>
    <row r="958" spans="1:31" ht="12" customHeight="1" x14ac:dyDescent="0.2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  <c r="AB958" s="125"/>
      <c r="AC958" s="125"/>
      <c r="AD958" s="125"/>
      <c r="AE958" s="125"/>
    </row>
    <row r="959" spans="1:31" ht="12" customHeight="1" x14ac:dyDescent="0.2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  <c r="AB959" s="125"/>
      <c r="AC959" s="125"/>
      <c r="AD959" s="125"/>
      <c r="AE959" s="125"/>
    </row>
    <row r="960" spans="1:31" ht="12" customHeight="1" x14ac:dyDescent="0.2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  <c r="AB960" s="125"/>
      <c r="AC960" s="125"/>
      <c r="AD960" s="125"/>
      <c r="AE960" s="125"/>
    </row>
    <row r="961" spans="1:31" ht="12" customHeight="1" x14ac:dyDescent="0.2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  <c r="AB961" s="125"/>
      <c r="AC961" s="125"/>
      <c r="AD961" s="125"/>
      <c r="AE961" s="125"/>
    </row>
    <row r="962" spans="1:31" ht="12" customHeight="1" x14ac:dyDescent="0.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  <c r="AB962" s="125"/>
      <c r="AC962" s="125"/>
      <c r="AD962" s="125"/>
      <c r="AE962" s="125"/>
    </row>
    <row r="963" spans="1:31" ht="12" customHeight="1" x14ac:dyDescent="0.2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  <c r="AB963" s="125"/>
      <c r="AC963" s="125"/>
      <c r="AD963" s="125"/>
      <c r="AE963" s="125"/>
    </row>
    <row r="964" spans="1:31" ht="12" customHeight="1" x14ac:dyDescent="0.2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  <c r="AB964" s="125"/>
      <c r="AC964" s="125"/>
      <c r="AD964" s="125"/>
      <c r="AE964" s="125"/>
    </row>
    <row r="965" spans="1:31" ht="12" customHeight="1" x14ac:dyDescent="0.2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  <c r="AB965" s="125"/>
      <c r="AC965" s="125"/>
      <c r="AD965" s="125"/>
      <c r="AE965" s="125"/>
    </row>
    <row r="966" spans="1:31" ht="12" customHeight="1" x14ac:dyDescent="0.2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  <c r="AB966" s="125"/>
      <c r="AC966" s="125"/>
      <c r="AD966" s="125"/>
      <c r="AE966" s="125"/>
    </row>
    <row r="967" spans="1:31" ht="12" customHeight="1" x14ac:dyDescent="0.2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  <c r="AB967" s="125"/>
      <c r="AC967" s="125"/>
      <c r="AD967" s="125"/>
      <c r="AE967" s="125"/>
    </row>
    <row r="968" spans="1:31" ht="12" customHeight="1" x14ac:dyDescent="0.2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  <c r="AB968" s="125"/>
      <c r="AC968" s="125"/>
      <c r="AD968" s="125"/>
      <c r="AE968" s="125"/>
    </row>
    <row r="969" spans="1:31" ht="12" customHeight="1" x14ac:dyDescent="0.2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  <c r="AB969" s="125"/>
      <c r="AC969" s="125"/>
      <c r="AD969" s="125"/>
      <c r="AE969" s="125"/>
    </row>
    <row r="970" spans="1:31" ht="12" customHeight="1" x14ac:dyDescent="0.2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  <c r="AB970" s="125"/>
      <c r="AC970" s="125"/>
      <c r="AD970" s="125"/>
      <c r="AE970" s="125"/>
    </row>
    <row r="971" spans="1:31" ht="12" customHeight="1" x14ac:dyDescent="0.2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  <c r="AB971" s="125"/>
      <c r="AC971" s="125"/>
      <c r="AD971" s="125"/>
      <c r="AE971" s="125"/>
    </row>
    <row r="972" spans="1:31" ht="12" customHeight="1" x14ac:dyDescent="0.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  <c r="AB972" s="125"/>
      <c r="AC972" s="125"/>
      <c r="AD972" s="125"/>
      <c r="AE972" s="125"/>
    </row>
    <row r="973" spans="1:31" ht="12" customHeight="1" x14ac:dyDescent="0.2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  <c r="AB973" s="125"/>
      <c r="AC973" s="125"/>
      <c r="AD973" s="125"/>
      <c r="AE973" s="125"/>
    </row>
    <row r="974" spans="1:31" ht="12" customHeight="1" x14ac:dyDescent="0.2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  <c r="AB974" s="125"/>
      <c r="AC974" s="125"/>
      <c r="AD974" s="125"/>
      <c r="AE974" s="125"/>
    </row>
    <row r="975" spans="1:31" ht="12" customHeight="1" x14ac:dyDescent="0.2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  <c r="AB975" s="125"/>
      <c r="AC975" s="125"/>
      <c r="AD975" s="125"/>
      <c r="AE975" s="125"/>
    </row>
    <row r="976" spans="1:31" ht="12" customHeight="1" x14ac:dyDescent="0.2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  <c r="AB976" s="125"/>
      <c r="AC976" s="125"/>
      <c r="AD976" s="125"/>
      <c r="AE976" s="125"/>
    </row>
    <row r="977" spans="1:31" ht="12" customHeight="1" x14ac:dyDescent="0.2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  <c r="AB977" s="125"/>
      <c r="AC977" s="125"/>
      <c r="AD977" s="125"/>
      <c r="AE977" s="125"/>
    </row>
    <row r="978" spans="1:31" ht="12" customHeight="1" x14ac:dyDescent="0.2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  <c r="AB978" s="125"/>
      <c r="AC978" s="125"/>
      <c r="AD978" s="125"/>
      <c r="AE978" s="125"/>
    </row>
    <row r="979" spans="1:31" ht="12" customHeight="1" x14ac:dyDescent="0.2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  <c r="AB979" s="125"/>
      <c r="AC979" s="125"/>
      <c r="AD979" s="125"/>
      <c r="AE979" s="125"/>
    </row>
    <row r="980" spans="1:31" ht="12" customHeight="1" x14ac:dyDescent="0.2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  <c r="AB980" s="125"/>
      <c r="AC980" s="125"/>
      <c r="AD980" s="125"/>
      <c r="AE980" s="125"/>
    </row>
    <row r="981" spans="1:31" ht="12" customHeight="1" x14ac:dyDescent="0.2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  <c r="AB981" s="125"/>
      <c r="AC981" s="125"/>
      <c r="AD981" s="125"/>
      <c r="AE981" s="125"/>
    </row>
    <row r="982" spans="1:31" ht="12" customHeight="1" x14ac:dyDescent="0.2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  <c r="AB982" s="125"/>
      <c r="AC982" s="125"/>
      <c r="AD982" s="125"/>
      <c r="AE982" s="125"/>
    </row>
    <row r="983" spans="1:31" ht="12" customHeight="1" x14ac:dyDescent="0.2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  <c r="AB983" s="125"/>
      <c r="AC983" s="125"/>
      <c r="AD983" s="125"/>
      <c r="AE983" s="125"/>
    </row>
    <row r="984" spans="1:31" ht="12" customHeight="1" x14ac:dyDescent="0.2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  <c r="AB984" s="125"/>
      <c r="AC984" s="125"/>
      <c r="AD984" s="125"/>
      <c r="AE984" s="125"/>
    </row>
    <row r="985" spans="1:31" ht="12" customHeight="1" x14ac:dyDescent="0.2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  <c r="AB985" s="125"/>
      <c r="AC985" s="125"/>
      <c r="AD985" s="125"/>
      <c r="AE985" s="125"/>
    </row>
    <row r="986" spans="1:31" ht="12" customHeight="1" x14ac:dyDescent="0.2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  <c r="AB986" s="125"/>
      <c r="AC986" s="125"/>
      <c r="AD986" s="125"/>
      <c r="AE986" s="125"/>
    </row>
    <row r="987" spans="1:31" ht="12" customHeight="1" x14ac:dyDescent="0.2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  <c r="AB987" s="125"/>
      <c r="AC987" s="125"/>
      <c r="AD987" s="125"/>
      <c r="AE987" s="125"/>
    </row>
    <row r="988" spans="1:31" ht="12" customHeight="1" x14ac:dyDescent="0.2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  <c r="AB988" s="125"/>
      <c r="AC988" s="125"/>
      <c r="AD988" s="125"/>
      <c r="AE988" s="125"/>
    </row>
    <row r="989" spans="1:31" ht="12" customHeight="1" x14ac:dyDescent="0.2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  <c r="AB989" s="125"/>
      <c r="AC989" s="125"/>
      <c r="AD989" s="125"/>
      <c r="AE989" s="125"/>
    </row>
    <row r="990" spans="1:31" ht="12" customHeight="1" x14ac:dyDescent="0.2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  <c r="AB990" s="125"/>
      <c r="AC990" s="125"/>
      <c r="AD990" s="125"/>
      <c r="AE990" s="125"/>
    </row>
    <row r="991" spans="1:31" ht="12" customHeight="1" x14ac:dyDescent="0.2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  <c r="AB991" s="125"/>
      <c r="AC991" s="125"/>
      <c r="AD991" s="125"/>
      <c r="AE991" s="125"/>
    </row>
    <row r="992" spans="1:31" ht="12" customHeight="1" x14ac:dyDescent="0.2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  <c r="AB992" s="125"/>
      <c r="AC992" s="125"/>
      <c r="AD992" s="125"/>
      <c r="AE992" s="125"/>
    </row>
    <row r="993" spans="1:31" ht="12" customHeight="1" x14ac:dyDescent="0.2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  <c r="AB993" s="125"/>
      <c r="AC993" s="125"/>
      <c r="AD993" s="125"/>
      <c r="AE993" s="125"/>
    </row>
    <row r="994" spans="1:31" ht="12" customHeight="1" x14ac:dyDescent="0.2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  <c r="AB994" s="125"/>
      <c r="AC994" s="125"/>
      <c r="AD994" s="125"/>
      <c r="AE994" s="125"/>
    </row>
    <row r="995" spans="1:31" ht="12" customHeight="1" x14ac:dyDescent="0.2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  <c r="AB995" s="125"/>
      <c r="AC995" s="125"/>
      <c r="AD995" s="125"/>
      <c r="AE995" s="125"/>
    </row>
    <row r="996" spans="1:31" ht="12" customHeight="1" x14ac:dyDescent="0.2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  <c r="AB996" s="125"/>
      <c r="AC996" s="125"/>
      <c r="AD996" s="125"/>
      <c r="AE996" s="125"/>
    </row>
    <row r="997" spans="1:31" ht="12" customHeight="1" x14ac:dyDescent="0.2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  <c r="AB997" s="125"/>
      <c r="AC997" s="125"/>
      <c r="AD997" s="125"/>
      <c r="AE997" s="125"/>
    </row>
    <row r="998" spans="1:31" ht="12" customHeight="1" x14ac:dyDescent="0.2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  <c r="AB998" s="125"/>
      <c r="AC998" s="125"/>
      <c r="AD998" s="125"/>
      <c r="AE998" s="125"/>
    </row>
    <row r="999" spans="1:31" ht="12" customHeight="1" x14ac:dyDescent="0.2">
      <c r="A999" s="125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  <c r="AA999" s="125"/>
      <c r="AB999" s="125"/>
      <c r="AC999" s="125"/>
      <c r="AD999" s="125"/>
      <c r="AE999" s="125"/>
    </row>
    <row r="1000" spans="1:31" ht="12" customHeight="1" x14ac:dyDescent="0.2">
      <c r="A1000" s="125"/>
      <c r="B1000" s="125"/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  <c r="AA1000" s="125"/>
      <c r="AB1000" s="125"/>
      <c r="AC1000" s="125"/>
      <c r="AD1000" s="125"/>
      <c r="AE1000" s="125"/>
    </row>
    <row r="1001" spans="1:31" ht="12" customHeight="1" x14ac:dyDescent="0.2">
      <c r="A1001" s="125"/>
      <c r="B1001" s="125"/>
      <c r="C1001" s="125"/>
      <c r="D1001" s="125"/>
      <c r="E1001" s="125"/>
      <c r="F1001" s="125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125"/>
      <c r="V1001" s="125"/>
      <c r="W1001" s="125"/>
      <c r="X1001" s="125"/>
      <c r="Y1001" s="125"/>
      <c r="Z1001" s="125"/>
      <c r="AA1001" s="125"/>
      <c r="AB1001" s="125"/>
      <c r="AC1001" s="125"/>
      <c r="AD1001" s="125"/>
      <c r="AE1001" s="125"/>
    </row>
    <row r="1002" spans="1:31" ht="12" customHeight="1" x14ac:dyDescent="0.2">
      <c r="A1002" s="125"/>
      <c r="B1002" s="125"/>
      <c r="C1002" s="125"/>
      <c r="D1002" s="125"/>
      <c r="E1002" s="125"/>
      <c r="F1002" s="125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125"/>
      <c r="V1002" s="125"/>
      <c r="W1002" s="125"/>
      <c r="X1002" s="125"/>
      <c r="Y1002" s="125"/>
      <c r="Z1002" s="125"/>
      <c r="AA1002" s="125"/>
      <c r="AB1002" s="125"/>
      <c r="AC1002" s="125"/>
      <c r="AD1002" s="125"/>
      <c r="AE1002" s="125"/>
    </row>
    <row r="1003" spans="1:31" ht="12" customHeight="1" x14ac:dyDescent="0.2">
      <c r="A1003" s="125"/>
      <c r="B1003" s="125"/>
      <c r="C1003" s="125"/>
      <c r="D1003" s="125"/>
      <c r="E1003" s="125"/>
      <c r="F1003" s="125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125"/>
      <c r="V1003" s="125"/>
      <c r="W1003" s="125"/>
      <c r="X1003" s="125"/>
      <c r="Y1003" s="125"/>
      <c r="Z1003" s="125"/>
      <c r="AA1003" s="125"/>
      <c r="AB1003" s="125"/>
      <c r="AC1003" s="125"/>
      <c r="AD1003" s="125"/>
      <c r="AE1003" s="125"/>
    </row>
    <row r="1004" spans="1:31" ht="12" customHeight="1" x14ac:dyDescent="0.2">
      <c r="A1004" s="125"/>
      <c r="B1004" s="125"/>
      <c r="C1004" s="125"/>
      <c r="D1004" s="125"/>
      <c r="E1004" s="125"/>
      <c r="F1004" s="125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125"/>
      <c r="V1004" s="125"/>
      <c r="W1004" s="125"/>
      <c r="X1004" s="125"/>
      <c r="Y1004" s="125"/>
      <c r="Z1004" s="125"/>
      <c r="AA1004" s="125"/>
      <c r="AB1004" s="125"/>
      <c r="AC1004" s="125"/>
      <c r="AD1004" s="125"/>
      <c r="AE1004" s="125"/>
    </row>
    <row r="1005" spans="1:31" ht="12" customHeight="1" x14ac:dyDescent="0.2">
      <c r="A1005" s="125"/>
      <c r="B1005" s="125"/>
      <c r="C1005" s="125"/>
      <c r="D1005" s="125"/>
      <c r="E1005" s="125"/>
      <c r="F1005" s="125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125"/>
      <c r="V1005" s="125"/>
      <c r="W1005" s="125"/>
      <c r="X1005" s="125"/>
      <c r="Y1005" s="125"/>
      <c r="Z1005" s="125"/>
      <c r="AA1005" s="125"/>
      <c r="AB1005" s="125"/>
      <c r="AC1005" s="125"/>
      <c r="AD1005" s="125"/>
      <c r="AE1005" s="125"/>
    </row>
    <row r="1006" spans="1:31" ht="12" customHeight="1" x14ac:dyDescent="0.2">
      <c r="A1006" s="125"/>
      <c r="B1006" s="125"/>
      <c r="C1006" s="125"/>
      <c r="D1006" s="125"/>
      <c r="E1006" s="125"/>
      <c r="F1006" s="125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125"/>
      <c r="V1006" s="125"/>
      <c r="W1006" s="125"/>
      <c r="X1006" s="125"/>
      <c r="Y1006" s="125"/>
      <c r="Z1006" s="125"/>
      <c r="AA1006" s="125"/>
      <c r="AB1006" s="125"/>
      <c r="AC1006" s="125"/>
      <c r="AD1006" s="125"/>
      <c r="AE1006" s="125"/>
    </row>
    <row r="1007" spans="1:31" ht="12" customHeight="1" x14ac:dyDescent="0.2">
      <c r="A1007" s="125"/>
      <c r="B1007" s="125"/>
      <c r="C1007" s="125"/>
      <c r="D1007" s="125"/>
      <c r="E1007" s="125"/>
      <c r="F1007" s="125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125"/>
      <c r="V1007" s="125"/>
      <c r="W1007" s="125"/>
      <c r="X1007" s="125"/>
      <c r="Y1007" s="125"/>
      <c r="Z1007" s="125"/>
      <c r="AA1007" s="125"/>
      <c r="AB1007" s="125"/>
      <c r="AC1007" s="125"/>
      <c r="AD1007" s="125"/>
      <c r="AE1007" s="125"/>
    </row>
    <row r="1008" spans="1:31" ht="12" customHeight="1" x14ac:dyDescent="0.2">
      <c r="A1008" s="125"/>
      <c r="B1008" s="125"/>
      <c r="C1008" s="125"/>
      <c r="D1008" s="125"/>
      <c r="E1008" s="125"/>
      <c r="F1008" s="125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125"/>
      <c r="V1008" s="125"/>
      <c r="W1008" s="125"/>
      <c r="X1008" s="125"/>
      <c r="Y1008" s="125"/>
      <c r="Z1008" s="125"/>
      <c r="AA1008" s="125"/>
      <c r="AB1008" s="125"/>
      <c r="AC1008" s="125"/>
      <c r="AD1008" s="125"/>
      <c r="AE1008" s="125"/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004"/>
  <sheetViews>
    <sheetView showGridLines="0" workbookViewId="0">
      <pane xSplit="3" ySplit="2" topLeftCell="D3" activePane="bottomRight" state="frozen"/>
      <selection activeCell="B1" sqref="B1:B1048576"/>
      <selection pane="topRight" activeCell="B1" sqref="B1:B1048576"/>
      <selection pane="bottomLeft" activeCell="B1" sqref="B1:B1048576"/>
      <selection pane="bottomRight" activeCell="F28" sqref="F28"/>
    </sheetView>
  </sheetViews>
  <sheetFormatPr baseColWidth="10" defaultColWidth="12.59765625" defaultRowHeight="15" customHeight="1" x14ac:dyDescent="0.2"/>
  <cols>
    <col min="1" max="1" width="1.69921875" style="121" customWidth="1"/>
    <col min="2" max="2" width="12" style="121" customWidth="1"/>
    <col min="3" max="3" width="24.19921875" style="121" customWidth="1"/>
    <col min="4" max="7" width="8.5" style="121" customWidth="1"/>
    <col min="8" max="9" width="6.69921875" style="121" customWidth="1"/>
    <col min="10" max="11" width="8.59765625" style="121" customWidth="1"/>
    <col min="12" max="13" width="9" style="121" customWidth="1"/>
    <col min="14" max="15" width="8.69921875" style="121" customWidth="1"/>
    <col min="16" max="17" width="8.8984375" style="121" customWidth="1"/>
    <col min="18" max="18" width="10.69921875" style="121" customWidth="1"/>
    <col min="19" max="19" width="10.69921875" style="121" hidden="1" customWidth="1"/>
    <col min="20" max="20" width="7.59765625" style="121" customWidth="1"/>
    <col min="21" max="21" width="7.59765625" style="121" hidden="1" customWidth="1"/>
    <col min="22" max="22" width="9" style="121" customWidth="1"/>
    <col min="23" max="23" width="9" style="121" hidden="1" customWidth="1"/>
    <col min="24" max="24" width="8.8984375" style="121" customWidth="1"/>
    <col min="25" max="25" width="8.8984375" style="121" hidden="1" customWidth="1"/>
    <col min="26" max="26" width="6.69921875" style="121" customWidth="1"/>
    <col min="27" max="27" width="6.69921875" style="121" hidden="1" customWidth="1"/>
    <col min="28" max="28" width="9" style="121" customWidth="1"/>
    <col min="29" max="16384" width="12.59765625" style="121"/>
  </cols>
  <sheetData>
    <row r="1" spans="1:38" ht="15" customHeight="1" x14ac:dyDescent="0.2">
      <c r="AC1" s="122"/>
      <c r="AD1" s="142" t="s">
        <v>78</v>
      </c>
      <c r="AE1" s="143" t="s">
        <v>79</v>
      </c>
    </row>
    <row r="2" spans="1:38" ht="10.199999999999999" x14ac:dyDescent="0.2">
      <c r="A2" s="144"/>
      <c r="B2" s="144"/>
      <c r="C2" s="145" t="s">
        <v>140</v>
      </c>
      <c r="D2" s="142">
        <v>45658</v>
      </c>
      <c r="E2" s="143">
        <v>45658</v>
      </c>
      <c r="F2" s="142">
        <v>45689</v>
      </c>
      <c r="G2" s="143">
        <v>45689</v>
      </c>
      <c r="H2" s="142">
        <v>45717</v>
      </c>
      <c r="I2" s="143">
        <v>45717</v>
      </c>
      <c r="J2" s="142">
        <v>45748</v>
      </c>
      <c r="K2" s="143">
        <v>45748</v>
      </c>
      <c r="L2" s="142">
        <v>45778</v>
      </c>
      <c r="M2" s="143">
        <v>45778</v>
      </c>
      <c r="N2" s="142">
        <v>45809</v>
      </c>
      <c r="O2" s="143">
        <v>45809</v>
      </c>
      <c r="P2" s="142">
        <v>45839</v>
      </c>
      <c r="Q2" s="143">
        <v>45839</v>
      </c>
      <c r="R2" s="142">
        <v>45870</v>
      </c>
      <c r="S2" s="143">
        <v>45870</v>
      </c>
      <c r="T2" s="142">
        <v>45901</v>
      </c>
      <c r="U2" s="143">
        <v>45901</v>
      </c>
      <c r="V2" s="142">
        <v>45931</v>
      </c>
      <c r="W2" s="143">
        <v>45931</v>
      </c>
      <c r="X2" s="142">
        <v>45962</v>
      </c>
      <c r="Y2" s="143">
        <v>45962</v>
      </c>
      <c r="Z2" s="142">
        <v>45992</v>
      </c>
      <c r="AA2" s="143">
        <v>45992</v>
      </c>
      <c r="AB2" s="146">
        <v>2025</v>
      </c>
      <c r="AC2" s="147"/>
      <c r="AD2" s="142" t="s">
        <v>81</v>
      </c>
      <c r="AE2" s="143" t="s">
        <v>81</v>
      </c>
      <c r="AF2" s="144"/>
      <c r="AG2" s="144"/>
      <c r="AH2" s="144"/>
      <c r="AI2" s="144"/>
      <c r="AJ2" s="144"/>
      <c r="AK2" s="144"/>
      <c r="AL2" s="144"/>
    </row>
    <row r="3" spans="1:38" ht="12.75" customHeight="1" x14ac:dyDescent="0.2">
      <c r="B3" s="125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2"/>
      <c r="AD3" s="125"/>
      <c r="AE3" s="125"/>
    </row>
    <row r="4" spans="1:38" ht="12.75" customHeight="1" x14ac:dyDescent="0.2">
      <c r="B4" s="125"/>
      <c r="C4" s="148" t="s">
        <v>141</v>
      </c>
      <c r="D4" s="134"/>
      <c r="E4" s="134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34"/>
      <c r="AC4" s="122"/>
      <c r="AD4" s="125"/>
      <c r="AE4" s="125"/>
    </row>
    <row r="5" spans="1:38" ht="12.75" customHeight="1" x14ac:dyDescent="0.2">
      <c r="B5" s="125"/>
      <c r="C5" s="149" t="s">
        <v>142</v>
      </c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2"/>
      <c r="AD5" s="144"/>
      <c r="AE5" s="125"/>
    </row>
    <row r="6" spans="1:38" ht="12" customHeight="1" x14ac:dyDescent="0.2">
      <c r="B6" s="125" t="s">
        <v>143</v>
      </c>
      <c r="C6" s="128" t="s">
        <v>144</v>
      </c>
      <c r="D6" s="150">
        <v>0</v>
      </c>
      <c r="E6" s="150">
        <v>0</v>
      </c>
      <c r="F6" s="150">
        <v>0</v>
      </c>
      <c r="G6" s="150">
        <v>0</v>
      </c>
      <c r="H6" s="150">
        <v>0</v>
      </c>
      <c r="I6" s="150">
        <v>0</v>
      </c>
      <c r="J6" s="150">
        <v>0</v>
      </c>
      <c r="K6" s="150">
        <v>0</v>
      </c>
      <c r="L6" s="150">
        <v>0</v>
      </c>
      <c r="M6" s="150">
        <v>0</v>
      </c>
      <c r="N6" s="150">
        <v>0</v>
      </c>
      <c r="O6" s="150">
        <v>0</v>
      </c>
      <c r="P6" s="150">
        <v>0</v>
      </c>
      <c r="Q6" s="150">
        <v>0</v>
      </c>
      <c r="R6" s="150">
        <v>0</v>
      </c>
      <c r="S6" s="151"/>
      <c r="T6" s="150">
        <v>0</v>
      </c>
      <c r="U6" s="151"/>
      <c r="V6" s="150">
        <v>0</v>
      </c>
      <c r="W6" s="151"/>
      <c r="X6" s="150">
        <v>0</v>
      </c>
      <c r="Y6" s="151"/>
      <c r="Z6" s="150">
        <v>0</v>
      </c>
      <c r="AA6" s="151"/>
      <c r="AB6" s="134">
        <f t="shared" ref="AB6:AB17" si="0">D6+F6+H6+J6+L6+N6+P6+R6+T6+V6+X6+Z6</f>
        <v>0</v>
      </c>
      <c r="AC6" s="122"/>
      <c r="AD6" s="134">
        <f t="shared" ref="AD6:AD17" si="1">D6+F6+H6+J6+L6+N6+P6</f>
        <v>0</v>
      </c>
      <c r="AE6" s="134">
        <f t="shared" ref="AE6:AE17" si="2">E6+G6+I6+K6+M6+O6+Q6</f>
        <v>0</v>
      </c>
    </row>
    <row r="7" spans="1:38" ht="12" customHeight="1" x14ac:dyDescent="0.2">
      <c r="B7" s="125" t="s">
        <v>145</v>
      </c>
      <c r="C7" s="128" t="s">
        <v>146</v>
      </c>
      <c r="D7" s="150">
        <v>0</v>
      </c>
      <c r="E7" s="150">
        <v>0</v>
      </c>
      <c r="F7" s="150">
        <v>35000</v>
      </c>
      <c r="G7" s="150">
        <v>23800</v>
      </c>
      <c r="H7" s="150">
        <v>0</v>
      </c>
      <c r="I7" s="150">
        <v>7650</v>
      </c>
      <c r="J7" s="150">
        <v>0</v>
      </c>
      <c r="K7" s="150">
        <v>3400</v>
      </c>
      <c r="L7" s="150">
        <v>0</v>
      </c>
      <c r="M7" s="150">
        <v>0</v>
      </c>
      <c r="N7" s="150">
        <v>0</v>
      </c>
      <c r="O7" s="150">
        <v>0</v>
      </c>
      <c r="P7" s="150">
        <v>0</v>
      </c>
      <c r="Q7" s="150">
        <v>0</v>
      </c>
      <c r="R7" s="150">
        <v>0</v>
      </c>
      <c r="S7" s="151"/>
      <c r="T7" s="150">
        <v>0</v>
      </c>
      <c r="U7" s="151"/>
      <c r="V7" s="150">
        <v>0</v>
      </c>
      <c r="W7" s="151"/>
      <c r="X7" s="150">
        <v>0</v>
      </c>
      <c r="Y7" s="151"/>
      <c r="Z7" s="150">
        <v>0</v>
      </c>
      <c r="AA7" s="151"/>
      <c r="AB7" s="134">
        <f t="shared" si="0"/>
        <v>35000</v>
      </c>
      <c r="AC7" s="122"/>
      <c r="AD7" s="134">
        <f t="shared" si="1"/>
        <v>35000</v>
      </c>
      <c r="AE7" s="134">
        <f t="shared" si="2"/>
        <v>34850</v>
      </c>
    </row>
    <row r="8" spans="1:38" ht="12" customHeight="1" x14ac:dyDescent="0.2">
      <c r="B8" s="125" t="s">
        <v>147</v>
      </c>
      <c r="C8" s="128" t="s">
        <v>148</v>
      </c>
      <c r="D8" s="150">
        <v>0</v>
      </c>
      <c r="E8" s="150">
        <v>0</v>
      </c>
      <c r="F8" s="150">
        <v>0</v>
      </c>
      <c r="G8" s="150">
        <v>0</v>
      </c>
      <c r="H8" s="150">
        <v>0</v>
      </c>
      <c r="I8" s="150">
        <v>0</v>
      </c>
      <c r="J8" s="150">
        <v>0</v>
      </c>
      <c r="K8" s="150">
        <v>0</v>
      </c>
      <c r="L8" s="150">
        <v>0</v>
      </c>
      <c r="M8" s="150">
        <v>0</v>
      </c>
      <c r="N8" s="150">
        <v>0</v>
      </c>
      <c r="O8" s="150">
        <v>0</v>
      </c>
      <c r="P8" s="150">
        <v>0</v>
      </c>
      <c r="Q8" s="150">
        <v>0</v>
      </c>
      <c r="R8" s="150">
        <v>0</v>
      </c>
      <c r="S8" s="151"/>
      <c r="T8" s="150">
        <v>0</v>
      </c>
      <c r="U8" s="151"/>
      <c r="V8" s="150">
        <v>0</v>
      </c>
      <c r="W8" s="151"/>
      <c r="X8" s="150">
        <v>0</v>
      </c>
      <c r="Y8" s="151"/>
      <c r="Z8" s="150">
        <v>0</v>
      </c>
      <c r="AA8" s="151"/>
      <c r="AB8" s="134">
        <f t="shared" si="0"/>
        <v>0</v>
      </c>
      <c r="AC8" s="122"/>
      <c r="AD8" s="134">
        <f t="shared" si="1"/>
        <v>0</v>
      </c>
      <c r="AE8" s="134">
        <f t="shared" si="2"/>
        <v>0</v>
      </c>
    </row>
    <row r="9" spans="1:38" ht="12" customHeight="1" x14ac:dyDescent="0.2">
      <c r="B9" s="125" t="s">
        <v>143</v>
      </c>
      <c r="C9" s="152" t="s">
        <v>149</v>
      </c>
      <c r="D9" s="150">
        <v>0</v>
      </c>
      <c r="E9" s="150">
        <v>0</v>
      </c>
      <c r="F9" s="150">
        <v>0</v>
      </c>
      <c r="G9" s="150">
        <v>0</v>
      </c>
      <c r="H9" s="150">
        <v>45000</v>
      </c>
      <c r="I9" s="150">
        <v>0</v>
      </c>
      <c r="J9" s="150">
        <v>0</v>
      </c>
      <c r="K9" s="150">
        <v>0</v>
      </c>
      <c r="L9" s="150">
        <v>0</v>
      </c>
      <c r="M9" s="150">
        <v>0</v>
      </c>
      <c r="N9" s="150">
        <v>0</v>
      </c>
      <c r="O9" s="150">
        <v>0</v>
      </c>
      <c r="P9" s="150">
        <v>0</v>
      </c>
      <c r="Q9" s="150">
        <v>0</v>
      </c>
      <c r="R9" s="150">
        <v>0</v>
      </c>
      <c r="S9" s="151"/>
      <c r="T9" s="150">
        <v>0</v>
      </c>
      <c r="U9" s="151"/>
      <c r="V9" s="150">
        <v>0</v>
      </c>
      <c r="W9" s="151"/>
      <c r="X9" s="150">
        <v>0</v>
      </c>
      <c r="Y9" s="151"/>
      <c r="Z9" s="150">
        <v>0</v>
      </c>
      <c r="AA9" s="151"/>
      <c r="AB9" s="134">
        <f t="shared" si="0"/>
        <v>45000</v>
      </c>
      <c r="AC9" s="122"/>
      <c r="AD9" s="134">
        <f t="shared" si="1"/>
        <v>45000</v>
      </c>
      <c r="AE9" s="153">
        <f t="shared" si="2"/>
        <v>0</v>
      </c>
    </row>
    <row r="10" spans="1:38" ht="12" customHeight="1" x14ac:dyDescent="0.2">
      <c r="B10" s="125" t="s">
        <v>150</v>
      </c>
      <c r="C10" s="128" t="s">
        <v>151</v>
      </c>
      <c r="D10" s="150">
        <v>0</v>
      </c>
      <c r="E10" s="150">
        <v>0</v>
      </c>
      <c r="F10" s="150">
        <v>0</v>
      </c>
      <c r="G10" s="150">
        <v>0</v>
      </c>
      <c r="H10" s="150">
        <v>0</v>
      </c>
      <c r="I10" s="150">
        <v>0</v>
      </c>
      <c r="J10" s="150">
        <v>55000</v>
      </c>
      <c r="K10" s="150">
        <v>0</v>
      </c>
      <c r="L10" s="150">
        <v>0</v>
      </c>
      <c r="M10" s="150">
        <v>0</v>
      </c>
      <c r="N10" s="150">
        <v>0</v>
      </c>
      <c r="O10" s="150">
        <v>20200</v>
      </c>
      <c r="P10" s="150">
        <v>0</v>
      </c>
      <c r="Q10" s="150">
        <v>6800</v>
      </c>
      <c r="R10" s="150">
        <v>0</v>
      </c>
      <c r="S10" s="151"/>
      <c r="T10" s="150">
        <v>0</v>
      </c>
      <c r="U10" s="151"/>
      <c r="V10" s="150">
        <v>0</v>
      </c>
      <c r="W10" s="151"/>
      <c r="X10" s="150">
        <v>0</v>
      </c>
      <c r="Y10" s="151"/>
      <c r="Z10" s="150">
        <v>0</v>
      </c>
      <c r="AA10" s="151"/>
      <c r="AB10" s="134">
        <f t="shared" si="0"/>
        <v>55000</v>
      </c>
      <c r="AC10" s="122"/>
      <c r="AD10" s="134">
        <f t="shared" si="1"/>
        <v>55000</v>
      </c>
      <c r="AE10" s="153">
        <f t="shared" si="2"/>
        <v>27000</v>
      </c>
    </row>
    <row r="11" spans="1:38" ht="12" customHeight="1" x14ac:dyDescent="0.2">
      <c r="B11" s="125" t="s">
        <v>147</v>
      </c>
      <c r="C11" s="154" t="s">
        <v>152</v>
      </c>
      <c r="D11" s="150">
        <v>0</v>
      </c>
      <c r="E11" s="150">
        <v>0</v>
      </c>
      <c r="F11" s="150">
        <v>0</v>
      </c>
      <c r="G11" s="150">
        <v>0</v>
      </c>
      <c r="H11" s="150">
        <v>0</v>
      </c>
      <c r="I11" s="150">
        <v>0</v>
      </c>
      <c r="J11" s="150">
        <v>0</v>
      </c>
      <c r="K11" s="150">
        <v>0</v>
      </c>
      <c r="L11" s="150">
        <v>50000</v>
      </c>
      <c r="M11" s="150">
        <v>0</v>
      </c>
      <c r="N11" s="150">
        <v>0</v>
      </c>
      <c r="O11" s="150">
        <v>0</v>
      </c>
      <c r="P11" s="150">
        <v>0</v>
      </c>
      <c r="Q11" s="150">
        <v>0</v>
      </c>
      <c r="R11" s="150">
        <v>0</v>
      </c>
      <c r="S11" s="151"/>
      <c r="T11" s="150">
        <v>0</v>
      </c>
      <c r="U11" s="151"/>
      <c r="V11" s="150">
        <v>0</v>
      </c>
      <c r="W11" s="151"/>
      <c r="X11" s="150">
        <v>0</v>
      </c>
      <c r="Y11" s="151"/>
      <c r="Z11" s="150">
        <v>0</v>
      </c>
      <c r="AA11" s="151"/>
      <c r="AB11" s="134">
        <f t="shared" si="0"/>
        <v>50000</v>
      </c>
      <c r="AC11" s="122"/>
      <c r="AD11" s="134">
        <f t="shared" si="1"/>
        <v>50000</v>
      </c>
      <c r="AE11" s="153">
        <f t="shared" si="2"/>
        <v>0</v>
      </c>
    </row>
    <row r="12" spans="1:38" ht="12" customHeight="1" x14ac:dyDescent="0.2">
      <c r="B12" s="125" t="s">
        <v>143</v>
      </c>
      <c r="C12" s="128" t="s">
        <v>153</v>
      </c>
      <c r="D12" s="150">
        <v>0</v>
      </c>
      <c r="E12" s="150">
        <v>0</v>
      </c>
      <c r="F12" s="150">
        <v>0</v>
      </c>
      <c r="G12" s="150">
        <v>0</v>
      </c>
      <c r="H12" s="150">
        <v>0</v>
      </c>
      <c r="I12" s="150">
        <v>0</v>
      </c>
      <c r="J12" s="150">
        <v>0</v>
      </c>
      <c r="K12" s="150">
        <v>0</v>
      </c>
      <c r="L12" s="150">
        <v>0</v>
      </c>
      <c r="M12" s="150">
        <v>0</v>
      </c>
      <c r="N12" s="150">
        <v>70000</v>
      </c>
      <c r="O12" s="150">
        <v>0</v>
      </c>
      <c r="P12" s="150">
        <v>0</v>
      </c>
      <c r="Q12" s="150">
        <v>0</v>
      </c>
      <c r="R12" s="150">
        <v>0</v>
      </c>
      <c r="S12" s="151"/>
      <c r="T12" s="150">
        <v>0</v>
      </c>
      <c r="U12" s="151"/>
      <c r="V12" s="150">
        <v>0</v>
      </c>
      <c r="W12" s="151"/>
      <c r="X12" s="150">
        <v>0</v>
      </c>
      <c r="Y12" s="151"/>
      <c r="Z12" s="150">
        <v>0</v>
      </c>
      <c r="AA12" s="151"/>
      <c r="AB12" s="134">
        <f t="shared" si="0"/>
        <v>70000</v>
      </c>
      <c r="AC12" s="122"/>
      <c r="AD12" s="134">
        <f t="shared" si="1"/>
        <v>70000</v>
      </c>
      <c r="AE12" s="153">
        <f t="shared" si="2"/>
        <v>0</v>
      </c>
    </row>
    <row r="13" spans="1:38" ht="12" customHeight="1" x14ac:dyDescent="0.2">
      <c r="B13" s="125" t="s">
        <v>154</v>
      </c>
      <c r="C13" s="128" t="s">
        <v>155</v>
      </c>
      <c r="D13" s="150">
        <v>0</v>
      </c>
      <c r="E13" s="150">
        <v>0</v>
      </c>
      <c r="F13" s="150">
        <v>0</v>
      </c>
      <c r="G13" s="150">
        <v>0</v>
      </c>
      <c r="H13" s="150">
        <v>0</v>
      </c>
      <c r="I13" s="150">
        <v>0</v>
      </c>
      <c r="J13" s="150">
        <v>0</v>
      </c>
      <c r="K13" s="150">
        <v>0</v>
      </c>
      <c r="L13" s="150">
        <v>0</v>
      </c>
      <c r="M13" s="150">
        <v>0</v>
      </c>
      <c r="N13" s="150">
        <v>0</v>
      </c>
      <c r="O13" s="150">
        <v>0</v>
      </c>
      <c r="P13" s="150">
        <v>0</v>
      </c>
      <c r="Q13" s="150">
        <v>0</v>
      </c>
      <c r="R13" s="150">
        <v>0</v>
      </c>
      <c r="S13" s="151"/>
      <c r="T13" s="150">
        <v>0</v>
      </c>
      <c r="U13" s="151"/>
      <c r="V13" s="150">
        <v>0</v>
      </c>
      <c r="W13" s="151"/>
      <c r="X13" s="150">
        <v>0</v>
      </c>
      <c r="Y13" s="151"/>
      <c r="Z13" s="150">
        <v>0</v>
      </c>
      <c r="AA13" s="151"/>
      <c r="AB13" s="134">
        <f t="shared" si="0"/>
        <v>0</v>
      </c>
      <c r="AC13" s="122"/>
      <c r="AD13" s="134">
        <f t="shared" si="1"/>
        <v>0</v>
      </c>
      <c r="AE13" s="134">
        <f t="shared" si="2"/>
        <v>0</v>
      </c>
    </row>
    <row r="14" spans="1:38" ht="12" customHeight="1" x14ac:dyDescent="0.2">
      <c r="B14" s="125" t="s">
        <v>156</v>
      </c>
      <c r="C14" s="128" t="s">
        <v>157</v>
      </c>
      <c r="D14" s="150">
        <v>0</v>
      </c>
      <c r="E14" s="150">
        <v>42382.76</v>
      </c>
      <c r="F14" s="150">
        <v>0</v>
      </c>
      <c r="G14" s="150">
        <v>17850</v>
      </c>
      <c r="H14" s="150">
        <v>0</v>
      </c>
      <c r="I14" s="150">
        <v>850</v>
      </c>
      <c r="J14" s="150">
        <v>0</v>
      </c>
      <c r="K14" s="150">
        <v>0</v>
      </c>
      <c r="L14" s="150">
        <v>0</v>
      </c>
      <c r="M14" s="150">
        <v>0</v>
      </c>
      <c r="N14" s="150">
        <v>0</v>
      </c>
      <c r="O14" s="150">
        <v>0</v>
      </c>
      <c r="P14" s="150">
        <v>0</v>
      </c>
      <c r="Q14" s="150">
        <v>0</v>
      </c>
      <c r="R14" s="150">
        <v>45000</v>
      </c>
      <c r="S14" s="151"/>
      <c r="T14" s="150">
        <v>0</v>
      </c>
      <c r="U14" s="151"/>
      <c r="V14" s="150">
        <v>0</v>
      </c>
      <c r="W14" s="151"/>
      <c r="X14" s="150">
        <v>0</v>
      </c>
      <c r="Y14" s="151"/>
      <c r="Z14" s="150">
        <v>0</v>
      </c>
      <c r="AA14" s="151"/>
      <c r="AB14" s="134">
        <f t="shared" si="0"/>
        <v>45000</v>
      </c>
      <c r="AC14" s="122"/>
      <c r="AD14" s="134">
        <f t="shared" si="1"/>
        <v>0</v>
      </c>
      <c r="AE14" s="134">
        <f t="shared" si="2"/>
        <v>61082.76</v>
      </c>
    </row>
    <row r="15" spans="1:38" ht="12.75" customHeight="1" x14ac:dyDescent="0.2">
      <c r="B15" s="125" t="s">
        <v>158</v>
      </c>
      <c r="C15" s="128" t="s">
        <v>159</v>
      </c>
      <c r="D15" s="150">
        <v>0</v>
      </c>
      <c r="E15" s="150">
        <v>0</v>
      </c>
      <c r="F15" s="150">
        <v>0</v>
      </c>
      <c r="G15" s="150">
        <v>0</v>
      </c>
      <c r="H15" s="150">
        <v>0</v>
      </c>
      <c r="I15" s="150">
        <v>0</v>
      </c>
      <c r="J15" s="150">
        <v>0</v>
      </c>
      <c r="K15" s="150">
        <v>0</v>
      </c>
      <c r="L15" s="150">
        <v>0</v>
      </c>
      <c r="M15" s="150">
        <v>0</v>
      </c>
      <c r="N15" s="150">
        <v>0</v>
      </c>
      <c r="O15" s="150">
        <v>0</v>
      </c>
      <c r="P15" s="150">
        <v>0</v>
      </c>
      <c r="Q15" s="150">
        <v>0</v>
      </c>
      <c r="R15" s="150">
        <v>0</v>
      </c>
      <c r="S15" s="151"/>
      <c r="T15" s="150">
        <v>210000</v>
      </c>
      <c r="U15" s="151"/>
      <c r="V15" s="150">
        <v>0</v>
      </c>
      <c r="W15" s="151"/>
      <c r="X15" s="150">
        <v>0</v>
      </c>
      <c r="Y15" s="151"/>
      <c r="Z15" s="150">
        <v>0</v>
      </c>
      <c r="AA15" s="151"/>
      <c r="AB15" s="134">
        <f t="shared" si="0"/>
        <v>210000</v>
      </c>
      <c r="AC15" s="122"/>
      <c r="AD15" s="134">
        <f t="shared" si="1"/>
        <v>0</v>
      </c>
      <c r="AE15" s="134">
        <f t="shared" si="2"/>
        <v>0</v>
      </c>
    </row>
    <row r="16" spans="1:38" ht="12" customHeight="1" x14ac:dyDescent="0.2">
      <c r="B16" s="125" t="s">
        <v>160</v>
      </c>
      <c r="C16" s="128" t="s">
        <v>161</v>
      </c>
      <c r="D16" s="150">
        <v>0</v>
      </c>
      <c r="E16" s="150">
        <v>0</v>
      </c>
      <c r="F16" s="150">
        <v>0</v>
      </c>
      <c r="G16" s="150">
        <v>0</v>
      </c>
      <c r="H16" s="150">
        <v>0</v>
      </c>
      <c r="I16" s="150">
        <v>0</v>
      </c>
      <c r="J16" s="150">
        <v>0</v>
      </c>
      <c r="K16" s="150">
        <v>0</v>
      </c>
      <c r="L16" s="150">
        <v>0</v>
      </c>
      <c r="M16" s="150">
        <v>0</v>
      </c>
      <c r="N16" s="150">
        <v>0</v>
      </c>
      <c r="O16" s="150">
        <v>0</v>
      </c>
      <c r="P16" s="150">
        <v>0</v>
      </c>
      <c r="Q16" s="150">
        <v>0</v>
      </c>
      <c r="R16" s="150">
        <v>0</v>
      </c>
      <c r="S16" s="151"/>
      <c r="T16" s="150">
        <v>0</v>
      </c>
      <c r="U16" s="151"/>
      <c r="V16" s="150">
        <v>480000</v>
      </c>
      <c r="W16" s="151"/>
      <c r="X16" s="150">
        <v>0</v>
      </c>
      <c r="Y16" s="151"/>
      <c r="Z16" s="150">
        <v>0</v>
      </c>
      <c r="AA16" s="151"/>
      <c r="AB16" s="134">
        <f t="shared" si="0"/>
        <v>480000</v>
      </c>
      <c r="AC16" s="122"/>
      <c r="AD16" s="134">
        <f t="shared" si="1"/>
        <v>0</v>
      </c>
      <c r="AE16" s="134">
        <f t="shared" si="2"/>
        <v>0</v>
      </c>
    </row>
    <row r="17" spans="2:31" ht="13.5" customHeight="1" x14ac:dyDescent="0.2">
      <c r="B17" s="125" t="s">
        <v>162</v>
      </c>
      <c r="C17" s="128" t="s">
        <v>163</v>
      </c>
      <c r="D17" s="150">
        <v>0</v>
      </c>
      <c r="E17" s="150">
        <v>0</v>
      </c>
      <c r="F17" s="150">
        <v>0</v>
      </c>
      <c r="G17" s="150">
        <v>0</v>
      </c>
      <c r="H17" s="150">
        <v>0</v>
      </c>
      <c r="I17" s="150">
        <v>0</v>
      </c>
      <c r="J17" s="150">
        <v>0</v>
      </c>
      <c r="K17" s="150">
        <v>0</v>
      </c>
      <c r="L17" s="150">
        <v>0</v>
      </c>
      <c r="M17" s="150">
        <v>0</v>
      </c>
      <c r="N17" s="150">
        <v>0</v>
      </c>
      <c r="O17" s="150">
        <v>0</v>
      </c>
      <c r="P17" s="150">
        <v>0</v>
      </c>
      <c r="Q17" s="150">
        <v>0</v>
      </c>
      <c r="R17" s="150">
        <v>0</v>
      </c>
      <c r="S17" s="151"/>
      <c r="T17" s="150">
        <v>0</v>
      </c>
      <c r="U17" s="151"/>
      <c r="V17" s="150">
        <v>0</v>
      </c>
      <c r="W17" s="151"/>
      <c r="X17" s="150">
        <v>300000</v>
      </c>
      <c r="Y17" s="151"/>
      <c r="Z17" s="150">
        <v>0</v>
      </c>
      <c r="AA17" s="151"/>
      <c r="AB17" s="134">
        <f t="shared" si="0"/>
        <v>300000</v>
      </c>
      <c r="AC17" s="122"/>
      <c r="AD17" s="134">
        <f t="shared" si="1"/>
        <v>0</v>
      </c>
      <c r="AE17" s="134">
        <f t="shared" si="2"/>
        <v>0</v>
      </c>
    </row>
    <row r="18" spans="2:31" ht="12.75" customHeight="1" x14ac:dyDescent="0.2">
      <c r="B18" s="125"/>
      <c r="C18" s="155" t="s">
        <v>164</v>
      </c>
      <c r="D18" s="156">
        <f t="shared" ref="D18:AB18" si="3">SUM(D6:D17)</f>
        <v>0</v>
      </c>
      <c r="E18" s="156">
        <f t="shared" si="3"/>
        <v>42382.76</v>
      </c>
      <c r="F18" s="156">
        <f t="shared" si="3"/>
        <v>35000</v>
      </c>
      <c r="G18" s="156">
        <f t="shared" si="3"/>
        <v>41650</v>
      </c>
      <c r="H18" s="156">
        <f t="shared" si="3"/>
        <v>45000</v>
      </c>
      <c r="I18" s="156">
        <f t="shared" si="3"/>
        <v>8500</v>
      </c>
      <c r="J18" s="156">
        <f t="shared" si="3"/>
        <v>55000</v>
      </c>
      <c r="K18" s="156">
        <f t="shared" si="3"/>
        <v>3400</v>
      </c>
      <c r="L18" s="156">
        <f t="shared" si="3"/>
        <v>50000</v>
      </c>
      <c r="M18" s="156">
        <f t="shared" si="3"/>
        <v>0</v>
      </c>
      <c r="N18" s="156">
        <f t="shared" si="3"/>
        <v>70000</v>
      </c>
      <c r="O18" s="156">
        <f t="shared" si="3"/>
        <v>20200</v>
      </c>
      <c r="P18" s="156">
        <f t="shared" si="3"/>
        <v>0</v>
      </c>
      <c r="Q18" s="156">
        <f t="shared" si="3"/>
        <v>6800</v>
      </c>
      <c r="R18" s="156">
        <f t="shared" si="3"/>
        <v>45000</v>
      </c>
      <c r="S18" s="157"/>
      <c r="T18" s="156">
        <f t="shared" si="3"/>
        <v>210000</v>
      </c>
      <c r="U18" s="157"/>
      <c r="V18" s="156">
        <f t="shared" si="3"/>
        <v>480000</v>
      </c>
      <c r="W18" s="157"/>
      <c r="X18" s="156">
        <f t="shared" si="3"/>
        <v>300000</v>
      </c>
      <c r="Y18" s="157"/>
      <c r="Z18" s="156">
        <f t="shared" si="3"/>
        <v>0</v>
      </c>
      <c r="AA18" s="157"/>
      <c r="AB18" s="156">
        <f t="shared" si="3"/>
        <v>1290000</v>
      </c>
      <c r="AC18" s="122"/>
      <c r="AD18" s="156">
        <f t="shared" ref="AD18:AE18" si="4">SUM(AD6:AD17)</f>
        <v>255000</v>
      </c>
      <c r="AE18" s="156">
        <f t="shared" si="4"/>
        <v>122932.76000000001</v>
      </c>
    </row>
    <row r="19" spans="2:31" ht="10.199999999999999" x14ac:dyDescent="0.2">
      <c r="AC19" s="122"/>
      <c r="AD19" s="125"/>
      <c r="AE19" s="125"/>
    </row>
    <row r="20" spans="2:31" ht="12.75" customHeight="1" x14ac:dyDescent="0.2">
      <c r="B20" s="125"/>
      <c r="C20" s="148" t="s">
        <v>165</v>
      </c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1"/>
      <c r="T20" s="150"/>
      <c r="U20" s="151"/>
      <c r="V20" s="150"/>
      <c r="W20" s="151"/>
      <c r="X20" s="150"/>
      <c r="Y20" s="151"/>
      <c r="Z20" s="150"/>
      <c r="AA20" s="151"/>
      <c r="AB20" s="150"/>
      <c r="AC20" s="122"/>
      <c r="AD20" s="125"/>
      <c r="AE20" s="125"/>
    </row>
    <row r="21" spans="2:31" ht="12.75" customHeight="1" x14ac:dyDescent="0.2">
      <c r="B21" s="125" t="s">
        <v>143</v>
      </c>
      <c r="C21" s="128" t="s">
        <v>144</v>
      </c>
      <c r="D21" s="150">
        <v>60000</v>
      </c>
      <c r="E21" s="150">
        <v>0</v>
      </c>
      <c r="F21" s="150">
        <v>0</v>
      </c>
      <c r="G21" s="150">
        <v>0</v>
      </c>
      <c r="H21" s="150">
        <v>0</v>
      </c>
      <c r="I21" s="150">
        <v>0</v>
      </c>
      <c r="J21" s="150">
        <v>0</v>
      </c>
      <c r="K21" s="150">
        <v>0</v>
      </c>
      <c r="L21" s="150">
        <v>0</v>
      </c>
      <c r="M21" s="150">
        <v>0</v>
      </c>
      <c r="N21" s="150">
        <v>0</v>
      </c>
      <c r="O21" s="150">
        <v>0</v>
      </c>
      <c r="P21" s="150">
        <v>0</v>
      </c>
      <c r="Q21" s="150">
        <v>0</v>
      </c>
      <c r="R21" s="150">
        <v>0</v>
      </c>
      <c r="S21" s="151"/>
      <c r="T21" s="150">
        <v>0</v>
      </c>
      <c r="U21" s="151"/>
      <c r="V21" s="150">
        <v>0</v>
      </c>
      <c r="W21" s="151"/>
      <c r="X21" s="150">
        <v>0</v>
      </c>
      <c r="Y21" s="151"/>
      <c r="Z21" s="150">
        <v>0</v>
      </c>
      <c r="AA21" s="151"/>
      <c r="AB21" s="150">
        <f t="shared" ref="AB21:AB32" si="5">D21+F21+H21+J21+L21+N21+P21+R21+T21+V21+X21+Z21</f>
        <v>60000</v>
      </c>
      <c r="AC21" s="122"/>
      <c r="AD21" s="134">
        <f t="shared" ref="AD21:AD32" si="6">D21+F21+H21+J21+L21+N21+P21</f>
        <v>60000</v>
      </c>
      <c r="AE21" s="153">
        <f t="shared" ref="AE21:AE32" si="7">E21+G21+I21+K21+M21+O21+Q21</f>
        <v>0</v>
      </c>
    </row>
    <row r="22" spans="2:31" ht="12.75" customHeight="1" x14ac:dyDescent="0.2">
      <c r="B22" s="125" t="s">
        <v>145</v>
      </c>
      <c r="C22" s="128" t="s">
        <v>146</v>
      </c>
      <c r="D22" s="150">
        <v>0</v>
      </c>
      <c r="E22" s="150">
        <v>0</v>
      </c>
      <c r="F22" s="150">
        <v>35000</v>
      </c>
      <c r="G22" s="150">
        <v>50000</v>
      </c>
      <c r="H22" s="150">
        <v>0</v>
      </c>
      <c r="I22" s="150">
        <v>0</v>
      </c>
      <c r="J22" s="150">
        <v>0</v>
      </c>
      <c r="K22" s="150">
        <v>0</v>
      </c>
      <c r="L22" s="150">
        <v>0</v>
      </c>
      <c r="M22" s="150">
        <v>0</v>
      </c>
      <c r="N22" s="150">
        <v>0</v>
      </c>
      <c r="O22" s="150">
        <v>850</v>
      </c>
      <c r="P22" s="150">
        <v>0</v>
      </c>
      <c r="Q22" s="150">
        <v>0</v>
      </c>
      <c r="R22" s="150">
        <v>0</v>
      </c>
      <c r="S22" s="151"/>
      <c r="T22" s="150">
        <v>0</v>
      </c>
      <c r="U22" s="151"/>
      <c r="V22" s="150">
        <v>0</v>
      </c>
      <c r="W22" s="151"/>
      <c r="X22" s="150">
        <v>0</v>
      </c>
      <c r="Y22" s="151"/>
      <c r="Z22" s="150">
        <v>0</v>
      </c>
      <c r="AA22" s="151"/>
      <c r="AB22" s="134">
        <f t="shared" si="5"/>
        <v>35000</v>
      </c>
      <c r="AC22" s="122"/>
      <c r="AD22" s="134">
        <f t="shared" si="6"/>
        <v>35000</v>
      </c>
      <c r="AE22" s="134">
        <f t="shared" si="7"/>
        <v>50850</v>
      </c>
    </row>
    <row r="23" spans="2:31" ht="12.75" customHeight="1" x14ac:dyDescent="0.2">
      <c r="B23" s="125" t="s">
        <v>147</v>
      </c>
      <c r="C23" s="128" t="s">
        <v>148</v>
      </c>
      <c r="D23" s="150">
        <v>0</v>
      </c>
      <c r="E23" s="150">
        <v>0</v>
      </c>
      <c r="F23" s="150">
        <v>25000</v>
      </c>
      <c r="G23" s="150">
        <v>0</v>
      </c>
      <c r="H23" s="150">
        <v>0</v>
      </c>
      <c r="I23" s="150">
        <v>0</v>
      </c>
      <c r="J23" s="150">
        <v>25000</v>
      </c>
      <c r="K23" s="150">
        <v>0</v>
      </c>
      <c r="L23" s="150">
        <v>0</v>
      </c>
      <c r="M23" s="150">
        <v>0</v>
      </c>
      <c r="N23" s="150">
        <v>25000</v>
      </c>
      <c r="O23" s="150">
        <v>0</v>
      </c>
      <c r="P23" s="150">
        <v>0</v>
      </c>
      <c r="Q23" s="150">
        <v>0</v>
      </c>
      <c r="R23" s="150">
        <v>0</v>
      </c>
      <c r="S23" s="151"/>
      <c r="T23" s="150">
        <v>25000</v>
      </c>
      <c r="U23" s="151"/>
      <c r="V23" s="150"/>
      <c r="W23" s="151"/>
      <c r="X23" s="150"/>
      <c r="Y23" s="151"/>
      <c r="Z23" s="150"/>
      <c r="AA23" s="151"/>
      <c r="AB23" s="134">
        <f t="shared" si="5"/>
        <v>100000</v>
      </c>
      <c r="AC23" s="122"/>
      <c r="AD23" s="134">
        <f t="shared" si="6"/>
        <v>75000</v>
      </c>
      <c r="AE23" s="153">
        <f t="shared" si="7"/>
        <v>0</v>
      </c>
    </row>
    <row r="24" spans="2:31" ht="12.75" customHeight="1" x14ac:dyDescent="0.2">
      <c r="B24" s="125" t="s">
        <v>143</v>
      </c>
      <c r="C24" s="128" t="s">
        <v>149</v>
      </c>
      <c r="D24" s="150">
        <v>0</v>
      </c>
      <c r="E24" s="150">
        <v>0</v>
      </c>
      <c r="F24" s="150">
        <v>0</v>
      </c>
      <c r="G24" s="150">
        <v>0</v>
      </c>
      <c r="H24" s="150">
        <v>35000</v>
      </c>
      <c r="I24" s="150">
        <v>0</v>
      </c>
      <c r="J24" s="150">
        <v>0</v>
      </c>
      <c r="K24" s="150">
        <v>0</v>
      </c>
      <c r="L24" s="150">
        <v>0</v>
      </c>
      <c r="M24" s="150">
        <v>0</v>
      </c>
      <c r="N24" s="150">
        <v>0</v>
      </c>
      <c r="O24" s="150">
        <v>0</v>
      </c>
      <c r="P24" s="150">
        <v>0</v>
      </c>
      <c r="Q24" s="150">
        <v>0</v>
      </c>
      <c r="R24" s="150">
        <v>0</v>
      </c>
      <c r="S24" s="151"/>
      <c r="T24" s="150">
        <v>0</v>
      </c>
      <c r="U24" s="151"/>
      <c r="V24" s="150">
        <v>0</v>
      </c>
      <c r="W24" s="151"/>
      <c r="X24" s="150">
        <v>0</v>
      </c>
      <c r="Y24" s="151"/>
      <c r="Z24" s="150">
        <v>0</v>
      </c>
      <c r="AA24" s="151"/>
      <c r="AB24" s="134">
        <f t="shared" si="5"/>
        <v>35000</v>
      </c>
      <c r="AC24" s="122"/>
      <c r="AD24" s="134">
        <f t="shared" si="6"/>
        <v>35000</v>
      </c>
      <c r="AE24" s="153">
        <f t="shared" si="7"/>
        <v>0</v>
      </c>
    </row>
    <row r="25" spans="2:31" ht="12.75" customHeight="1" x14ac:dyDescent="0.2">
      <c r="B25" s="125" t="s">
        <v>150</v>
      </c>
      <c r="C25" s="128" t="s">
        <v>151</v>
      </c>
      <c r="D25" s="150">
        <v>0</v>
      </c>
      <c r="E25" s="150">
        <v>0</v>
      </c>
      <c r="F25" s="150">
        <v>0</v>
      </c>
      <c r="G25" s="150">
        <v>0</v>
      </c>
      <c r="H25" s="150">
        <v>0</v>
      </c>
      <c r="I25" s="150">
        <v>0</v>
      </c>
      <c r="J25" s="150">
        <v>180000</v>
      </c>
      <c r="K25" s="150">
        <v>0</v>
      </c>
      <c r="L25" s="150">
        <v>0</v>
      </c>
      <c r="M25" s="150">
        <v>0</v>
      </c>
      <c r="N25" s="150">
        <v>0</v>
      </c>
      <c r="O25" s="150">
        <v>140000</v>
      </c>
      <c r="P25" s="150">
        <v>0</v>
      </c>
      <c r="Q25" s="150">
        <v>40000</v>
      </c>
      <c r="R25" s="150">
        <v>0</v>
      </c>
      <c r="S25" s="151"/>
      <c r="T25" s="150">
        <v>0</v>
      </c>
      <c r="U25" s="151"/>
      <c r="V25" s="150">
        <v>0</v>
      </c>
      <c r="W25" s="151"/>
      <c r="X25" s="150">
        <v>0</v>
      </c>
      <c r="Y25" s="151"/>
      <c r="Z25" s="150">
        <v>0</v>
      </c>
      <c r="AA25" s="151"/>
      <c r="AB25" s="134">
        <f t="shared" si="5"/>
        <v>180000</v>
      </c>
      <c r="AC25" s="122"/>
      <c r="AD25" s="134">
        <f t="shared" si="6"/>
        <v>180000</v>
      </c>
      <c r="AE25" s="134">
        <f t="shared" si="7"/>
        <v>180000</v>
      </c>
    </row>
    <row r="26" spans="2:31" ht="12.75" customHeight="1" x14ac:dyDescent="0.2">
      <c r="B26" s="125" t="s">
        <v>147</v>
      </c>
      <c r="C26" s="128" t="s">
        <v>152</v>
      </c>
      <c r="D26" s="150">
        <v>0</v>
      </c>
      <c r="E26" s="150">
        <v>0</v>
      </c>
      <c r="F26" s="150">
        <v>0</v>
      </c>
      <c r="G26" s="150">
        <v>0</v>
      </c>
      <c r="H26" s="150">
        <v>0</v>
      </c>
      <c r="I26" s="150">
        <v>0</v>
      </c>
      <c r="J26" s="150">
        <v>0</v>
      </c>
      <c r="K26" s="150">
        <v>0</v>
      </c>
      <c r="L26" s="150">
        <v>100000</v>
      </c>
      <c r="M26" s="150">
        <v>0</v>
      </c>
      <c r="N26" s="150">
        <v>0</v>
      </c>
      <c r="O26" s="150">
        <v>0</v>
      </c>
      <c r="P26" s="150">
        <v>0</v>
      </c>
      <c r="Q26" s="150">
        <v>0</v>
      </c>
      <c r="R26" s="150">
        <v>0</v>
      </c>
      <c r="S26" s="151"/>
      <c r="T26" s="150">
        <v>0</v>
      </c>
      <c r="U26" s="151"/>
      <c r="V26" s="150">
        <v>0</v>
      </c>
      <c r="W26" s="151"/>
      <c r="X26" s="150">
        <v>0</v>
      </c>
      <c r="Y26" s="151"/>
      <c r="Z26" s="150">
        <v>0</v>
      </c>
      <c r="AA26" s="151"/>
      <c r="AB26" s="134">
        <f t="shared" si="5"/>
        <v>100000</v>
      </c>
      <c r="AC26" s="122"/>
      <c r="AD26" s="134">
        <f t="shared" si="6"/>
        <v>100000</v>
      </c>
      <c r="AE26" s="153">
        <f t="shared" si="7"/>
        <v>0</v>
      </c>
    </row>
    <row r="27" spans="2:31" ht="12.75" customHeight="1" x14ac:dyDescent="0.2">
      <c r="B27" s="125" t="s">
        <v>143</v>
      </c>
      <c r="C27" s="128" t="s">
        <v>166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80000</v>
      </c>
      <c r="N27" s="150">
        <v>120000</v>
      </c>
      <c r="O27" s="150">
        <v>0</v>
      </c>
      <c r="P27" s="150">
        <v>0</v>
      </c>
      <c r="Q27" s="150">
        <v>0</v>
      </c>
      <c r="R27" s="150">
        <v>0</v>
      </c>
      <c r="S27" s="151"/>
      <c r="T27" s="150">
        <v>0</v>
      </c>
      <c r="U27" s="151"/>
      <c r="V27" s="150">
        <v>0</v>
      </c>
      <c r="W27" s="151"/>
      <c r="X27" s="150">
        <v>0</v>
      </c>
      <c r="Y27" s="151"/>
      <c r="Z27" s="150">
        <v>0</v>
      </c>
      <c r="AA27" s="151"/>
      <c r="AB27" s="134">
        <f t="shared" si="5"/>
        <v>120000</v>
      </c>
      <c r="AC27" s="122"/>
      <c r="AD27" s="134">
        <f t="shared" si="6"/>
        <v>120000</v>
      </c>
      <c r="AE27" s="153">
        <f t="shared" si="7"/>
        <v>80000</v>
      </c>
    </row>
    <row r="28" spans="2:31" ht="12.75" customHeight="1" x14ac:dyDescent="0.2">
      <c r="B28" s="125" t="s">
        <v>154</v>
      </c>
      <c r="C28" s="128" t="s">
        <v>155</v>
      </c>
      <c r="D28" s="150">
        <v>0</v>
      </c>
      <c r="E28" s="150">
        <v>0</v>
      </c>
      <c r="F28" s="150">
        <v>0</v>
      </c>
      <c r="G28" s="150">
        <v>0</v>
      </c>
      <c r="H28" s="150">
        <v>0</v>
      </c>
      <c r="I28" s="150">
        <v>0</v>
      </c>
      <c r="J28" s="150">
        <v>0</v>
      </c>
      <c r="K28" s="150">
        <v>0</v>
      </c>
      <c r="L28" s="150">
        <v>0</v>
      </c>
      <c r="M28" s="150">
        <v>0</v>
      </c>
      <c r="N28" s="150">
        <v>0</v>
      </c>
      <c r="O28" s="150">
        <v>0</v>
      </c>
      <c r="P28" s="150">
        <v>85000</v>
      </c>
      <c r="Q28" s="150">
        <v>0</v>
      </c>
      <c r="R28" s="150">
        <v>0</v>
      </c>
      <c r="S28" s="151"/>
      <c r="T28" s="150">
        <v>0</v>
      </c>
      <c r="U28" s="151"/>
      <c r="V28" s="150">
        <v>0</v>
      </c>
      <c r="W28" s="151"/>
      <c r="X28" s="150">
        <v>0</v>
      </c>
      <c r="Y28" s="151"/>
      <c r="Z28" s="150">
        <v>0</v>
      </c>
      <c r="AA28" s="151"/>
      <c r="AB28" s="134">
        <f t="shared" si="5"/>
        <v>85000</v>
      </c>
      <c r="AC28" s="122"/>
      <c r="AD28" s="134">
        <f t="shared" si="6"/>
        <v>85000</v>
      </c>
      <c r="AE28" s="153">
        <f t="shared" si="7"/>
        <v>0</v>
      </c>
    </row>
    <row r="29" spans="2:31" ht="12.75" customHeight="1" x14ac:dyDescent="0.2">
      <c r="B29" s="125" t="s">
        <v>156</v>
      </c>
      <c r="C29" s="128" t="s">
        <v>157</v>
      </c>
      <c r="D29" s="150">
        <v>0</v>
      </c>
      <c r="E29" s="150">
        <v>0</v>
      </c>
      <c r="F29" s="150">
        <v>0</v>
      </c>
      <c r="G29" s="150">
        <v>35000</v>
      </c>
      <c r="H29" s="150">
        <v>0</v>
      </c>
      <c r="I29" s="150">
        <v>0</v>
      </c>
      <c r="J29" s="150">
        <v>0</v>
      </c>
      <c r="K29" s="150">
        <v>0</v>
      </c>
      <c r="L29" s="150">
        <v>0</v>
      </c>
      <c r="M29" s="150">
        <v>0</v>
      </c>
      <c r="N29" s="150">
        <v>0</v>
      </c>
      <c r="O29" s="150">
        <v>0</v>
      </c>
      <c r="P29" s="150">
        <v>0</v>
      </c>
      <c r="Q29" s="150">
        <v>0</v>
      </c>
      <c r="R29" s="150">
        <v>95000</v>
      </c>
      <c r="S29" s="151"/>
      <c r="T29" s="150">
        <v>0</v>
      </c>
      <c r="U29" s="151"/>
      <c r="V29" s="150">
        <v>0</v>
      </c>
      <c r="W29" s="151"/>
      <c r="X29" s="150">
        <v>0</v>
      </c>
      <c r="Y29" s="151"/>
      <c r="Z29" s="150">
        <v>0</v>
      </c>
      <c r="AA29" s="151"/>
      <c r="AB29" s="134">
        <f t="shared" si="5"/>
        <v>95000</v>
      </c>
      <c r="AC29" s="122"/>
      <c r="AD29" s="134">
        <f t="shared" si="6"/>
        <v>0</v>
      </c>
      <c r="AE29" s="134">
        <f t="shared" si="7"/>
        <v>35000</v>
      </c>
    </row>
    <row r="30" spans="2:31" ht="12.75" customHeight="1" x14ac:dyDescent="0.2">
      <c r="B30" s="125" t="s">
        <v>158</v>
      </c>
      <c r="C30" s="128" t="s">
        <v>159</v>
      </c>
      <c r="D30" s="150">
        <v>0</v>
      </c>
      <c r="E30" s="150">
        <v>0</v>
      </c>
      <c r="F30" s="150">
        <v>0</v>
      </c>
      <c r="G30" s="150">
        <v>0</v>
      </c>
      <c r="H30" s="150">
        <v>0</v>
      </c>
      <c r="I30" s="150">
        <v>0</v>
      </c>
      <c r="J30" s="150">
        <v>0</v>
      </c>
      <c r="K30" s="150">
        <v>0</v>
      </c>
      <c r="L30" s="150">
        <v>0</v>
      </c>
      <c r="M30" s="150">
        <v>0</v>
      </c>
      <c r="N30" s="150">
        <v>0</v>
      </c>
      <c r="O30" s="150">
        <v>0</v>
      </c>
      <c r="P30" s="150">
        <v>0</v>
      </c>
      <c r="Q30" s="150">
        <v>0</v>
      </c>
      <c r="R30" s="150">
        <v>0</v>
      </c>
      <c r="S30" s="151"/>
      <c r="T30" s="150">
        <v>650000</v>
      </c>
      <c r="U30" s="151"/>
      <c r="V30" s="150">
        <v>0</v>
      </c>
      <c r="W30" s="151"/>
      <c r="X30" s="150">
        <v>0</v>
      </c>
      <c r="Y30" s="151"/>
      <c r="Z30" s="150">
        <v>0</v>
      </c>
      <c r="AA30" s="151"/>
      <c r="AB30" s="134">
        <f t="shared" si="5"/>
        <v>650000</v>
      </c>
      <c r="AC30" s="122"/>
      <c r="AD30" s="134">
        <f t="shared" si="6"/>
        <v>0</v>
      </c>
      <c r="AE30" s="134">
        <f t="shared" si="7"/>
        <v>0</v>
      </c>
    </row>
    <row r="31" spans="2:31" ht="12.75" customHeight="1" x14ac:dyDescent="0.2">
      <c r="B31" s="125" t="s">
        <v>160</v>
      </c>
      <c r="C31" s="128" t="s">
        <v>161</v>
      </c>
      <c r="D31" s="150">
        <v>0</v>
      </c>
      <c r="E31" s="150">
        <v>0</v>
      </c>
      <c r="F31" s="150">
        <v>0</v>
      </c>
      <c r="G31" s="150">
        <v>0</v>
      </c>
      <c r="H31" s="150">
        <v>0</v>
      </c>
      <c r="I31" s="150">
        <v>0</v>
      </c>
      <c r="J31" s="150">
        <v>0</v>
      </c>
      <c r="K31" s="150">
        <v>0</v>
      </c>
      <c r="L31" s="150">
        <v>0</v>
      </c>
      <c r="M31" s="150">
        <v>0</v>
      </c>
      <c r="N31" s="150">
        <v>0</v>
      </c>
      <c r="O31" s="150">
        <v>0</v>
      </c>
      <c r="P31" s="150">
        <v>0</v>
      </c>
      <c r="Q31" s="150">
        <v>0</v>
      </c>
      <c r="R31" s="150">
        <v>0</v>
      </c>
      <c r="S31" s="151"/>
      <c r="T31" s="150">
        <v>0</v>
      </c>
      <c r="U31" s="151"/>
      <c r="V31" s="150">
        <v>550000</v>
      </c>
      <c r="W31" s="151"/>
      <c r="X31" s="150">
        <v>0</v>
      </c>
      <c r="Y31" s="151"/>
      <c r="Z31" s="150">
        <v>0</v>
      </c>
      <c r="AA31" s="151"/>
      <c r="AB31" s="134">
        <f t="shared" si="5"/>
        <v>550000</v>
      </c>
      <c r="AC31" s="122"/>
      <c r="AD31" s="134">
        <f t="shared" si="6"/>
        <v>0</v>
      </c>
      <c r="AE31" s="134">
        <f t="shared" si="7"/>
        <v>0</v>
      </c>
    </row>
    <row r="32" spans="2:31" ht="12.75" customHeight="1" x14ac:dyDescent="0.2">
      <c r="B32" s="125" t="s">
        <v>162</v>
      </c>
      <c r="C32" s="128" t="s">
        <v>163</v>
      </c>
      <c r="D32" s="150">
        <v>0</v>
      </c>
      <c r="E32" s="150">
        <v>0</v>
      </c>
      <c r="F32" s="150">
        <v>0</v>
      </c>
      <c r="G32" s="150">
        <v>0</v>
      </c>
      <c r="H32" s="150">
        <v>0</v>
      </c>
      <c r="I32" s="150">
        <v>0</v>
      </c>
      <c r="J32" s="150">
        <v>0</v>
      </c>
      <c r="K32" s="150">
        <v>0</v>
      </c>
      <c r="L32" s="150">
        <v>0</v>
      </c>
      <c r="M32" s="150">
        <v>0</v>
      </c>
      <c r="N32" s="150">
        <v>0</v>
      </c>
      <c r="O32" s="150">
        <v>0</v>
      </c>
      <c r="P32" s="150">
        <v>0</v>
      </c>
      <c r="Q32" s="150">
        <v>0</v>
      </c>
      <c r="R32" s="150">
        <v>0</v>
      </c>
      <c r="S32" s="151"/>
      <c r="T32" s="150">
        <v>0</v>
      </c>
      <c r="U32" s="151"/>
      <c r="V32" s="150">
        <v>0</v>
      </c>
      <c r="W32" s="151"/>
      <c r="X32" s="150">
        <v>800000</v>
      </c>
      <c r="Y32" s="151"/>
      <c r="Z32" s="150">
        <v>0</v>
      </c>
      <c r="AA32" s="151"/>
      <c r="AB32" s="134">
        <f t="shared" si="5"/>
        <v>800000</v>
      </c>
      <c r="AC32" s="122"/>
      <c r="AD32" s="134">
        <f t="shared" si="6"/>
        <v>0</v>
      </c>
      <c r="AE32" s="134">
        <f t="shared" si="7"/>
        <v>0</v>
      </c>
    </row>
    <row r="33" spans="2:31" ht="12.75" customHeight="1" x14ac:dyDescent="0.2">
      <c r="B33" s="125"/>
      <c r="C33" s="155" t="s">
        <v>167</v>
      </c>
      <c r="D33" s="156">
        <f t="shared" ref="D33:AB33" si="8">SUM(D21:D32)</f>
        <v>60000</v>
      </c>
      <c r="E33" s="156">
        <f t="shared" si="8"/>
        <v>0</v>
      </c>
      <c r="F33" s="156">
        <f t="shared" si="8"/>
        <v>60000</v>
      </c>
      <c r="G33" s="156">
        <f t="shared" si="8"/>
        <v>85000</v>
      </c>
      <c r="H33" s="156">
        <f t="shared" si="8"/>
        <v>35000</v>
      </c>
      <c r="I33" s="156">
        <f t="shared" si="8"/>
        <v>0</v>
      </c>
      <c r="J33" s="156">
        <f t="shared" si="8"/>
        <v>205000</v>
      </c>
      <c r="K33" s="156">
        <f t="shared" si="8"/>
        <v>0</v>
      </c>
      <c r="L33" s="156">
        <f t="shared" si="8"/>
        <v>100000</v>
      </c>
      <c r="M33" s="156">
        <f t="shared" si="8"/>
        <v>80000</v>
      </c>
      <c r="N33" s="156">
        <f t="shared" si="8"/>
        <v>145000</v>
      </c>
      <c r="O33" s="156">
        <f t="shared" si="8"/>
        <v>140850</v>
      </c>
      <c r="P33" s="156">
        <f t="shared" si="8"/>
        <v>85000</v>
      </c>
      <c r="Q33" s="156">
        <f t="shared" si="8"/>
        <v>40000</v>
      </c>
      <c r="R33" s="156">
        <f t="shared" si="8"/>
        <v>95000</v>
      </c>
      <c r="S33" s="157"/>
      <c r="T33" s="156">
        <f t="shared" si="8"/>
        <v>675000</v>
      </c>
      <c r="U33" s="157"/>
      <c r="V33" s="156">
        <f t="shared" si="8"/>
        <v>550000</v>
      </c>
      <c r="W33" s="157"/>
      <c r="X33" s="156">
        <f t="shared" si="8"/>
        <v>800000</v>
      </c>
      <c r="Y33" s="157"/>
      <c r="Z33" s="156">
        <f t="shared" si="8"/>
        <v>0</v>
      </c>
      <c r="AA33" s="157"/>
      <c r="AB33" s="156">
        <f t="shared" si="8"/>
        <v>2810000</v>
      </c>
      <c r="AC33" s="122"/>
      <c r="AD33" s="156">
        <f t="shared" ref="AD33:AE33" si="9">SUM(AD21:AD32)</f>
        <v>690000</v>
      </c>
      <c r="AE33" s="156">
        <f t="shared" si="9"/>
        <v>345850</v>
      </c>
    </row>
    <row r="34" spans="2:31" ht="15.75" customHeight="1" x14ac:dyDescent="0.2">
      <c r="AC34" s="122"/>
    </row>
    <row r="35" spans="2:31" ht="12.75" customHeight="1" x14ac:dyDescent="0.2">
      <c r="B35" s="125"/>
      <c r="C35" s="135" t="s">
        <v>168</v>
      </c>
      <c r="D35" s="136">
        <f t="shared" ref="D35:AB35" si="10">+D18+D33</f>
        <v>60000</v>
      </c>
      <c r="E35" s="136">
        <f t="shared" si="10"/>
        <v>42382.76</v>
      </c>
      <c r="F35" s="136">
        <f t="shared" si="10"/>
        <v>95000</v>
      </c>
      <c r="G35" s="136">
        <f t="shared" si="10"/>
        <v>126650</v>
      </c>
      <c r="H35" s="136">
        <f t="shared" si="10"/>
        <v>80000</v>
      </c>
      <c r="I35" s="136">
        <f t="shared" si="10"/>
        <v>8500</v>
      </c>
      <c r="J35" s="136">
        <f t="shared" si="10"/>
        <v>260000</v>
      </c>
      <c r="K35" s="136">
        <f t="shared" si="10"/>
        <v>3400</v>
      </c>
      <c r="L35" s="136">
        <f t="shared" si="10"/>
        <v>150000</v>
      </c>
      <c r="M35" s="136">
        <f t="shared" si="10"/>
        <v>80000</v>
      </c>
      <c r="N35" s="136">
        <f t="shared" si="10"/>
        <v>215000</v>
      </c>
      <c r="O35" s="136">
        <f t="shared" si="10"/>
        <v>161050</v>
      </c>
      <c r="P35" s="136">
        <f t="shared" si="10"/>
        <v>85000</v>
      </c>
      <c r="Q35" s="136">
        <f t="shared" si="10"/>
        <v>46800</v>
      </c>
      <c r="R35" s="136">
        <f t="shared" si="10"/>
        <v>140000</v>
      </c>
      <c r="S35" s="137"/>
      <c r="T35" s="136">
        <f t="shared" si="10"/>
        <v>885000</v>
      </c>
      <c r="U35" s="137"/>
      <c r="V35" s="136">
        <f t="shared" si="10"/>
        <v>1030000</v>
      </c>
      <c r="W35" s="137"/>
      <c r="X35" s="136">
        <f t="shared" si="10"/>
        <v>1100000</v>
      </c>
      <c r="Y35" s="137"/>
      <c r="Z35" s="136">
        <f t="shared" si="10"/>
        <v>0</v>
      </c>
      <c r="AA35" s="137"/>
      <c r="AB35" s="136">
        <f t="shared" si="10"/>
        <v>4100000</v>
      </c>
      <c r="AC35" s="122"/>
      <c r="AD35" s="136">
        <f t="shared" ref="AD35:AE35" si="11">+AD18+AD33</f>
        <v>945000</v>
      </c>
      <c r="AE35" s="136">
        <f t="shared" si="11"/>
        <v>468782.76</v>
      </c>
    </row>
    <row r="36" spans="2:31" ht="12.75" customHeight="1" x14ac:dyDescent="0.2">
      <c r="B36" s="125"/>
      <c r="C36" s="125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22"/>
      <c r="AD36" s="125"/>
      <c r="AE36" s="125"/>
    </row>
    <row r="37" spans="2:31" ht="12.75" customHeight="1" x14ac:dyDescent="0.2">
      <c r="B37" s="125"/>
      <c r="C37" s="148" t="s">
        <v>169</v>
      </c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22"/>
      <c r="AD37" s="125"/>
      <c r="AE37" s="125"/>
    </row>
    <row r="38" spans="2:31" ht="12.75" customHeight="1" x14ac:dyDescent="0.2">
      <c r="B38" s="125" t="s">
        <v>170</v>
      </c>
      <c r="C38" s="128" t="s">
        <v>144</v>
      </c>
      <c r="D38" s="150">
        <v>40000</v>
      </c>
      <c r="E38" s="150">
        <v>0</v>
      </c>
      <c r="F38" s="150">
        <v>53045</v>
      </c>
      <c r="G38" s="150">
        <v>0</v>
      </c>
      <c r="H38" s="150">
        <v>0</v>
      </c>
      <c r="I38" s="150">
        <v>14340</v>
      </c>
      <c r="J38" s="150">
        <v>0</v>
      </c>
      <c r="K38" s="150">
        <v>0</v>
      </c>
      <c r="L38" s="150">
        <v>0</v>
      </c>
      <c r="M38" s="150"/>
      <c r="N38" s="150">
        <v>0</v>
      </c>
      <c r="O38" s="150">
        <v>0</v>
      </c>
      <c r="P38" s="150">
        <v>0</v>
      </c>
      <c r="Q38" s="150">
        <v>0</v>
      </c>
      <c r="R38" s="150">
        <v>0</v>
      </c>
      <c r="S38" s="151"/>
      <c r="T38" s="150">
        <v>0</v>
      </c>
      <c r="U38" s="151"/>
      <c r="V38" s="150">
        <v>0</v>
      </c>
      <c r="W38" s="151"/>
      <c r="X38" s="150">
        <v>0</v>
      </c>
      <c r="Y38" s="151"/>
      <c r="Z38" s="150">
        <v>0</v>
      </c>
      <c r="AA38" s="151"/>
      <c r="AB38" s="134">
        <f t="shared" ref="AB38:AB49" si="12">D38+F38+H38+J38+L38+N38+P38+R38+T38+V38+X38+Z38</f>
        <v>93045</v>
      </c>
      <c r="AC38" s="122"/>
      <c r="AD38" s="134">
        <f t="shared" ref="AD38:AD51" si="13">D38+F38+H38+J38+L38+N38+P38</f>
        <v>93045</v>
      </c>
      <c r="AE38" s="134">
        <f t="shared" ref="AE38:AE51" si="14">E38+G38+I38+K38+M38+O38+Q38</f>
        <v>14340</v>
      </c>
    </row>
    <row r="39" spans="2:31" ht="12.75" customHeight="1" x14ac:dyDescent="0.2">
      <c r="B39" s="125" t="s">
        <v>171</v>
      </c>
      <c r="C39" s="128" t="s">
        <v>146</v>
      </c>
      <c r="D39" s="150">
        <v>0</v>
      </c>
      <c r="E39" s="150">
        <v>0</v>
      </c>
      <c r="F39" s="150">
        <v>38000</v>
      </c>
      <c r="G39" s="150">
        <v>46790.9</v>
      </c>
      <c r="H39" s="150">
        <v>0</v>
      </c>
      <c r="I39" s="150">
        <v>-517.24</v>
      </c>
      <c r="J39" s="150">
        <v>0</v>
      </c>
      <c r="K39" s="150">
        <v>0</v>
      </c>
      <c r="L39" s="150">
        <v>0</v>
      </c>
      <c r="M39" s="150">
        <v>0</v>
      </c>
      <c r="N39" s="150">
        <v>0</v>
      </c>
      <c r="O39" s="150">
        <v>0</v>
      </c>
      <c r="P39" s="150">
        <v>0</v>
      </c>
      <c r="Q39" s="150">
        <v>0</v>
      </c>
      <c r="R39" s="150">
        <v>0</v>
      </c>
      <c r="S39" s="151"/>
      <c r="T39" s="150">
        <v>0</v>
      </c>
      <c r="U39" s="151"/>
      <c r="V39" s="150">
        <v>0</v>
      </c>
      <c r="W39" s="151"/>
      <c r="X39" s="150">
        <v>0</v>
      </c>
      <c r="Y39" s="151"/>
      <c r="Z39" s="150">
        <v>0</v>
      </c>
      <c r="AA39" s="151"/>
      <c r="AB39" s="134">
        <f t="shared" si="12"/>
        <v>38000</v>
      </c>
      <c r="AC39" s="122"/>
      <c r="AD39" s="134">
        <f t="shared" si="13"/>
        <v>38000</v>
      </c>
      <c r="AE39" s="153">
        <f t="shared" si="14"/>
        <v>46273.66</v>
      </c>
    </row>
    <row r="40" spans="2:31" ht="12.75" customHeight="1" x14ac:dyDescent="0.2">
      <c r="B40" s="125" t="s">
        <v>172</v>
      </c>
      <c r="C40" s="128" t="s">
        <v>148</v>
      </c>
      <c r="D40" s="150">
        <v>0</v>
      </c>
      <c r="E40" s="150">
        <v>0</v>
      </c>
      <c r="F40" s="150">
        <v>60000</v>
      </c>
      <c r="G40" s="150">
        <v>0</v>
      </c>
      <c r="H40" s="150">
        <v>0</v>
      </c>
      <c r="I40" s="150">
        <v>0</v>
      </c>
      <c r="J40" s="150">
        <v>60000</v>
      </c>
      <c r="K40" s="150">
        <v>0</v>
      </c>
      <c r="L40" s="150">
        <v>0</v>
      </c>
      <c r="M40" s="150">
        <v>1419.03</v>
      </c>
      <c r="N40" s="150">
        <v>60000</v>
      </c>
      <c r="O40" s="150">
        <v>0</v>
      </c>
      <c r="P40" s="150">
        <v>0</v>
      </c>
      <c r="Q40" s="150">
        <v>1857.23</v>
      </c>
      <c r="R40" s="150">
        <v>0</v>
      </c>
      <c r="S40" s="151"/>
      <c r="T40" s="150">
        <v>60000</v>
      </c>
      <c r="U40" s="151"/>
      <c r="V40" s="150">
        <v>0</v>
      </c>
      <c r="W40" s="151"/>
      <c r="X40" s="150">
        <v>0</v>
      </c>
      <c r="Y40" s="151"/>
      <c r="Z40" s="150">
        <v>0</v>
      </c>
      <c r="AA40" s="151"/>
      <c r="AB40" s="134">
        <f t="shared" si="12"/>
        <v>240000</v>
      </c>
      <c r="AC40" s="122"/>
      <c r="AD40" s="134">
        <f t="shared" si="13"/>
        <v>180000</v>
      </c>
      <c r="AE40" s="134">
        <f t="shared" si="14"/>
        <v>3276.26</v>
      </c>
    </row>
    <row r="41" spans="2:31" ht="12.75" customHeight="1" x14ac:dyDescent="0.2">
      <c r="B41" s="125" t="s">
        <v>170</v>
      </c>
      <c r="C41" s="128" t="s">
        <v>149</v>
      </c>
      <c r="D41" s="150">
        <v>0</v>
      </c>
      <c r="E41" s="150">
        <v>0</v>
      </c>
      <c r="F41" s="150"/>
      <c r="G41" s="150">
        <v>0</v>
      </c>
      <c r="H41" s="150">
        <v>35000</v>
      </c>
      <c r="I41" s="150">
        <v>0</v>
      </c>
      <c r="J41" s="150">
        <v>0</v>
      </c>
      <c r="K41" s="150">
        <v>0</v>
      </c>
      <c r="L41" s="150">
        <v>0</v>
      </c>
      <c r="M41" s="150">
        <v>0</v>
      </c>
      <c r="N41" s="150">
        <v>0</v>
      </c>
      <c r="O41" s="150">
        <v>0</v>
      </c>
      <c r="P41" s="150">
        <v>0</v>
      </c>
      <c r="Q41" s="150">
        <v>0</v>
      </c>
      <c r="R41" s="150">
        <v>0</v>
      </c>
      <c r="S41" s="151"/>
      <c r="T41" s="150">
        <v>0</v>
      </c>
      <c r="U41" s="151"/>
      <c r="V41" s="150">
        <v>0</v>
      </c>
      <c r="W41" s="151"/>
      <c r="X41" s="150">
        <v>0</v>
      </c>
      <c r="Y41" s="151"/>
      <c r="Z41" s="150">
        <v>0</v>
      </c>
      <c r="AA41" s="151"/>
      <c r="AB41" s="134">
        <f t="shared" si="12"/>
        <v>35000</v>
      </c>
      <c r="AC41" s="122"/>
      <c r="AD41" s="134">
        <f t="shared" si="13"/>
        <v>35000</v>
      </c>
      <c r="AE41" s="134">
        <f t="shared" si="14"/>
        <v>0</v>
      </c>
    </row>
    <row r="42" spans="2:31" ht="12.75" customHeight="1" x14ac:dyDescent="0.2">
      <c r="B42" s="125" t="s">
        <v>173</v>
      </c>
      <c r="C42" s="128" t="s">
        <v>151</v>
      </c>
      <c r="D42" s="150">
        <v>0</v>
      </c>
      <c r="E42" s="150">
        <v>0</v>
      </c>
      <c r="F42" s="150">
        <v>0</v>
      </c>
      <c r="G42" s="150">
        <v>0</v>
      </c>
      <c r="H42" s="150">
        <v>0</v>
      </c>
      <c r="I42" s="150">
        <v>0</v>
      </c>
      <c r="J42" s="150">
        <v>130000</v>
      </c>
      <c r="K42" s="150">
        <v>0</v>
      </c>
      <c r="L42" s="150">
        <v>0</v>
      </c>
      <c r="M42" s="150">
        <v>0</v>
      </c>
      <c r="N42" s="150">
        <v>0</v>
      </c>
      <c r="O42" s="150">
        <v>67650.679999999993</v>
      </c>
      <c r="P42" s="150">
        <v>0</v>
      </c>
      <c r="Q42" s="150">
        <v>68842.52</v>
      </c>
      <c r="R42" s="150">
        <v>0</v>
      </c>
      <c r="S42" s="151"/>
      <c r="T42" s="150">
        <v>0</v>
      </c>
      <c r="U42" s="151"/>
      <c r="V42" s="150">
        <v>0</v>
      </c>
      <c r="W42" s="151"/>
      <c r="X42" s="150">
        <v>0</v>
      </c>
      <c r="Y42" s="151"/>
      <c r="Z42" s="150">
        <v>0</v>
      </c>
      <c r="AA42" s="151"/>
      <c r="AB42" s="134">
        <f t="shared" si="12"/>
        <v>130000</v>
      </c>
      <c r="AC42" s="122"/>
      <c r="AD42" s="134">
        <f t="shared" si="13"/>
        <v>130000</v>
      </c>
      <c r="AE42" s="153">
        <f t="shared" si="14"/>
        <v>136493.20000000001</v>
      </c>
    </row>
    <row r="43" spans="2:31" ht="12.75" customHeight="1" x14ac:dyDescent="0.2">
      <c r="B43" s="125" t="s">
        <v>172</v>
      </c>
      <c r="C43" s="128" t="s">
        <v>152</v>
      </c>
      <c r="D43" s="150">
        <v>0</v>
      </c>
      <c r="E43" s="150">
        <v>0</v>
      </c>
      <c r="F43" s="150">
        <v>0</v>
      </c>
      <c r="G43" s="150">
        <v>0</v>
      </c>
      <c r="H43" s="150">
        <v>0</v>
      </c>
      <c r="I43" s="150">
        <v>0</v>
      </c>
      <c r="J43" s="150">
        <v>0</v>
      </c>
      <c r="K43" s="150">
        <v>0</v>
      </c>
      <c r="L43" s="150">
        <v>100000</v>
      </c>
      <c r="M43" s="150">
        <v>0</v>
      </c>
      <c r="N43" s="150">
        <v>0</v>
      </c>
      <c r="O43" s="150">
        <v>0</v>
      </c>
      <c r="P43" s="150">
        <v>0</v>
      </c>
      <c r="Q43" s="150">
        <v>0</v>
      </c>
      <c r="R43" s="150">
        <v>0</v>
      </c>
      <c r="S43" s="151"/>
      <c r="T43" s="150">
        <v>0</v>
      </c>
      <c r="U43" s="151"/>
      <c r="V43" s="150">
        <v>0</v>
      </c>
      <c r="W43" s="151"/>
      <c r="X43" s="150">
        <v>0</v>
      </c>
      <c r="Y43" s="151"/>
      <c r="Z43" s="150">
        <v>0</v>
      </c>
      <c r="AA43" s="151"/>
      <c r="AB43" s="134">
        <f t="shared" si="12"/>
        <v>100000</v>
      </c>
      <c r="AC43" s="122"/>
      <c r="AD43" s="134">
        <f t="shared" si="13"/>
        <v>100000</v>
      </c>
      <c r="AE43" s="153">
        <f t="shared" si="14"/>
        <v>0</v>
      </c>
    </row>
    <row r="44" spans="2:31" ht="12.75" customHeight="1" x14ac:dyDescent="0.2">
      <c r="B44" s="125" t="s">
        <v>170</v>
      </c>
      <c r="C44" s="128" t="s">
        <v>166</v>
      </c>
      <c r="D44" s="150">
        <v>0</v>
      </c>
      <c r="E44" s="150">
        <v>0</v>
      </c>
      <c r="F44" s="150">
        <v>0</v>
      </c>
      <c r="G44" s="150">
        <v>0</v>
      </c>
      <c r="H44" s="150">
        <v>0</v>
      </c>
      <c r="I44" s="150">
        <v>0</v>
      </c>
      <c r="J44" s="150">
        <v>0</v>
      </c>
      <c r="K44" s="150">
        <v>0</v>
      </c>
      <c r="L44" s="150">
        <v>0</v>
      </c>
      <c r="M44" s="150">
        <v>10309.84</v>
      </c>
      <c r="N44" s="150">
        <v>125000</v>
      </c>
      <c r="O44" s="150">
        <v>0</v>
      </c>
      <c r="P44" s="150">
        <v>0</v>
      </c>
      <c r="Q44" s="150">
        <v>0</v>
      </c>
      <c r="R44" s="150">
        <v>0</v>
      </c>
      <c r="S44" s="151"/>
      <c r="T44" s="150">
        <v>0</v>
      </c>
      <c r="U44" s="151"/>
      <c r="V44" s="150">
        <v>0</v>
      </c>
      <c r="W44" s="151"/>
      <c r="X44" s="150">
        <v>0</v>
      </c>
      <c r="Y44" s="151"/>
      <c r="Z44" s="150">
        <v>0</v>
      </c>
      <c r="AA44" s="151"/>
      <c r="AB44" s="134">
        <f t="shared" si="12"/>
        <v>125000</v>
      </c>
      <c r="AC44" s="122"/>
      <c r="AD44" s="134">
        <f t="shared" si="13"/>
        <v>125000</v>
      </c>
      <c r="AE44" s="153">
        <f t="shared" si="14"/>
        <v>10309.84</v>
      </c>
    </row>
    <row r="45" spans="2:31" ht="12.75" customHeight="1" x14ac:dyDescent="0.2">
      <c r="B45" s="125" t="s">
        <v>174</v>
      </c>
      <c r="C45" s="128" t="s">
        <v>155</v>
      </c>
      <c r="D45" s="150">
        <v>0</v>
      </c>
      <c r="E45" s="150">
        <v>0</v>
      </c>
      <c r="F45" s="150">
        <v>0</v>
      </c>
      <c r="G45" s="150">
        <v>0</v>
      </c>
      <c r="H45" s="150">
        <v>0</v>
      </c>
      <c r="I45" s="150">
        <v>0</v>
      </c>
      <c r="J45" s="150">
        <v>0</v>
      </c>
      <c r="K45" s="150">
        <v>0</v>
      </c>
      <c r="L45" s="150">
        <v>0</v>
      </c>
      <c r="M45" s="150">
        <v>0</v>
      </c>
      <c r="N45" s="150">
        <v>0</v>
      </c>
      <c r="O45" s="150">
        <v>0</v>
      </c>
      <c r="P45" s="150">
        <v>55000</v>
      </c>
      <c r="Q45" s="150">
        <v>0</v>
      </c>
      <c r="R45" s="150">
        <v>0</v>
      </c>
      <c r="S45" s="151"/>
      <c r="T45" s="150">
        <v>0</v>
      </c>
      <c r="U45" s="151"/>
      <c r="V45" s="150">
        <v>0</v>
      </c>
      <c r="W45" s="151"/>
      <c r="X45" s="150">
        <v>0</v>
      </c>
      <c r="Y45" s="151"/>
      <c r="Z45" s="150">
        <v>0</v>
      </c>
      <c r="AA45" s="151"/>
      <c r="AB45" s="134">
        <f t="shared" si="12"/>
        <v>55000</v>
      </c>
      <c r="AC45" s="122"/>
      <c r="AD45" s="134">
        <f t="shared" si="13"/>
        <v>55000</v>
      </c>
      <c r="AE45" s="153">
        <f t="shared" si="14"/>
        <v>0</v>
      </c>
    </row>
    <row r="46" spans="2:31" ht="12.75" customHeight="1" x14ac:dyDescent="0.2">
      <c r="B46" s="125" t="s">
        <v>175</v>
      </c>
      <c r="C46" s="128" t="s">
        <v>157</v>
      </c>
      <c r="D46" s="150">
        <v>0</v>
      </c>
      <c r="E46" s="150">
        <v>24047.83</v>
      </c>
      <c r="F46" s="150">
        <v>0</v>
      </c>
      <c r="G46" s="150">
        <v>56472.77</v>
      </c>
      <c r="H46" s="150">
        <v>0</v>
      </c>
      <c r="I46" s="150">
        <v>1118.97</v>
      </c>
      <c r="J46" s="150">
        <v>0</v>
      </c>
      <c r="K46" s="150">
        <v>0</v>
      </c>
      <c r="L46" s="150">
        <v>0</v>
      </c>
      <c r="M46" s="150">
        <v>0</v>
      </c>
      <c r="N46" s="150">
        <v>0</v>
      </c>
      <c r="O46" s="150">
        <v>0</v>
      </c>
      <c r="P46" s="150">
        <v>0</v>
      </c>
      <c r="Q46" s="150">
        <v>0</v>
      </c>
      <c r="R46" s="150">
        <v>110000</v>
      </c>
      <c r="S46" s="151"/>
      <c r="T46" s="150">
        <v>0</v>
      </c>
      <c r="U46" s="151"/>
      <c r="V46" s="150">
        <v>0</v>
      </c>
      <c r="W46" s="151"/>
      <c r="X46" s="150">
        <v>0</v>
      </c>
      <c r="Y46" s="151"/>
      <c r="Z46" s="150">
        <v>0</v>
      </c>
      <c r="AA46" s="151"/>
      <c r="AB46" s="134">
        <f t="shared" si="12"/>
        <v>110000</v>
      </c>
      <c r="AC46" s="122"/>
      <c r="AD46" s="134">
        <f t="shared" si="13"/>
        <v>0</v>
      </c>
      <c r="AE46" s="153">
        <f t="shared" si="14"/>
        <v>81639.570000000007</v>
      </c>
    </row>
    <row r="47" spans="2:31" ht="12.75" customHeight="1" x14ac:dyDescent="0.2">
      <c r="B47" s="125" t="s">
        <v>176</v>
      </c>
      <c r="C47" s="128" t="s">
        <v>159</v>
      </c>
      <c r="D47" s="150">
        <v>0</v>
      </c>
      <c r="E47" s="150">
        <v>0</v>
      </c>
      <c r="F47" s="150">
        <v>0</v>
      </c>
      <c r="G47" s="150">
        <v>0</v>
      </c>
      <c r="H47" s="150">
        <v>0</v>
      </c>
      <c r="I47" s="150">
        <v>0</v>
      </c>
      <c r="J47" s="150">
        <v>0</v>
      </c>
      <c r="K47" s="150">
        <v>0</v>
      </c>
      <c r="L47" s="150">
        <v>0</v>
      </c>
      <c r="M47" s="150">
        <v>0</v>
      </c>
      <c r="N47" s="150">
        <v>0</v>
      </c>
      <c r="O47" s="150">
        <v>0</v>
      </c>
      <c r="P47" s="150">
        <v>0</v>
      </c>
      <c r="Q47" s="150">
        <v>0</v>
      </c>
      <c r="R47" s="150">
        <v>0</v>
      </c>
      <c r="S47" s="151"/>
      <c r="T47" s="150">
        <v>630000</v>
      </c>
      <c r="U47" s="151"/>
      <c r="V47" s="150">
        <v>0</v>
      </c>
      <c r="W47" s="151"/>
      <c r="X47" s="150">
        <v>0</v>
      </c>
      <c r="Y47" s="151"/>
      <c r="Z47" s="150">
        <v>0</v>
      </c>
      <c r="AA47" s="151"/>
      <c r="AB47" s="134">
        <f t="shared" si="12"/>
        <v>630000</v>
      </c>
      <c r="AC47" s="122"/>
      <c r="AD47" s="134">
        <f t="shared" si="13"/>
        <v>0</v>
      </c>
      <c r="AE47" s="134">
        <f t="shared" si="14"/>
        <v>0</v>
      </c>
    </row>
    <row r="48" spans="2:31" ht="12.75" customHeight="1" x14ac:dyDescent="0.2">
      <c r="B48" s="125" t="s">
        <v>177</v>
      </c>
      <c r="C48" s="128" t="s">
        <v>161</v>
      </c>
      <c r="D48" s="150">
        <v>0</v>
      </c>
      <c r="E48" s="150">
        <v>0</v>
      </c>
      <c r="F48" s="150">
        <v>0</v>
      </c>
      <c r="G48" s="150">
        <v>0</v>
      </c>
      <c r="H48" s="150">
        <v>0</v>
      </c>
      <c r="I48" s="150">
        <v>0</v>
      </c>
      <c r="J48" s="150">
        <v>0</v>
      </c>
      <c r="K48" s="150">
        <v>0</v>
      </c>
      <c r="L48" s="150">
        <v>0</v>
      </c>
      <c r="M48" s="150">
        <v>0</v>
      </c>
      <c r="N48" s="150">
        <v>0</v>
      </c>
      <c r="O48" s="150">
        <v>0</v>
      </c>
      <c r="P48" s="150">
        <v>0</v>
      </c>
      <c r="Q48" s="150">
        <v>0</v>
      </c>
      <c r="R48" s="150">
        <v>0</v>
      </c>
      <c r="S48" s="151"/>
      <c r="T48" s="150">
        <v>0</v>
      </c>
      <c r="U48" s="151"/>
      <c r="V48" s="150">
        <v>700000</v>
      </c>
      <c r="W48" s="151"/>
      <c r="X48" s="150">
        <v>0</v>
      </c>
      <c r="Y48" s="151"/>
      <c r="Z48" s="150">
        <v>0</v>
      </c>
      <c r="AA48" s="151"/>
      <c r="AB48" s="134">
        <f t="shared" si="12"/>
        <v>700000</v>
      </c>
      <c r="AC48" s="122"/>
      <c r="AD48" s="134">
        <f t="shared" si="13"/>
        <v>0</v>
      </c>
      <c r="AE48" s="134">
        <f t="shared" si="14"/>
        <v>0</v>
      </c>
    </row>
    <row r="49" spans="2:31" ht="12.75" customHeight="1" x14ac:dyDescent="0.2">
      <c r="B49" s="125" t="s">
        <v>178</v>
      </c>
      <c r="C49" s="128" t="s">
        <v>163</v>
      </c>
      <c r="D49" s="150">
        <v>0</v>
      </c>
      <c r="E49" s="150">
        <v>0</v>
      </c>
      <c r="F49" s="150">
        <v>0</v>
      </c>
      <c r="G49" s="150">
        <v>0</v>
      </c>
      <c r="H49" s="150">
        <v>0</v>
      </c>
      <c r="I49" s="150">
        <v>0</v>
      </c>
      <c r="J49" s="150">
        <v>0</v>
      </c>
      <c r="K49" s="150">
        <v>0</v>
      </c>
      <c r="L49" s="150">
        <v>0</v>
      </c>
      <c r="M49" s="150">
        <v>0</v>
      </c>
      <c r="N49" s="150">
        <v>0</v>
      </c>
      <c r="O49" s="150">
        <v>0</v>
      </c>
      <c r="P49" s="150">
        <v>0</v>
      </c>
      <c r="Q49" s="150">
        <v>0</v>
      </c>
      <c r="R49" s="150">
        <v>0</v>
      </c>
      <c r="S49" s="151"/>
      <c r="T49" s="150">
        <v>0</v>
      </c>
      <c r="U49" s="151"/>
      <c r="V49" s="150">
        <v>0</v>
      </c>
      <c r="W49" s="151"/>
      <c r="X49" s="150">
        <v>700000</v>
      </c>
      <c r="Y49" s="151"/>
      <c r="Z49" s="150">
        <v>0</v>
      </c>
      <c r="AA49" s="151"/>
      <c r="AB49" s="134">
        <f t="shared" si="12"/>
        <v>700000</v>
      </c>
      <c r="AC49" s="122"/>
      <c r="AD49" s="134">
        <f t="shared" si="13"/>
        <v>0</v>
      </c>
      <c r="AE49" s="134">
        <f t="shared" si="14"/>
        <v>0</v>
      </c>
    </row>
    <row r="50" spans="2:31" ht="12.75" customHeight="1" x14ac:dyDescent="0.2">
      <c r="B50" s="125" t="s">
        <v>179</v>
      </c>
      <c r="C50" s="128" t="s">
        <v>180</v>
      </c>
      <c r="D50" s="150">
        <v>0</v>
      </c>
      <c r="E50" s="150">
        <v>0</v>
      </c>
      <c r="F50" s="150">
        <v>0</v>
      </c>
      <c r="G50" s="150">
        <v>0</v>
      </c>
      <c r="H50" s="150">
        <v>0</v>
      </c>
      <c r="I50" s="150">
        <v>0</v>
      </c>
      <c r="J50" s="150">
        <v>0</v>
      </c>
      <c r="K50" s="150">
        <v>0</v>
      </c>
      <c r="L50" s="150">
        <v>0</v>
      </c>
      <c r="M50" s="150">
        <v>22332.47</v>
      </c>
      <c r="N50" s="150">
        <v>0</v>
      </c>
      <c r="O50" s="150">
        <v>0</v>
      </c>
      <c r="P50" s="150">
        <v>0</v>
      </c>
      <c r="Q50" s="150">
        <v>0</v>
      </c>
      <c r="R50" s="150">
        <v>0</v>
      </c>
      <c r="S50" s="151"/>
      <c r="T50" s="150">
        <v>0</v>
      </c>
      <c r="U50" s="151"/>
      <c r="V50" s="150">
        <v>0</v>
      </c>
      <c r="W50" s="151"/>
      <c r="X50" s="150">
        <v>700000</v>
      </c>
      <c r="Y50" s="151"/>
      <c r="Z50" s="150">
        <v>0</v>
      </c>
      <c r="AA50" s="151"/>
      <c r="AB50" s="134">
        <v>700000</v>
      </c>
      <c r="AC50" s="122"/>
      <c r="AD50" s="134">
        <f t="shared" si="13"/>
        <v>0</v>
      </c>
      <c r="AE50" s="153">
        <f t="shared" si="14"/>
        <v>22332.47</v>
      </c>
    </row>
    <row r="51" spans="2:31" ht="12.75" customHeight="1" x14ac:dyDescent="0.2">
      <c r="B51" s="125" t="s">
        <v>181</v>
      </c>
      <c r="C51" s="128" t="s">
        <v>182</v>
      </c>
      <c r="D51" s="150">
        <v>0</v>
      </c>
      <c r="E51" s="150">
        <v>0</v>
      </c>
      <c r="F51" s="150">
        <v>0</v>
      </c>
      <c r="G51" s="150">
        <v>0</v>
      </c>
      <c r="H51" s="150">
        <v>0</v>
      </c>
      <c r="I51" s="150">
        <v>0</v>
      </c>
      <c r="J51" s="150">
        <v>0</v>
      </c>
      <c r="K51" s="150">
        <v>1464.15</v>
      </c>
      <c r="L51" s="150">
        <v>0</v>
      </c>
      <c r="M51" s="150">
        <v>0</v>
      </c>
      <c r="N51" s="150">
        <v>0</v>
      </c>
      <c r="O51" s="150">
        <v>0</v>
      </c>
      <c r="P51" s="150">
        <v>0</v>
      </c>
      <c r="Q51" s="150">
        <v>0</v>
      </c>
      <c r="R51" s="150">
        <v>0</v>
      </c>
      <c r="S51" s="151"/>
      <c r="T51" s="150">
        <v>0</v>
      </c>
      <c r="U51" s="151"/>
      <c r="V51" s="150">
        <v>0</v>
      </c>
      <c r="W51" s="151"/>
      <c r="X51" s="150">
        <v>0</v>
      </c>
      <c r="Y51" s="151"/>
      <c r="Z51" s="150">
        <v>0</v>
      </c>
      <c r="AA51" s="151"/>
      <c r="AB51" s="134">
        <f>D51+F51+H51+J51+L51+N51+P51+R51+T51+V51+X51+Z51</f>
        <v>0</v>
      </c>
      <c r="AC51" s="122"/>
      <c r="AD51" s="134">
        <f t="shared" si="13"/>
        <v>0</v>
      </c>
      <c r="AE51" s="153">
        <f t="shared" si="14"/>
        <v>1464.15</v>
      </c>
    </row>
    <row r="52" spans="2:31" ht="12.75" customHeight="1" x14ac:dyDescent="0.2">
      <c r="B52" s="125"/>
      <c r="C52" s="135" t="s">
        <v>183</v>
      </c>
      <c r="D52" s="136">
        <f t="shared" ref="D52:AB52" si="15">SUM(D38:D51)</f>
        <v>40000</v>
      </c>
      <c r="E52" s="136">
        <f t="shared" si="15"/>
        <v>24047.83</v>
      </c>
      <c r="F52" s="136">
        <f t="shared" si="15"/>
        <v>151045</v>
      </c>
      <c r="G52" s="136">
        <f t="shared" si="15"/>
        <v>103263.67</v>
      </c>
      <c r="H52" s="136">
        <f t="shared" si="15"/>
        <v>35000</v>
      </c>
      <c r="I52" s="136">
        <f t="shared" si="15"/>
        <v>14941.73</v>
      </c>
      <c r="J52" s="136">
        <f t="shared" si="15"/>
        <v>190000</v>
      </c>
      <c r="K52" s="136">
        <f t="shared" si="15"/>
        <v>1464.15</v>
      </c>
      <c r="L52" s="136">
        <f t="shared" si="15"/>
        <v>100000</v>
      </c>
      <c r="M52" s="136">
        <f t="shared" si="15"/>
        <v>34061.340000000004</v>
      </c>
      <c r="N52" s="136">
        <f t="shared" si="15"/>
        <v>185000</v>
      </c>
      <c r="O52" s="136">
        <f t="shared" si="15"/>
        <v>67650.679999999993</v>
      </c>
      <c r="P52" s="136">
        <f t="shared" si="15"/>
        <v>55000</v>
      </c>
      <c r="Q52" s="136">
        <f t="shared" si="15"/>
        <v>70699.75</v>
      </c>
      <c r="R52" s="136">
        <f t="shared" si="15"/>
        <v>110000</v>
      </c>
      <c r="S52" s="137"/>
      <c r="T52" s="136">
        <f t="shared" si="15"/>
        <v>690000</v>
      </c>
      <c r="U52" s="137"/>
      <c r="V52" s="136">
        <f t="shared" si="15"/>
        <v>700000</v>
      </c>
      <c r="W52" s="137"/>
      <c r="X52" s="136">
        <f t="shared" si="15"/>
        <v>1400000</v>
      </c>
      <c r="Y52" s="137"/>
      <c r="Z52" s="136">
        <f t="shared" si="15"/>
        <v>0</v>
      </c>
      <c r="AA52" s="137"/>
      <c r="AB52" s="136">
        <f t="shared" si="15"/>
        <v>3656045</v>
      </c>
      <c r="AC52" s="122"/>
      <c r="AD52" s="136">
        <f t="shared" ref="AD52:AE52" si="16">SUM(AD38:AD51)</f>
        <v>756045</v>
      </c>
      <c r="AE52" s="136">
        <f t="shared" si="16"/>
        <v>316129.15000000002</v>
      </c>
    </row>
    <row r="53" spans="2:31" ht="15.75" customHeight="1" x14ac:dyDescent="0.2">
      <c r="AC53" s="122"/>
    </row>
    <row r="54" spans="2:31" ht="15.75" customHeight="1" x14ac:dyDescent="0.2">
      <c r="AC54" s="122"/>
    </row>
    <row r="55" spans="2:31" ht="12.75" customHeight="1" x14ac:dyDescent="0.2">
      <c r="B55" s="125"/>
      <c r="C55" s="159" t="s">
        <v>184</v>
      </c>
      <c r="D55" s="160">
        <f t="shared" ref="D55:AB55" si="17">+D35-D52</f>
        <v>20000</v>
      </c>
      <c r="E55" s="160">
        <f t="shared" si="17"/>
        <v>18334.93</v>
      </c>
      <c r="F55" s="160">
        <f t="shared" si="17"/>
        <v>-56045</v>
      </c>
      <c r="G55" s="160">
        <f t="shared" si="17"/>
        <v>23386.33</v>
      </c>
      <c r="H55" s="160">
        <f t="shared" si="17"/>
        <v>45000</v>
      </c>
      <c r="I55" s="160">
        <f t="shared" si="17"/>
        <v>-6441.73</v>
      </c>
      <c r="J55" s="160">
        <f t="shared" si="17"/>
        <v>70000</v>
      </c>
      <c r="K55" s="160">
        <f t="shared" si="17"/>
        <v>1935.85</v>
      </c>
      <c r="L55" s="160">
        <f t="shared" si="17"/>
        <v>50000</v>
      </c>
      <c r="M55" s="160">
        <f t="shared" si="17"/>
        <v>45938.659999999996</v>
      </c>
      <c r="N55" s="160">
        <f t="shared" si="17"/>
        <v>30000</v>
      </c>
      <c r="O55" s="160">
        <f t="shared" si="17"/>
        <v>93399.32</v>
      </c>
      <c r="P55" s="160">
        <f t="shared" si="17"/>
        <v>30000</v>
      </c>
      <c r="Q55" s="160">
        <f t="shared" si="17"/>
        <v>-23899.75</v>
      </c>
      <c r="R55" s="160">
        <f t="shared" si="17"/>
        <v>30000</v>
      </c>
      <c r="S55" s="160"/>
      <c r="T55" s="160">
        <f t="shared" si="17"/>
        <v>195000</v>
      </c>
      <c r="U55" s="160"/>
      <c r="V55" s="160">
        <f t="shared" si="17"/>
        <v>330000</v>
      </c>
      <c r="W55" s="160"/>
      <c r="X55" s="160">
        <f t="shared" si="17"/>
        <v>-300000</v>
      </c>
      <c r="Y55" s="160"/>
      <c r="Z55" s="160">
        <f t="shared" si="17"/>
        <v>0</v>
      </c>
      <c r="AA55" s="160"/>
      <c r="AB55" s="161">
        <f t="shared" si="17"/>
        <v>443955</v>
      </c>
      <c r="AC55" s="122"/>
      <c r="AD55" s="160">
        <f t="shared" ref="AD55:AE55" si="18">+AD35-AD52</f>
        <v>188955</v>
      </c>
      <c r="AE55" s="160">
        <f t="shared" si="18"/>
        <v>152653.60999999999</v>
      </c>
    </row>
    <row r="56" spans="2:31" ht="12.75" customHeight="1" x14ac:dyDescent="0.2">
      <c r="B56" s="125"/>
      <c r="C56" s="125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22"/>
      <c r="AD56" s="125"/>
      <c r="AE56" s="125"/>
    </row>
    <row r="57" spans="2:31" ht="12.75" customHeight="1" x14ac:dyDescent="0.2">
      <c r="B57" s="125"/>
      <c r="C57" s="125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22"/>
      <c r="AD57" s="125"/>
      <c r="AE57" s="125"/>
    </row>
    <row r="58" spans="2:31" ht="12.75" customHeight="1" x14ac:dyDescent="0.2">
      <c r="B58" s="125"/>
      <c r="C58" s="125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22"/>
      <c r="AD58" s="125"/>
      <c r="AE58" s="125"/>
    </row>
    <row r="59" spans="2:31" ht="12.75" customHeight="1" x14ac:dyDescent="0.2">
      <c r="B59" s="125"/>
      <c r="C59" s="148" t="s">
        <v>185</v>
      </c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22"/>
      <c r="AD59" s="125"/>
      <c r="AE59" s="125"/>
    </row>
    <row r="60" spans="2:31" ht="12.75" customHeight="1" x14ac:dyDescent="0.2">
      <c r="B60" s="125" t="s">
        <v>186</v>
      </c>
      <c r="C60" s="134" t="s">
        <v>187</v>
      </c>
      <c r="D60" s="150">
        <v>47268.9</v>
      </c>
      <c r="E60" s="150">
        <v>78600</v>
      </c>
      <c r="F60" s="150">
        <v>47268.9</v>
      </c>
      <c r="G60" s="150">
        <v>52400</v>
      </c>
      <c r="H60" s="150">
        <v>47268.9</v>
      </c>
      <c r="I60" s="150">
        <v>78600</v>
      </c>
      <c r="J60" s="150">
        <v>47268.9</v>
      </c>
      <c r="K60" s="150">
        <v>78600</v>
      </c>
      <c r="L60" s="150">
        <v>47268.9</v>
      </c>
      <c r="M60" s="150">
        <v>52400</v>
      </c>
      <c r="N60" s="150">
        <v>47268.9</v>
      </c>
      <c r="O60" s="150">
        <v>52400</v>
      </c>
      <c r="P60" s="150">
        <v>47268.9</v>
      </c>
      <c r="Q60" s="150">
        <v>52400</v>
      </c>
      <c r="R60" s="150">
        <v>47268.9</v>
      </c>
      <c r="S60" s="151"/>
      <c r="T60" s="150">
        <v>47268.9</v>
      </c>
      <c r="U60" s="151"/>
      <c r="V60" s="150">
        <v>47268.9</v>
      </c>
      <c r="W60" s="151"/>
      <c r="X60" s="150">
        <v>47268.9</v>
      </c>
      <c r="Y60" s="151"/>
      <c r="Z60" s="150">
        <v>47268.9</v>
      </c>
      <c r="AA60" s="151"/>
      <c r="AB60" s="134">
        <f>D60+F60+H60+J60+L60+N60+P60+R60+T60+V60+X60+Z60</f>
        <v>567226.80000000016</v>
      </c>
      <c r="AC60" s="122"/>
      <c r="AD60" s="134">
        <f>D60+F60+H60+J60+L60+N60+P60</f>
        <v>330882.30000000005</v>
      </c>
      <c r="AE60" s="134">
        <f>E60+G60+I60+K60+M60+O60+Q60</f>
        <v>445400</v>
      </c>
    </row>
    <row r="61" spans="2:31" ht="12.75" customHeight="1" x14ac:dyDescent="0.2">
      <c r="B61" s="125"/>
      <c r="C61" s="135" t="s">
        <v>188</v>
      </c>
      <c r="D61" s="163">
        <f t="shared" ref="D61:AB61" si="19">SUM(D60)</f>
        <v>47268.9</v>
      </c>
      <c r="E61" s="163">
        <f t="shared" si="19"/>
        <v>78600</v>
      </c>
      <c r="F61" s="163">
        <f t="shared" si="19"/>
        <v>47268.9</v>
      </c>
      <c r="G61" s="163">
        <f t="shared" si="19"/>
        <v>52400</v>
      </c>
      <c r="H61" s="163">
        <f t="shared" si="19"/>
        <v>47268.9</v>
      </c>
      <c r="I61" s="163">
        <f t="shared" si="19"/>
        <v>78600</v>
      </c>
      <c r="J61" s="163">
        <f t="shared" si="19"/>
        <v>47268.9</v>
      </c>
      <c r="K61" s="163">
        <f t="shared" si="19"/>
        <v>78600</v>
      </c>
      <c r="L61" s="163">
        <f t="shared" si="19"/>
        <v>47268.9</v>
      </c>
      <c r="M61" s="163">
        <f t="shared" si="19"/>
        <v>52400</v>
      </c>
      <c r="N61" s="163">
        <f t="shared" si="19"/>
        <v>47268.9</v>
      </c>
      <c r="O61" s="163">
        <f t="shared" si="19"/>
        <v>52400</v>
      </c>
      <c r="P61" s="163">
        <f t="shared" si="19"/>
        <v>47268.9</v>
      </c>
      <c r="Q61" s="163">
        <f t="shared" si="19"/>
        <v>52400</v>
      </c>
      <c r="R61" s="163">
        <f t="shared" si="19"/>
        <v>47268.9</v>
      </c>
      <c r="S61" s="164"/>
      <c r="T61" s="163">
        <f t="shared" si="19"/>
        <v>47268.9</v>
      </c>
      <c r="U61" s="164"/>
      <c r="V61" s="163">
        <f t="shared" si="19"/>
        <v>47268.9</v>
      </c>
      <c r="W61" s="164"/>
      <c r="X61" s="163">
        <f t="shared" si="19"/>
        <v>47268.9</v>
      </c>
      <c r="Y61" s="164"/>
      <c r="Z61" s="163">
        <f t="shared" si="19"/>
        <v>47268.9</v>
      </c>
      <c r="AA61" s="164"/>
      <c r="AB61" s="163">
        <f t="shared" si="19"/>
        <v>567226.80000000016</v>
      </c>
      <c r="AC61" s="122"/>
      <c r="AD61" s="163">
        <f t="shared" ref="AD61:AE61" si="20">SUM(AD60)</f>
        <v>330882.30000000005</v>
      </c>
      <c r="AE61" s="163">
        <f t="shared" si="20"/>
        <v>445400</v>
      </c>
    </row>
    <row r="62" spans="2:31" ht="12.75" customHeight="1" x14ac:dyDescent="0.2">
      <c r="B62" s="125"/>
      <c r="C62" s="125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22"/>
      <c r="AD62" s="125"/>
      <c r="AE62" s="125"/>
    </row>
    <row r="63" spans="2:31" ht="12.75" customHeight="1" x14ac:dyDescent="0.2">
      <c r="B63" s="125"/>
      <c r="C63" s="165" t="s">
        <v>189</v>
      </c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22"/>
      <c r="AD63" s="125"/>
      <c r="AE63" s="125"/>
    </row>
    <row r="64" spans="2:31" ht="12.75" customHeight="1" x14ac:dyDescent="0.2">
      <c r="B64" s="125" t="s">
        <v>190</v>
      </c>
      <c r="C64" s="125" t="s">
        <v>187</v>
      </c>
      <c r="D64" s="150">
        <f>D60*0.5</f>
        <v>23634.45</v>
      </c>
      <c r="E64" s="150">
        <v>39300</v>
      </c>
      <c r="F64" s="150">
        <v>23634.45</v>
      </c>
      <c r="G64" s="150">
        <v>26200</v>
      </c>
      <c r="H64" s="150">
        <v>23634.45</v>
      </c>
      <c r="I64" s="150">
        <v>39300</v>
      </c>
      <c r="J64" s="150">
        <v>23634.45</v>
      </c>
      <c r="K64" s="150">
        <v>39300</v>
      </c>
      <c r="L64" s="150">
        <f>L60*0.5</f>
        <v>23634.45</v>
      </c>
      <c r="M64" s="150">
        <v>26200</v>
      </c>
      <c r="N64" s="150">
        <f>N60*0.5</f>
        <v>23634.45</v>
      </c>
      <c r="O64" s="150">
        <v>26200</v>
      </c>
      <c r="P64" s="150">
        <f>P60*0.5</f>
        <v>23634.45</v>
      </c>
      <c r="Q64" s="150">
        <v>26200</v>
      </c>
      <c r="R64" s="150">
        <f t="shared" ref="R64:Z64" si="21">R60*0.5</f>
        <v>23634.45</v>
      </c>
      <c r="S64" s="151"/>
      <c r="T64" s="150">
        <f t="shared" si="21"/>
        <v>23634.45</v>
      </c>
      <c r="U64" s="151"/>
      <c r="V64" s="150">
        <f t="shared" si="21"/>
        <v>23634.45</v>
      </c>
      <c r="W64" s="151"/>
      <c r="X64" s="150">
        <f t="shared" si="21"/>
        <v>23634.45</v>
      </c>
      <c r="Y64" s="151"/>
      <c r="Z64" s="150">
        <f t="shared" si="21"/>
        <v>23634.45</v>
      </c>
      <c r="AA64" s="151"/>
      <c r="AB64" s="134">
        <f>D64+F64+H64+J64+L64+N64+P64+R64+T64+V64+X64+Z64</f>
        <v>283613.40000000008</v>
      </c>
      <c r="AC64" s="122"/>
      <c r="AD64" s="134">
        <f>D64+F64+H64+J64+L64+N64+P64</f>
        <v>165441.15000000002</v>
      </c>
      <c r="AE64" s="134">
        <f>E64+G64+I64+K64+M64+O64+Q64</f>
        <v>222700</v>
      </c>
    </row>
    <row r="65" spans="2:31" ht="12.75" customHeight="1" x14ac:dyDescent="0.2">
      <c r="B65" s="125"/>
      <c r="C65" s="166" t="s">
        <v>191</v>
      </c>
      <c r="D65" s="167">
        <f t="shared" ref="D65:AB65" si="22">SUM(D64)</f>
        <v>23634.45</v>
      </c>
      <c r="E65" s="167">
        <f t="shared" si="22"/>
        <v>39300</v>
      </c>
      <c r="F65" s="167">
        <f t="shared" si="22"/>
        <v>23634.45</v>
      </c>
      <c r="G65" s="167">
        <f t="shared" si="22"/>
        <v>26200</v>
      </c>
      <c r="H65" s="167">
        <f t="shared" si="22"/>
        <v>23634.45</v>
      </c>
      <c r="I65" s="167">
        <f t="shared" si="22"/>
        <v>39300</v>
      </c>
      <c r="J65" s="167">
        <f t="shared" si="22"/>
        <v>23634.45</v>
      </c>
      <c r="K65" s="167">
        <f t="shared" si="22"/>
        <v>39300</v>
      </c>
      <c r="L65" s="167">
        <f t="shared" si="22"/>
        <v>23634.45</v>
      </c>
      <c r="M65" s="167">
        <f t="shared" si="22"/>
        <v>26200</v>
      </c>
      <c r="N65" s="167">
        <f t="shared" si="22"/>
        <v>23634.45</v>
      </c>
      <c r="O65" s="167">
        <f t="shared" si="22"/>
        <v>26200</v>
      </c>
      <c r="P65" s="167">
        <f t="shared" si="22"/>
        <v>23634.45</v>
      </c>
      <c r="Q65" s="167">
        <f t="shared" si="22"/>
        <v>26200</v>
      </c>
      <c r="R65" s="167">
        <f t="shared" si="22"/>
        <v>23634.45</v>
      </c>
      <c r="S65" s="168"/>
      <c r="T65" s="167">
        <f t="shared" si="22"/>
        <v>23634.45</v>
      </c>
      <c r="U65" s="168"/>
      <c r="V65" s="167">
        <f t="shared" si="22"/>
        <v>23634.45</v>
      </c>
      <c r="W65" s="168"/>
      <c r="X65" s="167">
        <f t="shared" si="22"/>
        <v>23634.45</v>
      </c>
      <c r="Y65" s="168"/>
      <c r="Z65" s="167">
        <f t="shared" si="22"/>
        <v>23634.45</v>
      </c>
      <c r="AA65" s="168"/>
      <c r="AB65" s="167">
        <f t="shared" si="22"/>
        <v>283613.40000000008</v>
      </c>
      <c r="AC65" s="122"/>
      <c r="AD65" s="167">
        <f t="shared" ref="AD65:AE65" si="23">SUM(AD64)</f>
        <v>165441.15000000002</v>
      </c>
      <c r="AE65" s="167">
        <f t="shared" si="23"/>
        <v>222700</v>
      </c>
    </row>
    <row r="66" spans="2:31" ht="12.75" customHeight="1" x14ac:dyDescent="0.2">
      <c r="B66" s="125"/>
      <c r="C66" s="169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  <c r="AB66" s="170"/>
      <c r="AC66" s="122"/>
      <c r="AD66" s="170"/>
      <c r="AE66" s="170"/>
    </row>
    <row r="67" spans="2:31" ht="12.75" customHeight="1" x14ac:dyDescent="0.2">
      <c r="B67" s="125"/>
      <c r="C67" s="125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22"/>
      <c r="AD67" s="134"/>
      <c r="AE67" s="134"/>
    </row>
    <row r="68" spans="2:31" ht="12.75" customHeight="1" x14ac:dyDescent="0.2">
      <c r="B68" s="125"/>
      <c r="C68" s="138" t="s">
        <v>192</v>
      </c>
      <c r="D68" s="139">
        <f t="shared" ref="D68:AB68" si="24">+D61-D65+D55</f>
        <v>43634.45</v>
      </c>
      <c r="E68" s="139">
        <f t="shared" si="24"/>
        <v>57634.93</v>
      </c>
      <c r="F68" s="139">
        <f t="shared" si="24"/>
        <v>-32410.55</v>
      </c>
      <c r="G68" s="139">
        <f t="shared" si="24"/>
        <v>49586.33</v>
      </c>
      <c r="H68" s="139">
        <f t="shared" si="24"/>
        <v>68634.45</v>
      </c>
      <c r="I68" s="139">
        <f t="shared" si="24"/>
        <v>32858.270000000004</v>
      </c>
      <c r="J68" s="139">
        <f t="shared" si="24"/>
        <v>93634.45</v>
      </c>
      <c r="K68" s="139">
        <f t="shared" si="24"/>
        <v>41235.85</v>
      </c>
      <c r="L68" s="139">
        <f t="shared" si="24"/>
        <v>73634.45</v>
      </c>
      <c r="M68" s="139">
        <f t="shared" si="24"/>
        <v>72138.66</v>
      </c>
      <c r="N68" s="139">
        <f t="shared" si="24"/>
        <v>53634.45</v>
      </c>
      <c r="O68" s="139">
        <f t="shared" si="24"/>
        <v>119599.32</v>
      </c>
      <c r="P68" s="139">
        <f t="shared" si="24"/>
        <v>53634.45</v>
      </c>
      <c r="Q68" s="139">
        <f t="shared" si="24"/>
        <v>2300.25</v>
      </c>
      <c r="R68" s="139">
        <f t="shared" si="24"/>
        <v>53634.45</v>
      </c>
      <c r="S68" s="139"/>
      <c r="T68" s="139">
        <f t="shared" si="24"/>
        <v>218634.45</v>
      </c>
      <c r="U68" s="139"/>
      <c r="V68" s="139">
        <f t="shared" si="24"/>
        <v>353634.45</v>
      </c>
      <c r="W68" s="139"/>
      <c r="X68" s="139">
        <f t="shared" si="24"/>
        <v>-276365.55</v>
      </c>
      <c r="Y68" s="139"/>
      <c r="Z68" s="139">
        <f t="shared" si="24"/>
        <v>23634.45</v>
      </c>
      <c r="AA68" s="139"/>
      <c r="AB68" s="140">
        <f t="shared" si="24"/>
        <v>727568.40000000014</v>
      </c>
      <c r="AC68" s="122"/>
      <c r="AD68" s="139">
        <f t="shared" ref="AD68:AE68" si="25">+AD61-AD65+AD55</f>
        <v>354396.15</v>
      </c>
      <c r="AE68" s="139">
        <f t="shared" si="25"/>
        <v>375353.61</v>
      </c>
    </row>
    <row r="69" spans="2:31" ht="15.75" customHeight="1" x14ac:dyDescent="0.2">
      <c r="AC69" s="122"/>
      <c r="AD69" s="125"/>
      <c r="AE69" s="125"/>
    </row>
    <row r="70" spans="2:31" ht="15.75" customHeight="1" x14ac:dyDescent="0.2">
      <c r="AC70" s="122"/>
      <c r="AD70" s="125"/>
      <c r="AE70" s="125"/>
    </row>
    <row r="71" spans="2:31" ht="15.75" customHeight="1" x14ac:dyDescent="0.2">
      <c r="AC71" s="122"/>
      <c r="AD71" s="125"/>
      <c r="AE71" s="125"/>
    </row>
    <row r="72" spans="2:31" ht="12.75" customHeight="1" x14ac:dyDescent="0.2">
      <c r="C72" s="171" t="s">
        <v>138</v>
      </c>
      <c r="AC72" s="122"/>
      <c r="AD72" s="125"/>
      <c r="AE72" s="125"/>
    </row>
    <row r="73" spans="2:31" ht="12.75" customHeight="1" x14ac:dyDescent="0.2">
      <c r="C73" s="171" t="s">
        <v>139</v>
      </c>
      <c r="AC73" s="122"/>
      <c r="AD73" s="125"/>
      <c r="AE73" s="125"/>
    </row>
    <row r="74" spans="2:31" ht="15.75" customHeight="1" x14ac:dyDescent="0.2">
      <c r="AC74" s="122"/>
      <c r="AD74" s="125"/>
      <c r="AE74" s="125"/>
    </row>
    <row r="75" spans="2:31" ht="15.75" customHeight="1" x14ac:dyDescent="0.2">
      <c r="AC75" s="122"/>
      <c r="AD75" s="125"/>
      <c r="AE75" s="125"/>
    </row>
    <row r="76" spans="2:31" ht="15.75" customHeight="1" x14ac:dyDescent="0.2">
      <c r="C76" s="125"/>
      <c r="AC76" s="122"/>
      <c r="AD76" s="125"/>
      <c r="AE76" s="125"/>
    </row>
    <row r="77" spans="2:31" ht="15.75" customHeight="1" x14ac:dyDescent="0.2">
      <c r="AC77" s="122"/>
      <c r="AD77" s="125"/>
      <c r="AE77" s="125"/>
    </row>
    <row r="78" spans="2:31" ht="15.75" customHeight="1" x14ac:dyDescent="0.2">
      <c r="AC78" s="122"/>
      <c r="AD78" s="125"/>
      <c r="AE78" s="125"/>
    </row>
    <row r="79" spans="2:31" ht="15.75" customHeight="1" x14ac:dyDescent="0.2">
      <c r="AC79" s="122"/>
      <c r="AD79" s="125"/>
      <c r="AE79" s="125"/>
    </row>
    <row r="80" spans="2:31" ht="15.75" customHeight="1" x14ac:dyDescent="0.2">
      <c r="AC80" s="122"/>
      <c r="AD80" s="125"/>
      <c r="AE80" s="125"/>
    </row>
    <row r="81" spans="29:31" ht="15.75" customHeight="1" x14ac:dyDescent="0.2">
      <c r="AC81" s="122"/>
      <c r="AD81" s="125"/>
      <c r="AE81" s="125"/>
    </row>
    <row r="82" spans="29:31" ht="15.75" customHeight="1" x14ac:dyDescent="0.2">
      <c r="AC82" s="122"/>
      <c r="AD82" s="125"/>
      <c r="AE82" s="125"/>
    </row>
    <row r="83" spans="29:31" ht="15.75" customHeight="1" x14ac:dyDescent="0.2">
      <c r="AC83" s="122"/>
      <c r="AD83" s="125"/>
      <c r="AE83" s="125"/>
    </row>
    <row r="84" spans="29:31" ht="15.75" customHeight="1" x14ac:dyDescent="0.2">
      <c r="AC84" s="122"/>
      <c r="AD84" s="125"/>
      <c r="AE84" s="125"/>
    </row>
    <row r="85" spans="29:31" ht="15.75" customHeight="1" x14ac:dyDescent="0.2">
      <c r="AC85" s="122"/>
      <c r="AD85" s="125"/>
      <c r="AE85" s="125"/>
    </row>
    <row r="86" spans="29:31" ht="15.75" customHeight="1" x14ac:dyDescent="0.2">
      <c r="AC86" s="122"/>
      <c r="AD86" s="125"/>
      <c r="AE86" s="125"/>
    </row>
    <row r="87" spans="29:31" ht="15.75" customHeight="1" x14ac:dyDescent="0.2">
      <c r="AC87" s="122"/>
      <c r="AD87" s="125"/>
      <c r="AE87" s="125"/>
    </row>
    <row r="88" spans="29:31" ht="15.75" customHeight="1" x14ac:dyDescent="0.2">
      <c r="AC88" s="122"/>
      <c r="AD88" s="125"/>
      <c r="AE88" s="125"/>
    </row>
    <row r="89" spans="29:31" ht="15.75" customHeight="1" x14ac:dyDescent="0.2">
      <c r="AC89" s="122"/>
      <c r="AD89" s="125"/>
      <c r="AE89" s="125"/>
    </row>
    <row r="90" spans="29:31" ht="15.75" customHeight="1" x14ac:dyDescent="0.2">
      <c r="AC90" s="122"/>
      <c r="AD90" s="125"/>
      <c r="AE90" s="125"/>
    </row>
    <row r="91" spans="29:31" ht="15.75" customHeight="1" x14ac:dyDescent="0.2">
      <c r="AC91" s="122"/>
      <c r="AD91" s="125"/>
      <c r="AE91" s="125"/>
    </row>
    <row r="92" spans="29:31" ht="15.75" customHeight="1" x14ac:dyDescent="0.2">
      <c r="AC92" s="122"/>
      <c r="AD92" s="125"/>
      <c r="AE92" s="125"/>
    </row>
    <row r="93" spans="29:31" ht="15.75" customHeight="1" x14ac:dyDescent="0.2">
      <c r="AC93" s="122"/>
      <c r="AD93" s="125"/>
      <c r="AE93" s="125"/>
    </row>
    <row r="94" spans="29:31" ht="15.75" customHeight="1" x14ac:dyDescent="0.2">
      <c r="AC94" s="122"/>
      <c r="AD94" s="125"/>
      <c r="AE94" s="125"/>
    </row>
    <row r="95" spans="29:31" ht="15.75" customHeight="1" x14ac:dyDescent="0.2">
      <c r="AC95" s="122"/>
      <c r="AD95" s="125"/>
      <c r="AE95" s="125"/>
    </row>
    <row r="96" spans="29:31" ht="15.75" customHeight="1" x14ac:dyDescent="0.2">
      <c r="AC96" s="122"/>
      <c r="AD96" s="125"/>
      <c r="AE96" s="125"/>
    </row>
    <row r="97" spans="29:31" ht="15.75" customHeight="1" x14ac:dyDescent="0.2">
      <c r="AC97" s="122"/>
      <c r="AD97" s="125"/>
      <c r="AE97" s="125"/>
    </row>
    <row r="98" spans="29:31" ht="15.75" customHeight="1" x14ac:dyDescent="0.2">
      <c r="AC98" s="122"/>
      <c r="AD98" s="125"/>
      <c r="AE98" s="125"/>
    </row>
    <row r="99" spans="29:31" ht="15.75" customHeight="1" x14ac:dyDescent="0.2">
      <c r="AC99" s="122"/>
      <c r="AD99" s="125"/>
      <c r="AE99" s="125"/>
    </row>
    <row r="100" spans="29:31" ht="15.75" customHeight="1" x14ac:dyDescent="0.2">
      <c r="AC100" s="122"/>
      <c r="AD100" s="125"/>
      <c r="AE100" s="125"/>
    </row>
    <row r="101" spans="29:31" ht="15.75" customHeight="1" x14ac:dyDescent="0.2">
      <c r="AC101" s="122"/>
      <c r="AD101" s="125"/>
      <c r="AE101" s="125"/>
    </row>
    <row r="102" spans="29:31" ht="15.75" customHeight="1" x14ac:dyDescent="0.2">
      <c r="AC102" s="122"/>
      <c r="AD102" s="125"/>
      <c r="AE102" s="125"/>
    </row>
    <row r="103" spans="29:31" ht="15.75" customHeight="1" x14ac:dyDescent="0.2">
      <c r="AC103" s="122"/>
      <c r="AD103" s="125"/>
      <c r="AE103" s="125"/>
    </row>
    <row r="104" spans="29:31" ht="15.75" customHeight="1" x14ac:dyDescent="0.2">
      <c r="AC104" s="122"/>
      <c r="AD104" s="125"/>
      <c r="AE104" s="125"/>
    </row>
    <row r="105" spans="29:31" ht="15.75" customHeight="1" x14ac:dyDescent="0.2">
      <c r="AC105" s="122"/>
      <c r="AD105" s="125"/>
      <c r="AE105" s="125"/>
    </row>
    <row r="106" spans="29:31" ht="15.75" customHeight="1" x14ac:dyDescent="0.2">
      <c r="AC106" s="122"/>
      <c r="AD106" s="125"/>
      <c r="AE106" s="125"/>
    </row>
    <row r="107" spans="29:31" ht="15.75" customHeight="1" x14ac:dyDescent="0.2">
      <c r="AC107" s="122"/>
      <c r="AD107" s="125"/>
      <c r="AE107" s="125"/>
    </row>
    <row r="108" spans="29:31" ht="15.75" customHeight="1" x14ac:dyDescent="0.2">
      <c r="AC108" s="122"/>
      <c r="AD108" s="125"/>
      <c r="AE108" s="125"/>
    </row>
    <row r="109" spans="29:31" ht="15.75" customHeight="1" x14ac:dyDescent="0.2">
      <c r="AC109" s="122"/>
      <c r="AD109" s="125"/>
      <c r="AE109" s="125"/>
    </row>
    <row r="110" spans="29:31" ht="15.75" customHeight="1" x14ac:dyDescent="0.2">
      <c r="AC110" s="122"/>
      <c r="AD110" s="125"/>
      <c r="AE110" s="125"/>
    </row>
    <row r="111" spans="29:31" ht="15.75" customHeight="1" x14ac:dyDescent="0.2">
      <c r="AC111" s="122"/>
      <c r="AD111" s="125"/>
      <c r="AE111" s="125"/>
    </row>
    <row r="112" spans="29:31" ht="15.75" customHeight="1" x14ac:dyDescent="0.2">
      <c r="AC112" s="122"/>
      <c r="AD112" s="125"/>
      <c r="AE112" s="125"/>
    </row>
    <row r="113" spans="29:31" ht="15.75" customHeight="1" x14ac:dyDescent="0.2">
      <c r="AC113" s="122"/>
      <c r="AD113" s="125"/>
      <c r="AE113" s="125"/>
    </row>
    <row r="114" spans="29:31" ht="15.75" customHeight="1" x14ac:dyDescent="0.2">
      <c r="AC114" s="122"/>
      <c r="AD114" s="125"/>
      <c r="AE114" s="125"/>
    </row>
    <row r="115" spans="29:31" ht="15.75" customHeight="1" x14ac:dyDescent="0.2">
      <c r="AC115" s="122"/>
      <c r="AD115" s="125"/>
      <c r="AE115" s="125"/>
    </row>
    <row r="116" spans="29:31" ht="15.75" customHeight="1" x14ac:dyDescent="0.2">
      <c r="AC116" s="122"/>
      <c r="AD116" s="125"/>
      <c r="AE116" s="125"/>
    </row>
    <row r="117" spans="29:31" ht="15.75" customHeight="1" x14ac:dyDescent="0.2">
      <c r="AC117" s="122"/>
      <c r="AD117" s="125"/>
      <c r="AE117" s="125"/>
    </row>
    <row r="118" spans="29:31" ht="15.75" customHeight="1" x14ac:dyDescent="0.2">
      <c r="AC118" s="122"/>
      <c r="AD118" s="125"/>
      <c r="AE118" s="125"/>
    </row>
    <row r="119" spans="29:31" ht="15.75" customHeight="1" x14ac:dyDescent="0.2">
      <c r="AC119" s="122"/>
      <c r="AD119" s="125"/>
      <c r="AE119" s="125"/>
    </row>
    <row r="120" spans="29:31" ht="15.75" customHeight="1" x14ac:dyDescent="0.2">
      <c r="AC120" s="122"/>
      <c r="AD120" s="125"/>
      <c r="AE120" s="125"/>
    </row>
    <row r="121" spans="29:31" ht="15.75" customHeight="1" x14ac:dyDescent="0.2">
      <c r="AC121" s="122"/>
      <c r="AD121" s="125"/>
      <c r="AE121" s="125"/>
    </row>
    <row r="122" spans="29:31" ht="15.75" customHeight="1" x14ac:dyDescent="0.2">
      <c r="AC122" s="122"/>
      <c r="AD122" s="125"/>
      <c r="AE122" s="125"/>
    </row>
    <row r="123" spans="29:31" ht="15.75" customHeight="1" x14ac:dyDescent="0.2">
      <c r="AC123" s="122"/>
      <c r="AD123" s="125"/>
      <c r="AE123" s="125"/>
    </row>
    <row r="124" spans="29:31" ht="15.75" customHeight="1" x14ac:dyDescent="0.2">
      <c r="AC124" s="122"/>
      <c r="AD124" s="125"/>
      <c r="AE124" s="125"/>
    </row>
    <row r="125" spans="29:31" ht="15.75" customHeight="1" x14ac:dyDescent="0.2">
      <c r="AC125" s="122"/>
      <c r="AD125" s="125"/>
      <c r="AE125" s="125"/>
    </row>
    <row r="126" spans="29:31" ht="15.75" customHeight="1" x14ac:dyDescent="0.2">
      <c r="AC126" s="122"/>
      <c r="AD126" s="125"/>
      <c r="AE126" s="125"/>
    </row>
    <row r="127" spans="29:31" ht="15.75" customHeight="1" x14ac:dyDescent="0.2">
      <c r="AC127" s="122"/>
      <c r="AD127" s="125"/>
      <c r="AE127" s="125"/>
    </row>
    <row r="128" spans="29:31" ht="15.75" customHeight="1" x14ac:dyDescent="0.2">
      <c r="AC128" s="122"/>
      <c r="AD128" s="125"/>
      <c r="AE128" s="125"/>
    </row>
    <row r="129" spans="29:31" ht="15.75" customHeight="1" x14ac:dyDescent="0.2">
      <c r="AC129" s="122"/>
      <c r="AD129" s="125"/>
      <c r="AE129" s="125"/>
    </row>
    <row r="130" spans="29:31" ht="15.75" customHeight="1" x14ac:dyDescent="0.2">
      <c r="AC130" s="122"/>
      <c r="AD130" s="125"/>
      <c r="AE130" s="125"/>
    </row>
    <row r="131" spans="29:31" ht="15.75" customHeight="1" x14ac:dyDescent="0.2">
      <c r="AC131" s="122"/>
      <c r="AD131" s="125"/>
      <c r="AE131" s="125"/>
    </row>
    <row r="132" spans="29:31" ht="15.75" customHeight="1" x14ac:dyDescent="0.2">
      <c r="AC132" s="122"/>
      <c r="AD132" s="125"/>
      <c r="AE132" s="125"/>
    </row>
    <row r="133" spans="29:31" ht="15.75" customHeight="1" x14ac:dyDescent="0.2">
      <c r="AC133" s="122"/>
      <c r="AD133" s="125"/>
      <c r="AE133" s="125"/>
    </row>
    <row r="134" spans="29:31" ht="15.75" customHeight="1" x14ac:dyDescent="0.2">
      <c r="AC134" s="122"/>
      <c r="AD134" s="125"/>
      <c r="AE134" s="125"/>
    </row>
    <row r="135" spans="29:31" ht="15.75" customHeight="1" x14ac:dyDescent="0.2">
      <c r="AC135" s="122"/>
      <c r="AD135" s="125"/>
      <c r="AE135" s="125"/>
    </row>
    <row r="136" spans="29:31" ht="15.75" customHeight="1" x14ac:dyDescent="0.2">
      <c r="AC136" s="122"/>
      <c r="AD136" s="125"/>
      <c r="AE136" s="125"/>
    </row>
    <row r="137" spans="29:31" ht="15.75" customHeight="1" x14ac:dyDescent="0.2">
      <c r="AC137" s="122"/>
      <c r="AD137" s="125"/>
      <c r="AE137" s="125"/>
    </row>
    <row r="138" spans="29:31" ht="15.75" customHeight="1" x14ac:dyDescent="0.2">
      <c r="AC138" s="122"/>
      <c r="AD138" s="125"/>
      <c r="AE138" s="125"/>
    </row>
    <row r="139" spans="29:31" ht="15.75" customHeight="1" x14ac:dyDescent="0.2">
      <c r="AC139" s="122"/>
      <c r="AD139" s="125"/>
      <c r="AE139" s="125"/>
    </row>
    <row r="140" spans="29:31" ht="15.75" customHeight="1" x14ac:dyDescent="0.2">
      <c r="AC140" s="122"/>
      <c r="AD140" s="125"/>
      <c r="AE140" s="125"/>
    </row>
    <row r="141" spans="29:31" ht="15.75" customHeight="1" x14ac:dyDescent="0.2">
      <c r="AC141" s="122"/>
      <c r="AD141" s="125"/>
      <c r="AE141" s="125"/>
    </row>
    <row r="142" spans="29:31" ht="15.75" customHeight="1" x14ac:dyDescent="0.2">
      <c r="AC142" s="122"/>
      <c r="AD142" s="125"/>
      <c r="AE142" s="125"/>
    </row>
    <row r="143" spans="29:31" ht="15.75" customHeight="1" x14ac:dyDescent="0.2">
      <c r="AC143" s="122"/>
      <c r="AD143" s="125"/>
      <c r="AE143" s="125"/>
    </row>
    <row r="144" spans="29:31" ht="15.75" customHeight="1" x14ac:dyDescent="0.2">
      <c r="AC144" s="122"/>
      <c r="AD144" s="125"/>
      <c r="AE144" s="125"/>
    </row>
    <row r="145" spans="29:31" ht="15.75" customHeight="1" x14ac:dyDescent="0.2">
      <c r="AC145" s="122"/>
      <c r="AD145" s="125"/>
      <c r="AE145" s="125"/>
    </row>
    <row r="146" spans="29:31" ht="15.75" customHeight="1" x14ac:dyDescent="0.2">
      <c r="AC146" s="122"/>
      <c r="AD146" s="125"/>
      <c r="AE146" s="125"/>
    </row>
    <row r="147" spans="29:31" ht="15.75" customHeight="1" x14ac:dyDescent="0.2">
      <c r="AC147" s="122"/>
      <c r="AD147" s="125"/>
      <c r="AE147" s="125"/>
    </row>
    <row r="148" spans="29:31" ht="15.75" customHeight="1" x14ac:dyDescent="0.2">
      <c r="AC148" s="122"/>
      <c r="AD148" s="125"/>
      <c r="AE148" s="125"/>
    </row>
    <row r="149" spans="29:31" ht="15.75" customHeight="1" x14ac:dyDescent="0.2">
      <c r="AC149" s="122"/>
      <c r="AD149" s="125"/>
      <c r="AE149" s="125"/>
    </row>
    <row r="150" spans="29:31" ht="15.75" customHeight="1" x14ac:dyDescent="0.2">
      <c r="AC150" s="122"/>
      <c r="AD150" s="125"/>
      <c r="AE150" s="125"/>
    </row>
    <row r="151" spans="29:31" ht="15.75" customHeight="1" x14ac:dyDescent="0.2">
      <c r="AC151" s="122"/>
      <c r="AD151" s="125"/>
      <c r="AE151" s="125"/>
    </row>
    <row r="152" spans="29:31" ht="15.75" customHeight="1" x14ac:dyDescent="0.2">
      <c r="AC152" s="122"/>
      <c r="AD152" s="125"/>
      <c r="AE152" s="125"/>
    </row>
    <row r="153" spans="29:31" ht="15.75" customHeight="1" x14ac:dyDescent="0.2">
      <c r="AC153" s="122"/>
      <c r="AD153" s="125"/>
      <c r="AE153" s="125"/>
    </row>
    <row r="154" spans="29:31" ht="15.75" customHeight="1" x14ac:dyDescent="0.2">
      <c r="AC154" s="122"/>
      <c r="AD154" s="125"/>
      <c r="AE154" s="125"/>
    </row>
    <row r="155" spans="29:31" ht="15.75" customHeight="1" x14ac:dyDescent="0.2">
      <c r="AC155" s="122"/>
      <c r="AD155" s="125"/>
      <c r="AE155" s="125"/>
    </row>
    <row r="156" spans="29:31" ht="15.75" customHeight="1" x14ac:dyDescent="0.2">
      <c r="AC156" s="122"/>
      <c r="AD156" s="125"/>
      <c r="AE156" s="125"/>
    </row>
    <row r="157" spans="29:31" ht="15.75" customHeight="1" x14ac:dyDescent="0.2">
      <c r="AC157" s="122"/>
      <c r="AD157" s="125"/>
      <c r="AE157" s="125"/>
    </row>
    <row r="158" spans="29:31" ht="15.75" customHeight="1" x14ac:dyDescent="0.2">
      <c r="AC158" s="122"/>
      <c r="AD158" s="125"/>
      <c r="AE158" s="125"/>
    </row>
    <row r="159" spans="29:31" ht="15.75" customHeight="1" x14ac:dyDescent="0.2">
      <c r="AC159" s="122"/>
      <c r="AD159" s="125"/>
      <c r="AE159" s="125"/>
    </row>
    <row r="160" spans="29:31" ht="15.75" customHeight="1" x14ac:dyDescent="0.2">
      <c r="AC160" s="122"/>
      <c r="AD160" s="125"/>
      <c r="AE160" s="125"/>
    </row>
    <row r="161" spans="29:31" ht="15.75" customHeight="1" x14ac:dyDescent="0.2">
      <c r="AC161" s="122"/>
      <c r="AD161" s="125"/>
      <c r="AE161" s="125"/>
    </row>
    <row r="162" spans="29:31" ht="15.75" customHeight="1" x14ac:dyDescent="0.2">
      <c r="AC162" s="122"/>
      <c r="AD162" s="125"/>
      <c r="AE162" s="125"/>
    </row>
    <row r="163" spans="29:31" ht="15.75" customHeight="1" x14ac:dyDescent="0.2">
      <c r="AC163" s="122"/>
      <c r="AD163" s="125"/>
      <c r="AE163" s="125"/>
    </row>
    <row r="164" spans="29:31" ht="15.75" customHeight="1" x14ac:dyDescent="0.2">
      <c r="AC164" s="122"/>
      <c r="AD164" s="125"/>
      <c r="AE164" s="125"/>
    </row>
    <row r="165" spans="29:31" ht="15.75" customHeight="1" x14ac:dyDescent="0.2">
      <c r="AC165" s="122"/>
      <c r="AD165" s="125"/>
      <c r="AE165" s="125"/>
    </row>
    <row r="166" spans="29:31" ht="15.75" customHeight="1" x14ac:dyDescent="0.2">
      <c r="AC166" s="122"/>
      <c r="AD166" s="125"/>
      <c r="AE166" s="125"/>
    </row>
    <row r="167" spans="29:31" ht="15.75" customHeight="1" x14ac:dyDescent="0.2">
      <c r="AC167" s="122"/>
      <c r="AD167" s="125"/>
      <c r="AE167" s="125"/>
    </row>
    <row r="168" spans="29:31" ht="15.75" customHeight="1" x14ac:dyDescent="0.2">
      <c r="AC168" s="122"/>
      <c r="AD168" s="125"/>
      <c r="AE168" s="125"/>
    </row>
    <row r="169" spans="29:31" ht="15.75" customHeight="1" x14ac:dyDescent="0.2">
      <c r="AC169" s="122"/>
      <c r="AD169" s="125"/>
      <c r="AE169" s="125"/>
    </row>
    <row r="170" spans="29:31" ht="15.75" customHeight="1" x14ac:dyDescent="0.2">
      <c r="AC170" s="122"/>
      <c r="AD170" s="125"/>
      <c r="AE170" s="125"/>
    </row>
    <row r="171" spans="29:31" ht="15.75" customHeight="1" x14ac:dyDescent="0.2">
      <c r="AC171" s="122"/>
      <c r="AD171" s="125"/>
      <c r="AE171" s="125"/>
    </row>
    <row r="172" spans="29:31" ht="15.75" customHeight="1" x14ac:dyDescent="0.2">
      <c r="AC172" s="122"/>
      <c r="AD172" s="125"/>
      <c r="AE172" s="125"/>
    </row>
    <row r="173" spans="29:31" ht="15.75" customHeight="1" x14ac:dyDescent="0.2">
      <c r="AC173" s="122"/>
      <c r="AD173" s="125"/>
      <c r="AE173" s="125"/>
    </row>
    <row r="174" spans="29:31" ht="15.75" customHeight="1" x14ac:dyDescent="0.2">
      <c r="AC174" s="122"/>
      <c r="AD174" s="125"/>
      <c r="AE174" s="125"/>
    </row>
    <row r="175" spans="29:31" ht="15.75" customHeight="1" x14ac:dyDescent="0.2">
      <c r="AC175" s="122"/>
      <c r="AD175" s="125"/>
      <c r="AE175" s="125"/>
    </row>
    <row r="176" spans="29:31" ht="15.75" customHeight="1" x14ac:dyDescent="0.2">
      <c r="AC176" s="122"/>
      <c r="AD176" s="125"/>
      <c r="AE176" s="125"/>
    </row>
    <row r="177" spans="29:31" ht="15.75" customHeight="1" x14ac:dyDescent="0.2">
      <c r="AC177" s="122"/>
      <c r="AD177" s="125"/>
      <c r="AE177" s="125"/>
    </row>
    <row r="178" spans="29:31" ht="15.75" customHeight="1" x14ac:dyDescent="0.2">
      <c r="AC178" s="122"/>
      <c r="AD178" s="125"/>
      <c r="AE178" s="125"/>
    </row>
    <row r="179" spans="29:31" ht="15.75" customHeight="1" x14ac:dyDescent="0.2">
      <c r="AC179" s="122"/>
      <c r="AD179" s="125"/>
      <c r="AE179" s="125"/>
    </row>
    <row r="180" spans="29:31" ht="15.75" customHeight="1" x14ac:dyDescent="0.2">
      <c r="AC180" s="122"/>
      <c r="AD180" s="125"/>
      <c r="AE180" s="125"/>
    </row>
    <row r="181" spans="29:31" ht="15.75" customHeight="1" x14ac:dyDescent="0.2">
      <c r="AC181" s="122"/>
      <c r="AD181" s="125"/>
      <c r="AE181" s="125"/>
    </row>
    <row r="182" spans="29:31" ht="15.75" customHeight="1" x14ac:dyDescent="0.2">
      <c r="AC182" s="122"/>
      <c r="AD182" s="125"/>
      <c r="AE182" s="125"/>
    </row>
    <row r="183" spans="29:31" ht="15.75" customHeight="1" x14ac:dyDescent="0.2">
      <c r="AC183" s="122"/>
      <c r="AD183" s="125"/>
      <c r="AE183" s="125"/>
    </row>
    <row r="184" spans="29:31" ht="15.75" customHeight="1" x14ac:dyDescent="0.2">
      <c r="AC184" s="122"/>
      <c r="AD184" s="125"/>
      <c r="AE184" s="125"/>
    </row>
    <row r="185" spans="29:31" ht="15.75" customHeight="1" x14ac:dyDescent="0.2">
      <c r="AC185" s="122"/>
      <c r="AD185" s="125"/>
      <c r="AE185" s="125"/>
    </row>
    <row r="186" spans="29:31" ht="15.75" customHeight="1" x14ac:dyDescent="0.2">
      <c r="AC186" s="122"/>
      <c r="AD186" s="125"/>
      <c r="AE186" s="125"/>
    </row>
    <row r="187" spans="29:31" ht="15.75" customHeight="1" x14ac:dyDescent="0.2">
      <c r="AC187" s="122"/>
      <c r="AD187" s="125"/>
      <c r="AE187" s="125"/>
    </row>
    <row r="188" spans="29:31" ht="15.75" customHeight="1" x14ac:dyDescent="0.2">
      <c r="AC188" s="122"/>
      <c r="AD188" s="125"/>
      <c r="AE188" s="125"/>
    </row>
    <row r="189" spans="29:31" ht="15.75" customHeight="1" x14ac:dyDescent="0.2">
      <c r="AC189" s="122"/>
      <c r="AD189" s="125"/>
      <c r="AE189" s="125"/>
    </row>
    <row r="190" spans="29:31" ht="15.75" customHeight="1" x14ac:dyDescent="0.2">
      <c r="AC190" s="122"/>
      <c r="AD190" s="125"/>
      <c r="AE190" s="125"/>
    </row>
    <row r="191" spans="29:31" ht="15.75" customHeight="1" x14ac:dyDescent="0.2">
      <c r="AC191" s="122"/>
      <c r="AD191" s="125"/>
      <c r="AE191" s="125"/>
    </row>
    <row r="192" spans="29:31" ht="15.75" customHeight="1" x14ac:dyDescent="0.2">
      <c r="AC192" s="122"/>
      <c r="AD192" s="125"/>
      <c r="AE192" s="125"/>
    </row>
    <row r="193" spans="29:31" ht="15.75" customHeight="1" x14ac:dyDescent="0.2">
      <c r="AC193" s="122"/>
      <c r="AD193" s="125"/>
      <c r="AE193" s="125"/>
    </row>
    <row r="194" spans="29:31" ht="15.75" customHeight="1" x14ac:dyDescent="0.2">
      <c r="AC194" s="122"/>
      <c r="AD194" s="125"/>
      <c r="AE194" s="125"/>
    </row>
    <row r="195" spans="29:31" ht="15.75" customHeight="1" x14ac:dyDescent="0.2">
      <c r="AC195" s="122"/>
      <c r="AD195" s="125"/>
      <c r="AE195" s="125"/>
    </row>
    <row r="196" spans="29:31" ht="15.75" customHeight="1" x14ac:dyDescent="0.2">
      <c r="AC196" s="122"/>
      <c r="AD196" s="125"/>
      <c r="AE196" s="125"/>
    </row>
    <row r="197" spans="29:31" ht="15.75" customHeight="1" x14ac:dyDescent="0.2">
      <c r="AC197" s="122"/>
      <c r="AD197" s="125"/>
      <c r="AE197" s="125"/>
    </row>
    <row r="198" spans="29:31" ht="15.75" customHeight="1" x14ac:dyDescent="0.2">
      <c r="AC198" s="122"/>
      <c r="AD198" s="125"/>
      <c r="AE198" s="125"/>
    </row>
    <row r="199" spans="29:31" ht="15.75" customHeight="1" x14ac:dyDescent="0.2">
      <c r="AC199" s="122"/>
      <c r="AD199" s="125"/>
      <c r="AE199" s="125"/>
    </row>
    <row r="200" spans="29:31" ht="15.75" customHeight="1" x14ac:dyDescent="0.2">
      <c r="AC200" s="122"/>
      <c r="AD200" s="125"/>
      <c r="AE200" s="125"/>
    </row>
    <row r="201" spans="29:31" ht="15.75" customHeight="1" x14ac:dyDescent="0.2">
      <c r="AC201" s="122"/>
      <c r="AD201" s="125"/>
      <c r="AE201" s="125"/>
    </row>
    <row r="202" spans="29:31" ht="15.75" customHeight="1" x14ac:dyDescent="0.2">
      <c r="AC202" s="122"/>
      <c r="AD202" s="125"/>
      <c r="AE202" s="125"/>
    </row>
    <row r="203" spans="29:31" ht="15.75" customHeight="1" x14ac:dyDescent="0.2">
      <c r="AC203" s="122"/>
      <c r="AD203" s="125"/>
      <c r="AE203" s="125"/>
    </row>
    <row r="204" spans="29:31" ht="15.75" customHeight="1" x14ac:dyDescent="0.2">
      <c r="AC204" s="122"/>
      <c r="AD204" s="125"/>
      <c r="AE204" s="125"/>
    </row>
    <row r="205" spans="29:31" ht="15.75" customHeight="1" x14ac:dyDescent="0.2">
      <c r="AC205" s="122"/>
      <c r="AD205" s="125"/>
      <c r="AE205" s="125"/>
    </row>
    <row r="206" spans="29:31" ht="15.75" customHeight="1" x14ac:dyDescent="0.2">
      <c r="AC206" s="122"/>
      <c r="AD206" s="125"/>
      <c r="AE206" s="125"/>
    </row>
    <row r="207" spans="29:31" ht="15.75" customHeight="1" x14ac:dyDescent="0.2">
      <c r="AC207" s="122"/>
      <c r="AD207" s="125"/>
      <c r="AE207" s="125"/>
    </row>
    <row r="208" spans="29:31" ht="15.75" customHeight="1" x14ac:dyDescent="0.2">
      <c r="AC208" s="122"/>
      <c r="AD208" s="125"/>
      <c r="AE208" s="125"/>
    </row>
    <row r="209" spans="29:31" ht="15.75" customHeight="1" x14ac:dyDescent="0.2">
      <c r="AC209" s="122"/>
      <c r="AD209" s="125"/>
      <c r="AE209" s="125"/>
    </row>
    <row r="210" spans="29:31" ht="15.75" customHeight="1" x14ac:dyDescent="0.2">
      <c r="AC210" s="122"/>
      <c r="AD210" s="125"/>
      <c r="AE210" s="125"/>
    </row>
    <row r="211" spans="29:31" ht="15.75" customHeight="1" x14ac:dyDescent="0.2">
      <c r="AC211" s="122"/>
      <c r="AD211" s="125"/>
      <c r="AE211" s="125"/>
    </row>
    <row r="212" spans="29:31" ht="15.75" customHeight="1" x14ac:dyDescent="0.2">
      <c r="AC212" s="122"/>
      <c r="AD212" s="125"/>
      <c r="AE212" s="125"/>
    </row>
    <row r="213" spans="29:31" ht="15.75" customHeight="1" x14ac:dyDescent="0.2">
      <c r="AC213" s="122"/>
      <c r="AD213" s="125"/>
      <c r="AE213" s="125"/>
    </row>
    <row r="214" spans="29:31" ht="15.75" customHeight="1" x14ac:dyDescent="0.2">
      <c r="AC214" s="122"/>
      <c r="AD214" s="125"/>
      <c r="AE214" s="125"/>
    </row>
    <row r="215" spans="29:31" ht="15.75" customHeight="1" x14ac:dyDescent="0.2">
      <c r="AC215" s="122"/>
      <c r="AD215" s="125"/>
      <c r="AE215" s="125"/>
    </row>
    <row r="216" spans="29:31" ht="15.75" customHeight="1" x14ac:dyDescent="0.2">
      <c r="AC216" s="122"/>
      <c r="AD216" s="125"/>
      <c r="AE216" s="125"/>
    </row>
    <row r="217" spans="29:31" ht="15.75" customHeight="1" x14ac:dyDescent="0.2">
      <c r="AC217" s="122"/>
      <c r="AD217" s="125"/>
      <c r="AE217" s="125"/>
    </row>
    <row r="218" spans="29:31" ht="15.75" customHeight="1" x14ac:dyDescent="0.2">
      <c r="AC218" s="122"/>
      <c r="AD218" s="125"/>
      <c r="AE218" s="125"/>
    </row>
    <row r="219" spans="29:31" ht="15.75" customHeight="1" x14ac:dyDescent="0.2">
      <c r="AC219" s="122"/>
      <c r="AD219" s="125"/>
      <c r="AE219" s="125"/>
    </row>
    <row r="220" spans="29:31" ht="15.75" customHeight="1" x14ac:dyDescent="0.2">
      <c r="AC220" s="122"/>
      <c r="AD220" s="125"/>
      <c r="AE220" s="125"/>
    </row>
    <row r="221" spans="29:31" ht="15.75" customHeight="1" x14ac:dyDescent="0.2">
      <c r="AC221" s="122"/>
      <c r="AD221" s="125"/>
      <c r="AE221" s="125"/>
    </row>
    <row r="222" spans="29:31" ht="15.75" customHeight="1" x14ac:dyDescent="0.2">
      <c r="AC222" s="122"/>
      <c r="AD222" s="125"/>
      <c r="AE222" s="125"/>
    </row>
    <row r="223" spans="29:31" ht="15.75" customHeight="1" x14ac:dyDescent="0.2">
      <c r="AC223" s="122"/>
      <c r="AD223" s="125"/>
      <c r="AE223" s="125"/>
    </row>
    <row r="224" spans="29:31" ht="15.75" customHeight="1" x14ac:dyDescent="0.2">
      <c r="AC224" s="122"/>
      <c r="AD224" s="125"/>
      <c r="AE224" s="125"/>
    </row>
    <row r="225" spans="29:31" ht="15.75" customHeight="1" x14ac:dyDescent="0.2">
      <c r="AC225" s="122"/>
      <c r="AD225" s="125"/>
      <c r="AE225" s="125"/>
    </row>
    <row r="226" spans="29:31" ht="15.75" customHeight="1" x14ac:dyDescent="0.2">
      <c r="AC226" s="122"/>
      <c r="AD226" s="125"/>
      <c r="AE226" s="125"/>
    </row>
    <row r="227" spans="29:31" ht="15.75" customHeight="1" x14ac:dyDescent="0.2">
      <c r="AC227" s="122"/>
      <c r="AD227" s="125"/>
      <c r="AE227" s="125"/>
    </row>
    <row r="228" spans="29:31" ht="15.75" customHeight="1" x14ac:dyDescent="0.2">
      <c r="AC228" s="122"/>
      <c r="AD228" s="125"/>
      <c r="AE228" s="125"/>
    </row>
    <row r="229" spans="29:31" ht="15.75" customHeight="1" x14ac:dyDescent="0.2">
      <c r="AC229" s="122"/>
      <c r="AD229" s="125"/>
      <c r="AE229" s="125"/>
    </row>
    <row r="230" spans="29:31" ht="15.75" customHeight="1" x14ac:dyDescent="0.2">
      <c r="AC230" s="122"/>
      <c r="AD230" s="125"/>
      <c r="AE230" s="125"/>
    </row>
    <row r="231" spans="29:31" ht="15.75" customHeight="1" x14ac:dyDescent="0.2">
      <c r="AC231" s="122"/>
      <c r="AD231" s="125"/>
      <c r="AE231" s="125"/>
    </row>
    <row r="232" spans="29:31" ht="15.75" customHeight="1" x14ac:dyDescent="0.2">
      <c r="AC232" s="122"/>
      <c r="AD232" s="125"/>
      <c r="AE232" s="125"/>
    </row>
    <row r="233" spans="29:31" ht="15.75" customHeight="1" x14ac:dyDescent="0.2">
      <c r="AC233" s="122"/>
      <c r="AD233" s="125"/>
      <c r="AE233" s="125"/>
    </row>
    <row r="234" spans="29:31" ht="15.75" customHeight="1" x14ac:dyDescent="0.2">
      <c r="AC234" s="122"/>
      <c r="AD234" s="125"/>
      <c r="AE234" s="125"/>
    </row>
    <row r="235" spans="29:31" ht="15.75" customHeight="1" x14ac:dyDescent="0.2">
      <c r="AC235" s="122"/>
      <c r="AD235" s="125"/>
      <c r="AE235" s="125"/>
    </row>
    <row r="236" spans="29:31" ht="15.75" customHeight="1" x14ac:dyDescent="0.2">
      <c r="AC236" s="122"/>
      <c r="AD236" s="125"/>
      <c r="AE236" s="125"/>
    </row>
    <row r="237" spans="29:31" ht="15.75" customHeight="1" x14ac:dyDescent="0.2">
      <c r="AC237" s="122"/>
      <c r="AD237" s="125"/>
      <c r="AE237" s="125"/>
    </row>
    <row r="238" spans="29:31" ht="15.75" customHeight="1" x14ac:dyDescent="0.2">
      <c r="AC238" s="122"/>
      <c r="AD238" s="125"/>
      <c r="AE238" s="125"/>
    </row>
    <row r="239" spans="29:31" ht="15.75" customHeight="1" x14ac:dyDescent="0.2">
      <c r="AC239" s="122"/>
      <c r="AD239" s="125"/>
      <c r="AE239" s="125"/>
    </row>
    <row r="240" spans="29:31" ht="15.75" customHeight="1" x14ac:dyDescent="0.2">
      <c r="AC240" s="122"/>
      <c r="AD240" s="125"/>
      <c r="AE240" s="125"/>
    </row>
    <row r="241" spans="29:31" ht="15.75" customHeight="1" x14ac:dyDescent="0.2">
      <c r="AC241" s="122"/>
      <c r="AD241" s="125"/>
      <c r="AE241" s="125"/>
    </row>
    <row r="242" spans="29:31" ht="15.75" customHeight="1" x14ac:dyDescent="0.2">
      <c r="AC242" s="122"/>
      <c r="AD242" s="125"/>
      <c r="AE242" s="125"/>
    </row>
    <row r="243" spans="29:31" ht="15.75" customHeight="1" x14ac:dyDescent="0.2">
      <c r="AC243" s="122"/>
      <c r="AD243" s="125"/>
      <c r="AE243" s="125"/>
    </row>
    <row r="244" spans="29:31" ht="15.75" customHeight="1" x14ac:dyDescent="0.2">
      <c r="AC244" s="122"/>
      <c r="AD244" s="125"/>
      <c r="AE244" s="125"/>
    </row>
    <row r="245" spans="29:31" ht="15.75" customHeight="1" x14ac:dyDescent="0.2">
      <c r="AC245" s="122"/>
      <c r="AD245" s="125"/>
      <c r="AE245" s="125"/>
    </row>
    <row r="246" spans="29:31" ht="15.75" customHeight="1" x14ac:dyDescent="0.2">
      <c r="AC246" s="122"/>
      <c r="AD246" s="125"/>
      <c r="AE246" s="125"/>
    </row>
    <row r="247" spans="29:31" ht="15.75" customHeight="1" x14ac:dyDescent="0.2">
      <c r="AC247" s="122"/>
      <c r="AD247" s="125"/>
      <c r="AE247" s="125"/>
    </row>
    <row r="248" spans="29:31" ht="15.75" customHeight="1" x14ac:dyDescent="0.2">
      <c r="AC248" s="122"/>
      <c r="AD248" s="125"/>
      <c r="AE248" s="125"/>
    </row>
    <row r="249" spans="29:31" ht="15.75" customHeight="1" x14ac:dyDescent="0.2">
      <c r="AC249" s="122"/>
      <c r="AD249" s="125"/>
      <c r="AE249" s="125"/>
    </row>
    <row r="250" spans="29:31" ht="15.75" customHeight="1" x14ac:dyDescent="0.2">
      <c r="AC250" s="122"/>
      <c r="AD250" s="125"/>
      <c r="AE250" s="125"/>
    </row>
    <row r="251" spans="29:31" ht="15.75" customHeight="1" x14ac:dyDescent="0.2">
      <c r="AC251" s="122"/>
      <c r="AD251" s="125"/>
      <c r="AE251" s="125"/>
    </row>
    <row r="252" spans="29:31" ht="15.75" customHeight="1" x14ac:dyDescent="0.2">
      <c r="AC252" s="122"/>
      <c r="AD252" s="125"/>
      <c r="AE252" s="125"/>
    </row>
    <row r="253" spans="29:31" ht="15.75" customHeight="1" x14ac:dyDescent="0.2">
      <c r="AC253" s="122"/>
      <c r="AD253" s="125"/>
      <c r="AE253" s="125"/>
    </row>
    <row r="254" spans="29:31" ht="15.75" customHeight="1" x14ac:dyDescent="0.2">
      <c r="AC254" s="122"/>
      <c r="AD254" s="125"/>
      <c r="AE254" s="125"/>
    </row>
    <row r="255" spans="29:31" ht="15.75" customHeight="1" x14ac:dyDescent="0.2">
      <c r="AC255" s="122"/>
      <c r="AD255" s="125"/>
      <c r="AE255" s="125"/>
    </row>
    <row r="256" spans="29:31" ht="15.75" customHeight="1" x14ac:dyDescent="0.2">
      <c r="AC256" s="122"/>
      <c r="AD256" s="125"/>
      <c r="AE256" s="125"/>
    </row>
    <row r="257" spans="29:31" ht="15.75" customHeight="1" x14ac:dyDescent="0.2">
      <c r="AC257" s="122"/>
      <c r="AD257" s="125"/>
      <c r="AE257" s="125"/>
    </row>
    <row r="258" spans="29:31" ht="15.75" customHeight="1" x14ac:dyDescent="0.2">
      <c r="AC258" s="122"/>
      <c r="AD258" s="125"/>
      <c r="AE258" s="125"/>
    </row>
    <row r="259" spans="29:31" ht="15.75" customHeight="1" x14ac:dyDescent="0.2">
      <c r="AC259" s="122"/>
      <c r="AD259" s="125"/>
      <c r="AE259" s="125"/>
    </row>
    <row r="260" spans="29:31" ht="15.75" customHeight="1" x14ac:dyDescent="0.2">
      <c r="AC260" s="122"/>
      <c r="AD260" s="125"/>
      <c r="AE260" s="125"/>
    </row>
    <row r="261" spans="29:31" ht="15.75" customHeight="1" x14ac:dyDescent="0.2">
      <c r="AC261" s="122"/>
      <c r="AD261" s="125"/>
      <c r="AE261" s="125"/>
    </row>
    <row r="262" spans="29:31" ht="15.75" customHeight="1" x14ac:dyDescent="0.2">
      <c r="AC262" s="122"/>
      <c r="AD262" s="125"/>
      <c r="AE262" s="125"/>
    </row>
    <row r="263" spans="29:31" ht="15.75" customHeight="1" x14ac:dyDescent="0.2">
      <c r="AC263" s="122"/>
      <c r="AD263" s="125"/>
      <c r="AE263" s="125"/>
    </row>
    <row r="264" spans="29:31" ht="15.75" customHeight="1" x14ac:dyDescent="0.2">
      <c r="AC264" s="122"/>
      <c r="AD264" s="125"/>
      <c r="AE264" s="125"/>
    </row>
    <row r="265" spans="29:31" ht="15.75" customHeight="1" x14ac:dyDescent="0.2">
      <c r="AC265" s="122"/>
      <c r="AD265" s="125"/>
      <c r="AE265" s="125"/>
    </row>
    <row r="266" spans="29:31" ht="15.75" customHeight="1" x14ac:dyDescent="0.2">
      <c r="AC266" s="122"/>
      <c r="AD266" s="125"/>
      <c r="AE266" s="125"/>
    </row>
    <row r="267" spans="29:31" ht="15.75" customHeight="1" x14ac:dyDescent="0.2">
      <c r="AC267" s="122"/>
      <c r="AD267" s="125"/>
      <c r="AE267" s="125"/>
    </row>
    <row r="268" spans="29:31" ht="15.75" customHeight="1" x14ac:dyDescent="0.2">
      <c r="AC268" s="122"/>
      <c r="AD268" s="125"/>
      <c r="AE268" s="125"/>
    </row>
    <row r="269" spans="29:31" ht="15.75" customHeight="1" x14ac:dyDescent="0.2">
      <c r="AC269" s="122"/>
      <c r="AD269" s="125"/>
      <c r="AE269" s="125"/>
    </row>
    <row r="270" spans="29:31" ht="15.75" customHeight="1" x14ac:dyDescent="0.2">
      <c r="AC270" s="122"/>
      <c r="AD270" s="125"/>
      <c r="AE270" s="125"/>
    </row>
    <row r="271" spans="29:31" ht="15.75" customHeight="1" x14ac:dyDescent="0.2">
      <c r="AC271" s="122"/>
      <c r="AD271" s="125"/>
      <c r="AE271" s="125"/>
    </row>
    <row r="272" spans="29:31" ht="15.75" customHeight="1" x14ac:dyDescent="0.2">
      <c r="AC272" s="122"/>
      <c r="AD272" s="125"/>
      <c r="AE272" s="125"/>
    </row>
    <row r="273" spans="29:31" ht="15.75" customHeight="1" x14ac:dyDescent="0.2">
      <c r="AC273" s="122"/>
      <c r="AD273" s="125"/>
      <c r="AE273" s="125"/>
    </row>
    <row r="274" spans="29:31" ht="15.75" customHeight="1" x14ac:dyDescent="0.2">
      <c r="AC274" s="122"/>
      <c r="AD274" s="125"/>
      <c r="AE274" s="125"/>
    </row>
    <row r="275" spans="29:31" ht="15.75" customHeight="1" x14ac:dyDescent="0.2">
      <c r="AC275" s="122"/>
      <c r="AD275" s="125"/>
      <c r="AE275" s="125"/>
    </row>
    <row r="276" spans="29:31" ht="15.75" customHeight="1" x14ac:dyDescent="0.2">
      <c r="AC276" s="122"/>
      <c r="AD276" s="125"/>
      <c r="AE276" s="125"/>
    </row>
    <row r="277" spans="29:31" ht="15.75" customHeight="1" x14ac:dyDescent="0.2">
      <c r="AC277" s="122"/>
      <c r="AD277" s="125"/>
      <c r="AE277" s="125"/>
    </row>
    <row r="278" spans="29:31" ht="15.75" customHeight="1" x14ac:dyDescent="0.2">
      <c r="AC278" s="122"/>
      <c r="AD278" s="125"/>
      <c r="AE278" s="125"/>
    </row>
    <row r="279" spans="29:31" ht="15.75" customHeight="1" x14ac:dyDescent="0.2">
      <c r="AC279" s="122"/>
      <c r="AD279" s="125"/>
      <c r="AE279" s="125"/>
    </row>
    <row r="280" spans="29:31" ht="15.75" customHeight="1" x14ac:dyDescent="0.2">
      <c r="AC280" s="122"/>
      <c r="AD280" s="125"/>
      <c r="AE280" s="125"/>
    </row>
    <row r="281" spans="29:31" ht="15.75" customHeight="1" x14ac:dyDescent="0.2">
      <c r="AC281" s="122"/>
      <c r="AD281" s="125"/>
      <c r="AE281" s="125"/>
    </row>
    <row r="282" spans="29:31" ht="15.75" customHeight="1" x14ac:dyDescent="0.2">
      <c r="AC282" s="122"/>
      <c r="AD282" s="125"/>
      <c r="AE282" s="125"/>
    </row>
    <row r="283" spans="29:31" ht="15.75" customHeight="1" x14ac:dyDescent="0.2">
      <c r="AC283" s="122"/>
      <c r="AD283" s="125"/>
      <c r="AE283" s="125"/>
    </row>
    <row r="284" spans="29:31" ht="15.75" customHeight="1" x14ac:dyDescent="0.2">
      <c r="AC284" s="122"/>
      <c r="AD284" s="125"/>
      <c r="AE284" s="125"/>
    </row>
    <row r="285" spans="29:31" ht="15.75" customHeight="1" x14ac:dyDescent="0.2">
      <c r="AC285" s="122"/>
      <c r="AD285" s="125"/>
      <c r="AE285" s="125"/>
    </row>
    <row r="286" spans="29:31" ht="15.75" customHeight="1" x14ac:dyDescent="0.2">
      <c r="AC286" s="122"/>
      <c r="AD286" s="125"/>
      <c r="AE286" s="125"/>
    </row>
    <row r="287" spans="29:31" ht="15.75" customHeight="1" x14ac:dyDescent="0.2">
      <c r="AC287" s="122"/>
      <c r="AD287" s="125"/>
      <c r="AE287" s="125"/>
    </row>
    <row r="288" spans="29:31" ht="15.75" customHeight="1" x14ac:dyDescent="0.2">
      <c r="AC288" s="122"/>
      <c r="AD288" s="125"/>
      <c r="AE288" s="125"/>
    </row>
    <row r="289" spans="29:31" ht="15.75" customHeight="1" x14ac:dyDescent="0.2">
      <c r="AC289" s="122"/>
      <c r="AD289" s="125"/>
      <c r="AE289" s="125"/>
    </row>
    <row r="290" spans="29:31" ht="15.75" customHeight="1" x14ac:dyDescent="0.2">
      <c r="AC290" s="122"/>
      <c r="AD290" s="125"/>
      <c r="AE290" s="125"/>
    </row>
    <row r="291" spans="29:31" ht="15.75" customHeight="1" x14ac:dyDescent="0.2">
      <c r="AC291" s="122"/>
      <c r="AD291" s="125"/>
      <c r="AE291" s="125"/>
    </row>
    <row r="292" spans="29:31" ht="15.75" customHeight="1" x14ac:dyDescent="0.2">
      <c r="AC292" s="122"/>
      <c r="AD292" s="125"/>
      <c r="AE292" s="125"/>
    </row>
    <row r="293" spans="29:31" ht="15.75" customHeight="1" x14ac:dyDescent="0.2">
      <c r="AC293" s="122"/>
      <c r="AD293" s="125"/>
      <c r="AE293" s="125"/>
    </row>
    <row r="294" spans="29:31" ht="15.75" customHeight="1" x14ac:dyDescent="0.2">
      <c r="AC294" s="122"/>
      <c r="AD294" s="125"/>
      <c r="AE294" s="125"/>
    </row>
    <row r="295" spans="29:31" ht="15.75" customHeight="1" x14ac:dyDescent="0.2">
      <c r="AC295" s="122"/>
      <c r="AD295" s="125"/>
      <c r="AE295" s="125"/>
    </row>
    <row r="296" spans="29:31" ht="15.75" customHeight="1" x14ac:dyDescent="0.2">
      <c r="AC296" s="122"/>
      <c r="AD296" s="125"/>
      <c r="AE296" s="125"/>
    </row>
    <row r="297" spans="29:31" ht="15.75" customHeight="1" x14ac:dyDescent="0.2">
      <c r="AC297" s="122"/>
      <c r="AD297" s="125"/>
      <c r="AE297" s="125"/>
    </row>
    <row r="298" spans="29:31" ht="15.75" customHeight="1" x14ac:dyDescent="0.2">
      <c r="AC298" s="122"/>
      <c r="AD298" s="125"/>
      <c r="AE298" s="125"/>
    </row>
    <row r="299" spans="29:31" ht="15.75" customHeight="1" x14ac:dyDescent="0.2">
      <c r="AC299" s="122"/>
      <c r="AD299" s="125"/>
      <c r="AE299" s="125"/>
    </row>
    <row r="300" spans="29:31" ht="15.75" customHeight="1" x14ac:dyDescent="0.2">
      <c r="AC300" s="122"/>
      <c r="AD300" s="125"/>
      <c r="AE300" s="125"/>
    </row>
    <row r="301" spans="29:31" ht="15.75" customHeight="1" x14ac:dyDescent="0.2">
      <c r="AC301" s="122"/>
      <c r="AD301" s="125"/>
      <c r="AE301" s="125"/>
    </row>
    <row r="302" spans="29:31" ht="15.75" customHeight="1" x14ac:dyDescent="0.2">
      <c r="AC302" s="122"/>
      <c r="AD302" s="125"/>
      <c r="AE302" s="125"/>
    </row>
    <row r="303" spans="29:31" ht="15.75" customHeight="1" x14ac:dyDescent="0.2">
      <c r="AC303" s="122"/>
      <c r="AD303" s="125"/>
      <c r="AE303" s="125"/>
    </row>
    <row r="304" spans="29:31" ht="15.75" customHeight="1" x14ac:dyDescent="0.2">
      <c r="AC304" s="122"/>
      <c r="AD304" s="125"/>
      <c r="AE304" s="125"/>
    </row>
    <row r="305" spans="29:31" ht="15.75" customHeight="1" x14ac:dyDescent="0.2">
      <c r="AC305" s="122"/>
      <c r="AD305" s="125"/>
      <c r="AE305" s="125"/>
    </row>
    <row r="306" spans="29:31" ht="15.75" customHeight="1" x14ac:dyDescent="0.2">
      <c r="AC306" s="122"/>
      <c r="AD306" s="125"/>
      <c r="AE306" s="125"/>
    </row>
    <row r="307" spans="29:31" ht="15.75" customHeight="1" x14ac:dyDescent="0.2">
      <c r="AC307" s="122"/>
      <c r="AD307" s="125"/>
      <c r="AE307" s="125"/>
    </row>
    <row r="308" spans="29:31" ht="15.75" customHeight="1" x14ac:dyDescent="0.2">
      <c r="AC308" s="122"/>
      <c r="AD308" s="125"/>
      <c r="AE308" s="125"/>
    </row>
    <row r="309" spans="29:31" ht="15.75" customHeight="1" x14ac:dyDescent="0.2">
      <c r="AC309" s="122"/>
      <c r="AD309" s="125"/>
      <c r="AE309" s="125"/>
    </row>
    <row r="310" spans="29:31" ht="15.75" customHeight="1" x14ac:dyDescent="0.2">
      <c r="AC310" s="122"/>
      <c r="AD310" s="125"/>
      <c r="AE310" s="125"/>
    </row>
    <row r="311" spans="29:31" ht="15.75" customHeight="1" x14ac:dyDescent="0.2">
      <c r="AC311" s="122"/>
      <c r="AD311" s="125"/>
      <c r="AE311" s="125"/>
    </row>
    <row r="312" spans="29:31" ht="15.75" customHeight="1" x14ac:dyDescent="0.2">
      <c r="AC312" s="122"/>
      <c r="AD312" s="125"/>
      <c r="AE312" s="125"/>
    </row>
    <row r="313" spans="29:31" ht="15.75" customHeight="1" x14ac:dyDescent="0.2">
      <c r="AC313" s="122"/>
      <c r="AD313" s="125"/>
      <c r="AE313" s="125"/>
    </row>
    <row r="314" spans="29:31" ht="15.75" customHeight="1" x14ac:dyDescent="0.2">
      <c r="AC314" s="122"/>
      <c r="AD314" s="125"/>
      <c r="AE314" s="125"/>
    </row>
    <row r="315" spans="29:31" ht="15.75" customHeight="1" x14ac:dyDescent="0.2">
      <c r="AC315" s="122"/>
      <c r="AD315" s="125"/>
      <c r="AE315" s="125"/>
    </row>
    <row r="316" spans="29:31" ht="15.75" customHeight="1" x14ac:dyDescent="0.2">
      <c r="AC316" s="122"/>
      <c r="AD316" s="125"/>
      <c r="AE316" s="125"/>
    </row>
    <row r="317" spans="29:31" ht="15.75" customHeight="1" x14ac:dyDescent="0.2">
      <c r="AC317" s="122"/>
      <c r="AD317" s="125"/>
      <c r="AE317" s="125"/>
    </row>
    <row r="318" spans="29:31" ht="15.75" customHeight="1" x14ac:dyDescent="0.2">
      <c r="AC318" s="122"/>
      <c r="AD318" s="125"/>
      <c r="AE318" s="125"/>
    </row>
    <row r="319" spans="29:31" ht="15.75" customHeight="1" x14ac:dyDescent="0.2">
      <c r="AC319" s="122"/>
      <c r="AD319" s="125"/>
      <c r="AE319" s="125"/>
    </row>
    <row r="320" spans="29:31" ht="15.75" customHeight="1" x14ac:dyDescent="0.2">
      <c r="AC320" s="122"/>
      <c r="AD320" s="125"/>
      <c r="AE320" s="125"/>
    </row>
    <row r="321" spans="29:31" ht="15.75" customHeight="1" x14ac:dyDescent="0.2">
      <c r="AC321" s="122"/>
      <c r="AD321" s="125"/>
      <c r="AE321" s="125"/>
    </row>
    <row r="322" spans="29:31" ht="15.75" customHeight="1" x14ac:dyDescent="0.2">
      <c r="AC322" s="122"/>
      <c r="AD322" s="125"/>
      <c r="AE322" s="125"/>
    </row>
    <row r="323" spans="29:31" ht="15.75" customHeight="1" x14ac:dyDescent="0.2">
      <c r="AC323" s="122"/>
      <c r="AD323" s="125"/>
      <c r="AE323" s="125"/>
    </row>
    <row r="324" spans="29:31" ht="15.75" customHeight="1" x14ac:dyDescent="0.2">
      <c r="AC324" s="122"/>
      <c r="AD324" s="125"/>
      <c r="AE324" s="125"/>
    </row>
    <row r="325" spans="29:31" ht="15.75" customHeight="1" x14ac:dyDescent="0.2">
      <c r="AC325" s="122"/>
      <c r="AD325" s="125"/>
      <c r="AE325" s="125"/>
    </row>
    <row r="326" spans="29:31" ht="15.75" customHeight="1" x14ac:dyDescent="0.2">
      <c r="AC326" s="122"/>
      <c r="AD326" s="125"/>
      <c r="AE326" s="125"/>
    </row>
    <row r="327" spans="29:31" ht="15.75" customHeight="1" x14ac:dyDescent="0.2">
      <c r="AC327" s="122"/>
      <c r="AD327" s="125"/>
      <c r="AE327" s="125"/>
    </row>
    <row r="328" spans="29:31" ht="15.75" customHeight="1" x14ac:dyDescent="0.2">
      <c r="AC328" s="122"/>
      <c r="AD328" s="125"/>
      <c r="AE328" s="125"/>
    </row>
    <row r="329" spans="29:31" ht="15.75" customHeight="1" x14ac:dyDescent="0.2">
      <c r="AC329" s="122"/>
      <c r="AD329" s="125"/>
      <c r="AE329" s="125"/>
    </row>
    <row r="330" spans="29:31" ht="15.75" customHeight="1" x14ac:dyDescent="0.2">
      <c r="AC330" s="122"/>
      <c r="AD330" s="125"/>
      <c r="AE330" s="125"/>
    </row>
    <row r="331" spans="29:31" ht="15.75" customHeight="1" x14ac:dyDescent="0.2">
      <c r="AC331" s="122"/>
      <c r="AD331" s="125"/>
      <c r="AE331" s="125"/>
    </row>
    <row r="332" spans="29:31" ht="15.75" customHeight="1" x14ac:dyDescent="0.2">
      <c r="AC332" s="122"/>
      <c r="AD332" s="125"/>
      <c r="AE332" s="125"/>
    </row>
    <row r="333" spans="29:31" ht="15.75" customHeight="1" x14ac:dyDescent="0.2">
      <c r="AC333" s="122"/>
      <c r="AD333" s="125"/>
      <c r="AE333" s="125"/>
    </row>
    <row r="334" spans="29:31" ht="15.75" customHeight="1" x14ac:dyDescent="0.2">
      <c r="AC334" s="122"/>
      <c r="AD334" s="125"/>
      <c r="AE334" s="125"/>
    </row>
    <row r="335" spans="29:31" ht="15.75" customHeight="1" x14ac:dyDescent="0.2">
      <c r="AC335" s="122"/>
      <c r="AD335" s="125"/>
      <c r="AE335" s="125"/>
    </row>
    <row r="336" spans="29:31" ht="15.75" customHeight="1" x14ac:dyDescent="0.2">
      <c r="AC336" s="122"/>
      <c r="AD336" s="125"/>
      <c r="AE336" s="125"/>
    </row>
    <row r="337" spans="29:31" ht="15.75" customHeight="1" x14ac:dyDescent="0.2">
      <c r="AC337" s="122"/>
      <c r="AD337" s="125"/>
      <c r="AE337" s="125"/>
    </row>
    <row r="338" spans="29:31" ht="15.75" customHeight="1" x14ac:dyDescent="0.2">
      <c r="AC338" s="122"/>
      <c r="AD338" s="125"/>
      <c r="AE338" s="125"/>
    </row>
    <row r="339" spans="29:31" ht="15.75" customHeight="1" x14ac:dyDescent="0.2">
      <c r="AC339" s="122"/>
      <c r="AD339" s="125"/>
      <c r="AE339" s="125"/>
    </row>
    <row r="340" spans="29:31" ht="15.75" customHeight="1" x14ac:dyDescent="0.2">
      <c r="AC340" s="122"/>
      <c r="AD340" s="125"/>
      <c r="AE340" s="125"/>
    </row>
    <row r="341" spans="29:31" ht="15.75" customHeight="1" x14ac:dyDescent="0.2">
      <c r="AC341" s="122"/>
      <c r="AD341" s="125"/>
      <c r="AE341" s="125"/>
    </row>
    <row r="342" spans="29:31" ht="15.75" customHeight="1" x14ac:dyDescent="0.2">
      <c r="AC342" s="122"/>
      <c r="AD342" s="125"/>
      <c r="AE342" s="125"/>
    </row>
    <row r="343" spans="29:31" ht="15.75" customHeight="1" x14ac:dyDescent="0.2">
      <c r="AC343" s="122"/>
      <c r="AD343" s="125"/>
      <c r="AE343" s="125"/>
    </row>
    <row r="344" spans="29:31" ht="15.75" customHeight="1" x14ac:dyDescent="0.2">
      <c r="AC344" s="122"/>
      <c r="AD344" s="125"/>
      <c r="AE344" s="125"/>
    </row>
    <row r="345" spans="29:31" ht="15.75" customHeight="1" x14ac:dyDescent="0.2">
      <c r="AC345" s="122"/>
      <c r="AD345" s="125"/>
      <c r="AE345" s="125"/>
    </row>
    <row r="346" spans="29:31" ht="15.75" customHeight="1" x14ac:dyDescent="0.2">
      <c r="AC346" s="122"/>
      <c r="AD346" s="125"/>
      <c r="AE346" s="125"/>
    </row>
    <row r="347" spans="29:31" ht="15.75" customHeight="1" x14ac:dyDescent="0.2">
      <c r="AC347" s="122"/>
      <c r="AD347" s="125"/>
      <c r="AE347" s="125"/>
    </row>
    <row r="348" spans="29:31" ht="15.75" customHeight="1" x14ac:dyDescent="0.2">
      <c r="AC348" s="122"/>
      <c r="AD348" s="125"/>
      <c r="AE348" s="125"/>
    </row>
    <row r="349" spans="29:31" ht="15.75" customHeight="1" x14ac:dyDescent="0.2">
      <c r="AC349" s="122"/>
      <c r="AD349" s="125"/>
      <c r="AE349" s="125"/>
    </row>
    <row r="350" spans="29:31" ht="15.75" customHeight="1" x14ac:dyDescent="0.2">
      <c r="AC350" s="122"/>
      <c r="AD350" s="125"/>
      <c r="AE350" s="125"/>
    </row>
    <row r="351" spans="29:31" ht="15.75" customHeight="1" x14ac:dyDescent="0.2">
      <c r="AC351" s="122"/>
      <c r="AD351" s="125"/>
      <c r="AE351" s="125"/>
    </row>
    <row r="352" spans="29:31" ht="15.75" customHeight="1" x14ac:dyDescent="0.2">
      <c r="AC352" s="122"/>
      <c r="AD352" s="125"/>
      <c r="AE352" s="125"/>
    </row>
    <row r="353" spans="29:31" ht="15.75" customHeight="1" x14ac:dyDescent="0.2">
      <c r="AC353" s="122"/>
      <c r="AD353" s="125"/>
      <c r="AE353" s="125"/>
    </row>
    <row r="354" spans="29:31" ht="15.75" customHeight="1" x14ac:dyDescent="0.2">
      <c r="AC354" s="122"/>
      <c r="AD354" s="125"/>
      <c r="AE354" s="125"/>
    </row>
    <row r="355" spans="29:31" ht="15.75" customHeight="1" x14ac:dyDescent="0.2">
      <c r="AC355" s="122"/>
      <c r="AD355" s="125"/>
      <c r="AE355" s="125"/>
    </row>
    <row r="356" spans="29:31" ht="15.75" customHeight="1" x14ac:dyDescent="0.2">
      <c r="AC356" s="122"/>
      <c r="AD356" s="125"/>
      <c r="AE356" s="125"/>
    </row>
    <row r="357" spans="29:31" ht="15.75" customHeight="1" x14ac:dyDescent="0.2">
      <c r="AC357" s="122"/>
      <c r="AD357" s="125"/>
      <c r="AE357" s="125"/>
    </row>
    <row r="358" spans="29:31" ht="15.75" customHeight="1" x14ac:dyDescent="0.2">
      <c r="AC358" s="122"/>
      <c r="AD358" s="125"/>
      <c r="AE358" s="125"/>
    </row>
    <row r="359" spans="29:31" ht="15.75" customHeight="1" x14ac:dyDescent="0.2">
      <c r="AC359" s="122"/>
      <c r="AD359" s="125"/>
      <c r="AE359" s="125"/>
    </row>
    <row r="360" spans="29:31" ht="15.75" customHeight="1" x14ac:dyDescent="0.2">
      <c r="AC360" s="122"/>
      <c r="AD360" s="125"/>
      <c r="AE360" s="125"/>
    </row>
    <row r="361" spans="29:31" ht="15.75" customHeight="1" x14ac:dyDescent="0.2">
      <c r="AC361" s="122"/>
      <c r="AD361" s="125"/>
      <c r="AE361" s="125"/>
    </row>
    <row r="362" spans="29:31" ht="15.75" customHeight="1" x14ac:dyDescent="0.2">
      <c r="AC362" s="122"/>
      <c r="AD362" s="125"/>
      <c r="AE362" s="125"/>
    </row>
    <row r="363" spans="29:31" ht="15.75" customHeight="1" x14ac:dyDescent="0.2">
      <c r="AC363" s="122"/>
      <c r="AD363" s="125"/>
      <c r="AE363" s="125"/>
    </row>
    <row r="364" spans="29:31" ht="15.75" customHeight="1" x14ac:dyDescent="0.2">
      <c r="AC364" s="122"/>
      <c r="AD364" s="125"/>
      <c r="AE364" s="125"/>
    </row>
    <row r="365" spans="29:31" ht="15.75" customHeight="1" x14ac:dyDescent="0.2">
      <c r="AC365" s="122"/>
      <c r="AD365" s="125"/>
      <c r="AE365" s="125"/>
    </row>
    <row r="366" spans="29:31" ht="15.75" customHeight="1" x14ac:dyDescent="0.2">
      <c r="AC366" s="122"/>
      <c r="AD366" s="125"/>
      <c r="AE366" s="125"/>
    </row>
    <row r="367" spans="29:31" ht="15.75" customHeight="1" x14ac:dyDescent="0.2">
      <c r="AC367" s="122"/>
      <c r="AD367" s="125"/>
      <c r="AE367" s="125"/>
    </row>
    <row r="368" spans="29:31" ht="15.75" customHeight="1" x14ac:dyDescent="0.2">
      <c r="AC368" s="122"/>
      <c r="AD368" s="125"/>
      <c r="AE368" s="125"/>
    </row>
    <row r="369" spans="29:31" ht="15.75" customHeight="1" x14ac:dyDescent="0.2">
      <c r="AC369" s="122"/>
      <c r="AD369" s="125"/>
      <c r="AE369" s="125"/>
    </row>
    <row r="370" spans="29:31" ht="15.75" customHeight="1" x14ac:dyDescent="0.2">
      <c r="AC370" s="122"/>
      <c r="AD370" s="125"/>
      <c r="AE370" s="125"/>
    </row>
    <row r="371" spans="29:31" ht="15.75" customHeight="1" x14ac:dyDescent="0.2">
      <c r="AC371" s="122"/>
      <c r="AD371" s="125"/>
      <c r="AE371" s="125"/>
    </row>
    <row r="372" spans="29:31" ht="15.75" customHeight="1" x14ac:dyDescent="0.2">
      <c r="AC372" s="122"/>
      <c r="AD372" s="125"/>
      <c r="AE372" s="125"/>
    </row>
    <row r="373" spans="29:31" ht="15.75" customHeight="1" x14ac:dyDescent="0.2">
      <c r="AC373" s="122"/>
      <c r="AD373" s="125"/>
      <c r="AE373" s="125"/>
    </row>
    <row r="374" spans="29:31" ht="15.75" customHeight="1" x14ac:dyDescent="0.2">
      <c r="AC374" s="122"/>
      <c r="AD374" s="125"/>
      <c r="AE374" s="125"/>
    </row>
    <row r="375" spans="29:31" ht="15.75" customHeight="1" x14ac:dyDescent="0.2">
      <c r="AC375" s="122"/>
      <c r="AD375" s="125"/>
      <c r="AE375" s="125"/>
    </row>
    <row r="376" spans="29:31" ht="15.75" customHeight="1" x14ac:dyDescent="0.2">
      <c r="AC376" s="122"/>
      <c r="AD376" s="125"/>
      <c r="AE376" s="125"/>
    </row>
    <row r="377" spans="29:31" ht="15.75" customHeight="1" x14ac:dyDescent="0.2">
      <c r="AC377" s="122"/>
      <c r="AD377" s="125"/>
      <c r="AE377" s="125"/>
    </row>
    <row r="378" spans="29:31" ht="15.75" customHeight="1" x14ac:dyDescent="0.2">
      <c r="AC378" s="122"/>
      <c r="AD378" s="125"/>
      <c r="AE378" s="125"/>
    </row>
    <row r="379" spans="29:31" ht="15.75" customHeight="1" x14ac:dyDescent="0.2">
      <c r="AC379" s="122"/>
      <c r="AD379" s="125"/>
      <c r="AE379" s="125"/>
    </row>
    <row r="380" spans="29:31" ht="15.75" customHeight="1" x14ac:dyDescent="0.2">
      <c r="AC380" s="122"/>
      <c r="AD380" s="125"/>
      <c r="AE380" s="125"/>
    </row>
    <row r="381" spans="29:31" ht="15.75" customHeight="1" x14ac:dyDescent="0.2">
      <c r="AC381" s="122"/>
      <c r="AD381" s="125"/>
      <c r="AE381" s="125"/>
    </row>
    <row r="382" spans="29:31" ht="15.75" customHeight="1" x14ac:dyDescent="0.2">
      <c r="AC382" s="122"/>
      <c r="AD382" s="125"/>
      <c r="AE382" s="125"/>
    </row>
    <row r="383" spans="29:31" ht="15.75" customHeight="1" x14ac:dyDescent="0.2">
      <c r="AC383" s="122"/>
      <c r="AD383" s="125"/>
      <c r="AE383" s="125"/>
    </row>
    <row r="384" spans="29:31" ht="15.75" customHeight="1" x14ac:dyDescent="0.2">
      <c r="AC384" s="122"/>
      <c r="AD384" s="125"/>
      <c r="AE384" s="125"/>
    </row>
    <row r="385" spans="29:31" ht="15.75" customHeight="1" x14ac:dyDescent="0.2">
      <c r="AC385" s="122"/>
      <c r="AD385" s="125"/>
      <c r="AE385" s="125"/>
    </row>
    <row r="386" spans="29:31" ht="15.75" customHeight="1" x14ac:dyDescent="0.2">
      <c r="AC386" s="122"/>
      <c r="AD386" s="125"/>
      <c r="AE386" s="125"/>
    </row>
    <row r="387" spans="29:31" ht="15.75" customHeight="1" x14ac:dyDescent="0.2">
      <c r="AC387" s="122"/>
      <c r="AD387" s="125"/>
      <c r="AE387" s="125"/>
    </row>
    <row r="388" spans="29:31" ht="15.75" customHeight="1" x14ac:dyDescent="0.2">
      <c r="AC388" s="122"/>
      <c r="AD388" s="125"/>
      <c r="AE388" s="125"/>
    </row>
    <row r="389" spans="29:31" ht="15.75" customHeight="1" x14ac:dyDescent="0.2">
      <c r="AC389" s="122"/>
      <c r="AD389" s="125"/>
      <c r="AE389" s="125"/>
    </row>
    <row r="390" spans="29:31" ht="15.75" customHeight="1" x14ac:dyDescent="0.2">
      <c r="AC390" s="122"/>
      <c r="AD390" s="125"/>
      <c r="AE390" s="125"/>
    </row>
    <row r="391" spans="29:31" ht="15.75" customHeight="1" x14ac:dyDescent="0.2">
      <c r="AC391" s="122"/>
      <c r="AD391" s="125"/>
      <c r="AE391" s="125"/>
    </row>
    <row r="392" spans="29:31" ht="15.75" customHeight="1" x14ac:dyDescent="0.2">
      <c r="AC392" s="122"/>
      <c r="AD392" s="125"/>
      <c r="AE392" s="125"/>
    </row>
    <row r="393" spans="29:31" ht="15.75" customHeight="1" x14ac:dyDescent="0.2">
      <c r="AC393" s="122"/>
      <c r="AD393" s="125"/>
      <c r="AE393" s="125"/>
    </row>
    <row r="394" spans="29:31" ht="15.75" customHeight="1" x14ac:dyDescent="0.2">
      <c r="AC394" s="122"/>
      <c r="AD394" s="125"/>
      <c r="AE394" s="125"/>
    </row>
    <row r="395" spans="29:31" ht="15.75" customHeight="1" x14ac:dyDescent="0.2">
      <c r="AC395" s="122"/>
      <c r="AD395" s="125"/>
      <c r="AE395" s="125"/>
    </row>
    <row r="396" spans="29:31" ht="15.75" customHeight="1" x14ac:dyDescent="0.2">
      <c r="AC396" s="122"/>
      <c r="AD396" s="125"/>
      <c r="AE396" s="125"/>
    </row>
    <row r="397" spans="29:31" ht="15.75" customHeight="1" x14ac:dyDescent="0.2">
      <c r="AC397" s="122"/>
      <c r="AD397" s="125"/>
      <c r="AE397" s="125"/>
    </row>
    <row r="398" spans="29:31" ht="15.75" customHeight="1" x14ac:dyDescent="0.2">
      <c r="AC398" s="122"/>
      <c r="AD398" s="125"/>
      <c r="AE398" s="125"/>
    </row>
    <row r="399" spans="29:31" ht="15.75" customHeight="1" x14ac:dyDescent="0.2">
      <c r="AC399" s="122"/>
      <c r="AD399" s="125"/>
      <c r="AE399" s="125"/>
    </row>
    <row r="400" spans="29:31" ht="15.75" customHeight="1" x14ac:dyDescent="0.2">
      <c r="AC400" s="122"/>
      <c r="AD400" s="125"/>
      <c r="AE400" s="125"/>
    </row>
    <row r="401" spans="29:31" ht="15.75" customHeight="1" x14ac:dyDescent="0.2">
      <c r="AC401" s="122"/>
      <c r="AD401" s="125"/>
      <c r="AE401" s="125"/>
    </row>
    <row r="402" spans="29:31" ht="15.75" customHeight="1" x14ac:dyDescent="0.2">
      <c r="AC402" s="122"/>
      <c r="AD402" s="125"/>
      <c r="AE402" s="125"/>
    </row>
    <row r="403" spans="29:31" ht="15.75" customHeight="1" x14ac:dyDescent="0.2">
      <c r="AC403" s="122"/>
      <c r="AD403" s="125"/>
      <c r="AE403" s="125"/>
    </row>
    <row r="404" spans="29:31" ht="15.75" customHeight="1" x14ac:dyDescent="0.2">
      <c r="AC404" s="122"/>
      <c r="AD404" s="125"/>
      <c r="AE404" s="125"/>
    </row>
    <row r="405" spans="29:31" ht="15.75" customHeight="1" x14ac:dyDescent="0.2">
      <c r="AC405" s="122"/>
      <c r="AD405" s="125"/>
      <c r="AE405" s="125"/>
    </row>
    <row r="406" spans="29:31" ht="15.75" customHeight="1" x14ac:dyDescent="0.2">
      <c r="AC406" s="122"/>
      <c r="AD406" s="125"/>
      <c r="AE406" s="125"/>
    </row>
    <row r="407" spans="29:31" ht="15.75" customHeight="1" x14ac:dyDescent="0.2">
      <c r="AC407" s="122"/>
      <c r="AD407" s="125"/>
      <c r="AE407" s="125"/>
    </row>
    <row r="408" spans="29:31" ht="15.75" customHeight="1" x14ac:dyDescent="0.2">
      <c r="AC408" s="122"/>
      <c r="AD408" s="125"/>
      <c r="AE408" s="125"/>
    </row>
    <row r="409" spans="29:31" ht="15.75" customHeight="1" x14ac:dyDescent="0.2">
      <c r="AC409" s="122"/>
      <c r="AD409" s="125"/>
      <c r="AE409" s="125"/>
    </row>
    <row r="410" spans="29:31" ht="15.75" customHeight="1" x14ac:dyDescent="0.2">
      <c r="AC410" s="122"/>
      <c r="AD410" s="125"/>
      <c r="AE410" s="125"/>
    </row>
    <row r="411" spans="29:31" ht="15.75" customHeight="1" x14ac:dyDescent="0.2">
      <c r="AC411" s="122"/>
      <c r="AD411" s="125"/>
      <c r="AE411" s="125"/>
    </row>
    <row r="412" spans="29:31" ht="15.75" customHeight="1" x14ac:dyDescent="0.2">
      <c r="AC412" s="122"/>
      <c r="AD412" s="125"/>
      <c r="AE412" s="125"/>
    </row>
    <row r="413" spans="29:31" ht="15.75" customHeight="1" x14ac:dyDescent="0.2">
      <c r="AC413" s="122"/>
      <c r="AD413" s="125"/>
      <c r="AE413" s="125"/>
    </row>
    <row r="414" spans="29:31" ht="15.75" customHeight="1" x14ac:dyDescent="0.2">
      <c r="AC414" s="122"/>
      <c r="AD414" s="125"/>
      <c r="AE414" s="125"/>
    </row>
    <row r="415" spans="29:31" ht="15.75" customHeight="1" x14ac:dyDescent="0.2">
      <c r="AC415" s="122"/>
      <c r="AD415" s="125"/>
      <c r="AE415" s="125"/>
    </row>
    <row r="416" spans="29:31" ht="15.75" customHeight="1" x14ac:dyDescent="0.2">
      <c r="AC416" s="122"/>
      <c r="AD416" s="125"/>
      <c r="AE416" s="125"/>
    </row>
    <row r="417" spans="29:31" ht="15.75" customHeight="1" x14ac:dyDescent="0.2">
      <c r="AC417" s="122"/>
      <c r="AD417" s="125"/>
      <c r="AE417" s="125"/>
    </row>
    <row r="418" spans="29:31" ht="15.75" customHeight="1" x14ac:dyDescent="0.2">
      <c r="AC418" s="122"/>
      <c r="AD418" s="125"/>
      <c r="AE418" s="125"/>
    </row>
    <row r="419" spans="29:31" ht="15.75" customHeight="1" x14ac:dyDescent="0.2">
      <c r="AC419" s="122"/>
      <c r="AD419" s="125"/>
      <c r="AE419" s="125"/>
    </row>
    <row r="420" spans="29:31" ht="15.75" customHeight="1" x14ac:dyDescent="0.2">
      <c r="AC420" s="122"/>
      <c r="AD420" s="125"/>
      <c r="AE420" s="125"/>
    </row>
    <row r="421" spans="29:31" ht="15.75" customHeight="1" x14ac:dyDescent="0.2">
      <c r="AC421" s="122"/>
      <c r="AD421" s="125"/>
      <c r="AE421" s="125"/>
    </row>
    <row r="422" spans="29:31" ht="15.75" customHeight="1" x14ac:dyDescent="0.2">
      <c r="AC422" s="122"/>
      <c r="AD422" s="125"/>
      <c r="AE422" s="125"/>
    </row>
    <row r="423" spans="29:31" ht="15.75" customHeight="1" x14ac:dyDescent="0.2">
      <c r="AC423" s="122"/>
      <c r="AD423" s="125"/>
      <c r="AE423" s="125"/>
    </row>
    <row r="424" spans="29:31" ht="15.75" customHeight="1" x14ac:dyDescent="0.2">
      <c r="AC424" s="122"/>
      <c r="AD424" s="125"/>
      <c r="AE424" s="125"/>
    </row>
    <row r="425" spans="29:31" ht="15.75" customHeight="1" x14ac:dyDescent="0.2">
      <c r="AC425" s="122"/>
      <c r="AD425" s="125"/>
      <c r="AE425" s="125"/>
    </row>
    <row r="426" spans="29:31" ht="15.75" customHeight="1" x14ac:dyDescent="0.2">
      <c r="AC426" s="122"/>
      <c r="AD426" s="125"/>
      <c r="AE426" s="125"/>
    </row>
    <row r="427" spans="29:31" ht="15.75" customHeight="1" x14ac:dyDescent="0.2">
      <c r="AC427" s="122"/>
      <c r="AD427" s="125"/>
      <c r="AE427" s="125"/>
    </row>
    <row r="428" spans="29:31" ht="15.75" customHeight="1" x14ac:dyDescent="0.2">
      <c r="AC428" s="122"/>
      <c r="AD428" s="125"/>
      <c r="AE428" s="125"/>
    </row>
    <row r="429" spans="29:31" ht="15.75" customHeight="1" x14ac:dyDescent="0.2">
      <c r="AC429" s="122"/>
      <c r="AD429" s="125"/>
      <c r="AE429" s="125"/>
    </row>
    <row r="430" spans="29:31" ht="15.75" customHeight="1" x14ac:dyDescent="0.2">
      <c r="AC430" s="122"/>
      <c r="AD430" s="125"/>
      <c r="AE430" s="125"/>
    </row>
    <row r="431" spans="29:31" ht="15.75" customHeight="1" x14ac:dyDescent="0.2">
      <c r="AC431" s="122"/>
      <c r="AD431" s="125"/>
      <c r="AE431" s="125"/>
    </row>
    <row r="432" spans="29:31" ht="15.75" customHeight="1" x14ac:dyDescent="0.2">
      <c r="AC432" s="122"/>
      <c r="AD432" s="125"/>
      <c r="AE432" s="125"/>
    </row>
    <row r="433" spans="29:31" ht="15.75" customHeight="1" x14ac:dyDescent="0.2">
      <c r="AC433" s="122"/>
      <c r="AD433" s="125"/>
      <c r="AE433" s="125"/>
    </row>
    <row r="434" spans="29:31" ht="15.75" customHeight="1" x14ac:dyDescent="0.2">
      <c r="AC434" s="122"/>
      <c r="AD434" s="125"/>
      <c r="AE434" s="125"/>
    </row>
    <row r="435" spans="29:31" ht="15.75" customHeight="1" x14ac:dyDescent="0.2">
      <c r="AC435" s="122"/>
      <c r="AD435" s="125"/>
      <c r="AE435" s="125"/>
    </row>
    <row r="436" spans="29:31" ht="15.75" customHeight="1" x14ac:dyDescent="0.2">
      <c r="AC436" s="122"/>
      <c r="AD436" s="125"/>
      <c r="AE436" s="125"/>
    </row>
    <row r="437" spans="29:31" ht="15.75" customHeight="1" x14ac:dyDescent="0.2">
      <c r="AC437" s="122"/>
      <c r="AD437" s="125"/>
      <c r="AE437" s="125"/>
    </row>
    <row r="438" spans="29:31" ht="15.75" customHeight="1" x14ac:dyDescent="0.2">
      <c r="AC438" s="122"/>
      <c r="AD438" s="125"/>
      <c r="AE438" s="125"/>
    </row>
    <row r="439" spans="29:31" ht="15.75" customHeight="1" x14ac:dyDescent="0.2">
      <c r="AC439" s="122"/>
      <c r="AD439" s="125"/>
      <c r="AE439" s="125"/>
    </row>
    <row r="440" spans="29:31" ht="15.75" customHeight="1" x14ac:dyDescent="0.2">
      <c r="AC440" s="122"/>
      <c r="AD440" s="125"/>
      <c r="AE440" s="125"/>
    </row>
    <row r="441" spans="29:31" ht="15.75" customHeight="1" x14ac:dyDescent="0.2">
      <c r="AC441" s="122"/>
      <c r="AD441" s="125"/>
      <c r="AE441" s="125"/>
    </row>
    <row r="442" spans="29:31" ht="15.75" customHeight="1" x14ac:dyDescent="0.2">
      <c r="AC442" s="122"/>
      <c r="AD442" s="125"/>
      <c r="AE442" s="125"/>
    </row>
    <row r="443" spans="29:31" ht="15.75" customHeight="1" x14ac:dyDescent="0.2">
      <c r="AC443" s="122"/>
      <c r="AD443" s="125"/>
      <c r="AE443" s="125"/>
    </row>
    <row r="444" spans="29:31" ht="15.75" customHeight="1" x14ac:dyDescent="0.2">
      <c r="AC444" s="122"/>
      <c r="AD444" s="125"/>
      <c r="AE444" s="125"/>
    </row>
    <row r="445" spans="29:31" ht="15.75" customHeight="1" x14ac:dyDescent="0.2">
      <c r="AC445" s="122"/>
      <c r="AD445" s="125"/>
      <c r="AE445" s="125"/>
    </row>
    <row r="446" spans="29:31" ht="15.75" customHeight="1" x14ac:dyDescent="0.2">
      <c r="AC446" s="122"/>
      <c r="AD446" s="125"/>
      <c r="AE446" s="125"/>
    </row>
    <row r="447" spans="29:31" ht="15.75" customHeight="1" x14ac:dyDescent="0.2">
      <c r="AC447" s="122"/>
      <c r="AD447" s="125"/>
      <c r="AE447" s="125"/>
    </row>
    <row r="448" spans="29:31" ht="15.75" customHeight="1" x14ac:dyDescent="0.2">
      <c r="AC448" s="122"/>
      <c r="AD448" s="125"/>
      <c r="AE448" s="125"/>
    </row>
    <row r="449" spans="29:31" ht="15.75" customHeight="1" x14ac:dyDescent="0.2">
      <c r="AC449" s="122"/>
      <c r="AD449" s="125"/>
      <c r="AE449" s="125"/>
    </row>
    <row r="450" spans="29:31" ht="15.75" customHeight="1" x14ac:dyDescent="0.2">
      <c r="AC450" s="122"/>
      <c r="AD450" s="125"/>
      <c r="AE450" s="125"/>
    </row>
    <row r="451" spans="29:31" ht="15.75" customHeight="1" x14ac:dyDescent="0.2">
      <c r="AC451" s="122"/>
      <c r="AD451" s="125"/>
      <c r="AE451" s="125"/>
    </row>
    <row r="452" spans="29:31" ht="15.75" customHeight="1" x14ac:dyDescent="0.2">
      <c r="AC452" s="122"/>
      <c r="AD452" s="125"/>
      <c r="AE452" s="125"/>
    </row>
    <row r="453" spans="29:31" ht="15.75" customHeight="1" x14ac:dyDescent="0.2">
      <c r="AC453" s="122"/>
      <c r="AD453" s="125"/>
      <c r="AE453" s="125"/>
    </row>
    <row r="454" spans="29:31" ht="15.75" customHeight="1" x14ac:dyDescent="0.2">
      <c r="AC454" s="122"/>
      <c r="AD454" s="125"/>
      <c r="AE454" s="125"/>
    </row>
    <row r="455" spans="29:31" ht="15.75" customHeight="1" x14ac:dyDescent="0.2">
      <c r="AC455" s="122"/>
      <c r="AD455" s="125"/>
      <c r="AE455" s="125"/>
    </row>
    <row r="456" spans="29:31" ht="15.75" customHeight="1" x14ac:dyDescent="0.2">
      <c r="AC456" s="122"/>
      <c r="AD456" s="125"/>
      <c r="AE456" s="125"/>
    </row>
    <row r="457" spans="29:31" ht="15.75" customHeight="1" x14ac:dyDescent="0.2">
      <c r="AC457" s="122"/>
      <c r="AD457" s="125"/>
      <c r="AE457" s="125"/>
    </row>
    <row r="458" spans="29:31" ht="15.75" customHeight="1" x14ac:dyDescent="0.2">
      <c r="AC458" s="122"/>
      <c r="AD458" s="125"/>
      <c r="AE458" s="125"/>
    </row>
    <row r="459" spans="29:31" ht="15.75" customHeight="1" x14ac:dyDescent="0.2">
      <c r="AC459" s="122"/>
      <c r="AD459" s="125"/>
      <c r="AE459" s="125"/>
    </row>
    <row r="460" spans="29:31" ht="15.75" customHeight="1" x14ac:dyDescent="0.2">
      <c r="AC460" s="122"/>
      <c r="AD460" s="125"/>
      <c r="AE460" s="125"/>
    </row>
    <row r="461" spans="29:31" ht="15.75" customHeight="1" x14ac:dyDescent="0.2">
      <c r="AC461" s="122"/>
      <c r="AD461" s="125"/>
      <c r="AE461" s="125"/>
    </row>
    <row r="462" spans="29:31" ht="15.75" customHeight="1" x14ac:dyDescent="0.2">
      <c r="AC462" s="122"/>
      <c r="AD462" s="125"/>
      <c r="AE462" s="125"/>
    </row>
    <row r="463" spans="29:31" ht="15.75" customHeight="1" x14ac:dyDescent="0.2">
      <c r="AC463" s="122"/>
      <c r="AD463" s="125"/>
      <c r="AE463" s="125"/>
    </row>
    <row r="464" spans="29:31" ht="15.75" customHeight="1" x14ac:dyDescent="0.2">
      <c r="AC464" s="122"/>
      <c r="AD464" s="125"/>
      <c r="AE464" s="125"/>
    </row>
    <row r="465" spans="29:31" ht="15.75" customHeight="1" x14ac:dyDescent="0.2">
      <c r="AC465" s="122"/>
      <c r="AD465" s="125"/>
      <c r="AE465" s="125"/>
    </row>
    <row r="466" spans="29:31" ht="15.75" customHeight="1" x14ac:dyDescent="0.2">
      <c r="AC466" s="122"/>
      <c r="AD466" s="125"/>
      <c r="AE466" s="125"/>
    </row>
    <row r="467" spans="29:31" ht="15.75" customHeight="1" x14ac:dyDescent="0.2">
      <c r="AC467" s="122"/>
      <c r="AD467" s="125"/>
      <c r="AE467" s="125"/>
    </row>
    <row r="468" spans="29:31" ht="15.75" customHeight="1" x14ac:dyDescent="0.2">
      <c r="AC468" s="122"/>
      <c r="AD468" s="125"/>
      <c r="AE468" s="125"/>
    </row>
    <row r="469" spans="29:31" ht="15.75" customHeight="1" x14ac:dyDescent="0.2">
      <c r="AC469" s="122"/>
      <c r="AD469" s="125"/>
      <c r="AE469" s="125"/>
    </row>
    <row r="470" spans="29:31" ht="15.75" customHeight="1" x14ac:dyDescent="0.2">
      <c r="AC470" s="122"/>
      <c r="AD470" s="125"/>
      <c r="AE470" s="125"/>
    </row>
    <row r="471" spans="29:31" ht="15.75" customHeight="1" x14ac:dyDescent="0.2">
      <c r="AC471" s="122"/>
      <c r="AD471" s="125"/>
      <c r="AE471" s="125"/>
    </row>
    <row r="472" spans="29:31" ht="15.75" customHeight="1" x14ac:dyDescent="0.2">
      <c r="AC472" s="122"/>
      <c r="AD472" s="125"/>
      <c r="AE472" s="125"/>
    </row>
    <row r="473" spans="29:31" ht="15.75" customHeight="1" x14ac:dyDescent="0.2">
      <c r="AC473" s="122"/>
      <c r="AD473" s="125"/>
      <c r="AE473" s="125"/>
    </row>
    <row r="474" spans="29:31" ht="15.75" customHeight="1" x14ac:dyDescent="0.2">
      <c r="AC474" s="122"/>
      <c r="AD474" s="125"/>
      <c r="AE474" s="125"/>
    </row>
    <row r="475" spans="29:31" ht="15.75" customHeight="1" x14ac:dyDescent="0.2">
      <c r="AC475" s="122"/>
      <c r="AD475" s="125"/>
      <c r="AE475" s="125"/>
    </row>
    <row r="476" spans="29:31" ht="15.75" customHeight="1" x14ac:dyDescent="0.2">
      <c r="AC476" s="122"/>
      <c r="AD476" s="125"/>
      <c r="AE476" s="125"/>
    </row>
    <row r="477" spans="29:31" ht="15.75" customHeight="1" x14ac:dyDescent="0.2">
      <c r="AC477" s="122"/>
      <c r="AD477" s="125"/>
      <c r="AE477" s="125"/>
    </row>
    <row r="478" spans="29:31" ht="15.75" customHeight="1" x14ac:dyDescent="0.2">
      <c r="AC478" s="122"/>
      <c r="AD478" s="125"/>
      <c r="AE478" s="125"/>
    </row>
    <row r="479" spans="29:31" ht="15.75" customHeight="1" x14ac:dyDescent="0.2">
      <c r="AC479" s="122"/>
      <c r="AD479" s="125"/>
      <c r="AE479" s="125"/>
    </row>
    <row r="480" spans="29:31" ht="15.75" customHeight="1" x14ac:dyDescent="0.2">
      <c r="AC480" s="122"/>
      <c r="AD480" s="125"/>
      <c r="AE480" s="125"/>
    </row>
    <row r="481" spans="29:31" ht="15.75" customHeight="1" x14ac:dyDescent="0.2">
      <c r="AC481" s="122"/>
      <c r="AD481" s="125"/>
      <c r="AE481" s="125"/>
    </row>
    <row r="482" spans="29:31" ht="15.75" customHeight="1" x14ac:dyDescent="0.2">
      <c r="AC482" s="122"/>
      <c r="AD482" s="125"/>
      <c r="AE482" s="125"/>
    </row>
    <row r="483" spans="29:31" ht="15.75" customHeight="1" x14ac:dyDescent="0.2">
      <c r="AC483" s="122"/>
      <c r="AD483" s="125"/>
      <c r="AE483" s="125"/>
    </row>
    <row r="484" spans="29:31" ht="15.75" customHeight="1" x14ac:dyDescent="0.2">
      <c r="AC484" s="122"/>
      <c r="AD484" s="125"/>
      <c r="AE484" s="125"/>
    </row>
    <row r="485" spans="29:31" ht="15.75" customHeight="1" x14ac:dyDescent="0.2">
      <c r="AC485" s="122"/>
      <c r="AD485" s="125"/>
      <c r="AE485" s="125"/>
    </row>
    <row r="486" spans="29:31" ht="15.75" customHeight="1" x14ac:dyDescent="0.2">
      <c r="AC486" s="122"/>
      <c r="AD486" s="125"/>
      <c r="AE486" s="125"/>
    </row>
    <row r="487" spans="29:31" ht="15.75" customHeight="1" x14ac:dyDescent="0.2">
      <c r="AC487" s="122"/>
      <c r="AD487" s="125"/>
      <c r="AE487" s="125"/>
    </row>
    <row r="488" spans="29:31" ht="15.75" customHeight="1" x14ac:dyDescent="0.2">
      <c r="AC488" s="122"/>
      <c r="AD488" s="125"/>
      <c r="AE488" s="125"/>
    </row>
    <row r="489" spans="29:31" ht="15.75" customHeight="1" x14ac:dyDescent="0.2">
      <c r="AC489" s="122"/>
      <c r="AD489" s="125"/>
      <c r="AE489" s="125"/>
    </row>
    <row r="490" spans="29:31" ht="15.75" customHeight="1" x14ac:dyDescent="0.2">
      <c r="AC490" s="122"/>
      <c r="AD490" s="125"/>
      <c r="AE490" s="125"/>
    </row>
    <row r="491" spans="29:31" ht="15.75" customHeight="1" x14ac:dyDescent="0.2">
      <c r="AC491" s="122"/>
      <c r="AD491" s="125"/>
      <c r="AE491" s="125"/>
    </row>
    <row r="492" spans="29:31" ht="15.75" customHeight="1" x14ac:dyDescent="0.2">
      <c r="AC492" s="122"/>
      <c r="AD492" s="125"/>
      <c r="AE492" s="125"/>
    </row>
    <row r="493" spans="29:31" ht="15.75" customHeight="1" x14ac:dyDescent="0.2">
      <c r="AC493" s="122"/>
      <c r="AD493" s="125"/>
      <c r="AE493" s="125"/>
    </row>
    <row r="494" spans="29:31" ht="15.75" customHeight="1" x14ac:dyDescent="0.2">
      <c r="AC494" s="122"/>
      <c r="AD494" s="125"/>
      <c r="AE494" s="125"/>
    </row>
    <row r="495" spans="29:31" ht="15.75" customHeight="1" x14ac:dyDescent="0.2">
      <c r="AC495" s="122"/>
      <c r="AD495" s="125"/>
      <c r="AE495" s="125"/>
    </row>
    <row r="496" spans="29:31" ht="15.75" customHeight="1" x14ac:dyDescent="0.2">
      <c r="AC496" s="122"/>
      <c r="AD496" s="125"/>
      <c r="AE496" s="125"/>
    </row>
    <row r="497" spans="29:31" ht="15.75" customHeight="1" x14ac:dyDescent="0.2">
      <c r="AC497" s="122"/>
      <c r="AD497" s="125"/>
      <c r="AE497" s="125"/>
    </row>
    <row r="498" spans="29:31" ht="15.75" customHeight="1" x14ac:dyDescent="0.2">
      <c r="AC498" s="122"/>
      <c r="AD498" s="125"/>
      <c r="AE498" s="125"/>
    </row>
    <row r="499" spans="29:31" ht="15.75" customHeight="1" x14ac:dyDescent="0.2">
      <c r="AC499" s="122"/>
      <c r="AD499" s="125"/>
      <c r="AE499" s="125"/>
    </row>
    <row r="500" spans="29:31" ht="15.75" customHeight="1" x14ac:dyDescent="0.2">
      <c r="AC500" s="122"/>
      <c r="AD500" s="125"/>
      <c r="AE500" s="125"/>
    </row>
    <row r="501" spans="29:31" ht="15.75" customHeight="1" x14ac:dyDescent="0.2">
      <c r="AC501" s="122"/>
      <c r="AD501" s="125"/>
      <c r="AE501" s="125"/>
    </row>
    <row r="502" spans="29:31" ht="15.75" customHeight="1" x14ac:dyDescent="0.2">
      <c r="AC502" s="122"/>
      <c r="AD502" s="125"/>
      <c r="AE502" s="125"/>
    </row>
    <row r="503" spans="29:31" ht="15.75" customHeight="1" x14ac:dyDescent="0.2">
      <c r="AC503" s="122"/>
      <c r="AD503" s="125"/>
      <c r="AE503" s="125"/>
    </row>
    <row r="504" spans="29:31" ht="15.75" customHeight="1" x14ac:dyDescent="0.2">
      <c r="AC504" s="122"/>
      <c r="AD504" s="125"/>
      <c r="AE504" s="125"/>
    </row>
    <row r="505" spans="29:31" ht="15.75" customHeight="1" x14ac:dyDescent="0.2">
      <c r="AC505" s="122"/>
      <c r="AD505" s="125"/>
      <c r="AE505" s="125"/>
    </row>
    <row r="506" spans="29:31" ht="15.75" customHeight="1" x14ac:dyDescent="0.2">
      <c r="AC506" s="122"/>
      <c r="AD506" s="125"/>
      <c r="AE506" s="125"/>
    </row>
    <row r="507" spans="29:31" ht="15.75" customHeight="1" x14ac:dyDescent="0.2">
      <c r="AC507" s="122"/>
      <c r="AD507" s="125"/>
      <c r="AE507" s="125"/>
    </row>
    <row r="508" spans="29:31" ht="15.75" customHeight="1" x14ac:dyDescent="0.2">
      <c r="AC508" s="122"/>
      <c r="AD508" s="125"/>
      <c r="AE508" s="125"/>
    </row>
    <row r="509" spans="29:31" ht="15.75" customHeight="1" x14ac:dyDescent="0.2">
      <c r="AC509" s="122"/>
      <c r="AD509" s="125"/>
      <c r="AE509" s="125"/>
    </row>
    <row r="510" spans="29:31" ht="15.75" customHeight="1" x14ac:dyDescent="0.2">
      <c r="AC510" s="122"/>
      <c r="AD510" s="125"/>
      <c r="AE510" s="125"/>
    </row>
    <row r="511" spans="29:31" ht="15.75" customHeight="1" x14ac:dyDescent="0.2">
      <c r="AC511" s="122"/>
      <c r="AD511" s="125"/>
      <c r="AE511" s="125"/>
    </row>
    <row r="512" spans="29:31" ht="15.75" customHeight="1" x14ac:dyDescent="0.2">
      <c r="AC512" s="122"/>
      <c r="AD512" s="125"/>
      <c r="AE512" s="125"/>
    </row>
    <row r="513" spans="29:31" ht="15.75" customHeight="1" x14ac:dyDescent="0.2">
      <c r="AC513" s="122"/>
      <c r="AD513" s="125"/>
      <c r="AE513" s="125"/>
    </row>
    <row r="514" spans="29:31" ht="15.75" customHeight="1" x14ac:dyDescent="0.2">
      <c r="AC514" s="122"/>
      <c r="AD514" s="125"/>
      <c r="AE514" s="125"/>
    </row>
    <row r="515" spans="29:31" ht="15.75" customHeight="1" x14ac:dyDescent="0.2">
      <c r="AC515" s="122"/>
      <c r="AD515" s="125"/>
      <c r="AE515" s="125"/>
    </row>
    <row r="516" spans="29:31" ht="15.75" customHeight="1" x14ac:dyDescent="0.2">
      <c r="AC516" s="122"/>
      <c r="AD516" s="125"/>
      <c r="AE516" s="125"/>
    </row>
    <row r="517" spans="29:31" ht="15.75" customHeight="1" x14ac:dyDescent="0.2">
      <c r="AC517" s="122"/>
      <c r="AD517" s="125"/>
      <c r="AE517" s="125"/>
    </row>
    <row r="518" spans="29:31" ht="15.75" customHeight="1" x14ac:dyDescent="0.2">
      <c r="AC518" s="122"/>
      <c r="AD518" s="125"/>
      <c r="AE518" s="125"/>
    </row>
    <row r="519" spans="29:31" ht="15.75" customHeight="1" x14ac:dyDescent="0.2">
      <c r="AC519" s="122"/>
      <c r="AD519" s="125"/>
      <c r="AE519" s="125"/>
    </row>
    <row r="520" spans="29:31" ht="15.75" customHeight="1" x14ac:dyDescent="0.2">
      <c r="AC520" s="122"/>
      <c r="AD520" s="125"/>
      <c r="AE520" s="125"/>
    </row>
    <row r="521" spans="29:31" ht="15.75" customHeight="1" x14ac:dyDescent="0.2">
      <c r="AC521" s="122"/>
      <c r="AD521" s="125"/>
      <c r="AE521" s="125"/>
    </row>
    <row r="522" spans="29:31" ht="15.75" customHeight="1" x14ac:dyDescent="0.2">
      <c r="AC522" s="122"/>
      <c r="AD522" s="125"/>
      <c r="AE522" s="125"/>
    </row>
    <row r="523" spans="29:31" ht="15.75" customHeight="1" x14ac:dyDescent="0.2">
      <c r="AC523" s="122"/>
      <c r="AD523" s="125"/>
      <c r="AE523" s="125"/>
    </row>
    <row r="524" spans="29:31" ht="15.75" customHeight="1" x14ac:dyDescent="0.2">
      <c r="AC524" s="122"/>
      <c r="AD524" s="125"/>
      <c r="AE524" s="125"/>
    </row>
    <row r="525" spans="29:31" ht="15.75" customHeight="1" x14ac:dyDescent="0.2">
      <c r="AC525" s="122"/>
      <c r="AD525" s="125"/>
      <c r="AE525" s="125"/>
    </row>
    <row r="526" spans="29:31" ht="15.75" customHeight="1" x14ac:dyDescent="0.2">
      <c r="AC526" s="122"/>
      <c r="AD526" s="125"/>
      <c r="AE526" s="125"/>
    </row>
    <row r="527" spans="29:31" ht="15.75" customHeight="1" x14ac:dyDescent="0.2">
      <c r="AC527" s="122"/>
      <c r="AD527" s="125"/>
      <c r="AE527" s="125"/>
    </row>
    <row r="528" spans="29:31" ht="15.75" customHeight="1" x14ac:dyDescent="0.2">
      <c r="AC528" s="122"/>
      <c r="AD528" s="125"/>
      <c r="AE528" s="125"/>
    </row>
    <row r="529" spans="29:31" ht="15.75" customHeight="1" x14ac:dyDescent="0.2">
      <c r="AC529" s="122"/>
      <c r="AD529" s="125"/>
      <c r="AE529" s="125"/>
    </row>
    <row r="530" spans="29:31" ht="15.75" customHeight="1" x14ac:dyDescent="0.2">
      <c r="AC530" s="122"/>
      <c r="AD530" s="125"/>
      <c r="AE530" s="125"/>
    </row>
    <row r="531" spans="29:31" ht="15.75" customHeight="1" x14ac:dyDescent="0.2">
      <c r="AC531" s="122"/>
      <c r="AD531" s="125"/>
      <c r="AE531" s="125"/>
    </row>
    <row r="532" spans="29:31" ht="15.75" customHeight="1" x14ac:dyDescent="0.2">
      <c r="AC532" s="122"/>
      <c r="AD532" s="125"/>
      <c r="AE532" s="125"/>
    </row>
    <row r="533" spans="29:31" ht="15.75" customHeight="1" x14ac:dyDescent="0.2">
      <c r="AC533" s="122"/>
      <c r="AD533" s="125"/>
      <c r="AE533" s="125"/>
    </row>
    <row r="534" spans="29:31" ht="15.75" customHeight="1" x14ac:dyDescent="0.2">
      <c r="AC534" s="122"/>
      <c r="AD534" s="125"/>
      <c r="AE534" s="125"/>
    </row>
    <row r="535" spans="29:31" ht="15.75" customHeight="1" x14ac:dyDescent="0.2">
      <c r="AC535" s="122"/>
      <c r="AD535" s="125"/>
      <c r="AE535" s="125"/>
    </row>
    <row r="536" spans="29:31" ht="15.75" customHeight="1" x14ac:dyDescent="0.2">
      <c r="AC536" s="122"/>
      <c r="AD536" s="125"/>
      <c r="AE536" s="125"/>
    </row>
    <row r="537" spans="29:31" ht="15.75" customHeight="1" x14ac:dyDescent="0.2">
      <c r="AC537" s="122"/>
      <c r="AD537" s="125"/>
      <c r="AE537" s="125"/>
    </row>
    <row r="538" spans="29:31" ht="15.75" customHeight="1" x14ac:dyDescent="0.2">
      <c r="AC538" s="122"/>
      <c r="AD538" s="125"/>
      <c r="AE538" s="125"/>
    </row>
    <row r="539" spans="29:31" ht="15.75" customHeight="1" x14ac:dyDescent="0.2">
      <c r="AC539" s="122"/>
      <c r="AD539" s="125"/>
      <c r="AE539" s="125"/>
    </row>
    <row r="540" spans="29:31" ht="15.75" customHeight="1" x14ac:dyDescent="0.2">
      <c r="AC540" s="122"/>
      <c r="AD540" s="125"/>
      <c r="AE540" s="125"/>
    </row>
    <row r="541" spans="29:31" ht="15.75" customHeight="1" x14ac:dyDescent="0.2">
      <c r="AC541" s="122"/>
      <c r="AD541" s="125"/>
      <c r="AE541" s="125"/>
    </row>
    <row r="542" spans="29:31" ht="15.75" customHeight="1" x14ac:dyDescent="0.2">
      <c r="AC542" s="122"/>
      <c r="AD542" s="125"/>
      <c r="AE542" s="125"/>
    </row>
    <row r="543" spans="29:31" ht="15.75" customHeight="1" x14ac:dyDescent="0.2">
      <c r="AC543" s="122"/>
      <c r="AD543" s="125"/>
      <c r="AE543" s="125"/>
    </row>
    <row r="544" spans="29:31" ht="15.75" customHeight="1" x14ac:dyDescent="0.2">
      <c r="AC544" s="122"/>
      <c r="AD544" s="125"/>
      <c r="AE544" s="125"/>
    </row>
    <row r="545" spans="29:31" ht="15.75" customHeight="1" x14ac:dyDescent="0.2">
      <c r="AC545" s="122"/>
      <c r="AD545" s="125"/>
      <c r="AE545" s="125"/>
    </row>
    <row r="546" spans="29:31" ht="15.75" customHeight="1" x14ac:dyDescent="0.2">
      <c r="AC546" s="122"/>
      <c r="AD546" s="125"/>
      <c r="AE546" s="125"/>
    </row>
    <row r="547" spans="29:31" ht="15.75" customHeight="1" x14ac:dyDescent="0.2">
      <c r="AC547" s="122"/>
      <c r="AD547" s="125"/>
      <c r="AE547" s="125"/>
    </row>
    <row r="548" spans="29:31" ht="15.75" customHeight="1" x14ac:dyDescent="0.2">
      <c r="AC548" s="122"/>
      <c r="AD548" s="125"/>
      <c r="AE548" s="125"/>
    </row>
    <row r="549" spans="29:31" ht="15.75" customHeight="1" x14ac:dyDescent="0.2">
      <c r="AC549" s="122"/>
      <c r="AD549" s="125"/>
      <c r="AE549" s="125"/>
    </row>
    <row r="550" spans="29:31" ht="15.75" customHeight="1" x14ac:dyDescent="0.2">
      <c r="AC550" s="122"/>
      <c r="AD550" s="125"/>
      <c r="AE550" s="125"/>
    </row>
    <row r="551" spans="29:31" ht="15.75" customHeight="1" x14ac:dyDescent="0.2">
      <c r="AC551" s="122"/>
      <c r="AD551" s="125"/>
      <c r="AE551" s="125"/>
    </row>
    <row r="552" spans="29:31" ht="15.75" customHeight="1" x14ac:dyDescent="0.2">
      <c r="AC552" s="122"/>
      <c r="AD552" s="125"/>
      <c r="AE552" s="125"/>
    </row>
    <row r="553" spans="29:31" ht="15.75" customHeight="1" x14ac:dyDescent="0.2">
      <c r="AC553" s="122"/>
      <c r="AD553" s="125"/>
      <c r="AE553" s="125"/>
    </row>
    <row r="554" spans="29:31" ht="15.75" customHeight="1" x14ac:dyDescent="0.2">
      <c r="AC554" s="122"/>
      <c r="AD554" s="125"/>
      <c r="AE554" s="125"/>
    </row>
    <row r="555" spans="29:31" ht="15.75" customHeight="1" x14ac:dyDescent="0.2">
      <c r="AC555" s="122"/>
      <c r="AD555" s="125"/>
      <c r="AE555" s="125"/>
    </row>
    <row r="556" spans="29:31" ht="15.75" customHeight="1" x14ac:dyDescent="0.2">
      <c r="AC556" s="122"/>
      <c r="AD556" s="125"/>
      <c r="AE556" s="125"/>
    </row>
    <row r="557" spans="29:31" ht="15.75" customHeight="1" x14ac:dyDescent="0.2">
      <c r="AC557" s="122"/>
      <c r="AD557" s="125"/>
      <c r="AE557" s="125"/>
    </row>
    <row r="558" spans="29:31" ht="15.75" customHeight="1" x14ac:dyDescent="0.2">
      <c r="AC558" s="122"/>
      <c r="AD558" s="125"/>
      <c r="AE558" s="125"/>
    </row>
    <row r="559" spans="29:31" ht="15.75" customHeight="1" x14ac:dyDescent="0.2">
      <c r="AC559" s="122"/>
      <c r="AD559" s="125"/>
      <c r="AE559" s="125"/>
    </row>
    <row r="560" spans="29:31" ht="15.75" customHeight="1" x14ac:dyDescent="0.2">
      <c r="AC560" s="122"/>
      <c r="AD560" s="125"/>
      <c r="AE560" s="125"/>
    </row>
    <row r="561" spans="29:31" ht="15.75" customHeight="1" x14ac:dyDescent="0.2">
      <c r="AC561" s="122"/>
      <c r="AD561" s="125"/>
      <c r="AE561" s="125"/>
    </row>
    <row r="562" spans="29:31" ht="15.75" customHeight="1" x14ac:dyDescent="0.2">
      <c r="AC562" s="122"/>
      <c r="AD562" s="125"/>
      <c r="AE562" s="125"/>
    </row>
    <row r="563" spans="29:31" ht="15.75" customHeight="1" x14ac:dyDescent="0.2">
      <c r="AC563" s="122"/>
      <c r="AD563" s="125"/>
      <c r="AE563" s="125"/>
    </row>
    <row r="564" spans="29:31" ht="15.75" customHeight="1" x14ac:dyDescent="0.2">
      <c r="AC564" s="122"/>
      <c r="AD564" s="125"/>
      <c r="AE564" s="125"/>
    </row>
    <row r="565" spans="29:31" ht="15.75" customHeight="1" x14ac:dyDescent="0.2">
      <c r="AC565" s="122"/>
      <c r="AD565" s="125"/>
      <c r="AE565" s="125"/>
    </row>
    <row r="566" spans="29:31" ht="15.75" customHeight="1" x14ac:dyDescent="0.2">
      <c r="AC566" s="122"/>
      <c r="AD566" s="125"/>
      <c r="AE566" s="125"/>
    </row>
    <row r="567" spans="29:31" ht="15.75" customHeight="1" x14ac:dyDescent="0.2">
      <c r="AC567" s="122"/>
      <c r="AD567" s="125"/>
      <c r="AE567" s="125"/>
    </row>
    <row r="568" spans="29:31" ht="15.75" customHeight="1" x14ac:dyDescent="0.2">
      <c r="AC568" s="122"/>
      <c r="AD568" s="125"/>
      <c r="AE568" s="125"/>
    </row>
    <row r="569" spans="29:31" ht="15.75" customHeight="1" x14ac:dyDescent="0.2">
      <c r="AC569" s="122"/>
      <c r="AD569" s="125"/>
      <c r="AE569" s="125"/>
    </row>
    <row r="570" spans="29:31" ht="15.75" customHeight="1" x14ac:dyDescent="0.2">
      <c r="AC570" s="122"/>
      <c r="AD570" s="125"/>
      <c r="AE570" s="125"/>
    </row>
    <row r="571" spans="29:31" ht="15.75" customHeight="1" x14ac:dyDescent="0.2">
      <c r="AC571" s="122"/>
      <c r="AD571" s="125"/>
      <c r="AE571" s="125"/>
    </row>
    <row r="572" spans="29:31" ht="15.75" customHeight="1" x14ac:dyDescent="0.2">
      <c r="AC572" s="122"/>
      <c r="AD572" s="125"/>
      <c r="AE572" s="125"/>
    </row>
    <row r="573" spans="29:31" ht="15.75" customHeight="1" x14ac:dyDescent="0.2">
      <c r="AC573" s="122"/>
      <c r="AD573" s="125"/>
      <c r="AE573" s="125"/>
    </row>
    <row r="574" spans="29:31" ht="15.75" customHeight="1" x14ac:dyDescent="0.2">
      <c r="AC574" s="122"/>
      <c r="AD574" s="125"/>
      <c r="AE574" s="125"/>
    </row>
    <row r="575" spans="29:31" ht="15.75" customHeight="1" x14ac:dyDescent="0.2">
      <c r="AC575" s="122"/>
      <c r="AD575" s="125"/>
      <c r="AE575" s="125"/>
    </row>
    <row r="576" spans="29:31" ht="15.75" customHeight="1" x14ac:dyDescent="0.2">
      <c r="AC576" s="122"/>
      <c r="AD576" s="125"/>
      <c r="AE576" s="125"/>
    </row>
    <row r="577" spans="29:31" ht="15.75" customHeight="1" x14ac:dyDescent="0.2">
      <c r="AC577" s="122"/>
      <c r="AD577" s="125"/>
      <c r="AE577" s="125"/>
    </row>
    <row r="578" spans="29:31" ht="15.75" customHeight="1" x14ac:dyDescent="0.2">
      <c r="AC578" s="122"/>
      <c r="AD578" s="125"/>
      <c r="AE578" s="125"/>
    </row>
    <row r="579" spans="29:31" ht="15.75" customHeight="1" x14ac:dyDescent="0.2">
      <c r="AC579" s="122"/>
      <c r="AD579" s="125"/>
      <c r="AE579" s="125"/>
    </row>
    <row r="580" spans="29:31" ht="15.75" customHeight="1" x14ac:dyDescent="0.2">
      <c r="AC580" s="122"/>
      <c r="AD580" s="125"/>
      <c r="AE580" s="125"/>
    </row>
    <row r="581" spans="29:31" ht="15.75" customHeight="1" x14ac:dyDescent="0.2">
      <c r="AC581" s="122"/>
      <c r="AD581" s="125"/>
      <c r="AE581" s="125"/>
    </row>
    <row r="582" spans="29:31" ht="15.75" customHeight="1" x14ac:dyDescent="0.2">
      <c r="AC582" s="122"/>
      <c r="AD582" s="125"/>
      <c r="AE582" s="125"/>
    </row>
    <row r="583" spans="29:31" ht="15.75" customHeight="1" x14ac:dyDescent="0.2">
      <c r="AC583" s="122"/>
      <c r="AD583" s="125"/>
      <c r="AE583" s="125"/>
    </row>
    <row r="584" spans="29:31" ht="15.75" customHeight="1" x14ac:dyDescent="0.2">
      <c r="AC584" s="122"/>
      <c r="AD584" s="125"/>
      <c r="AE584" s="125"/>
    </row>
    <row r="585" spans="29:31" ht="15.75" customHeight="1" x14ac:dyDescent="0.2">
      <c r="AC585" s="122"/>
      <c r="AD585" s="125"/>
      <c r="AE585" s="125"/>
    </row>
    <row r="586" spans="29:31" ht="15.75" customHeight="1" x14ac:dyDescent="0.2">
      <c r="AC586" s="122"/>
      <c r="AD586" s="125"/>
      <c r="AE586" s="125"/>
    </row>
    <row r="587" spans="29:31" ht="15.75" customHeight="1" x14ac:dyDescent="0.2">
      <c r="AC587" s="122"/>
      <c r="AD587" s="125"/>
      <c r="AE587" s="125"/>
    </row>
    <row r="588" spans="29:31" ht="15.75" customHeight="1" x14ac:dyDescent="0.2">
      <c r="AC588" s="122"/>
      <c r="AD588" s="125"/>
      <c r="AE588" s="125"/>
    </row>
    <row r="589" spans="29:31" ht="15.75" customHeight="1" x14ac:dyDescent="0.2">
      <c r="AC589" s="122"/>
      <c r="AD589" s="125"/>
      <c r="AE589" s="125"/>
    </row>
    <row r="590" spans="29:31" ht="15.75" customHeight="1" x14ac:dyDescent="0.2">
      <c r="AC590" s="122"/>
      <c r="AD590" s="125"/>
      <c r="AE590" s="125"/>
    </row>
    <row r="591" spans="29:31" ht="15.75" customHeight="1" x14ac:dyDescent="0.2">
      <c r="AC591" s="122"/>
      <c r="AD591" s="125"/>
      <c r="AE591" s="125"/>
    </row>
    <row r="592" spans="29:31" ht="15.75" customHeight="1" x14ac:dyDescent="0.2">
      <c r="AC592" s="122"/>
      <c r="AD592" s="125"/>
      <c r="AE592" s="125"/>
    </row>
    <row r="593" spans="29:31" ht="15.75" customHeight="1" x14ac:dyDescent="0.2">
      <c r="AC593" s="122"/>
      <c r="AD593" s="125"/>
      <c r="AE593" s="125"/>
    </row>
    <row r="594" spans="29:31" ht="15.75" customHeight="1" x14ac:dyDescent="0.2">
      <c r="AC594" s="122"/>
      <c r="AD594" s="125"/>
      <c r="AE594" s="125"/>
    </row>
    <row r="595" spans="29:31" ht="15.75" customHeight="1" x14ac:dyDescent="0.2">
      <c r="AC595" s="122"/>
      <c r="AD595" s="125"/>
      <c r="AE595" s="125"/>
    </row>
    <row r="596" spans="29:31" ht="15.75" customHeight="1" x14ac:dyDescent="0.2">
      <c r="AC596" s="122"/>
      <c r="AD596" s="125"/>
      <c r="AE596" s="125"/>
    </row>
    <row r="597" spans="29:31" ht="15.75" customHeight="1" x14ac:dyDescent="0.2">
      <c r="AC597" s="122"/>
      <c r="AD597" s="125"/>
      <c r="AE597" s="125"/>
    </row>
    <row r="598" spans="29:31" ht="15.75" customHeight="1" x14ac:dyDescent="0.2">
      <c r="AC598" s="122"/>
      <c r="AD598" s="125"/>
      <c r="AE598" s="125"/>
    </row>
    <row r="599" spans="29:31" ht="15.75" customHeight="1" x14ac:dyDescent="0.2">
      <c r="AC599" s="122"/>
      <c r="AD599" s="125"/>
      <c r="AE599" s="125"/>
    </row>
    <row r="600" spans="29:31" ht="15.75" customHeight="1" x14ac:dyDescent="0.2">
      <c r="AC600" s="122"/>
      <c r="AD600" s="125"/>
      <c r="AE600" s="125"/>
    </row>
    <row r="601" spans="29:31" ht="15.75" customHeight="1" x14ac:dyDescent="0.2">
      <c r="AC601" s="122"/>
      <c r="AD601" s="125"/>
      <c r="AE601" s="125"/>
    </row>
    <row r="602" spans="29:31" ht="15.75" customHeight="1" x14ac:dyDescent="0.2">
      <c r="AC602" s="122"/>
      <c r="AD602" s="125"/>
      <c r="AE602" s="125"/>
    </row>
    <row r="603" spans="29:31" ht="15.75" customHeight="1" x14ac:dyDescent="0.2">
      <c r="AC603" s="122"/>
      <c r="AD603" s="125"/>
      <c r="AE603" s="125"/>
    </row>
    <row r="604" spans="29:31" ht="15.75" customHeight="1" x14ac:dyDescent="0.2">
      <c r="AC604" s="122"/>
      <c r="AD604" s="125"/>
      <c r="AE604" s="125"/>
    </row>
    <row r="605" spans="29:31" ht="15.75" customHeight="1" x14ac:dyDescent="0.2">
      <c r="AC605" s="122"/>
      <c r="AD605" s="125"/>
      <c r="AE605" s="125"/>
    </row>
    <row r="606" spans="29:31" ht="15.75" customHeight="1" x14ac:dyDescent="0.2">
      <c r="AC606" s="122"/>
      <c r="AD606" s="125"/>
      <c r="AE606" s="125"/>
    </row>
    <row r="607" spans="29:31" ht="15.75" customHeight="1" x14ac:dyDescent="0.2">
      <c r="AC607" s="122"/>
      <c r="AD607" s="125"/>
      <c r="AE607" s="125"/>
    </row>
    <row r="608" spans="29:31" ht="15.75" customHeight="1" x14ac:dyDescent="0.2">
      <c r="AC608" s="122"/>
      <c r="AD608" s="125"/>
      <c r="AE608" s="125"/>
    </row>
    <row r="609" spans="29:31" ht="15.75" customHeight="1" x14ac:dyDescent="0.2">
      <c r="AC609" s="122"/>
      <c r="AD609" s="125"/>
      <c r="AE609" s="125"/>
    </row>
    <row r="610" spans="29:31" ht="15.75" customHeight="1" x14ac:dyDescent="0.2">
      <c r="AC610" s="122"/>
      <c r="AD610" s="125"/>
      <c r="AE610" s="125"/>
    </row>
    <row r="611" spans="29:31" ht="15.75" customHeight="1" x14ac:dyDescent="0.2">
      <c r="AC611" s="122"/>
      <c r="AD611" s="125"/>
      <c r="AE611" s="125"/>
    </row>
    <row r="612" spans="29:31" ht="15.75" customHeight="1" x14ac:dyDescent="0.2">
      <c r="AC612" s="122"/>
      <c r="AD612" s="125"/>
      <c r="AE612" s="125"/>
    </row>
    <row r="613" spans="29:31" ht="15.75" customHeight="1" x14ac:dyDescent="0.2">
      <c r="AC613" s="122"/>
      <c r="AD613" s="125"/>
      <c r="AE613" s="125"/>
    </row>
    <row r="614" spans="29:31" ht="15.75" customHeight="1" x14ac:dyDescent="0.2">
      <c r="AC614" s="122"/>
      <c r="AD614" s="125"/>
      <c r="AE614" s="125"/>
    </row>
    <row r="615" spans="29:31" ht="15.75" customHeight="1" x14ac:dyDescent="0.2">
      <c r="AC615" s="122"/>
      <c r="AD615" s="125"/>
      <c r="AE615" s="125"/>
    </row>
    <row r="616" spans="29:31" ht="15.75" customHeight="1" x14ac:dyDescent="0.2">
      <c r="AC616" s="122"/>
      <c r="AD616" s="125"/>
      <c r="AE616" s="125"/>
    </row>
    <row r="617" spans="29:31" ht="15.75" customHeight="1" x14ac:dyDescent="0.2">
      <c r="AC617" s="122"/>
      <c r="AD617" s="125"/>
      <c r="AE617" s="125"/>
    </row>
    <row r="618" spans="29:31" ht="15.75" customHeight="1" x14ac:dyDescent="0.2">
      <c r="AC618" s="122"/>
      <c r="AD618" s="125"/>
      <c r="AE618" s="125"/>
    </row>
    <row r="619" spans="29:31" ht="15.75" customHeight="1" x14ac:dyDescent="0.2">
      <c r="AC619" s="122"/>
      <c r="AD619" s="125"/>
      <c r="AE619" s="125"/>
    </row>
    <row r="620" spans="29:31" ht="15.75" customHeight="1" x14ac:dyDescent="0.2">
      <c r="AC620" s="122"/>
      <c r="AD620" s="125"/>
      <c r="AE620" s="125"/>
    </row>
    <row r="621" spans="29:31" ht="15.75" customHeight="1" x14ac:dyDescent="0.2">
      <c r="AC621" s="122"/>
      <c r="AD621" s="125"/>
      <c r="AE621" s="125"/>
    </row>
    <row r="622" spans="29:31" ht="15.75" customHeight="1" x14ac:dyDescent="0.2">
      <c r="AC622" s="122"/>
      <c r="AD622" s="125"/>
      <c r="AE622" s="125"/>
    </row>
    <row r="623" spans="29:31" ht="15.75" customHeight="1" x14ac:dyDescent="0.2">
      <c r="AC623" s="122"/>
      <c r="AD623" s="125"/>
      <c r="AE623" s="125"/>
    </row>
    <row r="624" spans="29:31" ht="15.75" customHeight="1" x14ac:dyDescent="0.2">
      <c r="AC624" s="122"/>
      <c r="AD624" s="125"/>
      <c r="AE624" s="125"/>
    </row>
    <row r="625" spans="29:31" ht="15.75" customHeight="1" x14ac:dyDescent="0.2">
      <c r="AC625" s="122"/>
      <c r="AD625" s="125"/>
      <c r="AE625" s="125"/>
    </row>
    <row r="626" spans="29:31" ht="15.75" customHeight="1" x14ac:dyDescent="0.2">
      <c r="AC626" s="122"/>
      <c r="AD626" s="125"/>
      <c r="AE626" s="125"/>
    </row>
    <row r="627" spans="29:31" ht="15.75" customHeight="1" x14ac:dyDescent="0.2">
      <c r="AC627" s="122"/>
      <c r="AD627" s="125"/>
      <c r="AE627" s="125"/>
    </row>
    <row r="628" spans="29:31" ht="15.75" customHeight="1" x14ac:dyDescent="0.2">
      <c r="AC628" s="122"/>
      <c r="AD628" s="125"/>
      <c r="AE628" s="125"/>
    </row>
    <row r="629" spans="29:31" ht="15.75" customHeight="1" x14ac:dyDescent="0.2">
      <c r="AC629" s="122"/>
      <c r="AD629" s="125"/>
      <c r="AE629" s="125"/>
    </row>
    <row r="630" spans="29:31" ht="15.75" customHeight="1" x14ac:dyDescent="0.2">
      <c r="AC630" s="122"/>
      <c r="AD630" s="125"/>
      <c r="AE630" s="125"/>
    </row>
    <row r="631" spans="29:31" ht="15.75" customHeight="1" x14ac:dyDescent="0.2">
      <c r="AC631" s="122"/>
      <c r="AD631" s="125"/>
      <c r="AE631" s="125"/>
    </row>
    <row r="632" spans="29:31" ht="15.75" customHeight="1" x14ac:dyDescent="0.2">
      <c r="AC632" s="122"/>
      <c r="AD632" s="125"/>
      <c r="AE632" s="125"/>
    </row>
    <row r="633" spans="29:31" ht="15.75" customHeight="1" x14ac:dyDescent="0.2">
      <c r="AC633" s="122"/>
      <c r="AD633" s="125"/>
      <c r="AE633" s="125"/>
    </row>
    <row r="634" spans="29:31" ht="15.75" customHeight="1" x14ac:dyDescent="0.2">
      <c r="AC634" s="122"/>
      <c r="AD634" s="125"/>
      <c r="AE634" s="125"/>
    </row>
    <row r="635" spans="29:31" ht="15.75" customHeight="1" x14ac:dyDescent="0.2">
      <c r="AC635" s="122"/>
      <c r="AD635" s="125"/>
      <c r="AE635" s="125"/>
    </row>
    <row r="636" spans="29:31" ht="15.75" customHeight="1" x14ac:dyDescent="0.2">
      <c r="AC636" s="122"/>
      <c r="AD636" s="125"/>
      <c r="AE636" s="125"/>
    </row>
    <row r="637" spans="29:31" ht="15.75" customHeight="1" x14ac:dyDescent="0.2">
      <c r="AC637" s="122"/>
      <c r="AD637" s="125"/>
      <c r="AE637" s="125"/>
    </row>
    <row r="638" spans="29:31" ht="15.75" customHeight="1" x14ac:dyDescent="0.2">
      <c r="AC638" s="122"/>
      <c r="AD638" s="125"/>
      <c r="AE638" s="125"/>
    </row>
    <row r="639" spans="29:31" ht="15.75" customHeight="1" x14ac:dyDescent="0.2">
      <c r="AC639" s="122"/>
      <c r="AD639" s="125"/>
      <c r="AE639" s="125"/>
    </row>
    <row r="640" spans="29:31" ht="15.75" customHeight="1" x14ac:dyDescent="0.2">
      <c r="AC640" s="122"/>
      <c r="AD640" s="125"/>
      <c r="AE640" s="125"/>
    </row>
    <row r="641" spans="29:31" ht="15.75" customHeight="1" x14ac:dyDescent="0.2">
      <c r="AC641" s="122"/>
      <c r="AD641" s="125"/>
      <c r="AE641" s="125"/>
    </row>
    <row r="642" spans="29:31" ht="15.75" customHeight="1" x14ac:dyDescent="0.2">
      <c r="AC642" s="122"/>
      <c r="AD642" s="125"/>
      <c r="AE642" s="125"/>
    </row>
    <row r="643" spans="29:31" ht="15.75" customHeight="1" x14ac:dyDescent="0.2">
      <c r="AC643" s="122"/>
      <c r="AD643" s="125"/>
      <c r="AE643" s="125"/>
    </row>
    <row r="644" spans="29:31" ht="15.75" customHeight="1" x14ac:dyDescent="0.2">
      <c r="AC644" s="122"/>
      <c r="AD644" s="125"/>
      <c r="AE644" s="125"/>
    </row>
    <row r="645" spans="29:31" ht="15.75" customHeight="1" x14ac:dyDescent="0.2">
      <c r="AC645" s="122"/>
      <c r="AD645" s="125"/>
      <c r="AE645" s="125"/>
    </row>
    <row r="646" spans="29:31" ht="15.75" customHeight="1" x14ac:dyDescent="0.2">
      <c r="AC646" s="122"/>
      <c r="AD646" s="125"/>
      <c r="AE646" s="125"/>
    </row>
    <row r="647" spans="29:31" ht="15.75" customHeight="1" x14ac:dyDescent="0.2">
      <c r="AC647" s="122"/>
      <c r="AD647" s="125"/>
      <c r="AE647" s="125"/>
    </row>
    <row r="648" spans="29:31" ht="15.75" customHeight="1" x14ac:dyDescent="0.2">
      <c r="AC648" s="122"/>
      <c r="AD648" s="125"/>
      <c r="AE648" s="125"/>
    </row>
    <row r="649" spans="29:31" ht="15.75" customHeight="1" x14ac:dyDescent="0.2">
      <c r="AC649" s="122"/>
      <c r="AD649" s="125"/>
      <c r="AE649" s="125"/>
    </row>
    <row r="650" spans="29:31" ht="15.75" customHeight="1" x14ac:dyDescent="0.2">
      <c r="AC650" s="122"/>
      <c r="AD650" s="125"/>
      <c r="AE650" s="125"/>
    </row>
    <row r="651" spans="29:31" ht="15.75" customHeight="1" x14ac:dyDescent="0.2">
      <c r="AC651" s="122"/>
      <c r="AD651" s="125"/>
      <c r="AE651" s="125"/>
    </row>
    <row r="652" spans="29:31" ht="15.75" customHeight="1" x14ac:dyDescent="0.2">
      <c r="AC652" s="122"/>
      <c r="AD652" s="125"/>
      <c r="AE652" s="125"/>
    </row>
    <row r="653" spans="29:31" ht="15.75" customHeight="1" x14ac:dyDescent="0.2">
      <c r="AC653" s="122"/>
      <c r="AD653" s="125"/>
      <c r="AE653" s="125"/>
    </row>
    <row r="654" spans="29:31" ht="15.75" customHeight="1" x14ac:dyDescent="0.2">
      <c r="AC654" s="122"/>
      <c r="AD654" s="125"/>
      <c r="AE654" s="125"/>
    </row>
    <row r="655" spans="29:31" ht="15.75" customHeight="1" x14ac:dyDescent="0.2">
      <c r="AC655" s="122"/>
      <c r="AD655" s="125"/>
      <c r="AE655" s="125"/>
    </row>
    <row r="656" spans="29:31" ht="15.75" customHeight="1" x14ac:dyDescent="0.2">
      <c r="AC656" s="122"/>
      <c r="AD656" s="125"/>
      <c r="AE656" s="125"/>
    </row>
    <row r="657" spans="29:31" ht="15.75" customHeight="1" x14ac:dyDescent="0.2">
      <c r="AC657" s="122"/>
      <c r="AD657" s="125"/>
      <c r="AE657" s="125"/>
    </row>
    <row r="658" spans="29:31" ht="15.75" customHeight="1" x14ac:dyDescent="0.2">
      <c r="AC658" s="122"/>
      <c r="AD658" s="125"/>
      <c r="AE658" s="125"/>
    </row>
    <row r="659" spans="29:31" ht="15.75" customHeight="1" x14ac:dyDescent="0.2">
      <c r="AC659" s="122"/>
      <c r="AD659" s="125"/>
      <c r="AE659" s="125"/>
    </row>
    <row r="660" spans="29:31" ht="15.75" customHeight="1" x14ac:dyDescent="0.2">
      <c r="AC660" s="122"/>
      <c r="AD660" s="125"/>
      <c r="AE660" s="125"/>
    </row>
    <row r="661" spans="29:31" ht="15.75" customHeight="1" x14ac:dyDescent="0.2">
      <c r="AC661" s="122"/>
      <c r="AD661" s="125"/>
      <c r="AE661" s="125"/>
    </row>
    <row r="662" spans="29:31" ht="15.75" customHeight="1" x14ac:dyDescent="0.2">
      <c r="AC662" s="122"/>
      <c r="AD662" s="125"/>
      <c r="AE662" s="125"/>
    </row>
    <row r="663" spans="29:31" ht="15.75" customHeight="1" x14ac:dyDescent="0.2">
      <c r="AC663" s="122"/>
      <c r="AD663" s="125"/>
      <c r="AE663" s="125"/>
    </row>
    <row r="664" spans="29:31" ht="15.75" customHeight="1" x14ac:dyDescent="0.2">
      <c r="AC664" s="122"/>
      <c r="AD664" s="125"/>
      <c r="AE664" s="125"/>
    </row>
    <row r="665" spans="29:31" ht="15.75" customHeight="1" x14ac:dyDescent="0.2">
      <c r="AC665" s="122"/>
      <c r="AD665" s="125"/>
      <c r="AE665" s="125"/>
    </row>
    <row r="666" spans="29:31" ht="15.75" customHeight="1" x14ac:dyDescent="0.2">
      <c r="AC666" s="122"/>
      <c r="AD666" s="125"/>
      <c r="AE666" s="125"/>
    </row>
    <row r="667" spans="29:31" ht="15.75" customHeight="1" x14ac:dyDescent="0.2">
      <c r="AC667" s="122"/>
      <c r="AD667" s="125"/>
      <c r="AE667" s="125"/>
    </row>
    <row r="668" spans="29:31" ht="15.75" customHeight="1" x14ac:dyDescent="0.2">
      <c r="AC668" s="122"/>
      <c r="AD668" s="125"/>
      <c r="AE668" s="125"/>
    </row>
    <row r="669" spans="29:31" ht="15.75" customHeight="1" x14ac:dyDescent="0.2">
      <c r="AC669" s="122"/>
      <c r="AD669" s="125"/>
      <c r="AE669" s="125"/>
    </row>
    <row r="670" spans="29:31" ht="15.75" customHeight="1" x14ac:dyDescent="0.2">
      <c r="AC670" s="122"/>
      <c r="AD670" s="125"/>
      <c r="AE670" s="125"/>
    </row>
    <row r="671" spans="29:31" ht="15.75" customHeight="1" x14ac:dyDescent="0.2">
      <c r="AC671" s="122"/>
      <c r="AD671" s="125"/>
      <c r="AE671" s="125"/>
    </row>
    <row r="672" spans="29:31" ht="15.75" customHeight="1" x14ac:dyDescent="0.2">
      <c r="AC672" s="122"/>
      <c r="AD672" s="125"/>
      <c r="AE672" s="125"/>
    </row>
    <row r="673" spans="29:31" ht="15.75" customHeight="1" x14ac:dyDescent="0.2">
      <c r="AC673" s="122"/>
      <c r="AD673" s="125"/>
      <c r="AE673" s="125"/>
    </row>
    <row r="674" spans="29:31" ht="15.75" customHeight="1" x14ac:dyDescent="0.2">
      <c r="AC674" s="122"/>
      <c r="AD674" s="125"/>
      <c r="AE674" s="125"/>
    </row>
    <row r="675" spans="29:31" ht="15.75" customHeight="1" x14ac:dyDescent="0.2">
      <c r="AC675" s="122"/>
      <c r="AD675" s="125"/>
      <c r="AE675" s="125"/>
    </row>
    <row r="676" spans="29:31" ht="15.75" customHeight="1" x14ac:dyDescent="0.2">
      <c r="AC676" s="122"/>
      <c r="AD676" s="125"/>
      <c r="AE676" s="125"/>
    </row>
    <row r="677" spans="29:31" ht="15.75" customHeight="1" x14ac:dyDescent="0.2">
      <c r="AC677" s="122"/>
      <c r="AD677" s="125"/>
      <c r="AE677" s="125"/>
    </row>
    <row r="678" spans="29:31" ht="15.75" customHeight="1" x14ac:dyDescent="0.2">
      <c r="AC678" s="122"/>
      <c r="AD678" s="125"/>
      <c r="AE678" s="125"/>
    </row>
    <row r="679" spans="29:31" ht="15.75" customHeight="1" x14ac:dyDescent="0.2">
      <c r="AC679" s="122"/>
      <c r="AD679" s="125"/>
      <c r="AE679" s="125"/>
    </row>
    <row r="680" spans="29:31" ht="15.75" customHeight="1" x14ac:dyDescent="0.2">
      <c r="AC680" s="122"/>
      <c r="AD680" s="125"/>
      <c r="AE680" s="125"/>
    </row>
    <row r="681" spans="29:31" ht="15.75" customHeight="1" x14ac:dyDescent="0.2">
      <c r="AC681" s="122"/>
      <c r="AD681" s="125"/>
      <c r="AE681" s="125"/>
    </row>
    <row r="682" spans="29:31" ht="15.75" customHeight="1" x14ac:dyDescent="0.2">
      <c r="AC682" s="122"/>
      <c r="AD682" s="125"/>
      <c r="AE682" s="125"/>
    </row>
    <row r="683" spans="29:31" ht="15.75" customHeight="1" x14ac:dyDescent="0.2">
      <c r="AC683" s="122"/>
      <c r="AD683" s="125"/>
      <c r="AE683" s="125"/>
    </row>
    <row r="684" spans="29:31" ht="15.75" customHeight="1" x14ac:dyDescent="0.2">
      <c r="AC684" s="122"/>
      <c r="AD684" s="125"/>
      <c r="AE684" s="125"/>
    </row>
    <row r="685" spans="29:31" ht="15.75" customHeight="1" x14ac:dyDescent="0.2">
      <c r="AC685" s="122"/>
      <c r="AD685" s="125"/>
      <c r="AE685" s="125"/>
    </row>
    <row r="686" spans="29:31" ht="15.75" customHeight="1" x14ac:dyDescent="0.2">
      <c r="AC686" s="122"/>
      <c r="AD686" s="125"/>
      <c r="AE686" s="125"/>
    </row>
    <row r="687" spans="29:31" ht="15.75" customHeight="1" x14ac:dyDescent="0.2">
      <c r="AC687" s="122"/>
      <c r="AD687" s="125"/>
      <c r="AE687" s="125"/>
    </row>
    <row r="688" spans="29:31" ht="15.75" customHeight="1" x14ac:dyDescent="0.2">
      <c r="AC688" s="122"/>
      <c r="AD688" s="125"/>
      <c r="AE688" s="125"/>
    </row>
    <row r="689" spans="29:31" ht="15.75" customHeight="1" x14ac:dyDescent="0.2">
      <c r="AC689" s="122"/>
      <c r="AD689" s="125"/>
      <c r="AE689" s="125"/>
    </row>
    <row r="690" spans="29:31" ht="15.75" customHeight="1" x14ac:dyDescent="0.2">
      <c r="AC690" s="122"/>
      <c r="AD690" s="125"/>
      <c r="AE690" s="125"/>
    </row>
    <row r="691" spans="29:31" ht="15.75" customHeight="1" x14ac:dyDescent="0.2">
      <c r="AC691" s="122"/>
      <c r="AD691" s="125"/>
      <c r="AE691" s="125"/>
    </row>
    <row r="692" spans="29:31" ht="15.75" customHeight="1" x14ac:dyDescent="0.2">
      <c r="AC692" s="122"/>
      <c r="AD692" s="125"/>
      <c r="AE692" s="125"/>
    </row>
    <row r="693" spans="29:31" ht="15.75" customHeight="1" x14ac:dyDescent="0.2">
      <c r="AC693" s="122"/>
      <c r="AD693" s="125"/>
      <c r="AE693" s="125"/>
    </row>
    <row r="694" spans="29:31" ht="15.75" customHeight="1" x14ac:dyDescent="0.2">
      <c r="AC694" s="122"/>
      <c r="AD694" s="125"/>
      <c r="AE694" s="125"/>
    </row>
    <row r="695" spans="29:31" ht="15.75" customHeight="1" x14ac:dyDescent="0.2">
      <c r="AC695" s="122"/>
      <c r="AD695" s="125"/>
      <c r="AE695" s="125"/>
    </row>
    <row r="696" spans="29:31" ht="15.75" customHeight="1" x14ac:dyDescent="0.2">
      <c r="AC696" s="122"/>
      <c r="AD696" s="125"/>
      <c r="AE696" s="125"/>
    </row>
    <row r="697" spans="29:31" ht="15.75" customHeight="1" x14ac:dyDescent="0.2">
      <c r="AC697" s="122"/>
      <c r="AD697" s="125"/>
      <c r="AE697" s="125"/>
    </row>
    <row r="698" spans="29:31" ht="15.75" customHeight="1" x14ac:dyDescent="0.2">
      <c r="AC698" s="122"/>
      <c r="AD698" s="125"/>
      <c r="AE698" s="125"/>
    </row>
    <row r="699" spans="29:31" ht="15.75" customHeight="1" x14ac:dyDescent="0.2">
      <c r="AC699" s="122"/>
      <c r="AD699" s="125"/>
      <c r="AE699" s="125"/>
    </row>
    <row r="700" spans="29:31" ht="15.75" customHeight="1" x14ac:dyDescent="0.2">
      <c r="AC700" s="122"/>
      <c r="AD700" s="125"/>
      <c r="AE700" s="125"/>
    </row>
    <row r="701" spans="29:31" ht="15.75" customHeight="1" x14ac:dyDescent="0.2">
      <c r="AC701" s="122"/>
      <c r="AD701" s="125"/>
      <c r="AE701" s="125"/>
    </row>
    <row r="702" spans="29:31" ht="15.75" customHeight="1" x14ac:dyDescent="0.2">
      <c r="AC702" s="122"/>
      <c r="AD702" s="125"/>
      <c r="AE702" s="125"/>
    </row>
    <row r="703" spans="29:31" ht="15.75" customHeight="1" x14ac:dyDescent="0.2">
      <c r="AC703" s="122"/>
      <c r="AD703" s="125"/>
      <c r="AE703" s="125"/>
    </row>
    <row r="704" spans="29:31" ht="15.75" customHeight="1" x14ac:dyDescent="0.2">
      <c r="AC704" s="122"/>
      <c r="AD704" s="125"/>
      <c r="AE704" s="125"/>
    </row>
    <row r="705" spans="29:31" ht="15.75" customHeight="1" x14ac:dyDescent="0.2">
      <c r="AC705" s="122"/>
      <c r="AD705" s="125"/>
      <c r="AE705" s="125"/>
    </row>
    <row r="706" spans="29:31" ht="15.75" customHeight="1" x14ac:dyDescent="0.2">
      <c r="AC706" s="122"/>
      <c r="AD706" s="125"/>
      <c r="AE706" s="125"/>
    </row>
    <row r="707" spans="29:31" ht="15.75" customHeight="1" x14ac:dyDescent="0.2">
      <c r="AC707" s="122"/>
      <c r="AD707" s="125"/>
      <c r="AE707" s="125"/>
    </row>
    <row r="708" spans="29:31" ht="15.75" customHeight="1" x14ac:dyDescent="0.2">
      <c r="AC708" s="122"/>
      <c r="AD708" s="125"/>
      <c r="AE708" s="125"/>
    </row>
    <row r="709" spans="29:31" ht="15.75" customHeight="1" x14ac:dyDescent="0.2">
      <c r="AC709" s="122"/>
      <c r="AD709" s="125"/>
      <c r="AE709" s="125"/>
    </row>
    <row r="710" spans="29:31" ht="15.75" customHeight="1" x14ac:dyDescent="0.2">
      <c r="AC710" s="122"/>
      <c r="AD710" s="125"/>
      <c r="AE710" s="125"/>
    </row>
    <row r="711" spans="29:31" ht="15.75" customHeight="1" x14ac:dyDescent="0.2">
      <c r="AC711" s="122"/>
      <c r="AD711" s="125"/>
      <c r="AE711" s="125"/>
    </row>
    <row r="712" spans="29:31" ht="15.75" customHeight="1" x14ac:dyDescent="0.2">
      <c r="AC712" s="122"/>
      <c r="AD712" s="125"/>
      <c r="AE712" s="125"/>
    </row>
    <row r="713" spans="29:31" ht="15.75" customHeight="1" x14ac:dyDescent="0.2">
      <c r="AC713" s="122"/>
      <c r="AD713" s="125"/>
      <c r="AE713" s="125"/>
    </row>
    <row r="714" spans="29:31" ht="15.75" customHeight="1" x14ac:dyDescent="0.2">
      <c r="AC714" s="122"/>
      <c r="AD714" s="125"/>
      <c r="AE714" s="125"/>
    </row>
    <row r="715" spans="29:31" ht="15.75" customHeight="1" x14ac:dyDescent="0.2">
      <c r="AC715" s="122"/>
      <c r="AD715" s="125"/>
      <c r="AE715" s="125"/>
    </row>
    <row r="716" spans="29:31" ht="15.75" customHeight="1" x14ac:dyDescent="0.2">
      <c r="AC716" s="122"/>
      <c r="AD716" s="125"/>
      <c r="AE716" s="125"/>
    </row>
    <row r="717" spans="29:31" ht="15.75" customHeight="1" x14ac:dyDescent="0.2">
      <c r="AC717" s="122"/>
      <c r="AD717" s="125"/>
      <c r="AE717" s="125"/>
    </row>
    <row r="718" spans="29:31" ht="15.75" customHeight="1" x14ac:dyDescent="0.2">
      <c r="AC718" s="122"/>
      <c r="AD718" s="125"/>
      <c r="AE718" s="125"/>
    </row>
    <row r="719" spans="29:31" ht="15.75" customHeight="1" x14ac:dyDescent="0.2">
      <c r="AC719" s="122"/>
      <c r="AD719" s="125"/>
      <c r="AE719" s="125"/>
    </row>
    <row r="720" spans="29:31" ht="15.75" customHeight="1" x14ac:dyDescent="0.2">
      <c r="AC720" s="122"/>
      <c r="AD720" s="125"/>
      <c r="AE720" s="125"/>
    </row>
    <row r="721" spans="29:31" ht="15.75" customHeight="1" x14ac:dyDescent="0.2">
      <c r="AC721" s="122"/>
      <c r="AD721" s="125"/>
      <c r="AE721" s="125"/>
    </row>
    <row r="722" spans="29:31" ht="15.75" customHeight="1" x14ac:dyDescent="0.2">
      <c r="AC722" s="122"/>
      <c r="AD722" s="125"/>
      <c r="AE722" s="125"/>
    </row>
    <row r="723" spans="29:31" ht="15.75" customHeight="1" x14ac:dyDescent="0.2">
      <c r="AC723" s="122"/>
      <c r="AD723" s="125"/>
      <c r="AE723" s="125"/>
    </row>
    <row r="724" spans="29:31" ht="15.75" customHeight="1" x14ac:dyDescent="0.2">
      <c r="AC724" s="122"/>
      <c r="AD724" s="125"/>
      <c r="AE724" s="125"/>
    </row>
    <row r="725" spans="29:31" ht="15.75" customHeight="1" x14ac:dyDescent="0.2">
      <c r="AC725" s="122"/>
      <c r="AD725" s="125"/>
      <c r="AE725" s="125"/>
    </row>
    <row r="726" spans="29:31" ht="15.75" customHeight="1" x14ac:dyDescent="0.2">
      <c r="AC726" s="122"/>
      <c r="AD726" s="125"/>
      <c r="AE726" s="125"/>
    </row>
    <row r="727" spans="29:31" ht="15.75" customHeight="1" x14ac:dyDescent="0.2">
      <c r="AC727" s="122"/>
      <c r="AD727" s="125"/>
      <c r="AE727" s="125"/>
    </row>
    <row r="728" spans="29:31" ht="15.75" customHeight="1" x14ac:dyDescent="0.2">
      <c r="AC728" s="122"/>
      <c r="AD728" s="125"/>
      <c r="AE728" s="125"/>
    </row>
    <row r="729" spans="29:31" ht="15.75" customHeight="1" x14ac:dyDescent="0.2">
      <c r="AC729" s="122"/>
      <c r="AD729" s="125"/>
      <c r="AE729" s="125"/>
    </row>
    <row r="730" spans="29:31" ht="15.75" customHeight="1" x14ac:dyDescent="0.2">
      <c r="AC730" s="122"/>
      <c r="AD730" s="125"/>
      <c r="AE730" s="125"/>
    </row>
    <row r="731" spans="29:31" ht="15.75" customHeight="1" x14ac:dyDescent="0.2">
      <c r="AC731" s="122"/>
      <c r="AD731" s="125"/>
      <c r="AE731" s="125"/>
    </row>
    <row r="732" spans="29:31" ht="15.75" customHeight="1" x14ac:dyDescent="0.2">
      <c r="AC732" s="122"/>
      <c r="AD732" s="125"/>
      <c r="AE732" s="125"/>
    </row>
    <row r="733" spans="29:31" ht="15.75" customHeight="1" x14ac:dyDescent="0.2">
      <c r="AC733" s="122"/>
      <c r="AD733" s="125"/>
      <c r="AE733" s="125"/>
    </row>
    <row r="734" spans="29:31" ht="15.75" customHeight="1" x14ac:dyDescent="0.2">
      <c r="AC734" s="122"/>
      <c r="AD734" s="125"/>
      <c r="AE734" s="125"/>
    </row>
    <row r="735" spans="29:31" ht="15.75" customHeight="1" x14ac:dyDescent="0.2">
      <c r="AC735" s="122"/>
      <c r="AD735" s="125"/>
      <c r="AE735" s="125"/>
    </row>
    <row r="736" spans="29:31" ht="15.75" customHeight="1" x14ac:dyDescent="0.2">
      <c r="AC736" s="122"/>
      <c r="AD736" s="125"/>
      <c r="AE736" s="125"/>
    </row>
    <row r="737" spans="29:31" ht="15.75" customHeight="1" x14ac:dyDescent="0.2">
      <c r="AC737" s="122"/>
      <c r="AD737" s="125"/>
      <c r="AE737" s="125"/>
    </row>
    <row r="738" spans="29:31" ht="15.75" customHeight="1" x14ac:dyDescent="0.2">
      <c r="AC738" s="122"/>
      <c r="AD738" s="125"/>
      <c r="AE738" s="125"/>
    </row>
    <row r="739" spans="29:31" ht="15.75" customHeight="1" x14ac:dyDescent="0.2">
      <c r="AC739" s="122"/>
      <c r="AD739" s="125"/>
      <c r="AE739" s="125"/>
    </row>
    <row r="740" spans="29:31" ht="15.75" customHeight="1" x14ac:dyDescent="0.2">
      <c r="AC740" s="122"/>
      <c r="AD740" s="125"/>
      <c r="AE740" s="125"/>
    </row>
    <row r="741" spans="29:31" ht="15.75" customHeight="1" x14ac:dyDescent="0.2">
      <c r="AC741" s="122"/>
      <c r="AD741" s="125"/>
      <c r="AE741" s="125"/>
    </row>
    <row r="742" spans="29:31" ht="15.75" customHeight="1" x14ac:dyDescent="0.2">
      <c r="AC742" s="122"/>
      <c r="AD742" s="125"/>
      <c r="AE742" s="125"/>
    </row>
    <row r="743" spans="29:31" ht="15.75" customHeight="1" x14ac:dyDescent="0.2">
      <c r="AC743" s="122"/>
      <c r="AD743" s="125"/>
      <c r="AE743" s="125"/>
    </row>
    <row r="744" spans="29:31" ht="15.75" customHeight="1" x14ac:dyDescent="0.2">
      <c r="AC744" s="122"/>
      <c r="AD744" s="125"/>
      <c r="AE744" s="125"/>
    </row>
    <row r="745" spans="29:31" ht="15.75" customHeight="1" x14ac:dyDescent="0.2">
      <c r="AC745" s="122"/>
      <c r="AD745" s="125"/>
      <c r="AE745" s="125"/>
    </row>
    <row r="746" spans="29:31" ht="15.75" customHeight="1" x14ac:dyDescent="0.2">
      <c r="AC746" s="122"/>
      <c r="AD746" s="125"/>
      <c r="AE746" s="125"/>
    </row>
    <row r="747" spans="29:31" ht="15.75" customHeight="1" x14ac:dyDescent="0.2">
      <c r="AC747" s="122"/>
      <c r="AD747" s="125"/>
      <c r="AE747" s="125"/>
    </row>
    <row r="748" spans="29:31" ht="15.75" customHeight="1" x14ac:dyDescent="0.2">
      <c r="AC748" s="122"/>
      <c r="AD748" s="125"/>
      <c r="AE748" s="125"/>
    </row>
    <row r="749" spans="29:31" ht="15.75" customHeight="1" x14ac:dyDescent="0.2">
      <c r="AC749" s="122"/>
      <c r="AD749" s="125"/>
      <c r="AE749" s="125"/>
    </row>
    <row r="750" spans="29:31" ht="15.75" customHeight="1" x14ac:dyDescent="0.2">
      <c r="AC750" s="122"/>
      <c r="AD750" s="125"/>
      <c r="AE750" s="125"/>
    </row>
    <row r="751" spans="29:31" ht="15.75" customHeight="1" x14ac:dyDescent="0.2">
      <c r="AC751" s="122"/>
      <c r="AD751" s="125"/>
      <c r="AE751" s="125"/>
    </row>
    <row r="752" spans="29:31" ht="15.75" customHeight="1" x14ac:dyDescent="0.2">
      <c r="AC752" s="122"/>
      <c r="AD752" s="125"/>
      <c r="AE752" s="125"/>
    </row>
    <row r="753" spans="29:31" ht="15.75" customHeight="1" x14ac:dyDescent="0.2">
      <c r="AC753" s="122"/>
      <c r="AD753" s="125"/>
      <c r="AE753" s="125"/>
    </row>
    <row r="754" spans="29:31" ht="15.75" customHeight="1" x14ac:dyDescent="0.2">
      <c r="AC754" s="122"/>
      <c r="AD754" s="125"/>
      <c r="AE754" s="125"/>
    </row>
    <row r="755" spans="29:31" ht="15.75" customHeight="1" x14ac:dyDescent="0.2">
      <c r="AC755" s="122"/>
      <c r="AD755" s="125"/>
      <c r="AE755" s="125"/>
    </row>
    <row r="756" spans="29:31" ht="15.75" customHeight="1" x14ac:dyDescent="0.2">
      <c r="AC756" s="122"/>
      <c r="AD756" s="125"/>
      <c r="AE756" s="125"/>
    </row>
    <row r="757" spans="29:31" ht="15.75" customHeight="1" x14ac:dyDescent="0.2">
      <c r="AC757" s="122"/>
      <c r="AD757" s="125"/>
      <c r="AE757" s="125"/>
    </row>
    <row r="758" spans="29:31" ht="15.75" customHeight="1" x14ac:dyDescent="0.2">
      <c r="AC758" s="122"/>
      <c r="AD758" s="125"/>
      <c r="AE758" s="125"/>
    </row>
    <row r="759" spans="29:31" ht="15.75" customHeight="1" x14ac:dyDescent="0.2">
      <c r="AC759" s="122"/>
      <c r="AD759" s="125"/>
      <c r="AE759" s="125"/>
    </row>
    <row r="760" spans="29:31" ht="15.75" customHeight="1" x14ac:dyDescent="0.2">
      <c r="AC760" s="122"/>
      <c r="AD760" s="125"/>
      <c r="AE760" s="125"/>
    </row>
    <row r="761" spans="29:31" ht="15.75" customHeight="1" x14ac:dyDescent="0.2">
      <c r="AC761" s="122"/>
      <c r="AD761" s="125"/>
      <c r="AE761" s="125"/>
    </row>
    <row r="762" spans="29:31" ht="15.75" customHeight="1" x14ac:dyDescent="0.2">
      <c r="AC762" s="122"/>
      <c r="AD762" s="125"/>
      <c r="AE762" s="125"/>
    </row>
    <row r="763" spans="29:31" ht="15.75" customHeight="1" x14ac:dyDescent="0.2">
      <c r="AC763" s="122"/>
      <c r="AD763" s="125"/>
      <c r="AE763" s="125"/>
    </row>
    <row r="764" spans="29:31" ht="15.75" customHeight="1" x14ac:dyDescent="0.2">
      <c r="AC764" s="122"/>
      <c r="AD764" s="125"/>
      <c r="AE764" s="125"/>
    </row>
    <row r="765" spans="29:31" ht="15.75" customHeight="1" x14ac:dyDescent="0.2">
      <c r="AC765" s="122"/>
      <c r="AD765" s="125"/>
      <c r="AE765" s="125"/>
    </row>
    <row r="766" spans="29:31" ht="15.75" customHeight="1" x14ac:dyDescent="0.2">
      <c r="AC766" s="122"/>
      <c r="AD766" s="125"/>
      <c r="AE766" s="125"/>
    </row>
    <row r="767" spans="29:31" ht="15.75" customHeight="1" x14ac:dyDescent="0.2">
      <c r="AC767" s="122"/>
      <c r="AD767" s="125"/>
      <c r="AE767" s="125"/>
    </row>
    <row r="768" spans="29:31" ht="15.75" customHeight="1" x14ac:dyDescent="0.2">
      <c r="AC768" s="122"/>
      <c r="AD768" s="125"/>
      <c r="AE768" s="125"/>
    </row>
    <row r="769" spans="29:31" ht="15.75" customHeight="1" x14ac:dyDescent="0.2">
      <c r="AC769" s="122"/>
      <c r="AD769" s="125"/>
      <c r="AE769" s="125"/>
    </row>
    <row r="770" spans="29:31" ht="15.75" customHeight="1" x14ac:dyDescent="0.2">
      <c r="AC770" s="122"/>
      <c r="AD770" s="125"/>
      <c r="AE770" s="125"/>
    </row>
    <row r="771" spans="29:31" ht="15.75" customHeight="1" x14ac:dyDescent="0.2">
      <c r="AC771" s="122"/>
      <c r="AD771" s="125"/>
      <c r="AE771" s="125"/>
    </row>
    <row r="772" spans="29:31" ht="15.75" customHeight="1" x14ac:dyDescent="0.2">
      <c r="AC772" s="122"/>
      <c r="AD772" s="125"/>
      <c r="AE772" s="125"/>
    </row>
    <row r="773" spans="29:31" ht="15.75" customHeight="1" x14ac:dyDescent="0.2">
      <c r="AC773" s="122"/>
      <c r="AD773" s="125"/>
      <c r="AE773" s="125"/>
    </row>
    <row r="774" spans="29:31" ht="15.75" customHeight="1" x14ac:dyDescent="0.2">
      <c r="AC774" s="122"/>
      <c r="AD774" s="125"/>
      <c r="AE774" s="125"/>
    </row>
    <row r="775" spans="29:31" ht="15.75" customHeight="1" x14ac:dyDescent="0.2">
      <c r="AC775" s="122"/>
      <c r="AD775" s="125"/>
      <c r="AE775" s="125"/>
    </row>
    <row r="776" spans="29:31" ht="15.75" customHeight="1" x14ac:dyDescent="0.2">
      <c r="AC776" s="122"/>
      <c r="AD776" s="125"/>
      <c r="AE776" s="125"/>
    </row>
    <row r="777" spans="29:31" ht="15.75" customHeight="1" x14ac:dyDescent="0.2">
      <c r="AC777" s="122"/>
      <c r="AD777" s="125"/>
      <c r="AE777" s="125"/>
    </row>
    <row r="778" spans="29:31" ht="15.75" customHeight="1" x14ac:dyDescent="0.2">
      <c r="AC778" s="122"/>
      <c r="AD778" s="125"/>
      <c r="AE778" s="125"/>
    </row>
    <row r="779" spans="29:31" ht="15.75" customHeight="1" x14ac:dyDescent="0.2">
      <c r="AC779" s="122"/>
      <c r="AD779" s="125"/>
      <c r="AE779" s="125"/>
    </row>
    <row r="780" spans="29:31" ht="15.75" customHeight="1" x14ac:dyDescent="0.2">
      <c r="AC780" s="122"/>
      <c r="AD780" s="125"/>
      <c r="AE780" s="125"/>
    </row>
    <row r="781" spans="29:31" ht="15.75" customHeight="1" x14ac:dyDescent="0.2">
      <c r="AC781" s="122"/>
      <c r="AD781" s="125"/>
      <c r="AE781" s="125"/>
    </row>
    <row r="782" spans="29:31" ht="15.75" customHeight="1" x14ac:dyDescent="0.2">
      <c r="AC782" s="122"/>
      <c r="AD782" s="125"/>
      <c r="AE782" s="125"/>
    </row>
    <row r="783" spans="29:31" ht="15.75" customHeight="1" x14ac:dyDescent="0.2">
      <c r="AC783" s="122"/>
      <c r="AD783" s="125"/>
      <c r="AE783" s="125"/>
    </row>
    <row r="784" spans="29:31" ht="15.75" customHeight="1" x14ac:dyDescent="0.2">
      <c r="AC784" s="122"/>
      <c r="AD784" s="125"/>
      <c r="AE784" s="125"/>
    </row>
    <row r="785" spans="29:31" ht="15.75" customHeight="1" x14ac:dyDescent="0.2">
      <c r="AC785" s="122"/>
      <c r="AD785" s="125"/>
      <c r="AE785" s="125"/>
    </row>
    <row r="786" spans="29:31" ht="15.75" customHeight="1" x14ac:dyDescent="0.2">
      <c r="AC786" s="122"/>
      <c r="AD786" s="125"/>
      <c r="AE786" s="125"/>
    </row>
    <row r="787" spans="29:31" ht="15.75" customHeight="1" x14ac:dyDescent="0.2">
      <c r="AC787" s="122"/>
      <c r="AD787" s="125"/>
      <c r="AE787" s="125"/>
    </row>
    <row r="788" spans="29:31" ht="15.75" customHeight="1" x14ac:dyDescent="0.2">
      <c r="AC788" s="122"/>
      <c r="AD788" s="125"/>
      <c r="AE788" s="125"/>
    </row>
    <row r="789" spans="29:31" ht="15.75" customHeight="1" x14ac:dyDescent="0.2">
      <c r="AC789" s="122"/>
      <c r="AD789" s="125"/>
      <c r="AE789" s="125"/>
    </row>
    <row r="790" spans="29:31" ht="15.75" customHeight="1" x14ac:dyDescent="0.2">
      <c r="AC790" s="122"/>
      <c r="AD790" s="125"/>
      <c r="AE790" s="125"/>
    </row>
    <row r="791" spans="29:31" ht="15.75" customHeight="1" x14ac:dyDescent="0.2">
      <c r="AC791" s="122"/>
      <c r="AD791" s="125"/>
      <c r="AE791" s="125"/>
    </row>
    <row r="792" spans="29:31" ht="15.75" customHeight="1" x14ac:dyDescent="0.2">
      <c r="AC792" s="122"/>
      <c r="AD792" s="125"/>
      <c r="AE792" s="125"/>
    </row>
    <row r="793" spans="29:31" ht="15.75" customHeight="1" x14ac:dyDescent="0.2">
      <c r="AC793" s="122"/>
      <c r="AD793" s="125"/>
      <c r="AE793" s="125"/>
    </row>
    <row r="794" spans="29:31" ht="15.75" customHeight="1" x14ac:dyDescent="0.2">
      <c r="AC794" s="122"/>
      <c r="AD794" s="125"/>
      <c r="AE794" s="125"/>
    </row>
    <row r="795" spans="29:31" ht="15.75" customHeight="1" x14ac:dyDescent="0.2">
      <c r="AC795" s="122"/>
      <c r="AD795" s="125"/>
      <c r="AE795" s="125"/>
    </row>
    <row r="796" spans="29:31" ht="15.75" customHeight="1" x14ac:dyDescent="0.2">
      <c r="AC796" s="122"/>
      <c r="AD796" s="125"/>
      <c r="AE796" s="125"/>
    </row>
    <row r="797" spans="29:31" ht="15.75" customHeight="1" x14ac:dyDescent="0.2">
      <c r="AC797" s="122"/>
      <c r="AD797" s="125"/>
      <c r="AE797" s="125"/>
    </row>
    <row r="798" spans="29:31" ht="15.75" customHeight="1" x14ac:dyDescent="0.2">
      <c r="AC798" s="122"/>
      <c r="AD798" s="125"/>
      <c r="AE798" s="125"/>
    </row>
    <row r="799" spans="29:31" ht="15.75" customHeight="1" x14ac:dyDescent="0.2">
      <c r="AC799" s="122"/>
      <c r="AD799" s="125"/>
      <c r="AE799" s="125"/>
    </row>
    <row r="800" spans="29:31" ht="15.75" customHeight="1" x14ac:dyDescent="0.2">
      <c r="AC800" s="122"/>
      <c r="AD800" s="125"/>
      <c r="AE800" s="125"/>
    </row>
    <row r="801" spans="29:31" ht="15.75" customHeight="1" x14ac:dyDescent="0.2">
      <c r="AC801" s="122"/>
      <c r="AD801" s="125"/>
      <c r="AE801" s="125"/>
    </row>
    <row r="802" spans="29:31" ht="15.75" customHeight="1" x14ac:dyDescent="0.2">
      <c r="AC802" s="122"/>
      <c r="AD802" s="125"/>
      <c r="AE802" s="125"/>
    </row>
    <row r="803" spans="29:31" ht="15.75" customHeight="1" x14ac:dyDescent="0.2">
      <c r="AC803" s="122"/>
      <c r="AD803" s="125"/>
      <c r="AE803" s="125"/>
    </row>
    <row r="804" spans="29:31" ht="15.75" customHeight="1" x14ac:dyDescent="0.2">
      <c r="AC804" s="122"/>
      <c r="AD804" s="125"/>
      <c r="AE804" s="125"/>
    </row>
    <row r="805" spans="29:31" ht="15.75" customHeight="1" x14ac:dyDescent="0.2">
      <c r="AC805" s="122"/>
      <c r="AD805" s="125"/>
      <c r="AE805" s="125"/>
    </row>
    <row r="806" spans="29:31" ht="15.75" customHeight="1" x14ac:dyDescent="0.2">
      <c r="AC806" s="122"/>
      <c r="AD806" s="125"/>
      <c r="AE806" s="125"/>
    </row>
    <row r="807" spans="29:31" ht="15.75" customHeight="1" x14ac:dyDescent="0.2">
      <c r="AC807" s="122"/>
      <c r="AD807" s="125"/>
      <c r="AE807" s="125"/>
    </row>
    <row r="808" spans="29:31" ht="15.75" customHeight="1" x14ac:dyDescent="0.2">
      <c r="AC808" s="122"/>
      <c r="AD808" s="125"/>
      <c r="AE808" s="125"/>
    </row>
    <row r="809" spans="29:31" ht="15.75" customHeight="1" x14ac:dyDescent="0.2">
      <c r="AC809" s="122"/>
      <c r="AD809" s="125"/>
      <c r="AE809" s="125"/>
    </row>
    <row r="810" spans="29:31" ht="15.75" customHeight="1" x14ac:dyDescent="0.2">
      <c r="AC810" s="122"/>
      <c r="AD810" s="125"/>
      <c r="AE810" s="125"/>
    </row>
    <row r="811" spans="29:31" ht="15.75" customHeight="1" x14ac:dyDescent="0.2">
      <c r="AC811" s="122"/>
      <c r="AD811" s="125"/>
      <c r="AE811" s="125"/>
    </row>
    <row r="812" spans="29:31" ht="15.75" customHeight="1" x14ac:dyDescent="0.2">
      <c r="AC812" s="122"/>
      <c r="AD812" s="125"/>
      <c r="AE812" s="125"/>
    </row>
    <row r="813" spans="29:31" ht="15.75" customHeight="1" x14ac:dyDescent="0.2">
      <c r="AC813" s="122"/>
      <c r="AD813" s="125"/>
      <c r="AE813" s="125"/>
    </row>
    <row r="814" spans="29:31" ht="15.75" customHeight="1" x14ac:dyDescent="0.2">
      <c r="AC814" s="122"/>
      <c r="AD814" s="125"/>
      <c r="AE814" s="125"/>
    </row>
    <row r="815" spans="29:31" ht="15.75" customHeight="1" x14ac:dyDescent="0.2">
      <c r="AC815" s="122"/>
      <c r="AD815" s="125"/>
      <c r="AE815" s="125"/>
    </row>
    <row r="816" spans="29:31" ht="15.75" customHeight="1" x14ac:dyDescent="0.2">
      <c r="AC816" s="122"/>
      <c r="AD816" s="125"/>
      <c r="AE816" s="125"/>
    </row>
    <row r="817" spans="29:31" ht="15.75" customHeight="1" x14ac:dyDescent="0.2">
      <c r="AC817" s="122"/>
      <c r="AD817" s="125"/>
      <c r="AE817" s="125"/>
    </row>
    <row r="818" spans="29:31" ht="15.75" customHeight="1" x14ac:dyDescent="0.2">
      <c r="AC818" s="122"/>
      <c r="AD818" s="125"/>
      <c r="AE818" s="125"/>
    </row>
    <row r="819" spans="29:31" ht="15.75" customHeight="1" x14ac:dyDescent="0.2">
      <c r="AC819" s="122"/>
      <c r="AD819" s="125"/>
      <c r="AE819" s="125"/>
    </row>
    <row r="820" spans="29:31" ht="15.75" customHeight="1" x14ac:dyDescent="0.2">
      <c r="AC820" s="122"/>
      <c r="AD820" s="125"/>
      <c r="AE820" s="125"/>
    </row>
    <row r="821" spans="29:31" ht="15.75" customHeight="1" x14ac:dyDescent="0.2">
      <c r="AC821" s="122"/>
      <c r="AD821" s="125"/>
      <c r="AE821" s="125"/>
    </row>
    <row r="822" spans="29:31" ht="15.75" customHeight="1" x14ac:dyDescent="0.2">
      <c r="AC822" s="122"/>
      <c r="AD822" s="125"/>
      <c r="AE822" s="125"/>
    </row>
    <row r="823" spans="29:31" ht="15.75" customHeight="1" x14ac:dyDescent="0.2">
      <c r="AC823" s="122"/>
      <c r="AD823" s="125"/>
      <c r="AE823" s="125"/>
    </row>
    <row r="824" spans="29:31" ht="15.75" customHeight="1" x14ac:dyDescent="0.2">
      <c r="AC824" s="122"/>
      <c r="AD824" s="125"/>
      <c r="AE824" s="125"/>
    </row>
    <row r="825" spans="29:31" ht="15.75" customHeight="1" x14ac:dyDescent="0.2">
      <c r="AC825" s="122"/>
      <c r="AD825" s="125"/>
      <c r="AE825" s="125"/>
    </row>
    <row r="826" spans="29:31" ht="15.75" customHeight="1" x14ac:dyDescent="0.2">
      <c r="AC826" s="122"/>
      <c r="AD826" s="125"/>
      <c r="AE826" s="125"/>
    </row>
    <row r="827" spans="29:31" ht="15.75" customHeight="1" x14ac:dyDescent="0.2">
      <c r="AC827" s="122"/>
      <c r="AD827" s="125"/>
      <c r="AE827" s="125"/>
    </row>
    <row r="828" spans="29:31" ht="15.75" customHeight="1" x14ac:dyDescent="0.2">
      <c r="AC828" s="122"/>
      <c r="AD828" s="125"/>
      <c r="AE828" s="125"/>
    </row>
    <row r="829" spans="29:31" ht="15.75" customHeight="1" x14ac:dyDescent="0.2">
      <c r="AC829" s="122"/>
      <c r="AD829" s="125"/>
      <c r="AE829" s="125"/>
    </row>
    <row r="830" spans="29:31" ht="15.75" customHeight="1" x14ac:dyDescent="0.2">
      <c r="AC830" s="122"/>
      <c r="AD830" s="125"/>
      <c r="AE830" s="125"/>
    </row>
    <row r="831" spans="29:31" ht="15.75" customHeight="1" x14ac:dyDescent="0.2">
      <c r="AC831" s="122"/>
      <c r="AD831" s="125"/>
      <c r="AE831" s="125"/>
    </row>
    <row r="832" spans="29:31" ht="15.75" customHeight="1" x14ac:dyDescent="0.2">
      <c r="AC832" s="122"/>
      <c r="AD832" s="125"/>
      <c r="AE832" s="125"/>
    </row>
    <row r="833" spans="29:31" ht="15.75" customHeight="1" x14ac:dyDescent="0.2">
      <c r="AC833" s="122"/>
      <c r="AD833" s="125"/>
      <c r="AE833" s="125"/>
    </row>
    <row r="834" spans="29:31" ht="15.75" customHeight="1" x14ac:dyDescent="0.2">
      <c r="AC834" s="122"/>
      <c r="AD834" s="125"/>
      <c r="AE834" s="125"/>
    </row>
    <row r="835" spans="29:31" ht="15.75" customHeight="1" x14ac:dyDescent="0.2">
      <c r="AC835" s="122"/>
      <c r="AD835" s="125"/>
      <c r="AE835" s="125"/>
    </row>
    <row r="836" spans="29:31" ht="15.75" customHeight="1" x14ac:dyDescent="0.2">
      <c r="AC836" s="122"/>
      <c r="AD836" s="125"/>
      <c r="AE836" s="125"/>
    </row>
    <row r="837" spans="29:31" ht="15.75" customHeight="1" x14ac:dyDescent="0.2">
      <c r="AC837" s="122"/>
      <c r="AD837" s="125"/>
      <c r="AE837" s="125"/>
    </row>
    <row r="838" spans="29:31" ht="15.75" customHeight="1" x14ac:dyDescent="0.2">
      <c r="AC838" s="122"/>
      <c r="AD838" s="125"/>
      <c r="AE838" s="125"/>
    </row>
    <row r="839" spans="29:31" ht="15.75" customHeight="1" x14ac:dyDescent="0.2">
      <c r="AC839" s="122"/>
      <c r="AD839" s="125"/>
      <c r="AE839" s="125"/>
    </row>
    <row r="840" spans="29:31" ht="15.75" customHeight="1" x14ac:dyDescent="0.2">
      <c r="AC840" s="122"/>
      <c r="AD840" s="125"/>
      <c r="AE840" s="125"/>
    </row>
    <row r="841" spans="29:31" ht="15.75" customHeight="1" x14ac:dyDescent="0.2">
      <c r="AC841" s="122"/>
      <c r="AD841" s="125"/>
      <c r="AE841" s="125"/>
    </row>
    <row r="842" spans="29:31" ht="15.75" customHeight="1" x14ac:dyDescent="0.2">
      <c r="AC842" s="122"/>
      <c r="AD842" s="125"/>
      <c r="AE842" s="125"/>
    </row>
    <row r="843" spans="29:31" ht="15.75" customHeight="1" x14ac:dyDescent="0.2">
      <c r="AC843" s="122"/>
      <c r="AD843" s="125"/>
      <c r="AE843" s="125"/>
    </row>
    <row r="844" spans="29:31" ht="15.75" customHeight="1" x14ac:dyDescent="0.2">
      <c r="AC844" s="122"/>
      <c r="AD844" s="125"/>
      <c r="AE844" s="125"/>
    </row>
    <row r="845" spans="29:31" ht="15.75" customHeight="1" x14ac:dyDescent="0.2">
      <c r="AC845" s="122"/>
      <c r="AD845" s="125"/>
      <c r="AE845" s="125"/>
    </row>
    <row r="846" spans="29:31" ht="15.75" customHeight="1" x14ac:dyDescent="0.2">
      <c r="AC846" s="122"/>
      <c r="AD846" s="125"/>
      <c r="AE846" s="125"/>
    </row>
    <row r="847" spans="29:31" ht="15.75" customHeight="1" x14ac:dyDescent="0.2">
      <c r="AC847" s="122"/>
      <c r="AD847" s="125"/>
      <c r="AE847" s="125"/>
    </row>
    <row r="848" spans="29:31" ht="15.75" customHeight="1" x14ac:dyDescent="0.2">
      <c r="AC848" s="122"/>
      <c r="AD848" s="125"/>
      <c r="AE848" s="125"/>
    </row>
    <row r="849" spans="29:31" ht="15.75" customHeight="1" x14ac:dyDescent="0.2">
      <c r="AC849" s="122"/>
      <c r="AD849" s="125"/>
      <c r="AE849" s="125"/>
    </row>
    <row r="850" spans="29:31" ht="15.75" customHeight="1" x14ac:dyDescent="0.2">
      <c r="AC850" s="122"/>
      <c r="AD850" s="125"/>
      <c r="AE850" s="125"/>
    </row>
    <row r="851" spans="29:31" ht="15.75" customHeight="1" x14ac:dyDescent="0.2">
      <c r="AC851" s="122"/>
      <c r="AD851" s="125"/>
      <c r="AE851" s="125"/>
    </row>
    <row r="852" spans="29:31" ht="15.75" customHeight="1" x14ac:dyDescent="0.2">
      <c r="AC852" s="122"/>
      <c r="AD852" s="125"/>
      <c r="AE852" s="125"/>
    </row>
    <row r="853" spans="29:31" ht="15.75" customHeight="1" x14ac:dyDescent="0.2">
      <c r="AC853" s="122"/>
      <c r="AD853" s="125"/>
      <c r="AE853" s="125"/>
    </row>
    <row r="854" spans="29:31" ht="15.75" customHeight="1" x14ac:dyDescent="0.2">
      <c r="AC854" s="122"/>
      <c r="AD854" s="125"/>
      <c r="AE854" s="125"/>
    </row>
    <row r="855" spans="29:31" ht="15.75" customHeight="1" x14ac:dyDescent="0.2">
      <c r="AC855" s="122"/>
      <c r="AD855" s="125"/>
      <c r="AE855" s="125"/>
    </row>
    <row r="856" spans="29:31" ht="15.75" customHeight="1" x14ac:dyDescent="0.2">
      <c r="AC856" s="122"/>
      <c r="AD856" s="125"/>
      <c r="AE856" s="125"/>
    </row>
    <row r="857" spans="29:31" ht="15.75" customHeight="1" x14ac:dyDescent="0.2">
      <c r="AC857" s="122"/>
      <c r="AD857" s="125"/>
      <c r="AE857" s="125"/>
    </row>
    <row r="858" spans="29:31" ht="15.75" customHeight="1" x14ac:dyDescent="0.2">
      <c r="AC858" s="122"/>
      <c r="AD858" s="125"/>
      <c r="AE858" s="125"/>
    </row>
    <row r="859" spans="29:31" ht="15.75" customHeight="1" x14ac:dyDescent="0.2">
      <c r="AC859" s="122"/>
      <c r="AD859" s="125"/>
      <c r="AE859" s="125"/>
    </row>
    <row r="860" spans="29:31" ht="15.75" customHeight="1" x14ac:dyDescent="0.2">
      <c r="AC860" s="122"/>
      <c r="AD860" s="125"/>
      <c r="AE860" s="125"/>
    </row>
    <row r="861" spans="29:31" ht="15.75" customHeight="1" x14ac:dyDescent="0.2">
      <c r="AC861" s="122"/>
      <c r="AD861" s="125"/>
      <c r="AE861" s="125"/>
    </row>
    <row r="862" spans="29:31" ht="15.75" customHeight="1" x14ac:dyDescent="0.2">
      <c r="AC862" s="122"/>
      <c r="AD862" s="125"/>
      <c r="AE862" s="125"/>
    </row>
    <row r="863" spans="29:31" ht="15.75" customHeight="1" x14ac:dyDescent="0.2">
      <c r="AC863" s="122"/>
      <c r="AD863" s="125"/>
      <c r="AE863" s="125"/>
    </row>
    <row r="864" spans="29:31" ht="15.75" customHeight="1" x14ac:dyDescent="0.2">
      <c r="AC864" s="122"/>
      <c r="AD864" s="125"/>
      <c r="AE864" s="125"/>
    </row>
    <row r="865" spans="29:31" ht="15.75" customHeight="1" x14ac:dyDescent="0.2">
      <c r="AC865" s="122"/>
      <c r="AD865" s="125"/>
      <c r="AE865" s="125"/>
    </row>
    <row r="866" spans="29:31" ht="15.75" customHeight="1" x14ac:dyDescent="0.2">
      <c r="AC866" s="122"/>
      <c r="AD866" s="125"/>
      <c r="AE866" s="125"/>
    </row>
    <row r="867" spans="29:31" ht="15.75" customHeight="1" x14ac:dyDescent="0.2">
      <c r="AC867" s="122"/>
      <c r="AD867" s="125"/>
      <c r="AE867" s="125"/>
    </row>
    <row r="868" spans="29:31" ht="15.75" customHeight="1" x14ac:dyDescent="0.2">
      <c r="AC868" s="122"/>
      <c r="AD868" s="125"/>
      <c r="AE868" s="125"/>
    </row>
    <row r="869" spans="29:31" ht="15.75" customHeight="1" x14ac:dyDescent="0.2">
      <c r="AC869" s="122"/>
      <c r="AD869" s="125"/>
      <c r="AE869" s="125"/>
    </row>
    <row r="870" spans="29:31" ht="15.75" customHeight="1" x14ac:dyDescent="0.2">
      <c r="AC870" s="122"/>
      <c r="AD870" s="125"/>
      <c r="AE870" s="125"/>
    </row>
    <row r="871" spans="29:31" ht="15.75" customHeight="1" x14ac:dyDescent="0.2">
      <c r="AC871" s="122"/>
      <c r="AD871" s="125"/>
      <c r="AE871" s="125"/>
    </row>
    <row r="872" spans="29:31" ht="15.75" customHeight="1" x14ac:dyDescent="0.2">
      <c r="AC872" s="122"/>
      <c r="AD872" s="125"/>
      <c r="AE872" s="125"/>
    </row>
    <row r="873" spans="29:31" ht="15.75" customHeight="1" x14ac:dyDescent="0.2">
      <c r="AC873" s="122"/>
      <c r="AD873" s="125"/>
      <c r="AE873" s="125"/>
    </row>
    <row r="874" spans="29:31" ht="15.75" customHeight="1" x14ac:dyDescent="0.2">
      <c r="AC874" s="122"/>
      <c r="AD874" s="125"/>
      <c r="AE874" s="125"/>
    </row>
    <row r="875" spans="29:31" ht="15.75" customHeight="1" x14ac:dyDescent="0.2">
      <c r="AC875" s="122"/>
      <c r="AD875" s="125"/>
      <c r="AE875" s="125"/>
    </row>
    <row r="876" spans="29:31" ht="15.75" customHeight="1" x14ac:dyDescent="0.2">
      <c r="AC876" s="122"/>
      <c r="AD876" s="125"/>
      <c r="AE876" s="125"/>
    </row>
    <row r="877" spans="29:31" ht="15.75" customHeight="1" x14ac:dyDescent="0.2">
      <c r="AC877" s="122"/>
      <c r="AD877" s="125"/>
      <c r="AE877" s="125"/>
    </row>
    <row r="878" spans="29:31" ht="15.75" customHeight="1" x14ac:dyDescent="0.2">
      <c r="AC878" s="122"/>
      <c r="AD878" s="125"/>
      <c r="AE878" s="125"/>
    </row>
    <row r="879" spans="29:31" ht="15.75" customHeight="1" x14ac:dyDescent="0.2">
      <c r="AC879" s="122"/>
      <c r="AD879" s="125"/>
      <c r="AE879" s="125"/>
    </row>
    <row r="880" spans="29:31" ht="15.75" customHeight="1" x14ac:dyDescent="0.2">
      <c r="AC880" s="122"/>
      <c r="AD880" s="125"/>
      <c r="AE880" s="125"/>
    </row>
    <row r="881" spans="29:31" ht="15.75" customHeight="1" x14ac:dyDescent="0.2">
      <c r="AC881" s="122"/>
      <c r="AD881" s="125"/>
      <c r="AE881" s="125"/>
    </row>
    <row r="882" spans="29:31" ht="15.75" customHeight="1" x14ac:dyDescent="0.2">
      <c r="AC882" s="122"/>
      <c r="AD882" s="125"/>
      <c r="AE882" s="125"/>
    </row>
    <row r="883" spans="29:31" ht="15.75" customHeight="1" x14ac:dyDescent="0.2">
      <c r="AC883" s="122"/>
      <c r="AD883" s="125"/>
      <c r="AE883" s="125"/>
    </row>
    <row r="884" spans="29:31" ht="15.75" customHeight="1" x14ac:dyDescent="0.2">
      <c r="AC884" s="122"/>
      <c r="AD884" s="125"/>
      <c r="AE884" s="125"/>
    </row>
    <row r="885" spans="29:31" ht="15.75" customHeight="1" x14ac:dyDescent="0.2">
      <c r="AC885" s="122"/>
      <c r="AD885" s="125"/>
      <c r="AE885" s="125"/>
    </row>
    <row r="886" spans="29:31" ht="15.75" customHeight="1" x14ac:dyDescent="0.2">
      <c r="AC886" s="122"/>
      <c r="AD886" s="125"/>
      <c r="AE886" s="125"/>
    </row>
    <row r="887" spans="29:31" ht="15.75" customHeight="1" x14ac:dyDescent="0.2">
      <c r="AC887" s="122"/>
      <c r="AD887" s="125"/>
      <c r="AE887" s="125"/>
    </row>
    <row r="888" spans="29:31" ht="15.75" customHeight="1" x14ac:dyDescent="0.2">
      <c r="AC888" s="122"/>
      <c r="AD888" s="125"/>
      <c r="AE888" s="125"/>
    </row>
    <row r="889" spans="29:31" ht="15.75" customHeight="1" x14ac:dyDescent="0.2">
      <c r="AC889" s="122"/>
      <c r="AD889" s="125"/>
      <c r="AE889" s="125"/>
    </row>
    <row r="890" spans="29:31" ht="15.75" customHeight="1" x14ac:dyDescent="0.2">
      <c r="AC890" s="122"/>
      <c r="AD890" s="125"/>
      <c r="AE890" s="125"/>
    </row>
    <row r="891" spans="29:31" ht="15.75" customHeight="1" x14ac:dyDescent="0.2">
      <c r="AC891" s="122"/>
      <c r="AD891" s="125"/>
      <c r="AE891" s="125"/>
    </row>
    <row r="892" spans="29:31" ht="15.75" customHeight="1" x14ac:dyDescent="0.2">
      <c r="AC892" s="122"/>
      <c r="AD892" s="125"/>
      <c r="AE892" s="125"/>
    </row>
    <row r="893" spans="29:31" ht="15.75" customHeight="1" x14ac:dyDescent="0.2">
      <c r="AC893" s="122"/>
      <c r="AD893" s="125"/>
      <c r="AE893" s="125"/>
    </row>
    <row r="894" spans="29:31" ht="15.75" customHeight="1" x14ac:dyDescent="0.2">
      <c r="AC894" s="122"/>
      <c r="AD894" s="125"/>
      <c r="AE894" s="125"/>
    </row>
    <row r="895" spans="29:31" ht="15.75" customHeight="1" x14ac:dyDescent="0.2">
      <c r="AC895" s="122"/>
      <c r="AD895" s="125"/>
      <c r="AE895" s="125"/>
    </row>
    <row r="896" spans="29:31" ht="15.75" customHeight="1" x14ac:dyDescent="0.2">
      <c r="AC896" s="122"/>
      <c r="AD896" s="125"/>
      <c r="AE896" s="125"/>
    </row>
    <row r="897" spans="29:31" ht="15.75" customHeight="1" x14ac:dyDescent="0.2">
      <c r="AC897" s="122"/>
      <c r="AD897" s="125"/>
      <c r="AE897" s="125"/>
    </row>
    <row r="898" spans="29:31" ht="15.75" customHeight="1" x14ac:dyDescent="0.2">
      <c r="AC898" s="122"/>
      <c r="AD898" s="125"/>
      <c r="AE898" s="125"/>
    </row>
    <row r="899" spans="29:31" ht="15.75" customHeight="1" x14ac:dyDescent="0.2">
      <c r="AC899" s="122"/>
      <c r="AD899" s="125"/>
      <c r="AE899" s="125"/>
    </row>
    <row r="900" spans="29:31" ht="15.75" customHeight="1" x14ac:dyDescent="0.2">
      <c r="AC900" s="122"/>
      <c r="AD900" s="125"/>
      <c r="AE900" s="125"/>
    </row>
    <row r="901" spans="29:31" ht="15.75" customHeight="1" x14ac:dyDescent="0.2">
      <c r="AC901" s="122"/>
      <c r="AD901" s="125"/>
      <c r="AE901" s="125"/>
    </row>
    <row r="902" spans="29:31" ht="15.75" customHeight="1" x14ac:dyDescent="0.2">
      <c r="AC902" s="122"/>
      <c r="AD902" s="125"/>
      <c r="AE902" s="125"/>
    </row>
    <row r="903" spans="29:31" ht="15.75" customHeight="1" x14ac:dyDescent="0.2">
      <c r="AC903" s="122"/>
      <c r="AD903" s="125"/>
      <c r="AE903" s="125"/>
    </row>
    <row r="904" spans="29:31" ht="15.75" customHeight="1" x14ac:dyDescent="0.2">
      <c r="AC904" s="122"/>
      <c r="AD904" s="125"/>
      <c r="AE904" s="125"/>
    </row>
    <row r="905" spans="29:31" ht="15.75" customHeight="1" x14ac:dyDescent="0.2">
      <c r="AC905" s="122"/>
      <c r="AD905" s="125"/>
      <c r="AE905" s="125"/>
    </row>
    <row r="906" spans="29:31" ht="15.75" customHeight="1" x14ac:dyDescent="0.2">
      <c r="AC906" s="122"/>
      <c r="AD906" s="125"/>
      <c r="AE906" s="125"/>
    </row>
    <row r="907" spans="29:31" ht="15.75" customHeight="1" x14ac:dyDescent="0.2">
      <c r="AC907" s="122"/>
      <c r="AD907" s="125"/>
      <c r="AE907" s="125"/>
    </row>
    <row r="908" spans="29:31" ht="15.75" customHeight="1" x14ac:dyDescent="0.2">
      <c r="AC908" s="122"/>
      <c r="AD908" s="125"/>
      <c r="AE908" s="125"/>
    </row>
    <row r="909" spans="29:31" ht="15.75" customHeight="1" x14ac:dyDescent="0.2">
      <c r="AC909" s="122"/>
      <c r="AD909" s="125"/>
      <c r="AE909" s="125"/>
    </row>
    <row r="910" spans="29:31" ht="15.75" customHeight="1" x14ac:dyDescent="0.2">
      <c r="AC910" s="122"/>
      <c r="AD910" s="125"/>
      <c r="AE910" s="125"/>
    </row>
    <row r="911" spans="29:31" ht="15.75" customHeight="1" x14ac:dyDescent="0.2">
      <c r="AC911" s="122"/>
      <c r="AD911" s="125"/>
      <c r="AE911" s="125"/>
    </row>
    <row r="912" spans="29:31" ht="15.75" customHeight="1" x14ac:dyDescent="0.2">
      <c r="AC912" s="122"/>
      <c r="AD912" s="125"/>
      <c r="AE912" s="125"/>
    </row>
    <row r="913" spans="29:31" ht="15.75" customHeight="1" x14ac:dyDescent="0.2">
      <c r="AC913" s="122"/>
      <c r="AD913" s="125"/>
      <c r="AE913" s="125"/>
    </row>
    <row r="914" spans="29:31" ht="15.75" customHeight="1" x14ac:dyDescent="0.2">
      <c r="AC914" s="122"/>
      <c r="AD914" s="125"/>
      <c r="AE914" s="125"/>
    </row>
    <row r="915" spans="29:31" ht="15.75" customHeight="1" x14ac:dyDescent="0.2">
      <c r="AC915" s="122"/>
      <c r="AD915" s="125"/>
      <c r="AE915" s="125"/>
    </row>
    <row r="916" spans="29:31" ht="15.75" customHeight="1" x14ac:dyDescent="0.2">
      <c r="AC916" s="122"/>
      <c r="AD916" s="125"/>
      <c r="AE916" s="125"/>
    </row>
    <row r="917" spans="29:31" ht="15.75" customHeight="1" x14ac:dyDescent="0.2">
      <c r="AC917" s="122"/>
      <c r="AD917" s="125"/>
      <c r="AE917" s="125"/>
    </row>
    <row r="918" spans="29:31" ht="15.75" customHeight="1" x14ac:dyDescent="0.2">
      <c r="AC918" s="122"/>
      <c r="AD918" s="125"/>
      <c r="AE918" s="125"/>
    </row>
    <row r="919" spans="29:31" ht="15.75" customHeight="1" x14ac:dyDescent="0.2">
      <c r="AC919" s="122"/>
      <c r="AD919" s="125"/>
      <c r="AE919" s="125"/>
    </row>
    <row r="920" spans="29:31" ht="15.75" customHeight="1" x14ac:dyDescent="0.2">
      <c r="AC920" s="122"/>
      <c r="AD920" s="125"/>
      <c r="AE920" s="125"/>
    </row>
    <row r="921" spans="29:31" ht="15.75" customHeight="1" x14ac:dyDescent="0.2">
      <c r="AC921" s="122"/>
      <c r="AD921" s="125"/>
      <c r="AE921" s="125"/>
    </row>
    <row r="922" spans="29:31" ht="15.75" customHeight="1" x14ac:dyDescent="0.2">
      <c r="AC922" s="122"/>
      <c r="AD922" s="125"/>
      <c r="AE922" s="125"/>
    </row>
    <row r="923" spans="29:31" ht="15.75" customHeight="1" x14ac:dyDescent="0.2">
      <c r="AC923" s="122"/>
      <c r="AD923" s="125"/>
      <c r="AE923" s="125"/>
    </row>
    <row r="924" spans="29:31" ht="15.75" customHeight="1" x14ac:dyDescent="0.2">
      <c r="AC924" s="122"/>
      <c r="AD924" s="125"/>
      <c r="AE924" s="125"/>
    </row>
    <row r="925" spans="29:31" ht="15.75" customHeight="1" x14ac:dyDescent="0.2">
      <c r="AC925" s="122"/>
      <c r="AD925" s="125"/>
      <c r="AE925" s="125"/>
    </row>
    <row r="926" spans="29:31" ht="15.75" customHeight="1" x14ac:dyDescent="0.2">
      <c r="AC926" s="122"/>
      <c r="AD926" s="125"/>
      <c r="AE926" s="125"/>
    </row>
    <row r="927" spans="29:31" ht="15.75" customHeight="1" x14ac:dyDescent="0.2">
      <c r="AC927" s="122"/>
      <c r="AD927" s="125"/>
      <c r="AE927" s="125"/>
    </row>
    <row r="928" spans="29:31" ht="15.75" customHeight="1" x14ac:dyDescent="0.2">
      <c r="AC928" s="122"/>
      <c r="AD928" s="125"/>
      <c r="AE928" s="125"/>
    </row>
    <row r="929" spans="29:31" ht="15.75" customHeight="1" x14ac:dyDescent="0.2">
      <c r="AC929" s="122"/>
      <c r="AD929" s="125"/>
      <c r="AE929" s="125"/>
    </row>
    <row r="930" spans="29:31" ht="15.75" customHeight="1" x14ac:dyDescent="0.2">
      <c r="AC930" s="122"/>
      <c r="AD930" s="125"/>
      <c r="AE930" s="125"/>
    </row>
    <row r="931" spans="29:31" ht="15.75" customHeight="1" x14ac:dyDescent="0.2">
      <c r="AC931" s="122"/>
      <c r="AD931" s="125"/>
      <c r="AE931" s="125"/>
    </row>
    <row r="932" spans="29:31" ht="15.75" customHeight="1" x14ac:dyDescent="0.2">
      <c r="AC932" s="122"/>
      <c r="AD932" s="125"/>
      <c r="AE932" s="125"/>
    </row>
    <row r="933" spans="29:31" ht="15.75" customHeight="1" x14ac:dyDescent="0.2">
      <c r="AC933" s="122"/>
      <c r="AD933" s="125"/>
      <c r="AE933" s="125"/>
    </row>
    <row r="934" spans="29:31" ht="15.75" customHeight="1" x14ac:dyDescent="0.2">
      <c r="AC934" s="122"/>
      <c r="AD934" s="125"/>
      <c r="AE934" s="125"/>
    </row>
    <row r="935" spans="29:31" ht="15.75" customHeight="1" x14ac:dyDescent="0.2">
      <c r="AC935" s="122"/>
      <c r="AD935" s="125"/>
      <c r="AE935" s="125"/>
    </row>
    <row r="936" spans="29:31" ht="15.75" customHeight="1" x14ac:dyDescent="0.2">
      <c r="AC936" s="122"/>
      <c r="AD936" s="125"/>
      <c r="AE936" s="125"/>
    </row>
    <row r="937" spans="29:31" ht="15.75" customHeight="1" x14ac:dyDescent="0.2">
      <c r="AC937" s="122"/>
      <c r="AD937" s="125"/>
      <c r="AE937" s="125"/>
    </row>
    <row r="938" spans="29:31" ht="15.75" customHeight="1" x14ac:dyDescent="0.2">
      <c r="AC938" s="122"/>
      <c r="AD938" s="125"/>
      <c r="AE938" s="125"/>
    </row>
    <row r="939" spans="29:31" ht="15.75" customHeight="1" x14ac:dyDescent="0.2">
      <c r="AC939" s="122"/>
      <c r="AD939" s="125"/>
      <c r="AE939" s="125"/>
    </row>
    <row r="940" spans="29:31" ht="15.75" customHeight="1" x14ac:dyDescent="0.2">
      <c r="AC940" s="122"/>
      <c r="AD940" s="125"/>
      <c r="AE940" s="125"/>
    </row>
    <row r="941" spans="29:31" ht="15.75" customHeight="1" x14ac:dyDescent="0.2">
      <c r="AC941" s="122"/>
      <c r="AD941" s="125"/>
      <c r="AE941" s="125"/>
    </row>
    <row r="942" spans="29:31" ht="15.75" customHeight="1" x14ac:dyDescent="0.2">
      <c r="AC942" s="122"/>
      <c r="AD942" s="125"/>
      <c r="AE942" s="125"/>
    </row>
    <row r="943" spans="29:31" ht="15.75" customHeight="1" x14ac:dyDescent="0.2">
      <c r="AC943" s="122"/>
      <c r="AD943" s="125"/>
      <c r="AE943" s="125"/>
    </row>
    <row r="944" spans="29:31" ht="15.75" customHeight="1" x14ac:dyDescent="0.2">
      <c r="AC944" s="122"/>
      <c r="AD944" s="125"/>
      <c r="AE944" s="125"/>
    </row>
    <row r="945" spans="29:31" ht="15.75" customHeight="1" x14ac:dyDescent="0.2">
      <c r="AC945" s="122"/>
      <c r="AD945" s="125"/>
      <c r="AE945" s="125"/>
    </row>
    <row r="946" spans="29:31" ht="15.75" customHeight="1" x14ac:dyDescent="0.2">
      <c r="AC946" s="122"/>
      <c r="AD946" s="125"/>
      <c r="AE946" s="125"/>
    </row>
    <row r="947" spans="29:31" ht="15.75" customHeight="1" x14ac:dyDescent="0.2">
      <c r="AC947" s="122"/>
      <c r="AD947" s="125"/>
      <c r="AE947" s="125"/>
    </row>
    <row r="948" spans="29:31" ht="15.75" customHeight="1" x14ac:dyDescent="0.2">
      <c r="AC948" s="122"/>
      <c r="AD948" s="125"/>
      <c r="AE948" s="125"/>
    </row>
    <row r="949" spans="29:31" ht="15.75" customHeight="1" x14ac:dyDescent="0.2">
      <c r="AC949" s="122"/>
      <c r="AD949" s="125"/>
      <c r="AE949" s="125"/>
    </row>
    <row r="950" spans="29:31" ht="15.75" customHeight="1" x14ac:dyDescent="0.2">
      <c r="AC950" s="122"/>
      <c r="AD950" s="125"/>
      <c r="AE950" s="125"/>
    </row>
    <row r="951" spans="29:31" ht="15.75" customHeight="1" x14ac:dyDescent="0.2">
      <c r="AC951" s="122"/>
      <c r="AD951" s="125"/>
      <c r="AE951" s="125"/>
    </row>
    <row r="952" spans="29:31" ht="15.75" customHeight="1" x14ac:dyDescent="0.2">
      <c r="AC952" s="122"/>
      <c r="AD952" s="125"/>
      <c r="AE952" s="125"/>
    </row>
    <row r="953" spans="29:31" ht="15.75" customHeight="1" x14ac:dyDescent="0.2">
      <c r="AC953" s="122"/>
      <c r="AD953" s="125"/>
      <c r="AE953" s="125"/>
    </row>
    <row r="954" spans="29:31" ht="15.75" customHeight="1" x14ac:dyDescent="0.2">
      <c r="AC954" s="122"/>
      <c r="AD954" s="125"/>
      <c r="AE954" s="125"/>
    </row>
    <row r="955" spans="29:31" ht="15.75" customHeight="1" x14ac:dyDescent="0.2">
      <c r="AC955" s="122"/>
      <c r="AD955" s="125"/>
      <c r="AE955" s="125"/>
    </row>
    <row r="956" spans="29:31" ht="15.75" customHeight="1" x14ac:dyDescent="0.2">
      <c r="AC956" s="122"/>
      <c r="AD956" s="125"/>
      <c r="AE956" s="125"/>
    </row>
    <row r="957" spans="29:31" ht="15.75" customHeight="1" x14ac:dyDescent="0.2">
      <c r="AC957" s="122"/>
      <c r="AD957" s="125"/>
      <c r="AE957" s="125"/>
    </row>
    <row r="958" spans="29:31" ht="15.75" customHeight="1" x14ac:dyDescent="0.2">
      <c r="AC958" s="122"/>
      <c r="AD958" s="125"/>
      <c r="AE958" s="125"/>
    </row>
    <row r="959" spans="29:31" ht="15.75" customHeight="1" x14ac:dyDescent="0.2">
      <c r="AC959" s="122"/>
      <c r="AD959" s="125"/>
      <c r="AE959" s="125"/>
    </row>
    <row r="960" spans="29:31" ht="15.75" customHeight="1" x14ac:dyDescent="0.2">
      <c r="AC960" s="122"/>
      <c r="AD960" s="125"/>
      <c r="AE960" s="125"/>
    </row>
    <row r="961" spans="29:31" ht="15.75" customHeight="1" x14ac:dyDescent="0.2">
      <c r="AC961" s="122"/>
      <c r="AD961" s="125"/>
      <c r="AE961" s="125"/>
    </row>
    <row r="962" spans="29:31" ht="15.75" customHeight="1" x14ac:dyDescent="0.2">
      <c r="AC962" s="122"/>
      <c r="AD962" s="125"/>
      <c r="AE962" s="125"/>
    </row>
    <row r="963" spans="29:31" ht="15.75" customHeight="1" x14ac:dyDescent="0.2">
      <c r="AC963" s="122"/>
      <c r="AD963" s="125"/>
      <c r="AE963" s="125"/>
    </row>
    <row r="964" spans="29:31" ht="15.75" customHeight="1" x14ac:dyDescent="0.2">
      <c r="AC964" s="122"/>
      <c r="AD964" s="125"/>
      <c r="AE964" s="125"/>
    </row>
    <row r="965" spans="29:31" ht="15.75" customHeight="1" x14ac:dyDescent="0.2">
      <c r="AC965" s="122"/>
      <c r="AD965" s="125"/>
      <c r="AE965" s="125"/>
    </row>
    <row r="966" spans="29:31" ht="15.75" customHeight="1" x14ac:dyDescent="0.2">
      <c r="AC966" s="122"/>
      <c r="AD966" s="125"/>
      <c r="AE966" s="125"/>
    </row>
    <row r="967" spans="29:31" ht="15.75" customHeight="1" x14ac:dyDescent="0.2">
      <c r="AC967" s="122"/>
      <c r="AD967" s="125"/>
      <c r="AE967" s="125"/>
    </row>
    <row r="968" spans="29:31" ht="15.75" customHeight="1" x14ac:dyDescent="0.2">
      <c r="AC968" s="122"/>
      <c r="AD968" s="125"/>
      <c r="AE968" s="125"/>
    </row>
    <row r="969" spans="29:31" ht="15.75" customHeight="1" x14ac:dyDescent="0.2">
      <c r="AC969" s="122"/>
      <c r="AD969" s="125"/>
      <c r="AE969" s="125"/>
    </row>
    <row r="970" spans="29:31" ht="15.75" customHeight="1" x14ac:dyDescent="0.2">
      <c r="AC970" s="122"/>
      <c r="AD970" s="125"/>
      <c r="AE970" s="125"/>
    </row>
    <row r="971" spans="29:31" ht="15.75" customHeight="1" x14ac:dyDescent="0.2">
      <c r="AC971" s="122"/>
      <c r="AD971" s="125"/>
      <c r="AE971" s="125"/>
    </row>
    <row r="972" spans="29:31" ht="15.75" customHeight="1" x14ac:dyDescent="0.2">
      <c r="AC972" s="122"/>
      <c r="AD972" s="125"/>
      <c r="AE972" s="125"/>
    </row>
    <row r="973" spans="29:31" ht="15.75" customHeight="1" x14ac:dyDescent="0.2">
      <c r="AC973" s="122"/>
      <c r="AD973" s="125"/>
      <c r="AE973" s="125"/>
    </row>
    <row r="974" spans="29:31" ht="15.75" customHeight="1" x14ac:dyDescent="0.2">
      <c r="AC974" s="122"/>
      <c r="AD974" s="125"/>
      <c r="AE974" s="125"/>
    </row>
    <row r="975" spans="29:31" ht="15.75" customHeight="1" x14ac:dyDescent="0.2">
      <c r="AC975" s="122"/>
      <c r="AD975" s="125"/>
      <c r="AE975" s="125"/>
    </row>
    <row r="976" spans="29:31" ht="15.75" customHeight="1" x14ac:dyDescent="0.2">
      <c r="AC976" s="122"/>
      <c r="AD976" s="125"/>
      <c r="AE976" s="125"/>
    </row>
    <row r="977" spans="29:31" ht="15.75" customHeight="1" x14ac:dyDescent="0.2">
      <c r="AC977" s="122"/>
      <c r="AD977" s="125"/>
      <c r="AE977" s="125"/>
    </row>
    <row r="978" spans="29:31" ht="15.75" customHeight="1" x14ac:dyDescent="0.2">
      <c r="AC978" s="122"/>
      <c r="AD978" s="125"/>
      <c r="AE978" s="125"/>
    </row>
    <row r="979" spans="29:31" ht="15.75" customHeight="1" x14ac:dyDescent="0.2">
      <c r="AC979" s="122"/>
      <c r="AD979" s="125"/>
      <c r="AE979" s="125"/>
    </row>
    <row r="980" spans="29:31" ht="15.75" customHeight="1" x14ac:dyDescent="0.2">
      <c r="AC980" s="122"/>
      <c r="AD980" s="125"/>
      <c r="AE980" s="125"/>
    </row>
    <row r="981" spans="29:31" ht="15.75" customHeight="1" x14ac:dyDescent="0.2">
      <c r="AC981" s="122"/>
      <c r="AD981" s="125"/>
      <c r="AE981" s="125"/>
    </row>
    <row r="982" spans="29:31" ht="15.75" customHeight="1" x14ac:dyDescent="0.2">
      <c r="AC982" s="122"/>
      <c r="AD982" s="125"/>
      <c r="AE982" s="125"/>
    </row>
    <row r="983" spans="29:31" ht="15.75" customHeight="1" x14ac:dyDescent="0.2">
      <c r="AC983" s="122"/>
      <c r="AD983" s="125"/>
      <c r="AE983" s="125"/>
    </row>
    <row r="984" spans="29:31" ht="15.75" customHeight="1" x14ac:dyDescent="0.2">
      <c r="AC984" s="122"/>
      <c r="AD984" s="125"/>
      <c r="AE984" s="125"/>
    </row>
    <row r="985" spans="29:31" ht="15.75" customHeight="1" x14ac:dyDescent="0.2">
      <c r="AC985" s="122"/>
      <c r="AD985" s="125"/>
      <c r="AE985" s="125"/>
    </row>
    <row r="986" spans="29:31" ht="15.75" customHeight="1" x14ac:dyDescent="0.2">
      <c r="AC986" s="122"/>
      <c r="AD986" s="125"/>
      <c r="AE986" s="125"/>
    </row>
    <row r="987" spans="29:31" ht="15.75" customHeight="1" x14ac:dyDescent="0.2">
      <c r="AC987" s="122"/>
      <c r="AD987" s="125"/>
      <c r="AE987" s="125"/>
    </row>
    <row r="988" spans="29:31" ht="15.75" customHeight="1" x14ac:dyDescent="0.2">
      <c r="AC988" s="122"/>
      <c r="AD988" s="125"/>
      <c r="AE988" s="125"/>
    </row>
    <row r="989" spans="29:31" ht="15.75" customHeight="1" x14ac:dyDescent="0.2">
      <c r="AC989" s="122"/>
      <c r="AD989" s="125"/>
      <c r="AE989" s="125"/>
    </row>
    <row r="990" spans="29:31" ht="15.75" customHeight="1" x14ac:dyDescent="0.2">
      <c r="AC990" s="122"/>
      <c r="AD990" s="125"/>
      <c r="AE990" s="125"/>
    </row>
    <row r="991" spans="29:31" ht="15.75" customHeight="1" x14ac:dyDescent="0.2">
      <c r="AC991" s="122"/>
      <c r="AD991" s="125"/>
      <c r="AE991" s="125"/>
    </row>
    <row r="992" spans="29:31" ht="15.75" customHeight="1" x14ac:dyDescent="0.2">
      <c r="AC992" s="122"/>
      <c r="AD992" s="125"/>
      <c r="AE992" s="125"/>
    </row>
    <row r="993" spans="29:31" ht="15.75" customHeight="1" x14ac:dyDescent="0.2">
      <c r="AC993" s="122"/>
      <c r="AD993" s="125"/>
      <c r="AE993" s="125"/>
    </row>
    <row r="994" spans="29:31" ht="15.75" customHeight="1" x14ac:dyDescent="0.2">
      <c r="AC994" s="122"/>
      <c r="AD994" s="125"/>
      <c r="AE994" s="125"/>
    </row>
    <row r="995" spans="29:31" ht="15.75" customHeight="1" x14ac:dyDescent="0.2">
      <c r="AC995" s="122"/>
      <c r="AD995" s="125"/>
      <c r="AE995" s="125"/>
    </row>
    <row r="996" spans="29:31" ht="15.75" customHeight="1" x14ac:dyDescent="0.2">
      <c r="AC996" s="122"/>
      <c r="AD996" s="125"/>
      <c r="AE996" s="125"/>
    </row>
    <row r="997" spans="29:31" ht="15.75" customHeight="1" x14ac:dyDescent="0.2">
      <c r="AC997" s="122"/>
      <c r="AD997" s="125"/>
      <c r="AE997" s="125"/>
    </row>
    <row r="998" spans="29:31" ht="15.75" customHeight="1" x14ac:dyDescent="0.2">
      <c r="AC998" s="122"/>
      <c r="AD998" s="125"/>
      <c r="AE998" s="125"/>
    </row>
    <row r="999" spans="29:31" ht="15.75" customHeight="1" x14ac:dyDescent="0.2">
      <c r="AC999" s="122"/>
      <c r="AD999" s="125"/>
      <c r="AE999" s="125"/>
    </row>
    <row r="1000" spans="29:31" ht="15.75" customHeight="1" x14ac:dyDescent="0.2">
      <c r="AC1000" s="122"/>
      <c r="AD1000" s="125"/>
      <c r="AE1000" s="125"/>
    </row>
    <row r="1001" spans="29:31" ht="15.75" customHeight="1" x14ac:dyDescent="0.2">
      <c r="AC1001" s="122"/>
      <c r="AD1001" s="125"/>
      <c r="AE1001" s="125"/>
    </row>
    <row r="1002" spans="29:31" ht="15.75" customHeight="1" x14ac:dyDescent="0.2">
      <c r="AC1002" s="122"/>
      <c r="AD1002" s="125"/>
      <c r="AE1002" s="125"/>
    </row>
    <row r="1003" spans="29:31" ht="15.75" customHeight="1" x14ac:dyDescent="0.2">
      <c r="AC1003" s="122"/>
      <c r="AD1003" s="125"/>
      <c r="AE1003" s="125"/>
    </row>
    <row r="1004" spans="29:31" ht="15.75" customHeight="1" x14ac:dyDescent="0.2">
      <c r="AC1004" s="122"/>
      <c r="AD1004" s="125"/>
      <c r="AE1004" s="125"/>
    </row>
  </sheetData>
  <pageMargins left="0" right="0.70866141732283472" top="0.74803149606299213" bottom="0.74803149606299213" header="0" footer="0"/>
  <pageSetup scale="75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1000"/>
  <sheetViews>
    <sheetView showGridLines="0" workbookViewId="0">
      <pane xSplit="3" ySplit="2" topLeftCell="D3" activePane="bottomRight" state="frozen"/>
      <selection activeCell="B1" sqref="B1:B1048576"/>
      <selection pane="topRight" activeCell="B1" sqref="B1:B1048576"/>
      <selection pane="bottomLeft" activeCell="B1" sqref="B1:B1048576"/>
      <selection pane="bottomRight" activeCell="E5" sqref="E5"/>
    </sheetView>
  </sheetViews>
  <sheetFormatPr baseColWidth="10" defaultColWidth="12.59765625" defaultRowHeight="15" customHeight="1" x14ac:dyDescent="0.2"/>
  <cols>
    <col min="1" max="1" width="1.5" style="121" customWidth="1"/>
    <col min="2" max="2" width="12" style="121" customWidth="1"/>
    <col min="3" max="3" width="24.3984375" style="121" customWidth="1"/>
    <col min="4" max="5" width="7.59765625" style="121" customWidth="1"/>
    <col min="6" max="7" width="7.8984375" style="121" customWidth="1"/>
    <col min="8" max="9" width="9.69921875" style="121" customWidth="1"/>
    <col min="10" max="11" width="7.59765625" style="121" customWidth="1"/>
    <col min="12" max="13" width="9" style="121" customWidth="1"/>
    <col min="14" max="15" width="8.69921875" style="121" customWidth="1"/>
    <col min="16" max="18" width="7.8984375" style="121" customWidth="1"/>
    <col min="19" max="19" width="7.8984375" style="121" hidden="1" customWidth="1"/>
    <col min="20" max="20" width="8.19921875" style="121" customWidth="1"/>
    <col min="21" max="21" width="8.19921875" style="121" hidden="1" customWidth="1"/>
    <col min="22" max="22" width="8.19921875" style="121" customWidth="1"/>
    <col min="23" max="23" width="8.19921875" style="121" hidden="1" customWidth="1"/>
    <col min="24" max="24" width="7.59765625" style="121" customWidth="1"/>
    <col min="25" max="25" width="7.59765625" style="121" hidden="1" customWidth="1"/>
    <col min="26" max="26" width="6.69921875" style="121" customWidth="1"/>
    <col min="27" max="27" width="6.69921875" style="121" hidden="1" customWidth="1"/>
    <col min="28" max="28" width="9.69921875" style="121" customWidth="1"/>
    <col min="29" max="16384" width="12.59765625" style="121"/>
  </cols>
  <sheetData>
    <row r="1" spans="2:31" ht="15" customHeight="1" x14ac:dyDescent="0.2">
      <c r="AC1" s="122"/>
      <c r="AD1" s="172" t="s">
        <v>78</v>
      </c>
      <c r="AE1" s="173" t="s">
        <v>79</v>
      </c>
    </row>
    <row r="2" spans="2:31" ht="12.75" customHeight="1" x14ac:dyDescent="0.2">
      <c r="B2" s="125"/>
      <c r="C2" s="180" t="s">
        <v>193</v>
      </c>
      <c r="D2" s="172">
        <v>45658</v>
      </c>
      <c r="E2" s="173">
        <v>45658</v>
      </c>
      <c r="F2" s="172">
        <v>45689</v>
      </c>
      <c r="G2" s="173">
        <v>45689</v>
      </c>
      <c r="H2" s="172">
        <v>45717</v>
      </c>
      <c r="I2" s="173">
        <v>45717</v>
      </c>
      <c r="J2" s="172">
        <v>45748</v>
      </c>
      <c r="K2" s="173">
        <v>45748</v>
      </c>
      <c r="L2" s="172">
        <v>45778</v>
      </c>
      <c r="M2" s="173">
        <v>45778</v>
      </c>
      <c r="N2" s="172">
        <v>45809</v>
      </c>
      <c r="O2" s="173">
        <v>45809</v>
      </c>
      <c r="P2" s="172">
        <v>45839</v>
      </c>
      <c r="Q2" s="173">
        <v>45839</v>
      </c>
      <c r="R2" s="172">
        <v>45870</v>
      </c>
      <c r="S2" s="173">
        <v>45870</v>
      </c>
      <c r="T2" s="172">
        <v>45901</v>
      </c>
      <c r="U2" s="173">
        <v>45901</v>
      </c>
      <c r="V2" s="172">
        <v>45931</v>
      </c>
      <c r="W2" s="173">
        <v>45931</v>
      </c>
      <c r="X2" s="172">
        <v>45962</v>
      </c>
      <c r="Y2" s="173">
        <v>45962</v>
      </c>
      <c r="Z2" s="172">
        <v>45992</v>
      </c>
      <c r="AA2" s="173">
        <v>45992</v>
      </c>
      <c r="AB2" s="127">
        <v>2025</v>
      </c>
      <c r="AC2" s="122"/>
      <c r="AD2" s="172" t="s">
        <v>81</v>
      </c>
      <c r="AE2" s="173" t="s">
        <v>81</v>
      </c>
    </row>
    <row r="3" spans="2:31" ht="12.75" customHeight="1" x14ac:dyDescent="0.2">
      <c r="B3" s="125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2"/>
    </row>
    <row r="4" spans="2:31" ht="12.75" customHeight="1" x14ac:dyDescent="0.2">
      <c r="B4" s="125"/>
      <c r="C4" s="129" t="s">
        <v>194</v>
      </c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2"/>
    </row>
    <row r="5" spans="2:31" ht="12.75" customHeight="1" x14ac:dyDescent="0.2">
      <c r="B5" s="125" t="s">
        <v>195</v>
      </c>
      <c r="C5" s="134" t="s">
        <v>196</v>
      </c>
      <c r="D5" s="134">
        <f>650*25</f>
        <v>16250</v>
      </c>
      <c r="E5" s="134">
        <v>0</v>
      </c>
      <c r="F5" s="134">
        <v>16250</v>
      </c>
      <c r="G5" s="134">
        <v>0</v>
      </c>
      <c r="H5" s="134">
        <v>16250</v>
      </c>
      <c r="I5" s="134">
        <v>0</v>
      </c>
      <c r="J5" s="134">
        <v>16250</v>
      </c>
      <c r="K5" s="134">
        <v>0</v>
      </c>
      <c r="L5" s="134">
        <f>650*25</f>
        <v>16250</v>
      </c>
      <c r="M5" s="134">
        <v>0</v>
      </c>
      <c r="N5" s="134">
        <f>650*25</f>
        <v>16250</v>
      </c>
      <c r="O5" s="134">
        <v>0</v>
      </c>
      <c r="P5" s="134">
        <f>650*25</f>
        <v>16250</v>
      </c>
      <c r="Q5" s="134">
        <v>0</v>
      </c>
      <c r="R5" s="134">
        <f t="shared" ref="R5:Z5" si="0">650*25</f>
        <v>16250</v>
      </c>
      <c r="S5" s="134"/>
      <c r="T5" s="134">
        <f t="shared" si="0"/>
        <v>16250</v>
      </c>
      <c r="U5" s="134"/>
      <c r="V5" s="134">
        <f t="shared" si="0"/>
        <v>16250</v>
      </c>
      <c r="W5" s="134"/>
      <c r="X5" s="134">
        <f t="shared" si="0"/>
        <v>16250</v>
      </c>
      <c r="Y5" s="134"/>
      <c r="Z5" s="134">
        <f t="shared" si="0"/>
        <v>16250</v>
      </c>
      <c r="AA5" s="134"/>
      <c r="AB5" s="134">
        <f t="shared" ref="AB5:AB6" si="1">D5+F5+H5+J5+L5+N5+P5+R5+T5+V5+X5+Z5</f>
        <v>195000</v>
      </c>
      <c r="AC5" s="122"/>
      <c r="AD5" s="134">
        <f>D5+F5+H5+J5+L5+N5+P5</f>
        <v>113750</v>
      </c>
      <c r="AE5" s="153">
        <f>E5+G5+I5+K5+M5+O5+Q5</f>
        <v>0</v>
      </c>
    </row>
    <row r="6" spans="2:31" ht="12.75" customHeight="1" x14ac:dyDescent="0.2">
      <c r="B6" s="125" t="s">
        <v>197</v>
      </c>
      <c r="C6" s="134" t="s">
        <v>198</v>
      </c>
      <c r="D6" s="134">
        <f>650*15</f>
        <v>9750</v>
      </c>
      <c r="E6" s="134">
        <v>0</v>
      </c>
      <c r="F6" s="134">
        <v>9750</v>
      </c>
      <c r="G6" s="134">
        <v>0</v>
      </c>
      <c r="H6" s="134">
        <v>9750</v>
      </c>
      <c r="I6" s="134">
        <v>5850</v>
      </c>
      <c r="J6" s="134">
        <v>9750</v>
      </c>
      <c r="K6" s="134">
        <v>3600</v>
      </c>
      <c r="L6" s="134">
        <f>650*15</f>
        <v>9750</v>
      </c>
      <c r="M6" s="134">
        <v>740</v>
      </c>
      <c r="N6" s="134">
        <f>650*15</f>
        <v>9750</v>
      </c>
      <c r="O6" s="134">
        <v>5850</v>
      </c>
      <c r="P6" s="134">
        <f>650*15</f>
        <v>9750</v>
      </c>
      <c r="Q6" s="134">
        <v>6750</v>
      </c>
      <c r="R6" s="134">
        <f t="shared" ref="R6:Z6" si="2">650*15</f>
        <v>9750</v>
      </c>
      <c r="S6" s="134"/>
      <c r="T6" s="134">
        <f t="shared" si="2"/>
        <v>9750</v>
      </c>
      <c r="U6" s="134"/>
      <c r="V6" s="134">
        <f t="shared" si="2"/>
        <v>9750</v>
      </c>
      <c r="W6" s="134"/>
      <c r="X6" s="134">
        <f t="shared" si="2"/>
        <v>9750</v>
      </c>
      <c r="Y6" s="134"/>
      <c r="Z6" s="134">
        <f t="shared" si="2"/>
        <v>9750</v>
      </c>
      <c r="AA6" s="134"/>
      <c r="AB6" s="134">
        <f t="shared" si="1"/>
        <v>117000</v>
      </c>
      <c r="AC6" s="122"/>
      <c r="AD6" s="134">
        <f>D6+F6+H6+J6+L6+N6+P6</f>
        <v>68250</v>
      </c>
      <c r="AE6" s="153">
        <f>E6+G6+I6+K6+M6+O6+Q6</f>
        <v>22790</v>
      </c>
    </row>
    <row r="7" spans="2:31" ht="12.75" customHeight="1" x14ac:dyDescent="0.2">
      <c r="B7" s="125"/>
      <c r="C7" s="135" t="s">
        <v>199</v>
      </c>
      <c r="D7" s="136">
        <f t="shared" ref="D7:AB7" si="3">SUM(D5:D6)</f>
        <v>26000</v>
      </c>
      <c r="E7" s="136">
        <f t="shared" si="3"/>
        <v>0</v>
      </c>
      <c r="F7" s="136">
        <f t="shared" si="3"/>
        <v>26000</v>
      </c>
      <c r="G7" s="136">
        <f t="shared" si="3"/>
        <v>0</v>
      </c>
      <c r="H7" s="136">
        <f t="shared" si="3"/>
        <v>26000</v>
      </c>
      <c r="I7" s="136">
        <f t="shared" si="3"/>
        <v>5850</v>
      </c>
      <c r="J7" s="136">
        <f t="shared" si="3"/>
        <v>26000</v>
      </c>
      <c r="K7" s="136">
        <f t="shared" si="3"/>
        <v>3600</v>
      </c>
      <c r="L7" s="136">
        <f t="shared" si="3"/>
        <v>26000</v>
      </c>
      <c r="M7" s="136">
        <f t="shared" si="3"/>
        <v>740</v>
      </c>
      <c r="N7" s="136">
        <f t="shared" si="3"/>
        <v>26000</v>
      </c>
      <c r="O7" s="136">
        <f t="shared" si="3"/>
        <v>5850</v>
      </c>
      <c r="P7" s="136">
        <f t="shared" si="3"/>
        <v>26000</v>
      </c>
      <c r="Q7" s="136">
        <f t="shared" si="3"/>
        <v>6750</v>
      </c>
      <c r="R7" s="136">
        <f t="shared" si="3"/>
        <v>26000</v>
      </c>
      <c r="S7" s="137"/>
      <c r="T7" s="136">
        <f t="shared" si="3"/>
        <v>26000</v>
      </c>
      <c r="U7" s="137"/>
      <c r="V7" s="136">
        <f t="shared" si="3"/>
        <v>26000</v>
      </c>
      <c r="W7" s="137"/>
      <c r="X7" s="136">
        <f t="shared" si="3"/>
        <v>26000</v>
      </c>
      <c r="Y7" s="137"/>
      <c r="Z7" s="136">
        <f t="shared" si="3"/>
        <v>26000</v>
      </c>
      <c r="AA7" s="137"/>
      <c r="AB7" s="136">
        <f t="shared" si="3"/>
        <v>312000</v>
      </c>
      <c r="AC7" s="122"/>
      <c r="AD7" s="136">
        <f t="shared" ref="AD7:AE7" si="4">SUM(AD5:AD6)</f>
        <v>182000</v>
      </c>
      <c r="AE7" s="136">
        <f t="shared" si="4"/>
        <v>22790</v>
      </c>
    </row>
    <row r="8" spans="2:31" ht="12.75" customHeight="1" x14ac:dyDescent="0.2">
      <c r="B8" s="125"/>
      <c r="C8" s="128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22"/>
    </row>
    <row r="9" spans="2:31" ht="12.75" customHeight="1" x14ac:dyDescent="0.2">
      <c r="B9" s="125"/>
      <c r="C9" s="129" t="s">
        <v>200</v>
      </c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34"/>
      <c r="AC9" s="122"/>
    </row>
    <row r="10" spans="2:31" ht="12.75" customHeight="1" x14ac:dyDescent="0.2">
      <c r="B10" s="125" t="s">
        <v>201</v>
      </c>
      <c r="C10" s="125" t="s">
        <v>202</v>
      </c>
      <c r="D10" s="134">
        <v>18000</v>
      </c>
      <c r="E10" s="134">
        <v>0</v>
      </c>
      <c r="F10" s="134">
        <v>18000</v>
      </c>
      <c r="G10" s="134">
        <v>0</v>
      </c>
      <c r="H10" s="134">
        <v>18000</v>
      </c>
      <c r="I10" s="134">
        <v>0</v>
      </c>
      <c r="J10" s="134">
        <v>18000</v>
      </c>
      <c r="K10" s="134">
        <v>0</v>
      </c>
      <c r="L10" s="134">
        <v>18000</v>
      </c>
      <c r="M10" s="134">
        <v>0</v>
      </c>
      <c r="N10" s="134">
        <v>18000</v>
      </c>
      <c r="O10" s="134">
        <v>0</v>
      </c>
      <c r="P10" s="134">
        <v>18000</v>
      </c>
      <c r="Q10" s="134">
        <v>372.75</v>
      </c>
      <c r="R10" s="134">
        <v>18000</v>
      </c>
      <c r="S10" s="134"/>
      <c r="T10" s="134">
        <v>18000</v>
      </c>
      <c r="U10" s="134"/>
      <c r="V10" s="134">
        <v>18000</v>
      </c>
      <c r="W10" s="134"/>
      <c r="X10" s="134">
        <v>18000</v>
      </c>
      <c r="Y10" s="134"/>
      <c r="Z10" s="134">
        <v>18000</v>
      </c>
      <c r="AA10" s="134"/>
      <c r="AB10" s="134">
        <f t="shared" ref="AB10:AB11" si="5">D10+F10+H10+J10+L10+N10+P10+R10+T10+V10+X10+Z10</f>
        <v>216000</v>
      </c>
      <c r="AC10" s="122"/>
      <c r="AD10" s="134">
        <f>D10+F10+H10+J10+L10+N10+P10</f>
        <v>126000</v>
      </c>
      <c r="AE10" s="134">
        <f>E10+G10+I10+K10+M10+O10+Q10</f>
        <v>372.75</v>
      </c>
    </row>
    <row r="11" spans="2:31" ht="12.75" customHeight="1" x14ac:dyDescent="0.2">
      <c r="B11" s="125" t="s">
        <v>203</v>
      </c>
      <c r="C11" s="125" t="s">
        <v>198</v>
      </c>
      <c r="D11" s="134">
        <f>560*14</f>
        <v>7840</v>
      </c>
      <c r="E11" s="134">
        <v>0</v>
      </c>
      <c r="F11" s="134">
        <v>7840</v>
      </c>
      <c r="G11" s="134">
        <v>0</v>
      </c>
      <c r="H11" s="134">
        <v>7840</v>
      </c>
      <c r="I11" s="134">
        <v>656.5</v>
      </c>
      <c r="J11" s="134">
        <v>7840</v>
      </c>
      <c r="K11" s="134">
        <v>20698.439999999999</v>
      </c>
      <c r="L11" s="134">
        <f>560*14</f>
        <v>7840</v>
      </c>
      <c r="M11" s="134">
        <v>8908.76</v>
      </c>
      <c r="N11" s="134">
        <f>560*14</f>
        <v>7840</v>
      </c>
      <c r="O11" s="134">
        <v>8460.24</v>
      </c>
      <c r="P11" s="134">
        <f>560*14</f>
        <v>7840</v>
      </c>
      <c r="Q11" s="134">
        <v>2200</v>
      </c>
      <c r="R11" s="134">
        <f t="shared" ref="R11:Z11" si="6">560*14</f>
        <v>7840</v>
      </c>
      <c r="S11" s="134"/>
      <c r="T11" s="134">
        <f t="shared" si="6"/>
        <v>7840</v>
      </c>
      <c r="U11" s="134"/>
      <c r="V11" s="134">
        <f t="shared" si="6"/>
        <v>7840</v>
      </c>
      <c r="W11" s="134"/>
      <c r="X11" s="134">
        <f t="shared" si="6"/>
        <v>7840</v>
      </c>
      <c r="Y11" s="134"/>
      <c r="Z11" s="134">
        <f t="shared" si="6"/>
        <v>7840</v>
      </c>
      <c r="AA11" s="134"/>
      <c r="AB11" s="134">
        <f t="shared" si="5"/>
        <v>94080</v>
      </c>
      <c r="AC11" s="122"/>
      <c r="AD11" s="134">
        <f>D11+F11+H11+J11+L11+N11+P11</f>
        <v>54880</v>
      </c>
      <c r="AE11" s="134">
        <f>E11+G11+I11+K11+M11+O11+Q11</f>
        <v>40923.939999999995</v>
      </c>
    </row>
    <row r="12" spans="2:31" ht="12.75" customHeight="1" x14ac:dyDescent="0.2">
      <c r="B12" s="125"/>
      <c r="C12" s="135" t="s">
        <v>204</v>
      </c>
      <c r="D12" s="136">
        <f t="shared" ref="D12:AB12" si="7">SUM(D10:D11)</f>
        <v>25840</v>
      </c>
      <c r="E12" s="136">
        <f t="shared" si="7"/>
        <v>0</v>
      </c>
      <c r="F12" s="136">
        <f t="shared" si="7"/>
        <v>25840</v>
      </c>
      <c r="G12" s="136">
        <f t="shared" si="7"/>
        <v>0</v>
      </c>
      <c r="H12" s="136">
        <f t="shared" si="7"/>
        <v>25840</v>
      </c>
      <c r="I12" s="136">
        <f t="shared" si="7"/>
        <v>656.5</v>
      </c>
      <c r="J12" s="136">
        <f t="shared" si="7"/>
        <v>25840</v>
      </c>
      <c r="K12" s="136">
        <f t="shared" si="7"/>
        <v>20698.439999999999</v>
      </c>
      <c r="L12" s="136">
        <f t="shared" si="7"/>
        <v>25840</v>
      </c>
      <c r="M12" s="136">
        <f t="shared" si="7"/>
        <v>8908.76</v>
      </c>
      <c r="N12" s="136">
        <f t="shared" si="7"/>
        <v>25840</v>
      </c>
      <c r="O12" s="136">
        <f t="shared" si="7"/>
        <v>8460.24</v>
      </c>
      <c r="P12" s="136">
        <f t="shared" si="7"/>
        <v>25840</v>
      </c>
      <c r="Q12" s="136">
        <f t="shared" si="7"/>
        <v>2572.75</v>
      </c>
      <c r="R12" s="136">
        <f t="shared" si="7"/>
        <v>25840</v>
      </c>
      <c r="S12" s="137"/>
      <c r="T12" s="136">
        <f t="shared" si="7"/>
        <v>25840</v>
      </c>
      <c r="U12" s="137"/>
      <c r="V12" s="136">
        <f t="shared" si="7"/>
        <v>25840</v>
      </c>
      <c r="W12" s="137"/>
      <c r="X12" s="136">
        <f t="shared" si="7"/>
        <v>25840</v>
      </c>
      <c r="Y12" s="137"/>
      <c r="Z12" s="136">
        <f t="shared" si="7"/>
        <v>25840</v>
      </c>
      <c r="AA12" s="137"/>
      <c r="AB12" s="136">
        <f t="shared" si="7"/>
        <v>310080</v>
      </c>
      <c r="AC12" s="122"/>
      <c r="AD12" s="136">
        <f t="shared" ref="AD12:AE12" si="8">SUM(AD10:AD11)</f>
        <v>180880</v>
      </c>
      <c r="AE12" s="136">
        <f t="shared" si="8"/>
        <v>41296.689999999995</v>
      </c>
    </row>
    <row r="13" spans="2:31" ht="12.75" customHeight="1" x14ac:dyDescent="0.2">
      <c r="B13" s="125"/>
      <c r="C13" s="178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22"/>
      <c r="AD13" s="179"/>
      <c r="AE13" s="179"/>
    </row>
    <row r="14" spans="2:31" ht="12.75" customHeight="1" x14ac:dyDescent="0.2">
      <c r="B14" s="125"/>
      <c r="C14" s="138" t="s">
        <v>205</v>
      </c>
      <c r="D14" s="139">
        <f t="shared" ref="D14:AB14" si="9">+D7-D12</f>
        <v>160</v>
      </c>
      <c r="E14" s="139">
        <f t="shared" si="9"/>
        <v>0</v>
      </c>
      <c r="F14" s="139">
        <f t="shared" si="9"/>
        <v>160</v>
      </c>
      <c r="G14" s="139">
        <f t="shared" si="9"/>
        <v>0</v>
      </c>
      <c r="H14" s="139">
        <f t="shared" si="9"/>
        <v>160</v>
      </c>
      <c r="I14" s="139">
        <f t="shared" si="9"/>
        <v>5193.5</v>
      </c>
      <c r="J14" s="139">
        <f t="shared" si="9"/>
        <v>160</v>
      </c>
      <c r="K14" s="139">
        <f t="shared" si="9"/>
        <v>-17098.439999999999</v>
      </c>
      <c r="L14" s="139">
        <f t="shared" si="9"/>
        <v>160</v>
      </c>
      <c r="M14" s="139">
        <f t="shared" si="9"/>
        <v>-8168.76</v>
      </c>
      <c r="N14" s="139">
        <f t="shared" si="9"/>
        <v>160</v>
      </c>
      <c r="O14" s="139">
        <f t="shared" si="9"/>
        <v>-2610.2399999999998</v>
      </c>
      <c r="P14" s="139">
        <f t="shared" si="9"/>
        <v>160</v>
      </c>
      <c r="Q14" s="139">
        <f t="shared" si="9"/>
        <v>4177.25</v>
      </c>
      <c r="R14" s="139">
        <f t="shared" si="9"/>
        <v>160</v>
      </c>
      <c r="S14" s="139"/>
      <c r="T14" s="139">
        <f t="shared" si="9"/>
        <v>160</v>
      </c>
      <c r="U14" s="139"/>
      <c r="V14" s="139">
        <f t="shared" si="9"/>
        <v>160</v>
      </c>
      <c r="W14" s="139"/>
      <c r="X14" s="139">
        <f t="shared" si="9"/>
        <v>160</v>
      </c>
      <c r="Y14" s="139"/>
      <c r="Z14" s="139">
        <f t="shared" si="9"/>
        <v>160</v>
      </c>
      <c r="AA14" s="139"/>
      <c r="AB14" s="140">
        <f t="shared" si="9"/>
        <v>1920</v>
      </c>
      <c r="AC14" s="122"/>
      <c r="AD14" s="139">
        <f t="shared" ref="AD14:AE14" si="10">+AD7-AD12</f>
        <v>1120</v>
      </c>
      <c r="AE14" s="139">
        <f t="shared" si="10"/>
        <v>-18506.689999999995</v>
      </c>
    </row>
    <row r="15" spans="2:31" ht="10.199999999999999" x14ac:dyDescent="0.2">
      <c r="AC15" s="122"/>
    </row>
    <row r="16" spans="2:31" ht="10.199999999999999" x14ac:dyDescent="0.2">
      <c r="AC16" s="122"/>
    </row>
    <row r="17" spans="1:38" ht="12.75" customHeight="1" x14ac:dyDescent="0.2">
      <c r="B17" s="125"/>
      <c r="C17" s="129" t="s">
        <v>206</v>
      </c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2"/>
    </row>
    <row r="18" spans="1:38" ht="12.75" customHeight="1" x14ac:dyDescent="0.2">
      <c r="B18" s="125"/>
      <c r="C18" s="129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2"/>
    </row>
    <row r="19" spans="1:38" ht="12.75" customHeight="1" x14ac:dyDescent="0.2">
      <c r="B19" s="181" t="s">
        <v>207</v>
      </c>
      <c r="C19" s="182" t="s">
        <v>208</v>
      </c>
      <c r="D19" s="183">
        <f>SUM(D20)</f>
        <v>0</v>
      </c>
      <c r="E19" s="183">
        <v>0</v>
      </c>
      <c r="F19" s="183">
        <v>14500</v>
      </c>
      <c r="G19" s="183">
        <v>0</v>
      </c>
      <c r="H19" s="183">
        <v>14500</v>
      </c>
      <c r="I19" s="183">
        <v>4093.19</v>
      </c>
      <c r="J19" s="183">
        <v>0</v>
      </c>
      <c r="K19" s="183">
        <v>-232</v>
      </c>
      <c r="L19" s="183">
        <f>SUM(L20)</f>
        <v>0</v>
      </c>
      <c r="M19" s="183">
        <v>33715.300000000003</v>
      </c>
      <c r="N19" s="183">
        <f>SUM(N20)</f>
        <v>14500</v>
      </c>
      <c r="O19" s="183">
        <v>0</v>
      </c>
      <c r="P19" s="183">
        <f>SUM(P20)</f>
        <v>0</v>
      </c>
      <c r="Q19" s="183">
        <v>11069.43</v>
      </c>
      <c r="R19" s="183">
        <f t="shared" ref="R19:Z19" si="11">SUM(R20)</f>
        <v>0</v>
      </c>
      <c r="S19" s="184"/>
      <c r="T19" s="183">
        <f t="shared" si="11"/>
        <v>0</v>
      </c>
      <c r="U19" s="184"/>
      <c r="V19" s="183">
        <f t="shared" si="11"/>
        <v>14500</v>
      </c>
      <c r="W19" s="184"/>
      <c r="X19" s="183">
        <f t="shared" si="11"/>
        <v>0</v>
      </c>
      <c r="Y19" s="184"/>
      <c r="Z19" s="183">
        <f t="shared" si="11"/>
        <v>0</v>
      </c>
      <c r="AA19" s="184"/>
      <c r="AB19" s="183">
        <f t="shared" ref="AB19:AB26" si="12">D19+F19+H19+J19+L19+N19+P19+R19+T19+V19+X19+Z19</f>
        <v>58000</v>
      </c>
      <c r="AC19" s="122"/>
      <c r="AD19" s="183">
        <f t="shared" ref="AD19:AE26" si="13">D19+F19+H19+J19+L19+N19+P19</f>
        <v>43500</v>
      </c>
      <c r="AE19" s="183">
        <f t="shared" si="13"/>
        <v>48645.920000000006</v>
      </c>
    </row>
    <row r="20" spans="1:38" ht="12.75" customHeight="1" x14ac:dyDescent="0.2">
      <c r="B20" s="181"/>
      <c r="C20" s="185" t="s">
        <v>209</v>
      </c>
      <c r="D20" s="186">
        <v>0</v>
      </c>
      <c r="E20" s="186">
        <v>0</v>
      </c>
      <c r="F20" s="186">
        <v>14500</v>
      </c>
      <c r="G20" s="186">
        <v>0</v>
      </c>
      <c r="H20" s="186">
        <v>14500</v>
      </c>
      <c r="I20" s="186">
        <v>4093.19</v>
      </c>
      <c r="J20" s="186">
        <v>0</v>
      </c>
      <c r="K20" s="186">
        <v>-232</v>
      </c>
      <c r="L20" s="186">
        <v>0</v>
      </c>
      <c r="M20" s="186">
        <v>33715.300000000003</v>
      </c>
      <c r="N20" s="186">
        <v>14500</v>
      </c>
      <c r="O20" s="186">
        <v>0</v>
      </c>
      <c r="P20" s="186">
        <v>0</v>
      </c>
      <c r="Q20" s="186">
        <v>11069.43</v>
      </c>
      <c r="R20" s="186">
        <v>0</v>
      </c>
      <c r="S20" s="187"/>
      <c r="T20" s="186">
        <v>0</v>
      </c>
      <c r="U20" s="187"/>
      <c r="V20" s="186">
        <v>14500</v>
      </c>
      <c r="W20" s="187"/>
      <c r="X20" s="186">
        <v>0</v>
      </c>
      <c r="Y20" s="187"/>
      <c r="Z20" s="186">
        <v>0</v>
      </c>
      <c r="AA20" s="187"/>
      <c r="AB20" s="133">
        <f t="shared" si="12"/>
        <v>58000</v>
      </c>
      <c r="AC20" s="122"/>
      <c r="AD20" s="134">
        <f t="shared" si="13"/>
        <v>43500</v>
      </c>
      <c r="AE20" s="134">
        <f t="shared" si="13"/>
        <v>48645.920000000006</v>
      </c>
    </row>
    <row r="21" spans="1:38" ht="12.75" customHeight="1" x14ac:dyDescent="0.2">
      <c r="A21" s="125"/>
      <c r="B21" s="181" t="s">
        <v>210</v>
      </c>
      <c r="C21" s="155" t="s">
        <v>211</v>
      </c>
      <c r="D21" s="188">
        <v>0</v>
      </c>
      <c r="E21" s="188">
        <v>0</v>
      </c>
      <c r="F21" s="188">
        <v>0</v>
      </c>
      <c r="G21" s="188">
        <v>0</v>
      </c>
      <c r="H21" s="188">
        <v>15000</v>
      </c>
      <c r="I21" s="188">
        <v>9472.26</v>
      </c>
      <c r="J21" s="188">
        <v>0</v>
      </c>
      <c r="K21" s="188">
        <v>0</v>
      </c>
      <c r="L21" s="188">
        <v>0</v>
      </c>
      <c r="M21" s="188">
        <v>0</v>
      </c>
      <c r="N21" s="188">
        <v>0</v>
      </c>
      <c r="O21" s="188">
        <v>0</v>
      </c>
      <c r="P21" s="188">
        <v>15000</v>
      </c>
      <c r="Q21" s="188">
        <v>9570.15</v>
      </c>
      <c r="R21" s="188">
        <v>0</v>
      </c>
      <c r="S21" s="189"/>
      <c r="T21" s="188">
        <v>0</v>
      </c>
      <c r="U21" s="189"/>
      <c r="V21" s="188">
        <v>0</v>
      </c>
      <c r="W21" s="189"/>
      <c r="X21" s="188">
        <v>0</v>
      </c>
      <c r="Y21" s="189"/>
      <c r="Z21" s="188">
        <v>0</v>
      </c>
      <c r="AA21" s="189"/>
      <c r="AB21" s="134">
        <f t="shared" si="12"/>
        <v>30000</v>
      </c>
      <c r="AC21" s="122"/>
      <c r="AD21" s="134">
        <f t="shared" si="13"/>
        <v>30000</v>
      </c>
      <c r="AE21" s="134">
        <f t="shared" si="13"/>
        <v>19042.41</v>
      </c>
      <c r="AF21" s="125"/>
      <c r="AG21" s="125"/>
      <c r="AH21" s="125"/>
      <c r="AI21" s="125"/>
      <c r="AJ21" s="125"/>
      <c r="AK21" s="125"/>
      <c r="AL21" s="125"/>
    </row>
    <row r="22" spans="1:38" ht="12.75" customHeight="1" x14ac:dyDescent="0.2">
      <c r="B22" s="190" t="s">
        <v>212</v>
      </c>
      <c r="C22" s="190" t="s">
        <v>213</v>
      </c>
      <c r="D22" s="191">
        <f>2500+(1500*2)</f>
        <v>5500</v>
      </c>
      <c r="E22" s="191">
        <v>8000</v>
      </c>
      <c r="F22" s="191">
        <v>5500</v>
      </c>
      <c r="G22" s="191">
        <v>3000</v>
      </c>
      <c r="H22" s="191">
        <v>5500</v>
      </c>
      <c r="I22" s="191">
        <v>5500</v>
      </c>
      <c r="J22" s="191">
        <v>5500</v>
      </c>
      <c r="K22" s="191">
        <v>5000</v>
      </c>
      <c r="L22" s="191">
        <f>2500+(1500*2)</f>
        <v>5500</v>
      </c>
      <c r="M22" s="191">
        <v>3000</v>
      </c>
      <c r="N22" s="191">
        <f>2500+(1500*2)</f>
        <v>5500</v>
      </c>
      <c r="O22" s="191">
        <v>5333.5</v>
      </c>
      <c r="P22" s="191">
        <f>2500+(1500*2)</f>
        <v>5500</v>
      </c>
      <c r="Q22" s="191">
        <v>5500</v>
      </c>
      <c r="R22" s="191">
        <f t="shared" ref="R22:Z22" si="14">2500+(1500*2)</f>
        <v>5500</v>
      </c>
      <c r="S22" s="192"/>
      <c r="T22" s="191">
        <f t="shared" si="14"/>
        <v>5500</v>
      </c>
      <c r="U22" s="192"/>
      <c r="V22" s="191">
        <f t="shared" si="14"/>
        <v>5500</v>
      </c>
      <c r="W22" s="192"/>
      <c r="X22" s="191">
        <f t="shared" si="14"/>
        <v>5500</v>
      </c>
      <c r="Y22" s="192"/>
      <c r="Z22" s="191">
        <f t="shared" si="14"/>
        <v>5500</v>
      </c>
      <c r="AA22" s="192"/>
      <c r="AB22" s="191">
        <f t="shared" si="12"/>
        <v>66000</v>
      </c>
      <c r="AC22" s="122"/>
      <c r="AD22" s="134">
        <f t="shared" si="13"/>
        <v>38500</v>
      </c>
      <c r="AE22" s="134">
        <f t="shared" si="13"/>
        <v>35333.5</v>
      </c>
    </row>
    <row r="23" spans="1:38" ht="12.75" customHeight="1" x14ac:dyDescent="0.2">
      <c r="B23" s="190" t="s">
        <v>214</v>
      </c>
      <c r="C23" s="190" t="s">
        <v>215</v>
      </c>
      <c r="D23" s="191">
        <v>0</v>
      </c>
      <c r="E23" s="191">
        <v>0</v>
      </c>
      <c r="F23" s="191">
        <v>0</v>
      </c>
      <c r="G23" s="191">
        <v>0</v>
      </c>
      <c r="H23" s="191">
        <v>6750</v>
      </c>
      <c r="I23" s="191">
        <v>0</v>
      </c>
      <c r="J23" s="191">
        <v>0</v>
      </c>
      <c r="K23" s="191">
        <v>0</v>
      </c>
      <c r="L23" s="191">
        <v>0</v>
      </c>
      <c r="M23" s="191">
        <v>0</v>
      </c>
      <c r="N23" s="191">
        <v>0</v>
      </c>
      <c r="O23" s="191">
        <v>0</v>
      </c>
      <c r="P23" s="191">
        <v>0</v>
      </c>
      <c r="Q23" s="191">
        <v>0</v>
      </c>
      <c r="R23" s="191">
        <v>0</v>
      </c>
      <c r="S23" s="192"/>
      <c r="T23" s="191">
        <f>13500/2</f>
        <v>6750</v>
      </c>
      <c r="U23" s="192"/>
      <c r="V23" s="191">
        <v>0</v>
      </c>
      <c r="W23" s="192"/>
      <c r="X23" s="191">
        <v>0</v>
      </c>
      <c r="Y23" s="192"/>
      <c r="Z23" s="191">
        <v>0</v>
      </c>
      <c r="AA23" s="192"/>
      <c r="AB23" s="191">
        <f t="shared" si="12"/>
        <v>13500</v>
      </c>
      <c r="AC23" s="122"/>
      <c r="AD23" s="134">
        <f t="shared" si="13"/>
        <v>6750</v>
      </c>
      <c r="AE23" s="134">
        <f t="shared" si="13"/>
        <v>0</v>
      </c>
    </row>
    <row r="24" spans="1:38" ht="12.75" customHeight="1" x14ac:dyDescent="0.2">
      <c r="B24" s="181" t="s">
        <v>216</v>
      </c>
      <c r="C24" s="193" t="s">
        <v>217</v>
      </c>
      <c r="D24" s="188">
        <v>3500</v>
      </c>
      <c r="E24" s="188">
        <v>0</v>
      </c>
      <c r="F24" s="188">
        <v>0</v>
      </c>
      <c r="G24" s="188">
        <v>993.97</v>
      </c>
      <c r="H24" s="188">
        <v>0</v>
      </c>
      <c r="I24" s="188">
        <v>-256.04000000000002</v>
      </c>
      <c r="J24" s="188">
        <v>0</v>
      </c>
      <c r="K24" s="188">
        <v>0</v>
      </c>
      <c r="L24" s="188">
        <v>0</v>
      </c>
      <c r="M24" s="188">
        <v>0</v>
      </c>
      <c r="N24" s="188">
        <v>3500</v>
      </c>
      <c r="O24" s="188">
        <v>0</v>
      </c>
      <c r="P24" s="188">
        <v>0</v>
      </c>
      <c r="Q24" s="188">
        <v>0</v>
      </c>
      <c r="R24" s="188">
        <v>0</v>
      </c>
      <c r="S24" s="189"/>
      <c r="T24" s="188">
        <v>0</v>
      </c>
      <c r="U24" s="189"/>
      <c r="V24" s="188">
        <v>0</v>
      </c>
      <c r="W24" s="189"/>
      <c r="X24" s="188">
        <v>3500</v>
      </c>
      <c r="Y24" s="189"/>
      <c r="Z24" s="188">
        <v>0</v>
      </c>
      <c r="AA24" s="189"/>
      <c r="AB24" s="134">
        <f t="shared" si="12"/>
        <v>10500</v>
      </c>
      <c r="AC24" s="122"/>
      <c r="AD24" s="134">
        <f t="shared" si="13"/>
        <v>7000</v>
      </c>
      <c r="AE24" s="134">
        <f t="shared" si="13"/>
        <v>737.93000000000006</v>
      </c>
    </row>
    <row r="25" spans="1:38" ht="12.75" customHeight="1" x14ac:dyDescent="0.2">
      <c r="B25" s="181" t="s">
        <v>218</v>
      </c>
      <c r="C25" s="193" t="s">
        <v>219</v>
      </c>
      <c r="D25" s="188">
        <v>500</v>
      </c>
      <c r="E25" s="188">
        <v>0</v>
      </c>
      <c r="F25" s="188">
        <v>500</v>
      </c>
      <c r="G25" s="188">
        <v>0</v>
      </c>
      <c r="H25" s="188">
        <v>500</v>
      </c>
      <c r="I25" s="188">
        <v>0</v>
      </c>
      <c r="J25" s="188">
        <v>500</v>
      </c>
      <c r="K25" s="188">
        <v>0</v>
      </c>
      <c r="L25" s="188">
        <v>500</v>
      </c>
      <c r="M25" s="188">
        <v>0</v>
      </c>
      <c r="N25" s="188">
        <v>500</v>
      </c>
      <c r="O25" s="188">
        <v>431.04</v>
      </c>
      <c r="P25" s="188">
        <v>500</v>
      </c>
      <c r="Q25" s="188">
        <v>0</v>
      </c>
      <c r="R25" s="188">
        <v>500</v>
      </c>
      <c r="S25" s="189"/>
      <c r="T25" s="188">
        <v>500</v>
      </c>
      <c r="U25" s="189"/>
      <c r="V25" s="188">
        <v>500</v>
      </c>
      <c r="W25" s="189"/>
      <c r="X25" s="188">
        <v>500</v>
      </c>
      <c r="Y25" s="189"/>
      <c r="Z25" s="188">
        <v>500</v>
      </c>
      <c r="AA25" s="189"/>
      <c r="AB25" s="134">
        <f t="shared" si="12"/>
        <v>6000</v>
      </c>
      <c r="AC25" s="122"/>
      <c r="AD25" s="134">
        <f t="shared" si="13"/>
        <v>3500</v>
      </c>
      <c r="AE25" s="134">
        <f t="shared" si="13"/>
        <v>431.04</v>
      </c>
    </row>
    <row r="26" spans="1:38" ht="12.75" customHeight="1" x14ac:dyDescent="0.2">
      <c r="B26" s="181" t="s">
        <v>218</v>
      </c>
      <c r="C26" s="193" t="s">
        <v>220</v>
      </c>
      <c r="D26" s="188">
        <v>0</v>
      </c>
      <c r="E26" s="188">
        <v>0</v>
      </c>
      <c r="F26" s="188">
        <v>7500</v>
      </c>
      <c r="G26" s="188">
        <v>0</v>
      </c>
      <c r="H26" s="188">
        <v>0</v>
      </c>
      <c r="I26" s="188">
        <v>0</v>
      </c>
      <c r="J26" s="188">
        <v>0</v>
      </c>
      <c r="K26" s="188">
        <v>0</v>
      </c>
      <c r="L26" s="188">
        <v>0</v>
      </c>
      <c r="M26" s="188">
        <v>0</v>
      </c>
      <c r="N26" s="188">
        <v>0</v>
      </c>
      <c r="O26" s="188">
        <v>0</v>
      </c>
      <c r="P26" s="188">
        <v>0</v>
      </c>
      <c r="Q26" s="188">
        <v>0</v>
      </c>
      <c r="R26" s="188">
        <v>0</v>
      </c>
      <c r="S26" s="189"/>
      <c r="T26" s="188">
        <v>0</v>
      </c>
      <c r="U26" s="189"/>
      <c r="V26" s="188">
        <v>0</v>
      </c>
      <c r="W26" s="189"/>
      <c r="X26" s="188">
        <v>0</v>
      </c>
      <c r="Y26" s="189"/>
      <c r="Z26" s="188">
        <v>0</v>
      </c>
      <c r="AA26" s="189"/>
      <c r="AB26" s="134">
        <f t="shared" si="12"/>
        <v>7500</v>
      </c>
      <c r="AC26" s="122"/>
      <c r="AD26" s="134">
        <f t="shared" si="13"/>
        <v>7500</v>
      </c>
      <c r="AE26" s="134">
        <f t="shared" si="13"/>
        <v>0</v>
      </c>
    </row>
    <row r="27" spans="1:38" ht="12.75" customHeight="1" x14ac:dyDescent="0.2">
      <c r="B27" s="125"/>
      <c r="C27" s="135" t="s">
        <v>221</v>
      </c>
      <c r="D27" s="136">
        <f t="shared" ref="D27:AB27" si="15">D19+D22+D24+D25+D23+D26+D21</f>
        <v>9500</v>
      </c>
      <c r="E27" s="136">
        <f t="shared" si="15"/>
        <v>8000</v>
      </c>
      <c r="F27" s="136">
        <f t="shared" si="15"/>
        <v>28000</v>
      </c>
      <c r="G27" s="136">
        <f t="shared" si="15"/>
        <v>3993.9700000000003</v>
      </c>
      <c r="H27" s="136">
        <f t="shared" si="15"/>
        <v>42250</v>
      </c>
      <c r="I27" s="136">
        <f t="shared" si="15"/>
        <v>18809.41</v>
      </c>
      <c r="J27" s="136">
        <f t="shared" si="15"/>
        <v>6000</v>
      </c>
      <c r="K27" s="136">
        <f t="shared" si="15"/>
        <v>4768</v>
      </c>
      <c r="L27" s="136">
        <f t="shared" si="15"/>
        <v>6000</v>
      </c>
      <c r="M27" s="136">
        <f t="shared" si="15"/>
        <v>36715.300000000003</v>
      </c>
      <c r="N27" s="136">
        <f t="shared" si="15"/>
        <v>24000</v>
      </c>
      <c r="O27" s="136">
        <f t="shared" si="15"/>
        <v>5764.54</v>
      </c>
      <c r="P27" s="136">
        <f t="shared" si="15"/>
        <v>21000</v>
      </c>
      <c r="Q27" s="136">
        <f t="shared" si="15"/>
        <v>26139.58</v>
      </c>
      <c r="R27" s="136">
        <f t="shared" si="15"/>
        <v>6000</v>
      </c>
      <c r="S27" s="137"/>
      <c r="T27" s="136">
        <f t="shared" si="15"/>
        <v>12750</v>
      </c>
      <c r="U27" s="137"/>
      <c r="V27" s="136">
        <f t="shared" si="15"/>
        <v>20500</v>
      </c>
      <c r="W27" s="137"/>
      <c r="X27" s="136">
        <f t="shared" si="15"/>
        <v>9500</v>
      </c>
      <c r="Y27" s="137"/>
      <c r="Z27" s="136">
        <f t="shared" si="15"/>
        <v>6000</v>
      </c>
      <c r="AA27" s="137"/>
      <c r="AB27" s="136">
        <f t="shared" si="15"/>
        <v>191500</v>
      </c>
      <c r="AC27" s="122"/>
      <c r="AD27" s="136">
        <f t="shared" ref="AD27:AE27" si="16">AD19+AD22+AD24+AD25+AD23+AD26+AD21</f>
        <v>136750</v>
      </c>
      <c r="AE27" s="136">
        <f t="shared" si="16"/>
        <v>104190.8</v>
      </c>
    </row>
    <row r="28" spans="1:38" ht="12.75" customHeight="1" x14ac:dyDescent="0.2"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2"/>
      <c r="AD28" s="125"/>
      <c r="AE28" s="125"/>
    </row>
    <row r="29" spans="1:38" ht="12.75" customHeight="1" x14ac:dyDescent="0.2">
      <c r="B29" s="125"/>
      <c r="C29" s="138" t="s">
        <v>222</v>
      </c>
      <c r="D29" s="139">
        <f t="shared" ref="D29:AB29" si="17">D14-D27</f>
        <v>-9340</v>
      </c>
      <c r="E29" s="139">
        <f t="shared" si="17"/>
        <v>-8000</v>
      </c>
      <c r="F29" s="139">
        <f t="shared" si="17"/>
        <v>-27840</v>
      </c>
      <c r="G29" s="139">
        <f t="shared" si="17"/>
        <v>-3993.9700000000003</v>
      </c>
      <c r="H29" s="139">
        <f t="shared" si="17"/>
        <v>-42090</v>
      </c>
      <c r="I29" s="139">
        <f t="shared" si="17"/>
        <v>-13615.91</v>
      </c>
      <c r="J29" s="139">
        <f t="shared" si="17"/>
        <v>-5840</v>
      </c>
      <c r="K29" s="139">
        <f t="shared" si="17"/>
        <v>-21866.44</v>
      </c>
      <c r="L29" s="139">
        <f t="shared" si="17"/>
        <v>-5840</v>
      </c>
      <c r="M29" s="139">
        <f t="shared" si="17"/>
        <v>-44884.060000000005</v>
      </c>
      <c r="N29" s="139">
        <f t="shared" si="17"/>
        <v>-23840</v>
      </c>
      <c r="O29" s="139">
        <f t="shared" si="17"/>
        <v>-8374.7799999999988</v>
      </c>
      <c r="P29" s="139">
        <f t="shared" si="17"/>
        <v>-20840</v>
      </c>
      <c r="Q29" s="139">
        <f t="shared" si="17"/>
        <v>-21962.33</v>
      </c>
      <c r="R29" s="139">
        <f t="shared" si="17"/>
        <v>-5840</v>
      </c>
      <c r="S29" s="139"/>
      <c r="T29" s="139">
        <f t="shared" si="17"/>
        <v>-12590</v>
      </c>
      <c r="U29" s="139"/>
      <c r="V29" s="139">
        <f t="shared" si="17"/>
        <v>-20340</v>
      </c>
      <c r="W29" s="139"/>
      <c r="X29" s="139">
        <f t="shared" si="17"/>
        <v>-9340</v>
      </c>
      <c r="Y29" s="139"/>
      <c r="Z29" s="139">
        <f t="shared" si="17"/>
        <v>-5840</v>
      </c>
      <c r="AA29" s="139"/>
      <c r="AB29" s="140">
        <f t="shared" si="17"/>
        <v>-189580</v>
      </c>
      <c r="AC29" s="122"/>
      <c r="AD29" s="139">
        <f t="shared" ref="AD29:AE29" si="18">AD14-AD27</f>
        <v>-135630</v>
      </c>
      <c r="AE29" s="139">
        <f t="shared" si="18"/>
        <v>-122697.48999999999</v>
      </c>
    </row>
    <row r="30" spans="1:38" ht="12.75" customHeight="1" x14ac:dyDescent="0.2"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2"/>
    </row>
    <row r="31" spans="1:38" ht="12.75" customHeight="1" x14ac:dyDescent="0.2"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2"/>
    </row>
    <row r="32" spans="1:38" ht="12.75" customHeight="1" x14ac:dyDescent="0.2">
      <c r="B32" s="125"/>
      <c r="C32" s="171" t="s">
        <v>138</v>
      </c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34"/>
      <c r="AC32" s="122"/>
    </row>
    <row r="33" spans="29:29" ht="15.75" customHeight="1" x14ac:dyDescent="0.2">
      <c r="AC33" s="122"/>
    </row>
    <row r="34" spans="29:29" ht="15.75" customHeight="1" x14ac:dyDescent="0.2">
      <c r="AC34" s="122"/>
    </row>
    <row r="35" spans="29:29" ht="15.75" customHeight="1" x14ac:dyDescent="0.2">
      <c r="AC35" s="122"/>
    </row>
    <row r="36" spans="29:29" ht="15.75" customHeight="1" x14ac:dyDescent="0.2">
      <c r="AC36" s="122"/>
    </row>
    <row r="37" spans="29:29" ht="15.75" customHeight="1" x14ac:dyDescent="0.2">
      <c r="AC37" s="122"/>
    </row>
    <row r="38" spans="29:29" ht="15.75" customHeight="1" x14ac:dyDescent="0.2">
      <c r="AC38" s="122"/>
    </row>
    <row r="39" spans="29:29" ht="15.75" customHeight="1" x14ac:dyDescent="0.2">
      <c r="AC39" s="122"/>
    </row>
    <row r="40" spans="29:29" ht="15.75" customHeight="1" x14ac:dyDescent="0.2">
      <c r="AC40" s="122"/>
    </row>
    <row r="41" spans="29:29" ht="15.75" customHeight="1" x14ac:dyDescent="0.2">
      <c r="AC41" s="122"/>
    </row>
    <row r="42" spans="29:29" ht="15.75" customHeight="1" x14ac:dyDescent="0.2">
      <c r="AC42" s="122"/>
    </row>
    <row r="43" spans="29:29" ht="15.75" customHeight="1" x14ac:dyDescent="0.2">
      <c r="AC43" s="122"/>
    </row>
    <row r="44" spans="29:29" ht="15.75" customHeight="1" x14ac:dyDescent="0.2">
      <c r="AC44" s="122"/>
    </row>
    <row r="45" spans="29:29" ht="15.75" customHeight="1" x14ac:dyDescent="0.2">
      <c r="AC45" s="122"/>
    </row>
    <row r="46" spans="29:29" ht="15.75" customHeight="1" x14ac:dyDescent="0.2">
      <c r="AC46" s="122"/>
    </row>
    <row r="47" spans="29:29" ht="15.75" customHeight="1" x14ac:dyDescent="0.2">
      <c r="AC47" s="122"/>
    </row>
    <row r="48" spans="29:29" ht="15.75" customHeight="1" x14ac:dyDescent="0.2">
      <c r="AC48" s="122"/>
    </row>
    <row r="49" spans="29:29" ht="15.75" customHeight="1" x14ac:dyDescent="0.2">
      <c r="AC49" s="122"/>
    </row>
    <row r="50" spans="29:29" ht="15.75" customHeight="1" x14ac:dyDescent="0.2">
      <c r="AC50" s="122"/>
    </row>
    <row r="51" spans="29:29" ht="15.75" customHeight="1" x14ac:dyDescent="0.2">
      <c r="AC51" s="122"/>
    </row>
    <row r="52" spans="29:29" ht="15.75" customHeight="1" x14ac:dyDescent="0.2">
      <c r="AC52" s="122"/>
    </row>
    <row r="53" spans="29:29" ht="15.75" customHeight="1" x14ac:dyDescent="0.2">
      <c r="AC53" s="122"/>
    </row>
    <row r="54" spans="29:29" ht="15.75" customHeight="1" x14ac:dyDescent="0.2">
      <c r="AC54" s="122"/>
    </row>
    <row r="55" spans="29:29" ht="15.75" customHeight="1" x14ac:dyDescent="0.2">
      <c r="AC55" s="122"/>
    </row>
    <row r="56" spans="29:29" ht="15.75" customHeight="1" x14ac:dyDescent="0.2">
      <c r="AC56" s="122"/>
    </row>
    <row r="57" spans="29:29" ht="15.75" customHeight="1" x14ac:dyDescent="0.2">
      <c r="AC57" s="122"/>
    </row>
    <row r="58" spans="29:29" ht="15.75" customHeight="1" x14ac:dyDescent="0.2">
      <c r="AC58" s="122"/>
    </row>
    <row r="59" spans="29:29" ht="15.75" customHeight="1" x14ac:dyDescent="0.2">
      <c r="AC59" s="122"/>
    </row>
    <row r="60" spans="29:29" ht="15.75" customHeight="1" x14ac:dyDescent="0.2">
      <c r="AC60" s="122"/>
    </row>
    <row r="61" spans="29:29" ht="15.75" customHeight="1" x14ac:dyDescent="0.2">
      <c r="AC61" s="122"/>
    </row>
    <row r="62" spans="29:29" ht="15.75" customHeight="1" x14ac:dyDescent="0.2">
      <c r="AC62" s="122"/>
    </row>
    <row r="63" spans="29:29" ht="15.75" customHeight="1" x14ac:dyDescent="0.2">
      <c r="AC63" s="122"/>
    </row>
    <row r="64" spans="29:29" ht="15.75" customHeight="1" x14ac:dyDescent="0.2">
      <c r="AC64" s="122"/>
    </row>
    <row r="65" spans="29:29" ht="15.75" customHeight="1" x14ac:dyDescent="0.2">
      <c r="AC65" s="122"/>
    </row>
    <row r="66" spans="29:29" ht="15.75" customHeight="1" x14ac:dyDescent="0.2">
      <c r="AC66" s="122"/>
    </row>
    <row r="67" spans="29:29" ht="15.75" customHeight="1" x14ac:dyDescent="0.2">
      <c r="AC67" s="122"/>
    </row>
    <row r="68" spans="29:29" ht="15.75" customHeight="1" x14ac:dyDescent="0.2">
      <c r="AC68" s="122"/>
    </row>
    <row r="69" spans="29:29" ht="15.75" customHeight="1" x14ac:dyDescent="0.2">
      <c r="AC69" s="122"/>
    </row>
    <row r="70" spans="29:29" ht="15.75" customHeight="1" x14ac:dyDescent="0.2">
      <c r="AC70" s="122"/>
    </row>
    <row r="71" spans="29:29" ht="15.75" customHeight="1" x14ac:dyDescent="0.2">
      <c r="AC71" s="122"/>
    </row>
    <row r="72" spans="29:29" ht="15.75" customHeight="1" x14ac:dyDescent="0.2">
      <c r="AC72" s="122"/>
    </row>
    <row r="73" spans="29:29" ht="15.75" customHeight="1" x14ac:dyDescent="0.2">
      <c r="AC73" s="122"/>
    </row>
    <row r="74" spans="29:29" ht="15.75" customHeight="1" x14ac:dyDescent="0.2">
      <c r="AC74" s="122"/>
    </row>
    <row r="75" spans="29:29" ht="15.75" customHeight="1" x14ac:dyDescent="0.2">
      <c r="AC75" s="122"/>
    </row>
    <row r="76" spans="29:29" ht="15.75" customHeight="1" x14ac:dyDescent="0.2">
      <c r="AC76" s="122"/>
    </row>
    <row r="77" spans="29:29" ht="15.75" customHeight="1" x14ac:dyDescent="0.2">
      <c r="AC77" s="122"/>
    </row>
    <row r="78" spans="29:29" ht="15.75" customHeight="1" x14ac:dyDescent="0.2">
      <c r="AC78" s="122"/>
    </row>
    <row r="79" spans="29:29" ht="15.75" customHeight="1" x14ac:dyDescent="0.2">
      <c r="AC79" s="122"/>
    </row>
    <row r="80" spans="29:29" ht="15.75" customHeight="1" x14ac:dyDescent="0.2">
      <c r="AC80" s="122"/>
    </row>
    <row r="81" spans="29:29" ht="15.75" customHeight="1" x14ac:dyDescent="0.2">
      <c r="AC81" s="122"/>
    </row>
    <row r="82" spans="29:29" ht="15.75" customHeight="1" x14ac:dyDescent="0.2">
      <c r="AC82" s="122"/>
    </row>
    <row r="83" spans="29:29" ht="15.75" customHeight="1" x14ac:dyDescent="0.2">
      <c r="AC83" s="122"/>
    </row>
    <row r="84" spans="29:29" ht="15.75" customHeight="1" x14ac:dyDescent="0.2">
      <c r="AC84" s="122"/>
    </row>
    <row r="85" spans="29:29" ht="15.75" customHeight="1" x14ac:dyDescent="0.2">
      <c r="AC85" s="122"/>
    </row>
    <row r="86" spans="29:29" ht="15.75" customHeight="1" x14ac:dyDescent="0.2">
      <c r="AC86" s="122"/>
    </row>
    <row r="87" spans="29:29" ht="15.75" customHeight="1" x14ac:dyDescent="0.2">
      <c r="AC87" s="122"/>
    </row>
    <row r="88" spans="29:29" ht="15.75" customHeight="1" x14ac:dyDescent="0.2">
      <c r="AC88" s="122"/>
    </row>
    <row r="89" spans="29:29" ht="15.75" customHeight="1" x14ac:dyDescent="0.2">
      <c r="AC89" s="122"/>
    </row>
    <row r="90" spans="29:29" ht="15.75" customHeight="1" x14ac:dyDescent="0.2">
      <c r="AC90" s="122"/>
    </row>
    <row r="91" spans="29:29" ht="15.75" customHeight="1" x14ac:dyDescent="0.2">
      <c r="AC91" s="122"/>
    </row>
    <row r="92" spans="29:29" ht="15.75" customHeight="1" x14ac:dyDescent="0.2">
      <c r="AC92" s="122"/>
    </row>
    <row r="93" spans="29:29" ht="15.75" customHeight="1" x14ac:dyDescent="0.2">
      <c r="AC93" s="122"/>
    </row>
    <row r="94" spans="29:29" ht="15.75" customHeight="1" x14ac:dyDescent="0.2">
      <c r="AC94" s="122"/>
    </row>
    <row r="95" spans="29:29" ht="15.75" customHeight="1" x14ac:dyDescent="0.2">
      <c r="AC95" s="122"/>
    </row>
    <row r="96" spans="29:29" ht="15.75" customHeight="1" x14ac:dyDescent="0.2">
      <c r="AC96" s="122"/>
    </row>
    <row r="97" spans="29:29" ht="15.75" customHeight="1" x14ac:dyDescent="0.2">
      <c r="AC97" s="122"/>
    </row>
    <row r="98" spans="29:29" ht="15.75" customHeight="1" x14ac:dyDescent="0.2">
      <c r="AC98" s="122"/>
    </row>
    <row r="99" spans="29:29" ht="15.75" customHeight="1" x14ac:dyDescent="0.2">
      <c r="AC99" s="122"/>
    </row>
    <row r="100" spans="29:29" ht="15.75" customHeight="1" x14ac:dyDescent="0.2">
      <c r="AC100" s="122"/>
    </row>
    <row r="101" spans="29:29" ht="15.75" customHeight="1" x14ac:dyDescent="0.2">
      <c r="AC101" s="122"/>
    </row>
    <row r="102" spans="29:29" ht="15.75" customHeight="1" x14ac:dyDescent="0.2">
      <c r="AC102" s="122"/>
    </row>
    <row r="103" spans="29:29" ht="15.75" customHeight="1" x14ac:dyDescent="0.2">
      <c r="AC103" s="122"/>
    </row>
    <row r="104" spans="29:29" ht="15.75" customHeight="1" x14ac:dyDescent="0.2">
      <c r="AC104" s="122"/>
    </row>
    <row r="105" spans="29:29" ht="15.75" customHeight="1" x14ac:dyDescent="0.2">
      <c r="AC105" s="122"/>
    </row>
    <row r="106" spans="29:29" ht="15.75" customHeight="1" x14ac:dyDescent="0.2">
      <c r="AC106" s="122"/>
    </row>
    <row r="107" spans="29:29" ht="15.75" customHeight="1" x14ac:dyDescent="0.2">
      <c r="AC107" s="122"/>
    </row>
    <row r="108" spans="29:29" ht="15.75" customHeight="1" x14ac:dyDescent="0.2">
      <c r="AC108" s="122"/>
    </row>
    <row r="109" spans="29:29" ht="15.75" customHeight="1" x14ac:dyDescent="0.2">
      <c r="AC109" s="122"/>
    </row>
    <row r="110" spans="29:29" ht="15.75" customHeight="1" x14ac:dyDescent="0.2">
      <c r="AC110" s="122"/>
    </row>
    <row r="111" spans="29:29" ht="15.75" customHeight="1" x14ac:dyDescent="0.2">
      <c r="AC111" s="122"/>
    </row>
    <row r="112" spans="29:29" ht="15.75" customHeight="1" x14ac:dyDescent="0.2">
      <c r="AC112" s="122"/>
    </row>
    <row r="113" spans="29:29" ht="15.75" customHeight="1" x14ac:dyDescent="0.2">
      <c r="AC113" s="122"/>
    </row>
    <row r="114" spans="29:29" ht="15.75" customHeight="1" x14ac:dyDescent="0.2">
      <c r="AC114" s="122"/>
    </row>
    <row r="115" spans="29:29" ht="15.75" customHeight="1" x14ac:dyDescent="0.2">
      <c r="AC115" s="122"/>
    </row>
    <row r="116" spans="29:29" ht="15.75" customHeight="1" x14ac:dyDescent="0.2">
      <c r="AC116" s="122"/>
    </row>
    <row r="117" spans="29:29" ht="15.75" customHeight="1" x14ac:dyDescent="0.2">
      <c r="AC117" s="122"/>
    </row>
    <row r="118" spans="29:29" ht="15.75" customHeight="1" x14ac:dyDescent="0.2">
      <c r="AC118" s="122"/>
    </row>
    <row r="119" spans="29:29" ht="15.75" customHeight="1" x14ac:dyDescent="0.2">
      <c r="AC119" s="122"/>
    </row>
    <row r="120" spans="29:29" ht="15.75" customHeight="1" x14ac:dyDescent="0.2">
      <c r="AC120" s="122"/>
    </row>
    <row r="121" spans="29:29" ht="15.75" customHeight="1" x14ac:dyDescent="0.2">
      <c r="AC121" s="122"/>
    </row>
    <row r="122" spans="29:29" ht="15.75" customHeight="1" x14ac:dyDescent="0.2">
      <c r="AC122" s="122"/>
    </row>
    <row r="123" spans="29:29" ht="15.75" customHeight="1" x14ac:dyDescent="0.2">
      <c r="AC123" s="122"/>
    </row>
    <row r="124" spans="29:29" ht="15.75" customHeight="1" x14ac:dyDescent="0.2">
      <c r="AC124" s="122"/>
    </row>
    <row r="125" spans="29:29" ht="15.75" customHeight="1" x14ac:dyDescent="0.2">
      <c r="AC125" s="122"/>
    </row>
    <row r="126" spans="29:29" ht="15.75" customHeight="1" x14ac:dyDescent="0.2">
      <c r="AC126" s="122"/>
    </row>
    <row r="127" spans="29:29" ht="15.75" customHeight="1" x14ac:dyDescent="0.2">
      <c r="AC127" s="122"/>
    </row>
    <row r="128" spans="29:29" ht="15.75" customHeight="1" x14ac:dyDescent="0.2">
      <c r="AC128" s="122"/>
    </row>
    <row r="129" spans="29:29" ht="15.75" customHeight="1" x14ac:dyDescent="0.2">
      <c r="AC129" s="122"/>
    </row>
    <row r="130" spans="29:29" ht="15.75" customHeight="1" x14ac:dyDescent="0.2">
      <c r="AC130" s="122"/>
    </row>
    <row r="131" spans="29:29" ht="15.75" customHeight="1" x14ac:dyDescent="0.2">
      <c r="AC131" s="122"/>
    </row>
    <row r="132" spans="29:29" ht="15.75" customHeight="1" x14ac:dyDescent="0.2">
      <c r="AC132" s="122"/>
    </row>
    <row r="133" spans="29:29" ht="15.75" customHeight="1" x14ac:dyDescent="0.2">
      <c r="AC133" s="122"/>
    </row>
    <row r="134" spans="29:29" ht="15.75" customHeight="1" x14ac:dyDescent="0.2">
      <c r="AC134" s="122"/>
    </row>
    <row r="135" spans="29:29" ht="15.75" customHeight="1" x14ac:dyDescent="0.2">
      <c r="AC135" s="122"/>
    </row>
    <row r="136" spans="29:29" ht="15.75" customHeight="1" x14ac:dyDescent="0.2">
      <c r="AC136" s="122"/>
    </row>
    <row r="137" spans="29:29" ht="15.75" customHeight="1" x14ac:dyDescent="0.2">
      <c r="AC137" s="122"/>
    </row>
    <row r="138" spans="29:29" ht="15.75" customHeight="1" x14ac:dyDescent="0.2">
      <c r="AC138" s="122"/>
    </row>
    <row r="139" spans="29:29" ht="15.75" customHeight="1" x14ac:dyDescent="0.2">
      <c r="AC139" s="122"/>
    </row>
    <row r="140" spans="29:29" ht="15.75" customHeight="1" x14ac:dyDescent="0.2">
      <c r="AC140" s="122"/>
    </row>
    <row r="141" spans="29:29" ht="15.75" customHeight="1" x14ac:dyDescent="0.2">
      <c r="AC141" s="122"/>
    </row>
    <row r="142" spans="29:29" ht="15.75" customHeight="1" x14ac:dyDescent="0.2">
      <c r="AC142" s="122"/>
    </row>
    <row r="143" spans="29:29" ht="15.75" customHeight="1" x14ac:dyDescent="0.2">
      <c r="AC143" s="122"/>
    </row>
    <row r="144" spans="29:29" ht="15.75" customHeight="1" x14ac:dyDescent="0.2">
      <c r="AC144" s="122"/>
    </row>
    <row r="145" spans="29:29" ht="15.75" customHeight="1" x14ac:dyDescent="0.2">
      <c r="AC145" s="122"/>
    </row>
    <row r="146" spans="29:29" ht="15.75" customHeight="1" x14ac:dyDescent="0.2">
      <c r="AC146" s="122"/>
    </row>
    <row r="147" spans="29:29" ht="15.75" customHeight="1" x14ac:dyDescent="0.2">
      <c r="AC147" s="122"/>
    </row>
    <row r="148" spans="29:29" ht="15.75" customHeight="1" x14ac:dyDescent="0.2">
      <c r="AC148" s="122"/>
    </row>
    <row r="149" spans="29:29" ht="15.75" customHeight="1" x14ac:dyDescent="0.2">
      <c r="AC149" s="122"/>
    </row>
    <row r="150" spans="29:29" ht="15.75" customHeight="1" x14ac:dyDescent="0.2">
      <c r="AC150" s="122"/>
    </row>
    <row r="151" spans="29:29" ht="15.75" customHeight="1" x14ac:dyDescent="0.2">
      <c r="AC151" s="122"/>
    </row>
    <row r="152" spans="29:29" ht="15.75" customHeight="1" x14ac:dyDescent="0.2">
      <c r="AC152" s="122"/>
    </row>
    <row r="153" spans="29:29" ht="15.75" customHeight="1" x14ac:dyDescent="0.2">
      <c r="AC153" s="122"/>
    </row>
    <row r="154" spans="29:29" ht="15.75" customHeight="1" x14ac:dyDescent="0.2">
      <c r="AC154" s="122"/>
    </row>
    <row r="155" spans="29:29" ht="15.75" customHeight="1" x14ac:dyDescent="0.2">
      <c r="AC155" s="122"/>
    </row>
    <row r="156" spans="29:29" ht="15.75" customHeight="1" x14ac:dyDescent="0.2">
      <c r="AC156" s="122"/>
    </row>
    <row r="157" spans="29:29" ht="15.75" customHeight="1" x14ac:dyDescent="0.2">
      <c r="AC157" s="122"/>
    </row>
    <row r="158" spans="29:29" ht="15.75" customHeight="1" x14ac:dyDescent="0.2">
      <c r="AC158" s="122"/>
    </row>
    <row r="159" spans="29:29" ht="15.75" customHeight="1" x14ac:dyDescent="0.2">
      <c r="AC159" s="122"/>
    </row>
    <row r="160" spans="29:29" ht="15.75" customHeight="1" x14ac:dyDescent="0.2">
      <c r="AC160" s="122"/>
    </row>
    <row r="161" spans="29:29" ht="15.75" customHeight="1" x14ac:dyDescent="0.2">
      <c r="AC161" s="122"/>
    </row>
    <row r="162" spans="29:29" ht="15.75" customHeight="1" x14ac:dyDescent="0.2">
      <c r="AC162" s="122"/>
    </row>
    <row r="163" spans="29:29" ht="15.75" customHeight="1" x14ac:dyDescent="0.2">
      <c r="AC163" s="122"/>
    </row>
    <row r="164" spans="29:29" ht="15.75" customHeight="1" x14ac:dyDescent="0.2">
      <c r="AC164" s="122"/>
    </row>
    <row r="165" spans="29:29" ht="15.75" customHeight="1" x14ac:dyDescent="0.2">
      <c r="AC165" s="122"/>
    </row>
    <row r="166" spans="29:29" ht="15.75" customHeight="1" x14ac:dyDescent="0.2">
      <c r="AC166" s="122"/>
    </row>
    <row r="167" spans="29:29" ht="15.75" customHeight="1" x14ac:dyDescent="0.2">
      <c r="AC167" s="122"/>
    </row>
    <row r="168" spans="29:29" ht="15.75" customHeight="1" x14ac:dyDescent="0.2">
      <c r="AC168" s="122"/>
    </row>
    <row r="169" spans="29:29" ht="15.75" customHeight="1" x14ac:dyDescent="0.2">
      <c r="AC169" s="122"/>
    </row>
    <row r="170" spans="29:29" ht="15.75" customHeight="1" x14ac:dyDescent="0.2">
      <c r="AC170" s="122"/>
    </row>
    <row r="171" spans="29:29" ht="15.75" customHeight="1" x14ac:dyDescent="0.2">
      <c r="AC171" s="122"/>
    </row>
    <row r="172" spans="29:29" ht="15.75" customHeight="1" x14ac:dyDescent="0.2">
      <c r="AC172" s="122"/>
    </row>
    <row r="173" spans="29:29" ht="15.75" customHeight="1" x14ac:dyDescent="0.2">
      <c r="AC173" s="122"/>
    </row>
    <row r="174" spans="29:29" ht="15.75" customHeight="1" x14ac:dyDescent="0.2">
      <c r="AC174" s="122"/>
    </row>
    <row r="175" spans="29:29" ht="15.75" customHeight="1" x14ac:dyDescent="0.2">
      <c r="AC175" s="122"/>
    </row>
    <row r="176" spans="29:29" ht="15.75" customHeight="1" x14ac:dyDescent="0.2">
      <c r="AC176" s="122"/>
    </row>
    <row r="177" spans="29:29" ht="15.75" customHeight="1" x14ac:dyDescent="0.2">
      <c r="AC177" s="122"/>
    </row>
    <row r="178" spans="29:29" ht="15.75" customHeight="1" x14ac:dyDescent="0.2">
      <c r="AC178" s="122"/>
    </row>
    <row r="179" spans="29:29" ht="15.75" customHeight="1" x14ac:dyDescent="0.2">
      <c r="AC179" s="122"/>
    </row>
    <row r="180" spans="29:29" ht="15.75" customHeight="1" x14ac:dyDescent="0.2">
      <c r="AC180" s="122"/>
    </row>
    <row r="181" spans="29:29" ht="15.75" customHeight="1" x14ac:dyDescent="0.2">
      <c r="AC181" s="122"/>
    </row>
    <row r="182" spans="29:29" ht="15.75" customHeight="1" x14ac:dyDescent="0.2">
      <c r="AC182" s="122"/>
    </row>
    <row r="183" spans="29:29" ht="15.75" customHeight="1" x14ac:dyDescent="0.2">
      <c r="AC183" s="122"/>
    </row>
    <row r="184" spans="29:29" ht="15.75" customHeight="1" x14ac:dyDescent="0.2">
      <c r="AC184" s="122"/>
    </row>
    <row r="185" spans="29:29" ht="15.75" customHeight="1" x14ac:dyDescent="0.2">
      <c r="AC185" s="122"/>
    </row>
    <row r="186" spans="29:29" ht="15.75" customHeight="1" x14ac:dyDescent="0.2">
      <c r="AC186" s="122"/>
    </row>
    <row r="187" spans="29:29" ht="15.75" customHeight="1" x14ac:dyDescent="0.2">
      <c r="AC187" s="122"/>
    </row>
    <row r="188" spans="29:29" ht="15.75" customHeight="1" x14ac:dyDescent="0.2">
      <c r="AC188" s="122"/>
    </row>
    <row r="189" spans="29:29" ht="15.75" customHeight="1" x14ac:dyDescent="0.2">
      <c r="AC189" s="122"/>
    </row>
    <row r="190" spans="29:29" ht="15.75" customHeight="1" x14ac:dyDescent="0.2">
      <c r="AC190" s="122"/>
    </row>
    <row r="191" spans="29:29" ht="15.75" customHeight="1" x14ac:dyDescent="0.2">
      <c r="AC191" s="122"/>
    </row>
    <row r="192" spans="29:29" ht="15.75" customHeight="1" x14ac:dyDescent="0.2">
      <c r="AC192" s="122"/>
    </row>
    <row r="193" spans="29:29" ht="15.75" customHeight="1" x14ac:dyDescent="0.2">
      <c r="AC193" s="122"/>
    </row>
    <row r="194" spans="29:29" ht="15.75" customHeight="1" x14ac:dyDescent="0.2">
      <c r="AC194" s="122"/>
    </row>
    <row r="195" spans="29:29" ht="15.75" customHeight="1" x14ac:dyDescent="0.2">
      <c r="AC195" s="122"/>
    </row>
    <row r="196" spans="29:29" ht="15.75" customHeight="1" x14ac:dyDescent="0.2">
      <c r="AC196" s="122"/>
    </row>
    <row r="197" spans="29:29" ht="15.75" customHeight="1" x14ac:dyDescent="0.2">
      <c r="AC197" s="122"/>
    </row>
    <row r="198" spans="29:29" ht="15.75" customHeight="1" x14ac:dyDescent="0.2">
      <c r="AC198" s="122"/>
    </row>
    <row r="199" spans="29:29" ht="15.75" customHeight="1" x14ac:dyDescent="0.2">
      <c r="AC199" s="122"/>
    </row>
    <row r="200" spans="29:29" ht="15.75" customHeight="1" x14ac:dyDescent="0.2">
      <c r="AC200" s="122"/>
    </row>
    <row r="201" spans="29:29" ht="15.75" customHeight="1" x14ac:dyDescent="0.2">
      <c r="AC201" s="122"/>
    </row>
    <row r="202" spans="29:29" ht="15.75" customHeight="1" x14ac:dyDescent="0.2">
      <c r="AC202" s="122"/>
    </row>
    <row r="203" spans="29:29" ht="15.75" customHeight="1" x14ac:dyDescent="0.2">
      <c r="AC203" s="122"/>
    </row>
    <row r="204" spans="29:29" ht="15.75" customHeight="1" x14ac:dyDescent="0.2">
      <c r="AC204" s="122"/>
    </row>
    <row r="205" spans="29:29" ht="15.75" customHeight="1" x14ac:dyDescent="0.2">
      <c r="AC205" s="122"/>
    </row>
    <row r="206" spans="29:29" ht="15.75" customHeight="1" x14ac:dyDescent="0.2">
      <c r="AC206" s="122"/>
    </row>
    <row r="207" spans="29:29" ht="15.75" customHeight="1" x14ac:dyDescent="0.2">
      <c r="AC207" s="122"/>
    </row>
    <row r="208" spans="29:29" ht="15.75" customHeight="1" x14ac:dyDescent="0.2">
      <c r="AC208" s="122"/>
    </row>
    <row r="209" spans="29:29" ht="15.75" customHeight="1" x14ac:dyDescent="0.2">
      <c r="AC209" s="122"/>
    </row>
    <row r="210" spans="29:29" ht="15.75" customHeight="1" x14ac:dyDescent="0.2">
      <c r="AC210" s="122"/>
    </row>
    <row r="211" spans="29:29" ht="15.75" customHeight="1" x14ac:dyDescent="0.2">
      <c r="AC211" s="122"/>
    </row>
    <row r="212" spans="29:29" ht="15.75" customHeight="1" x14ac:dyDescent="0.2">
      <c r="AC212" s="122"/>
    </row>
    <row r="213" spans="29:29" ht="15.75" customHeight="1" x14ac:dyDescent="0.2">
      <c r="AC213" s="122"/>
    </row>
    <row r="214" spans="29:29" ht="15.75" customHeight="1" x14ac:dyDescent="0.2">
      <c r="AC214" s="122"/>
    </row>
    <row r="215" spans="29:29" ht="15.75" customHeight="1" x14ac:dyDescent="0.2">
      <c r="AC215" s="122"/>
    </row>
    <row r="216" spans="29:29" ht="15.75" customHeight="1" x14ac:dyDescent="0.2">
      <c r="AC216" s="122"/>
    </row>
    <row r="217" spans="29:29" ht="15.75" customHeight="1" x14ac:dyDescent="0.2">
      <c r="AC217" s="122"/>
    </row>
    <row r="218" spans="29:29" ht="15.75" customHeight="1" x14ac:dyDescent="0.2">
      <c r="AC218" s="122"/>
    </row>
    <row r="219" spans="29:29" ht="15.75" customHeight="1" x14ac:dyDescent="0.2">
      <c r="AC219" s="122"/>
    </row>
    <row r="220" spans="29:29" ht="15.75" customHeight="1" x14ac:dyDescent="0.2">
      <c r="AC220" s="122"/>
    </row>
    <row r="221" spans="29:29" ht="15.75" customHeight="1" x14ac:dyDescent="0.2">
      <c r="AC221" s="122"/>
    </row>
    <row r="222" spans="29:29" ht="15.75" customHeight="1" x14ac:dyDescent="0.2">
      <c r="AC222" s="122"/>
    </row>
    <row r="223" spans="29:29" ht="15.75" customHeight="1" x14ac:dyDescent="0.2">
      <c r="AC223" s="122"/>
    </row>
    <row r="224" spans="29:29" ht="15.75" customHeight="1" x14ac:dyDescent="0.2">
      <c r="AC224" s="122"/>
    </row>
    <row r="225" spans="29:29" ht="15.75" customHeight="1" x14ac:dyDescent="0.2">
      <c r="AC225" s="122"/>
    </row>
    <row r="226" spans="29:29" ht="15.75" customHeight="1" x14ac:dyDescent="0.2">
      <c r="AC226" s="122"/>
    </row>
    <row r="227" spans="29:29" ht="15.75" customHeight="1" x14ac:dyDescent="0.2">
      <c r="AC227" s="122"/>
    </row>
    <row r="228" spans="29:29" ht="15.75" customHeight="1" x14ac:dyDescent="0.2">
      <c r="AC228" s="122"/>
    </row>
    <row r="229" spans="29:29" ht="15.75" customHeight="1" x14ac:dyDescent="0.2">
      <c r="AC229" s="122"/>
    </row>
    <row r="230" spans="29:29" ht="15.75" customHeight="1" x14ac:dyDescent="0.2">
      <c r="AC230" s="122"/>
    </row>
    <row r="231" spans="29:29" ht="15.75" customHeight="1" x14ac:dyDescent="0.2">
      <c r="AC231" s="122"/>
    </row>
    <row r="232" spans="29:29" ht="15.75" customHeight="1" x14ac:dyDescent="0.2">
      <c r="AC232" s="122"/>
    </row>
    <row r="233" spans="29:29" ht="15.75" customHeight="1" x14ac:dyDescent="0.2">
      <c r="AC233" s="122"/>
    </row>
    <row r="234" spans="29:29" ht="15.75" customHeight="1" x14ac:dyDescent="0.2">
      <c r="AC234" s="122"/>
    </row>
    <row r="235" spans="29:29" ht="15.75" customHeight="1" x14ac:dyDescent="0.2">
      <c r="AC235" s="122"/>
    </row>
    <row r="236" spans="29:29" ht="15.75" customHeight="1" x14ac:dyDescent="0.2">
      <c r="AC236" s="122"/>
    </row>
    <row r="237" spans="29:29" ht="15.75" customHeight="1" x14ac:dyDescent="0.2">
      <c r="AC237" s="122"/>
    </row>
    <row r="238" spans="29:29" ht="15.75" customHeight="1" x14ac:dyDescent="0.2">
      <c r="AC238" s="122"/>
    </row>
    <row r="239" spans="29:29" ht="15.75" customHeight="1" x14ac:dyDescent="0.2">
      <c r="AC239" s="122"/>
    </row>
    <row r="240" spans="29:29" ht="15.75" customHeight="1" x14ac:dyDescent="0.2">
      <c r="AC240" s="122"/>
    </row>
    <row r="241" spans="29:29" ht="15.75" customHeight="1" x14ac:dyDescent="0.2">
      <c r="AC241" s="122"/>
    </row>
    <row r="242" spans="29:29" ht="15.75" customHeight="1" x14ac:dyDescent="0.2">
      <c r="AC242" s="122"/>
    </row>
    <row r="243" spans="29:29" ht="15.75" customHeight="1" x14ac:dyDescent="0.2">
      <c r="AC243" s="122"/>
    </row>
    <row r="244" spans="29:29" ht="15.75" customHeight="1" x14ac:dyDescent="0.2">
      <c r="AC244" s="122"/>
    </row>
    <row r="245" spans="29:29" ht="15.75" customHeight="1" x14ac:dyDescent="0.2">
      <c r="AC245" s="122"/>
    </row>
    <row r="246" spans="29:29" ht="15.75" customHeight="1" x14ac:dyDescent="0.2">
      <c r="AC246" s="122"/>
    </row>
    <row r="247" spans="29:29" ht="15.75" customHeight="1" x14ac:dyDescent="0.2">
      <c r="AC247" s="122"/>
    </row>
    <row r="248" spans="29:29" ht="15.75" customHeight="1" x14ac:dyDescent="0.2">
      <c r="AC248" s="122"/>
    </row>
    <row r="249" spans="29:29" ht="15.75" customHeight="1" x14ac:dyDescent="0.2">
      <c r="AC249" s="122"/>
    </row>
    <row r="250" spans="29:29" ht="15.75" customHeight="1" x14ac:dyDescent="0.2">
      <c r="AC250" s="122"/>
    </row>
    <row r="251" spans="29:29" ht="15.75" customHeight="1" x14ac:dyDescent="0.2">
      <c r="AC251" s="122"/>
    </row>
    <row r="252" spans="29:29" ht="15.75" customHeight="1" x14ac:dyDescent="0.2">
      <c r="AC252" s="122"/>
    </row>
    <row r="253" spans="29:29" ht="15.75" customHeight="1" x14ac:dyDescent="0.2">
      <c r="AC253" s="122"/>
    </row>
    <row r="254" spans="29:29" ht="15.75" customHeight="1" x14ac:dyDescent="0.2">
      <c r="AC254" s="122"/>
    </row>
    <row r="255" spans="29:29" ht="15.75" customHeight="1" x14ac:dyDescent="0.2">
      <c r="AC255" s="122"/>
    </row>
    <row r="256" spans="29:29" ht="15.75" customHeight="1" x14ac:dyDescent="0.2">
      <c r="AC256" s="122"/>
    </row>
    <row r="257" spans="29:29" ht="15.75" customHeight="1" x14ac:dyDescent="0.2">
      <c r="AC257" s="122"/>
    </row>
    <row r="258" spans="29:29" ht="15.75" customHeight="1" x14ac:dyDescent="0.2">
      <c r="AC258" s="122"/>
    </row>
    <row r="259" spans="29:29" ht="15.75" customHeight="1" x14ac:dyDescent="0.2">
      <c r="AC259" s="122"/>
    </row>
    <row r="260" spans="29:29" ht="15.75" customHeight="1" x14ac:dyDescent="0.2">
      <c r="AC260" s="122"/>
    </row>
    <row r="261" spans="29:29" ht="15.75" customHeight="1" x14ac:dyDescent="0.2">
      <c r="AC261" s="122"/>
    </row>
    <row r="262" spans="29:29" ht="15.75" customHeight="1" x14ac:dyDescent="0.2">
      <c r="AC262" s="122"/>
    </row>
    <row r="263" spans="29:29" ht="15.75" customHeight="1" x14ac:dyDescent="0.2">
      <c r="AC263" s="122"/>
    </row>
    <row r="264" spans="29:29" ht="15.75" customHeight="1" x14ac:dyDescent="0.2">
      <c r="AC264" s="122"/>
    </row>
    <row r="265" spans="29:29" ht="15.75" customHeight="1" x14ac:dyDescent="0.2">
      <c r="AC265" s="122"/>
    </row>
    <row r="266" spans="29:29" ht="15.75" customHeight="1" x14ac:dyDescent="0.2">
      <c r="AC266" s="122"/>
    </row>
    <row r="267" spans="29:29" ht="15.75" customHeight="1" x14ac:dyDescent="0.2">
      <c r="AC267" s="122"/>
    </row>
    <row r="268" spans="29:29" ht="15.75" customHeight="1" x14ac:dyDescent="0.2">
      <c r="AC268" s="122"/>
    </row>
    <row r="269" spans="29:29" ht="15.75" customHeight="1" x14ac:dyDescent="0.2">
      <c r="AC269" s="122"/>
    </row>
    <row r="270" spans="29:29" ht="15.75" customHeight="1" x14ac:dyDescent="0.2">
      <c r="AC270" s="122"/>
    </row>
    <row r="271" spans="29:29" ht="15.75" customHeight="1" x14ac:dyDescent="0.2">
      <c r="AC271" s="122"/>
    </row>
    <row r="272" spans="29:29" ht="15.75" customHeight="1" x14ac:dyDescent="0.2">
      <c r="AC272" s="122"/>
    </row>
    <row r="273" spans="29:29" ht="15.75" customHeight="1" x14ac:dyDescent="0.2">
      <c r="AC273" s="122"/>
    </row>
    <row r="274" spans="29:29" ht="15.75" customHeight="1" x14ac:dyDescent="0.2">
      <c r="AC274" s="122"/>
    </row>
    <row r="275" spans="29:29" ht="15.75" customHeight="1" x14ac:dyDescent="0.2">
      <c r="AC275" s="122"/>
    </row>
    <row r="276" spans="29:29" ht="15.75" customHeight="1" x14ac:dyDescent="0.2">
      <c r="AC276" s="122"/>
    </row>
    <row r="277" spans="29:29" ht="15.75" customHeight="1" x14ac:dyDescent="0.2">
      <c r="AC277" s="122"/>
    </row>
    <row r="278" spans="29:29" ht="15.75" customHeight="1" x14ac:dyDescent="0.2">
      <c r="AC278" s="122"/>
    </row>
    <row r="279" spans="29:29" ht="15.75" customHeight="1" x14ac:dyDescent="0.2">
      <c r="AC279" s="122"/>
    </row>
    <row r="280" spans="29:29" ht="15.75" customHeight="1" x14ac:dyDescent="0.2">
      <c r="AC280" s="122"/>
    </row>
    <row r="281" spans="29:29" ht="15.75" customHeight="1" x14ac:dyDescent="0.2">
      <c r="AC281" s="122"/>
    </row>
    <row r="282" spans="29:29" ht="15.75" customHeight="1" x14ac:dyDescent="0.2">
      <c r="AC282" s="122"/>
    </row>
    <row r="283" spans="29:29" ht="15.75" customHeight="1" x14ac:dyDescent="0.2">
      <c r="AC283" s="122"/>
    </row>
    <row r="284" spans="29:29" ht="15.75" customHeight="1" x14ac:dyDescent="0.2">
      <c r="AC284" s="122"/>
    </row>
    <row r="285" spans="29:29" ht="15.75" customHeight="1" x14ac:dyDescent="0.2">
      <c r="AC285" s="122"/>
    </row>
    <row r="286" spans="29:29" ht="15.75" customHeight="1" x14ac:dyDescent="0.2">
      <c r="AC286" s="122"/>
    </row>
    <row r="287" spans="29:29" ht="15.75" customHeight="1" x14ac:dyDescent="0.2">
      <c r="AC287" s="122"/>
    </row>
    <row r="288" spans="29:29" ht="15.75" customHeight="1" x14ac:dyDescent="0.2">
      <c r="AC288" s="122"/>
    </row>
    <row r="289" spans="29:29" ht="15.75" customHeight="1" x14ac:dyDescent="0.2">
      <c r="AC289" s="122"/>
    </row>
    <row r="290" spans="29:29" ht="15.75" customHeight="1" x14ac:dyDescent="0.2">
      <c r="AC290" s="122"/>
    </row>
    <row r="291" spans="29:29" ht="15.75" customHeight="1" x14ac:dyDescent="0.2">
      <c r="AC291" s="122"/>
    </row>
    <row r="292" spans="29:29" ht="15.75" customHeight="1" x14ac:dyDescent="0.2">
      <c r="AC292" s="122"/>
    </row>
    <row r="293" spans="29:29" ht="15.75" customHeight="1" x14ac:dyDescent="0.2">
      <c r="AC293" s="122"/>
    </row>
    <row r="294" spans="29:29" ht="15.75" customHeight="1" x14ac:dyDescent="0.2">
      <c r="AC294" s="122"/>
    </row>
    <row r="295" spans="29:29" ht="15.75" customHeight="1" x14ac:dyDescent="0.2">
      <c r="AC295" s="122"/>
    </row>
    <row r="296" spans="29:29" ht="15.75" customHeight="1" x14ac:dyDescent="0.2">
      <c r="AC296" s="122"/>
    </row>
    <row r="297" spans="29:29" ht="15.75" customHeight="1" x14ac:dyDescent="0.2">
      <c r="AC297" s="122"/>
    </row>
    <row r="298" spans="29:29" ht="15.75" customHeight="1" x14ac:dyDescent="0.2">
      <c r="AC298" s="122"/>
    </row>
    <row r="299" spans="29:29" ht="15.75" customHeight="1" x14ac:dyDescent="0.2">
      <c r="AC299" s="122"/>
    </row>
    <row r="300" spans="29:29" ht="15.75" customHeight="1" x14ac:dyDescent="0.2">
      <c r="AC300" s="122"/>
    </row>
    <row r="301" spans="29:29" ht="15.75" customHeight="1" x14ac:dyDescent="0.2">
      <c r="AC301" s="122"/>
    </row>
    <row r="302" spans="29:29" ht="15.75" customHeight="1" x14ac:dyDescent="0.2">
      <c r="AC302" s="122"/>
    </row>
    <row r="303" spans="29:29" ht="15.75" customHeight="1" x14ac:dyDescent="0.2">
      <c r="AC303" s="122"/>
    </row>
    <row r="304" spans="29:29" ht="15.75" customHeight="1" x14ac:dyDescent="0.2">
      <c r="AC304" s="122"/>
    </row>
    <row r="305" spans="29:29" ht="15.75" customHeight="1" x14ac:dyDescent="0.2">
      <c r="AC305" s="122"/>
    </row>
    <row r="306" spans="29:29" ht="15.75" customHeight="1" x14ac:dyDescent="0.2">
      <c r="AC306" s="122"/>
    </row>
    <row r="307" spans="29:29" ht="15.75" customHeight="1" x14ac:dyDescent="0.2">
      <c r="AC307" s="122"/>
    </row>
    <row r="308" spans="29:29" ht="15.75" customHeight="1" x14ac:dyDescent="0.2">
      <c r="AC308" s="122"/>
    </row>
    <row r="309" spans="29:29" ht="15.75" customHeight="1" x14ac:dyDescent="0.2">
      <c r="AC309" s="122"/>
    </row>
    <row r="310" spans="29:29" ht="15.75" customHeight="1" x14ac:dyDescent="0.2">
      <c r="AC310" s="122"/>
    </row>
    <row r="311" spans="29:29" ht="15.75" customHeight="1" x14ac:dyDescent="0.2">
      <c r="AC311" s="122"/>
    </row>
    <row r="312" spans="29:29" ht="15.75" customHeight="1" x14ac:dyDescent="0.2">
      <c r="AC312" s="122"/>
    </row>
    <row r="313" spans="29:29" ht="15.75" customHeight="1" x14ac:dyDescent="0.2">
      <c r="AC313" s="122"/>
    </row>
    <row r="314" spans="29:29" ht="15.75" customHeight="1" x14ac:dyDescent="0.2">
      <c r="AC314" s="122"/>
    </row>
    <row r="315" spans="29:29" ht="15.75" customHeight="1" x14ac:dyDescent="0.2">
      <c r="AC315" s="122"/>
    </row>
    <row r="316" spans="29:29" ht="15.75" customHeight="1" x14ac:dyDescent="0.2">
      <c r="AC316" s="122"/>
    </row>
    <row r="317" spans="29:29" ht="15.75" customHeight="1" x14ac:dyDescent="0.2">
      <c r="AC317" s="122"/>
    </row>
    <row r="318" spans="29:29" ht="15.75" customHeight="1" x14ac:dyDescent="0.2">
      <c r="AC318" s="122"/>
    </row>
    <row r="319" spans="29:29" ht="15.75" customHeight="1" x14ac:dyDescent="0.2">
      <c r="AC319" s="122"/>
    </row>
    <row r="320" spans="29:29" ht="15.75" customHeight="1" x14ac:dyDescent="0.2">
      <c r="AC320" s="122"/>
    </row>
    <row r="321" spans="29:29" ht="15.75" customHeight="1" x14ac:dyDescent="0.2">
      <c r="AC321" s="122"/>
    </row>
    <row r="322" spans="29:29" ht="15.75" customHeight="1" x14ac:dyDescent="0.2">
      <c r="AC322" s="122"/>
    </row>
    <row r="323" spans="29:29" ht="15.75" customHeight="1" x14ac:dyDescent="0.2">
      <c r="AC323" s="122"/>
    </row>
    <row r="324" spans="29:29" ht="15.75" customHeight="1" x14ac:dyDescent="0.2">
      <c r="AC324" s="122"/>
    </row>
    <row r="325" spans="29:29" ht="15.75" customHeight="1" x14ac:dyDescent="0.2">
      <c r="AC325" s="122"/>
    </row>
    <row r="326" spans="29:29" ht="15.75" customHeight="1" x14ac:dyDescent="0.2">
      <c r="AC326" s="122"/>
    </row>
    <row r="327" spans="29:29" ht="15.75" customHeight="1" x14ac:dyDescent="0.2">
      <c r="AC327" s="122"/>
    </row>
    <row r="328" spans="29:29" ht="15.75" customHeight="1" x14ac:dyDescent="0.2">
      <c r="AC328" s="122"/>
    </row>
    <row r="329" spans="29:29" ht="15.75" customHeight="1" x14ac:dyDescent="0.2">
      <c r="AC329" s="122"/>
    </row>
    <row r="330" spans="29:29" ht="15.75" customHeight="1" x14ac:dyDescent="0.2">
      <c r="AC330" s="122"/>
    </row>
    <row r="331" spans="29:29" ht="15.75" customHeight="1" x14ac:dyDescent="0.2">
      <c r="AC331" s="122"/>
    </row>
    <row r="332" spans="29:29" ht="15.75" customHeight="1" x14ac:dyDescent="0.2">
      <c r="AC332" s="122"/>
    </row>
    <row r="333" spans="29:29" ht="15.75" customHeight="1" x14ac:dyDescent="0.2">
      <c r="AC333" s="122"/>
    </row>
    <row r="334" spans="29:29" ht="15.75" customHeight="1" x14ac:dyDescent="0.2">
      <c r="AC334" s="122"/>
    </row>
    <row r="335" spans="29:29" ht="15.75" customHeight="1" x14ac:dyDescent="0.2">
      <c r="AC335" s="122"/>
    </row>
    <row r="336" spans="29:29" ht="15.75" customHeight="1" x14ac:dyDescent="0.2">
      <c r="AC336" s="122"/>
    </row>
    <row r="337" spans="29:29" ht="15.75" customHeight="1" x14ac:dyDescent="0.2">
      <c r="AC337" s="122"/>
    </row>
    <row r="338" spans="29:29" ht="15.75" customHeight="1" x14ac:dyDescent="0.2">
      <c r="AC338" s="122"/>
    </row>
    <row r="339" spans="29:29" ht="15.75" customHeight="1" x14ac:dyDescent="0.2">
      <c r="AC339" s="122"/>
    </row>
    <row r="340" spans="29:29" ht="15.75" customHeight="1" x14ac:dyDescent="0.2">
      <c r="AC340" s="122"/>
    </row>
    <row r="341" spans="29:29" ht="15.75" customHeight="1" x14ac:dyDescent="0.2">
      <c r="AC341" s="122"/>
    </row>
    <row r="342" spans="29:29" ht="15.75" customHeight="1" x14ac:dyDescent="0.2">
      <c r="AC342" s="122"/>
    </row>
    <row r="343" spans="29:29" ht="15.75" customHeight="1" x14ac:dyDescent="0.2">
      <c r="AC343" s="122"/>
    </row>
    <row r="344" spans="29:29" ht="15.75" customHeight="1" x14ac:dyDescent="0.2">
      <c r="AC344" s="122"/>
    </row>
    <row r="345" spans="29:29" ht="15.75" customHeight="1" x14ac:dyDescent="0.2">
      <c r="AC345" s="122"/>
    </row>
    <row r="346" spans="29:29" ht="15.75" customHeight="1" x14ac:dyDescent="0.2">
      <c r="AC346" s="122"/>
    </row>
    <row r="347" spans="29:29" ht="15.75" customHeight="1" x14ac:dyDescent="0.2">
      <c r="AC347" s="122"/>
    </row>
    <row r="348" spans="29:29" ht="15.75" customHeight="1" x14ac:dyDescent="0.2">
      <c r="AC348" s="122"/>
    </row>
    <row r="349" spans="29:29" ht="15.75" customHeight="1" x14ac:dyDescent="0.2">
      <c r="AC349" s="122"/>
    </row>
    <row r="350" spans="29:29" ht="15.75" customHeight="1" x14ac:dyDescent="0.2">
      <c r="AC350" s="122"/>
    </row>
    <row r="351" spans="29:29" ht="15.75" customHeight="1" x14ac:dyDescent="0.2">
      <c r="AC351" s="122"/>
    </row>
    <row r="352" spans="29:29" ht="15.75" customHeight="1" x14ac:dyDescent="0.2">
      <c r="AC352" s="122"/>
    </row>
    <row r="353" spans="29:29" ht="15.75" customHeight="1" x14ac:dyDescent="0.2">
      <c r="AC353" s="122"/>
    </row>
    <row r="354" spans="29:29" ht="15.75" customHeight="1" x14ac:dyDescent="0.2">
      <c r="AC354" s="122"/>
    </row>
    <row r="355" spans="29:29" ht="15.75" customHeight="1" x14ac:dyDescent="0.2">
      <c r="AC355" s="122"/>
    </row>
    <row r="356" spans="29:29" ht="15.75" customHeight="1" x14ac:dyDescent="0.2">
      <c r="AC356" s="122"/>
    </row>
    <row r="357" spans="29:29" ht="15.75" customHeight="1" x14ac:dyDescent="0.2">
      <c r="AC357" s="122"/>
    </row>
    <row r="358" spans="29:29" ht="15.75" customHeight="1" x14ac:dyDescent="0.2">
      <c r="AC358" s="122"/>
    </row>
    <row r="359" spans="29:29" ht="15.75" customHeight="1" x14ac:dyDescent="0.2">
      <c r="AC359" s="122"/>
    </row>
    <row r="360" spans="29:29" ht="15.75" customHeight="1" x14ac:dyDescent="0.2">
      <c r="AC360" s="122"/>
    </row>
    <row r="361" spans="29:29" ht="15.75" customHeight="1" x14ac:dyDescent="0.2">
      <c r="AC361" s="122"/>
    </row>
    <row r="362" spans="29:29" ht="15.75" customHeight="1" x14ac:dyDescent="0.2">
      <c r="AC362" s="122"/>
    </row>
    <row r="363" spans="29:29" ht="15.75" customHeight="1" x14ac:dyDescent="0.2">
      <c r="AC363" s="122"/>
    </row>
    <row r="364" spans="29:29" ht="15.75" customHeight="1" x14ac:dyDescent="0.2">
      <c r="AC364" s="122"/>
    </row>
    <row r="365" spans="29:29" ht="15.75" customHeight="1" x14ac:dyDescent="0.2">
      <c r="AC365" s="122"/>
    </row>
    <row r="366" spans="29:29" ht="15.75" customHeight="1" x14ac:dyDescent="0.2">
      <c r="AC366" s="122"/>
    </row>
    <row r="367" spans="29:29" ht="15.75" customHeight="1" x14ac:dyDescent="0.2">
      <c r="AC367" s="122"/>
    </row>
    <row r="368" spans="29:29" ht="15.75" customHeight="1" x14ac:dyDescent="0.2">
      <c r="AC368" s="122"/>
    </row>
    <row r="369" spans="29:29" ht="15.75" customHeight="1" x14ac:dyDescent="0.2">
      <c r="AC369" s="122"/>
    </row>
    <row r="370" spans="29:29" ht="15.75" customHeight="1" x14ac:dyDescent="0.2">
      <c r="AC370" s="122"/>
    </row>
    <row r="371" spans="29:29" ht="15.75" customHeight="1" x14ac:dyDescent="0.2">
      <c r="AC371" s="122"/>
    </row>
    <row r="372" spans="29:29" ht="15.75" customHeight="1" x14ac:dyDescent="0.2">
      <c r="AC372" s="122"/>
    </row>
    <row r="373" spans="29:29" ht="15.75" customHeight="1" x14ac:dyDescent="0.2">
      <c r="AC373" s="122"/>
    </row>
    <row r="374" spans="29:29" ht="15.75" customHeight="1" x14ac:dyDescent="0.2">
      <c r="AC374" s="122"/>
    </row>
    <row r="375" spans="29:29" ht="15.75" customHeight="1" x14ac:dyDescent="0.2">
      <c r="AC375" s="122"/>
    </row>
    <row r="376" spans="29:29" ht="15.75" customHeight="1" x14ac:dyDescent="0.2">
      <c r="AC376" s="122"/>
    </row>
    <row r="377" spans="29:29" ht="15.75" customHeight="1" x14ac:dyDescent="0.2">
      <c r="AC377" s="122"/>
    </row>
    <row r="378" spans="29:29" ht="15.75" customHeight="1" x14ac:dyDescent="0.2">
      <c r="AC378" s="122"/>
    </row>
    <row r="379" spans="29:29" ht="15.75" customHeight="1" x14ac:dyDescent="0.2">
      <c r="AC379" s="122"/>
    </row>
    <row r="380" spans="29:29" ht="15.75" customHeight="1" x14ac:dyDescent="0.2">
      <c r="AC380" s="122"/>
    </row>
    <row r="381" spans="29:29" ht="15.75" customHeight="1" x14ac:dyDescent="0.2">
      <c r="AC381" s="122"/>
    </row>
    <row r="382" spans="29:29" ht="15.75" customHeight="1" x14ac:dyDescent="0.2">
      <c r="AC382" s="122"/>
    </row>
    <row r="383" spans="29:29" ht="15.75" customHeight="1" x14ac:dyDescent="0.2">
      <c r="AC383" s="122"/>
    </row>
    <row r="384" spans="29:29" ht="15.75" customHeight="1" x14ac:dyDescent="0.2">
      <c r="AC384" s="122"/>
    </row>
    <row r="385" spans="29:29" ht="15.75" customHeight="1" x14ac:dyDescent="0.2">
      <c r="AC385" s="122"/>
    </row>
    <row r="386" spans="29:29" ht="15.75" customHeight="1" x14ac:dyDescent="0.2">
      <c r="AC386" s="122"/>
    </row>
    <row r="387" spans="29:29" ht="15.75" customHeight="1" x14ac:dyDescent="0.2">
      <c r="AC387" s="122"/>
    </row>
    <row r="388" spans="29:29" ht="15.75" customHeight="1" x14ac:dyDescent="0.2">
      <c r="AC388" s="122"/>
    </row>
    <row r="389" spans="29:29" ht="15.75" customHeight="1" x14ac:dyDescent="0.2">
      <c r="AC389" s="122"/>
    </row>
    <row r="390" spans="29:29" ht="15.75" customHeight="1" x14ac:dyDescent="0.2">
      <c r="AC390" s="122"/>
    </row>
    <row r="391" spans="29:29" ht="15.75" customHeight="1" x14ac:dyDescent="0.2">
      <c r="AC391" s="122"/>
    </row>
    <row r="392" spans="29:29" ht="15.75" customHeight="1" x14ac:dyDescent="0.2">
      <c r="AC392" s="122"/>
    </row>
    <row r="393" spans="29:29" ht="15.75" customHeight="1" x14ac:dyDescent="0.2">
      <c r="AC393" s="122"/>
    </row>
    <row r="394" spans="29:29" ht="15.75" customHeight="1" x14ac:dyDescent="0.2">
      <c r="AC394" s="122"/>
    </row>
    <row r="395" spans="29:29" ht="15.75" customHeight="1" x14ac:dyDescent="0.2">
      <c r="AC395" s="122"/>
    </row>
    <row r="396" spans="29:29" ht="15.75" customHeight="1" x14ac:dyDescent="0.2">
      <c r="AC396" s="122"/>
    </row>
    <row r="397" spans="29:29" ht="15.75" customHeight="1" x14ac:dyDescent="0.2">
      <c r="AC397" s="122"/>
    </row>
    <row r="398" spans="29:29" ht="15.75" customHeight="1" x14ac:dyDescent="0.2">
      <c r="AC398" s="122"/>
    </row>
    <row r="399" spans="29:29" ht="15.75" customHeight="1" x14ac:dyDescent="0.2">
      <c r="AC399" s="122"/>
    </row>
    <row r="400" spans="29:29" ht="15.75" customHeight="1" x14ac:dyDescent="0.2">
      <c r="AC400" s="122"/>
    </row>
    <row r="401" spans="29:29" ht="15.75" customHeight="1" x14ac:dyDescent="0.2">
      <c r="AC401" s="122"/>
    </row>
    <row r="402" spans="29:29" ht="15.75" customHeight="1" x14ac:dyDescent="0.2">
      <c r="AC402" s="122"/>
    </row>
    <row r="403" spans="29:29" ht="15.75" customHeight="1" x14ac:dyDescent="0.2">
      <c r="AC403" s="122"/>
    </row>
    <row r="404" spans="29:29" ht="15.75" customHeight="1" x14ac:dyDescent="0.2">
      <c r="AC404" s="122"/>
    </row>
    <row r="405" spans="29:29" ht="15.75" customHeight="1" x14ac:dyDescent="0.2">
      <c r="AC405" s="122"/>
    </row>
    <row r="406" spans="29:29" ht="15.75" customHeight="1" x14ac:dyDescent="0.2">
      <c r="AC406" s="122"/>
    </row>
    <row r="407" spans="29:29" ht="15.75" customHeight="1" x14ac:dyDescent="0.2">
      <c r="AC407" s="122"/>
    </row>
    <row r="408" spans="29:29" ht="15.75" customHeight="1" x14ac:dyDescent="0.2">
      <c r="AC408" s="122"/>
    </row>
    <row r="409" spans="29:29" ht="15.75" customHeight="1" x14ac:dyDescent="0.2">
      <c r="AC409" s="122"/>
    </row>
    <row r="410" spans="29:29" ht="15.75" customHeight="1" x14ac:dyDescent="0.2">
      <c r="AC410" s="122"/>
    </row>
    <row r="411" spans="29:29" ht="15.75" customHeight="1" x14ac:dyDescent="0.2">
      <c r="AC411" s="122"/>
    </row>
    <row r="412" spans="29:29" ht="15.75" customHeight="1" x14ac:dyDescent="0.2">
      <c r="AC412" s="122"/>
    </row>
    <row r="413" spans="29:29" ht="15.75" customHeight="1" x14ac:dyDescent="0.2">
      <c r="AC413" s="122"/>
    </row>
    <row r="414" spans="29:29" ht="15.75" customHeight="1" x14ac:dyDescent="0.2">
      <c r="AC414" s="122"/>
    </row>
    <row r="415" spans="29:29" ht="15.75" customHeight="1" x14ac:dyDescent="0.2">
      <c r="AC415" s="122"/>
    </row>
    <row r="416" spans="29:29" ht="15.75" customHeight="1" x14ac:dyDescent="0.2">
      <c r="AC416" s="122"/>
    </row>
    <row r="417" spans="29:29" ht="15.75" customHeight="1" x14ac:dyDescent="0.2">
      <c r="AC417" s="122"/>
    </row>
    <row r="418" spans="29:29" ht="15.75" customHeight="1" x14ac:dyDescent="0.2">
      <c r="AC418" s="122"/>
    </row>
    <row r="419" spans="29:29" ht="15.75" customHeight="1" x14ac:dyDescent="0.2">
      <c r="AC419" s="122"/>
    </row>
    <row r="420" spans="29:29" ht="15.75" customHeight="1" x14ac:dyDescent="0.2">
      <c r="AC420" s="122"/>
    </row>
    <row r="421" spans="29:29" ht="15.75" customHeight="1" x14ac:dyDescent="0.2">
      <c r="AC421" s="122"/>
    </row>
    <row r="422" spans="29:29" ht="15.75" customHeight="1" x14ac:dyDescent="0.2">
      <c r="AC422" s="122"/>
    </row>
    <row r="423" spans="29:29" ht="15.75" customHeight="1" x14ac:dyDescent="0.2">
      <c r="AC423" s="122"/>
    </row>
    <row r="424" spans="29:29" ht="15.75" customHeight="1" x14ac:dyDescent="0.2">
      <c r="AC424" s="122"/>
    </row>
    <row r="425" spans="29:29" ht="15.75" customHeight="1" x14ac:dyDescent="0.2">
      <c r="AC425" s="122"/>
    </row>
    <row r="426" spans="29:29" ht="15.75" customHeight="1" x14ac:dyDescent="0.2">
      <c r="AC426" s="122"/>
    </row>
    <row r="427" spans="29:29" ht="15.75" customHeight="1" x14ac:dyDescent="0.2">
      <c r="AC427" s="122"/>
    </row>
    <row r="428" spans="29:29" ht="15.75" customHeight="1" x14ac:dyDescent="0.2">
      <c r="AC428" s="122"/>
    </row>
    <row r="429" spans="29:29" ht="15.75" customHeight="1" x14ac:dyDescent="0.2">
      <c r="AC429" s="122"/>
    </row>
    <row r="430" spans="29:29" ht="15.75" customHeight="1" x14ac:dyDescent="0.2">
      <c r="AC430" s="122"/>
    </row>
    <row r="431" spans="29:29" ht="15.75" customHeight="1" x14ac:dyDescent="0.2">
      <c r="AC431" s="122"/>
    </row>
    <row r="432" spans="29:29" ht="15.75" customHeight="1" x14ac:dyDescent="0.2">
      <c r="AC432" s="122"/>
    </row>
    <row r="433" spans="29:29" ht="15.75" customHeight="1" x14ac:dyDescent="0.2">
      <c r="AC433" s="122"/>
    </row>
    <row r="434" spans="29:29" ht="15.75" customHeight="1" x14ac:dyDescent="0.2">
      <c r="AC434" s="122"/>
    </row>
    <row r="435" spans="29:29" ht="15.75" customHeight="1" x14ac:dyDescent="0.2">
      <c r="AC435" s="122"/>
    </row>
    <row r="436" spans="29:29" ht="15.75" customHeight="1" x14ac:dyDescent="0.2">
      <c r="AC436" s="122"/>
    </row>
    <row r="437" spans="29:29" ht="15.75" customHeight="1" x14ac:dyDescent="0.2">
      <c r="AC437" s="122"/>
    </row>
    <row r="438" spans="29:29" ht="15.75" customHeight="1" x14ac:dyDescent="0.2">
      <c r="AC438" s="122"/>
    </row>
    <row r="439" spans="29:29" ht="15.75" customHeight="1" x14ac:dyDescent="0.2">
      <c r="AC439" s="122"/>
    </row>
    <row r="440" spans="29:29" ht="15.75" customHeight="1" x14ac:dyDescent="0.2">
      <c r="AC440" s="122"/>
    </row>
    <row r="441" spans="29:29" ht="15.75" customHeight="1" x14ac:dyDescent="0.2">
      <c r="AC441" s="122"/>
    </row>
    <row r="442" spans="29:29" ht="15.75" customHeight="1" x14ac:dyDescent="0.2">
      <c r="AC442" s="122"/>
    </row>
    <row r="443" spans="29:29" ht="15.75" customHeight="1" x14ac:dyDescent="0.2">
      <c r="AC443" s="122"/>
    </row>
    <row r="444" spans="29:29" ht="15.75" customHeight="1" x14ac:dyDescent="0.2">
      <c r="AC444" s="122"/>
    </row>
    <row r="445" spans="29:29" ht="15.75" customHeight="1" x14ac:dyDescent="0.2">
      <c r="AC445" s="122"/>
    </row>
    <row r="446" spans="29:29" ht="15.75" customHeight="1" x14ac:dyDescent="0.2">
      <c r="AC446" s="122"/>
    </row>
    <row r="447" spans="29:29" ht="15.75" customHeight="1" x14ac:dyDescent="0.2">
      <c r="AC447" s="122"/>
    </row>
    <row r="448" spans="29:29" ht="15.75" customHeight="1" x14ac:dyDescent="0.2">
      <c r="AC448" s="122"/>
    </row>
    <row r="449" spans="29:29" ht="15.75" customHeight="1" x14ac:dyDescent="0.2">
      <c r="AC449" s="122"/>
    </row>
    <row r="450" spans="29:29" ht="15.75" customHeight="1" x14ac:dyDescent="0.2">
      <c r="AC450" s="122"/>
    </row>
    <row r="451" spans="29:29" ht="15.75" customHeight="1" x14ac:dyDescent="0.2">
      <c r="AC451" s="122"/>
    </row>
    <row r="452" spans="29:29" ht="15.75" customHeight="1" x14ac:dyDescent="0.2">
      <c r="AC452" s="122"/>
    </row>
    <row r="453" spans="29:29" ht="15.75" customHeight="1" x14ac:dyDescent="0.2">
      <c r="AC453" s="122"/>
    </row>
    <row r="454" spans="29:29" ht="15.75" customHeight="1" x14ac:dyDescent="0.2">
      <c r="AC454" s="122"/>
    </row>
    <row r="455" spans="29:29" ht="15.75" customHeight="1" x14ac:dyDescent="0.2">
      <c r="AC455" s="122"/>
    </row>
    <row r="456" spans="29:29" ht="15.75" customHeight="1" x14ac:dyDescent="0.2">
      <c r="AC456" s="122"/>
    </row>
    <row r="457" spans="29:29" ht="15.75" customHeight="1" x14ac:dyDescent="0.2">
      <c r="AC457" s="122"/>
    </row>
    <row r="458" spans="29:29" ht="15.75" customHeight="1" x14ac:dyDescent="0.2">
      <c r="AC458" s="122"/>
    </row>
    <row r="459" spans="29:29" ht="15.75" customHeight="1" x14ac:dyDescent="0.2">
      <c r="AC459" s="122"/>
    </row>
    <row r="460" spans="29:29" ht="15.75" customHeight="1" x14ac:dyDescent="0.2">
      <c r="AC460" s="122"/>
    </row>
    <row r="461" spans="29:29" ht="15.75" customHeight="1" x14ac:dyDescent="0.2">
      <c r="AC461" s="122"/>
    </row>
    <row r="462" spans="29:29" ht="15.75" customHeight="1" x14ac:dyDescent="0.2">
      <c r="AC462" s="122"/>
    </row>
    <row r="463" spans="29:29" ht="15.75" customHeight="1" x14ac:dyDescent="0.2">
      <c r="AC463" s="122"/>
    </row>
    <row r="464" spans="29:29" ht="15.75" customHeight="1" x14ac:dyDescent="0.2">
      <c r="AC464" s="122"/>
    </row>
    <row r="465" spans="29:29" ht="15.75" customHeight="1" x14ac:dyDescent="0.2">
      <c r="AC465" s="122"/>
    </row>
    <row r="466" spans="29:29" ht="15.75" customHeight="1" x14ac:dyDescent="0.2">
      <c r="AC466" s="122"/>
    </row>
    <row r="467" spans="29:29" ht="15.75" customHeight="1" x14ac:dyDescent="0.2">
      <c r="AC467" s="122"/>
    </row>
    <row r="468" spans="29:29" ht="15.75" customHeight="1" x14ac:dyDescent="0.2">
      <c r="AC468" s="122"/>
    </row>
    <row r="469" spans="29:29" ht="15.75" customHeight="1" x14ac:dyDescent="0.2">
      <c r="AC469" s="122"/>
    </row>
    <row r="470" spans="29:29" ht="15.75" customHeight="1" x14ac:dyDescent="0.2">
      <c r="AC470" s="122"/>
    </row>
    <row r="471" spans="29:29" ht="15.75" customHeight="1" x14ac:dyDescent="0.2">
      <c r="AC471" s="122"/>
    </row>
    <row r="472" spans="29:29" ht="15.75" customHeight="1" x14ac:dyDescent="0.2">
      <c r="AC472" s="122"/>
    </row>
    <row r="473" spans="29:29" ht="15.75" customHeight="1" x14ac:dyDescent="0.2">
      <c r="AC473" s="122"/>
    </row>
    <row r="474" spans="29:29" ht="15.75" customHeight="1" x14ac:dyDescent="0.2">
      <c r="AC474" s="122"/>
    </row>
    <row r="475" spans="29:29" ht="15.75" customHeight="1" x14ac:dyDescent="0.2">
      <c r="AC475" s="122"/>
    </row>
    <row r="476" spans="29:29" ht="15.75" customHeight="1" x14ac:dyDescent="0.2">
      <c r="AC476" s="122"/>
    </row>
    <row r="477" spans="29:29" ht="15.75" customHeight="1" x14ac:dyDescent="0.2">
      <c r="AC477" s="122"/>
    </row>
    <row r="478" spans="29:29" ht="15.75" customHeight="1" x14ac:dyDescent="0.2">
      <c r="AC478" s="122"/>
    </row>
    <row r="479" spans="29:29" ht="15.75" customHeight="1" x14ac:dyDescent="0.2">
      <c r="AC479" s="122"/>
    </row>
    <row r="480" spans="29:29" ht="15.75" customHeight="1" x14ac:dyDescent="0.2">
      <c r="AC480" s="122"/>
    </row>
    <row r="481" spans="29:29" ht="15.75" customHeight="1" x14ac:dyDescent="0.2">
      <c r="AC481" s="122"/>
    </row>
    <row r="482" spans="29:29" ht="15.75" customHeight="1" x14ac:dyDescent="0.2">
      <c r="AC482" s="122"/>
    </row>
    <row r="483" spans="29:29" ht="15.75" customHeight="1" x14ac:dyDescent="0.2">
      <c r="AC483" s="122"/>
    </row>
    <row r="484" spans="29:29" ht="15.75" customHeight="1" x14ac:dyDescent="0.2">
      <c r="AC484" s="122"/>
    </row>
    <row r="485" spans="29:29" ht="15.75" customHeight="1" x14ac:dyDescent="0.2">
      <c r="AC485" s="122"/>
    </row>
    <row r="486" spans="29:29" ht="15.75" customHeight="1" x14ac:dyDescent="0.2">
      <c r="AC486" s="122"/>
    </row>
    <row r="487" spans="29:29" ht="15.75" customHeight="1" x14ac:dyDescent="0.2">
      <c r="AC487" s="122"/>
    </row>
    <row r="488" spans="29:29" ht="15.75" customHeight="1" x14ac:dyDescent="0.2">
      <c r="AC488" s="122"/>
    </row>
    <row r="489" spans="29:29" ht="15.75" customHeight="1" x14ac:dyDescent="0.2">
      <c r="AC489" s="122"/>
    </row>
    <row r="490" spans="29:29" ht="15.75" customHeight="1" x14ac:dyDescent="0.2">
      <c r="AC490" s="122"/>
    </row>
    <row r="491" spans="29:29" ht="15.75" customHeight="1" x14ac:dyDescent="0.2">
      <c r="AC491" s="122"/>
    </row>
    <row r="492" spans="29:29" ht="15.75" customHeight="1" x14ac:dyDescent="0.2">
      <c r="AC492" s="122"/>
    </row>
    <row r="493" spans="29:29" ht="15.75" customHeight="1" x14ac:dyDescent="0.2">
      <c r="AC493" s="122"/>
    </row>
    <row r="494" spans="29:29" ht="15.75" customHeight="1" x14ac:dyDescent="0.2">
      <c r="AC494" s="122"/>
    </row>
    <row r="495" spans="29:29" ht="15.75" customHeight="1" x14ac:dyDescent="0.2">
      <c r="AC495" s="122"/>
    </row>
    <row r="496" spans="29:29" ht="15.75" customHeight="1" x14ac:dyDescent="0.2">
      <c r="AC496" s="122"/>
    </row>
    <row r="497" spans="29:29" ht="15.75" customHeight="1" x14ac:dyDescent="0.2">
      <c r="AC497" s="122"/>
    </row>
    <row r="498" spans="29:29" ht="15.75" customHeight="1" x14ac:dyDescent="0.2">
      <c r="AC498" s="122"/>
    </row>
    <row r="499" spans="29:29" ht="15.75" customHeight="1" x14ac:dyDescent="0.2">
      <c r="AC499" s="122"/>
    </row>
    <row r="500" spans="29:29" ht="15.75" customHeight="1" x14ac:dyDescent="0.2">
      <c r="AC500" s="122"/>
    </row>
    <row r="501" spans="29:29" ht="15.75" customHeight="1" x14ac:dyDescent="0.2">
      <c r="AC501" s="122"/>
    </row>
    <row r="502" spans="29:29" ht="15.75" customHeight="1" x14ac:dyDescent="0.2">
      <c r="AC502" s="122"/>
    </row>
    <row r="503" spans="29:29" ht="15.75" customHeight="1" x14ac:dyDescent="0.2">
      <c r="AC503" s="122"/>
    </row>
    <row r="504" spans="29:29" ht="15.75" customHeight="1" x14ac:dyDescent="0.2">
      <c r="AC504" s="122"/>
    </row>
    <row r="505" spans="29:29" ht="15.75" customHeight="1" x14ac:dyDescent="0.2">
      <c r="AC505" s="122"/>
    </row>
    <row r="506" spans="29:29" ht="15.75" customHeight="1" x14ac:dyDescent="0.2">
      <c r="AC506" s="122"/>
    </row>
    <row r="507" spans="29:29" ht="15.75" customHeight="1" x14ac:dyDescent="0.2">
      <c r="AC507" s="122"/>
    </row>
    <row r="508" spans="29:29" ht="15.75" customHeight="1" x14ac:dyDescent="0.2">
      <c r="AC508" s="122"/>
    </row>
    <row r="509" spans="29:29" ht="15.75" customHeight="1" x14ac:dyDescent="0.2">
      <c r="AC509" s="122"/>
    </row>
    <row r="510" spans="29:29" ht="15.75" customHeight="1" x14ac:dyDescent="0.2">
      <c r="AC510" s="122"/>
    </row>
    <row r="511" spans="29:29" ht="15.75" customHeight="1" x14ac:dyDescent="0.2">
      <c r="AC511" s="122"/>
    </row>
    <row r="512" spans="29:29" ht="15.75" customHeight="1" x14ac:dyDescent="0.2">
      <c r="AC512" s="122"/>
    </row>
    <row r="513" spans="29:29" ht="15.75" customHeight="1" x14ac:dyDescent="0.2">
      <c r="AC513" s="122"/>
    </row>
    <row r="514" spans="29:29" ht="15.75" customHeight="1" x14ac:dyDescent="0.2">
      <c r="AC514" s="122"/>
    </row>
    <row r="515" spans="29:29" ht="15.75" customHeight="1" x14ac:dyDescent="0.2">
      <c r="AC515" s="122"/>
    </row>
    <row r="516" spans="29:29" ht="15.75" customHeight="1" x14ac:dyDescent="0.2">
      <c r="AC516" s="122"/>
    </row>
    <row r="517" spans="29:29" ht="15.75" customHeight="1" x14ac:dyDescent="0.2">
      <c r="AC517" s="122"/>
    </row>
    <row r="518" spans="29:29" ht="15.75" customHeight="1" x14ac:dyDescent="0.2">
      <c r="AC518" s="122"/>
    </row>
    <row r="519" spans="29:29" ht="15.75" customHeight="1" x14ac:dyDescent="0.2">
      <c r="AC519" s="122"/>
    </row>
    <row r="520" spans="29:29" ht="15.75" customHeight="1" x14ac:dyDescent="0.2">
      <c r="AC520" s="122"/>
    </row>
    <row r="521" spans="29:29" ht="15.75" customHeight="1" x14ac:dyDescent="0.2">
      <c r="AC521" s="122"/>
    </row>
    <row r="522" spans="29:29" ht="15.75" customHeight="1" x14ac:dyDescent="0.2">
      <c r="AC522" s="122"/>
    </row>
    <row r="523" spans="29:29" ht="15.75" customHeight="1" x14ac:dyDescent="0.2">
      <c r="AC523" s="122"/>
    </row>
    <row r="524" spans="29:29" ht="15.75" customHeight="1" x14ac:dyDescent="0.2">
      <c r="AC524" s="122"/>
    </row>
    <row r="525" spans="29:29" ht="15.75" customHeight="1" x14ac:dyDescent="0.2">
      <c r="AC525" s="122"/>
    </row>
    <row r="526" spans="29:29" ht="15.75" customHeight="1" x14ac:dyDescent="0.2">
      <c r="AC526" s="122"/>
    </row>
    <row r="527" spans="29:29" ht="15.75" customHeight="1" x14ac:dyDescent="0.2">
      <c r="AC527" s="122"/>
    </row>
    <row r="528" spans="29:29" ht="15.75" customHeight="1" x14ac:dyDescent="0.2">
      <c r="AC528" s="122"/>
    </row>
    <row r="529" spans="29:29" ht="15.75" customHeight="1" x14ac:dyDescent="0.2">
      <c r="AC529" s="122"/>
    </row>
    <row r="530" spans="29:29" ht="15.75" customHeight="1" x14ac:dyDescent="0.2">
      <c r="AC530" s="122"/>
    </row>
    <row r="531" spans="29:29" ht="15.75" customHeight="1" x14ac:dyDescent="0.2">
      <c r="AC531" s="122"/>
    </row>
    <row r="532" spans="29:29" ht="15.75" customHeight="1" x14ac:dyDescent="0.2">
      <c r="AC532" s="122"/>
    </row>
    <row r="533" spans="29:29" ht="15.75" customHeight="1" x14ac:dyDescent="0.2">
      <c r="AC533" s="122"/>
    </row>
    <row r="534" spans="29:29" ht="15.75" customHeight="1" x14ac:dyDescent="0.2">
      <c r="AC534" s="122"/>
    </row>
    <row r="535" spans="29:29" ht="15.75" customHeight="1" x14ac:dyDescent="0.2">
      <c r="AC535" s="122"/>
    </row>
    <row r="536" spans="29:29" ht="15.75" customHeight="1" x14ac:dyDescent="0.2">
      <c r="AC536" s="122"/>
    </row>
    <row r="537" spans="29:29" ht="15.75" customHeight="1" x14ac:dyDescent="0.2">
      <c r="AC537" s="122"/>
    </row>
    <row r="538" spans="29:29" ht="15.75" customHeight="1" x14ac:dyDescent="0.2">
      <c r="AC538" s="122"/>
    </row>
    <row r="539" spans="29:29" ht="15.75" customHeight="1" x14ac:dyDescent="0.2">
      <c r="AC539" s="122"/>
    </row>
    <row r="540" spans="29:29" ht="15.75" customHeight="1" x14ac:dyDescent="0.2">
      <c r="AC540" s="122"/>
    </row>
    <row r="541" spans="29:29" ht="15.75" customHeight="1" x14ac:dyDescent="0.2">
      <c r="AC541" s="122"/>
    </row>
    <row r="542" spans="29:29" ht="15.75" customHeight="1" x14ac:dyDescent="0.2">
      <c r="AC542" s="122"/>
    </row>
    <row r="543" spans="29:29" ht="15.75" customHeight="1" x14ac:dyDescent="0.2">
      <c r="AC543" s="122"/>
    </row>
    <row r="544" spans="29:29" ht="15.75" customHeight="1" x14ac:dyDescent="0.2">
      <c r="AC544" s="122"/>
    </row>
    <row r="545" spans="29:29" ht="15.75" customHeight="1" x14ac:dyDescent="0.2">
      <c r="AC545" s="122"/>
    </row>
    <row r="546" spans="29:29" ht="15.75" customHeight="1" x14ac:dyDescent="0.2">
      <c r="AC546" s="122"/>
    </row>
    <row r="547" spans="29:29" ht="15.75" customHeight="1" x14ac:dyDescent="0.2">
      <c r="AC547" s="122"/>
    </row>
    <row r="548" spans="29:29" ht="15.75" customHeight="1" x14ac:dyDescent="0.2">
      <c r="AC548" s="122"/>
    </row>
    <row r="549" spans="29:29" ht="15.75" customHeight="1" x14ac:dyDescent="0.2">
      <c r="AC549" s="122"/>
    </row>
    <row r="550" spans="29:29" ht="15.75" customHeight="1" x14ac:dyDescent="0.2">
      <c r="AC550" s="122"/>
    </row>
    <row r="551" spans="29:29" ht="15.75" customHeight="1" x14ac:dyDescent="0.2">
      <c r="AC551" s="122"/>
    </row>
    <row r="552" spans="29:29" ht="15.75" customHeight="1" x14ac:dyDescent="0.2">
      <c r="AC552" s="122"/>
    </row>
    <row r="553" spans="29:29" ht="15.75" customHeight="1" x14ac:dyDescent="0.2">
      <c r="AC553" s="122"/>
    </row>
    <row r="554" spans="29:29" ht="15.75" customHeight="1" x14ac:dyDescent="0.2">
      <c r="AC554" s="122"/>
    </row>
    <row r="555" spans="29:29" ht="15.75" customHeight="1" x14ac:dyDescent="0.2">
      <c r="AC555" s="122"/>
    </row>
    <row r="556" spans="29:29" ht="15.75" customHeight="1" x14ac:dyDescent="0.2">
      <c r="AC556" s="122"/>
    </row>
    <row r="557" spans="29:29" ht="15.75" customHeight="1" x14ac:dyDescent="0.2">
      <c r="AC557" s="122"/>
    </row>
    <row r="558" spans="29:29" ht="15.75" customHeight="1" x14ac:dyDescent="0.2">
      <c r="AC558" s="122"/>
    </row>
    <row r="559" spans="29:29" ht="15.75" customHeight="1" x14ac:dyDescent="0.2">
      <c r="AC559" s="122"/>
    </row>
    <row r="560" spans="29:29" ht="15.75" customHeight="1" x14ac:dyDescent="0.2">
      <c r="AC560" s="122"/>
    </row>
    <row r="561" spans="29:29" ht="15.75" customHeight="1" x14ac:dyDescent="0.2">
      <c r="AC561" s="122"/>
    </row>
    <row r="562" spans="29:29" ht="15.75" customHeight="1" x14ac:dyDescent="0.2">
      <c r="AC562" s="122"/>
    </row>
    <row r="563" spans="29:29" ht="15.75" customHeight="1" x14ac:dyDescent="0.2">
      <c r="AC563" s="122"/>
    </row>
    <row r="564" spans="29:29" ht="15.75" customHeight="1" x14ac:dyDescent="0.2">
      <c r="AC564" s="122"/>
    </row>
    <row r="565" spans="29:29" ht="15.75" customHeight="1" x14ac:dyDescent="0.2">
      <c r="AC565" s="122"/>
    </row>
    <row r="566" spans="29:29" ht="15.75" customHeight="1" x14ac:dyDescent="0.2">
      <c r="AC566" s="122"/>
    </row>
    <row r="567" spans="29:29" ht="15.75" customHeight="1" x14ac:dyDescent="0.2">
      <c r="AC567" s="122"/>
    </row>
    <row r="568" spans="29:29" ht="15.75" customHeight="1" x14ac:dyDescent="0.2">
      <c r="AC568" s="122"/>
    </row>
    <row r="569" spans="29:29" ht="15.75" customHeight="1" x14ac:dyDescent="0.2">
      <c r="AC569" s="122"/>
    </row>
    <row r="570" spans="29:29" ht="15.75" customHeight="1" x14ac:dyDescent="0.2">
      <c r="AC570" s="122"/>
    </row>
    <row r="571" spans="29:29" ht="15.75" customHeight="1" x14ac:dyDescent="0.2">
      <c r="AC571" s="122"/>
    </row>
    <row r="572" spans="29:29" ht="15.75" customHeight="1" x14ac:dyDescent="0.2">
      <c r="AC572" s="122"/>
    </row>
    <row r="573" spans="29:29" ht="15.75" customHeight="1" x14ac:dyDescent="0.2">
      <c r="AC573" s="122"/>
    </row>
    <row r="574" spans="29:29" ht="15.75" customHeight="1" x14ac:dyDescent="0.2">
      <c r="AC574" s="122"/>
    </row>
    <row r="575" spans="29:29" ht="15.75" customHeight="1" x14ac:dyDescent="0.2">
      <c r="AC575" s="122"/>
    </row>
    <row r="576" spans="29:29" ht="15.75" customHeight="1" x14ac:dyDescent="0.2">
      <c r="AC576" s="122"/>
    </row>
    <row r="577" spans="29:29" ht="15.75" customHeight="1" x14ac:dyDescent="0.2">
      <c r="AC577" s="122"/>
    </row>
    <row r="578" spans="29:29" ht="15.75" customHeight="1" x14ac:dyDescent="0.2">
      <c r="AC578" s="122"/>
    </row>
    <row r="579" spans="29:29" ht="15.75" customHeight="1" x14ac:dyDescent="0.2">
      <c r="AC579" s="122"/>
    </row>
    <row r="580" spans="29:29" ht="15.75" customHeight="1" x14ac:dyDescent="0.2">
      <c r="AC580" s="122"/>
    </row>
    <row r="581" spans="29:29" ht="15.75" customHeight="1" x14ac:dyDescent="0.2">
      <c r="AC581" s="122"/>
    </row>
    <row r="582" spans="29:29" ht="15.75" customHeight="1" x14ac:dyDescent="0.2">
      <c r="AC582" s="122"/>
    </row>
    <row r="583" spans="29:29" ht="15.75" customHeight="1" x14ac:dyDescent="0.2">
      <c r="AC583" s="122"/>
    </row>
    <row r="584" spans="29:29" ht="15.75" customHeight="1" x14ac:dyDescent="0.2">
      <c r="AC584" s="122"/>
    </row>
    <row r="585" spans="29:29" ht="15.75" customHeight="1" x14ac:dyDescent="0.2">
      <c r="AC585" s="122"/>
    </row>
    <row r="586" spans="29:29" ht="15.75" customHeight="1" x14ac:dyDescent="0.2">
      <c r="AC586" s="122"/>
    </row>
    <row r="587" spans="29:29" ht="15.75" customHeight="1" x14ac:dyDescent="0.2">
      <c r="AC587" s="122"/>
    </row>
    <row r="588" spans="29:29" ht="15.75" customHeight="1" x14ac:dyDescent="0.2">
      <c r="AC588" s="122"/>
    </row>
    <row r="589" spans="29:29" ht="15.75" customHeight="1" x14ac:dyDescent="0.2">
      <c r="AC589" s="122"/>
    </row>
    <row r="590" spans="29:29" ht="15.75" customHeight="1" x14ac:dyDescent="0.2">
      <c r="AC590" s="122"/>
    </row>
    <row r="591" spans="29:29" ht="15.75" customHeight="1" x14ac:dyDescent="0.2">
      <c r="AC591" s="122"/>
    </row>
    <row r="592" spans="29:29" ht="15.75" customHeight="1" x14ac:dyDescent="0.2">
      <c r="AC592" s="122"/>
    </row>
    <row r="593" spans="29:29" ht="15.75" customHeight="1" x14ac:dyDescent="0.2">
      <c r="AC593" s="122"/>
    </row>
    <row r="594" spans="29:29" ht="15.75" customHeight="1" x14ac:dyDescent="0.2">
      <c r="AC594" s="122"/>
    </row>
    <row r="595" spans="29:29" ht="15.75" customHeight="1" x14ac:dyDescent="0.2">
      <c r="AC595" s="122"/>
    </row>
    <row r="596" spans="29:29" ht="15.75" customHeight="1" x14ac:dyDescent="0.2">
      <c r="AC596" s="122"/>
    </row>
    <row r="597" spans="29:29" ht="15.75" customHeight="1" x14ac:dyDescent="0.2">
      <c r="AC597" s="122"/>
    </row>
    <row r="598" spans="29:29" ht="15.75" customHeight="1" x14ac:dyDescent="0.2">
      <c r="AC598" s="122"/>
    </row>
    <row r="599" spans="29:29" ht="15.75" customHeight="1" x14ac:dyDescent="0.2">
      <c r="AC599" s="122"/>
    </row>
    <row r="600" spans="29:29" ht="15.75" customHeight="1" x14ac:dyDescent="0.2">
      <c r="AC600" s="122"/>
    </row>
    <row r="601" spans="29:29" ht="15.75" customHeight="1" x14ac:dyDescent="0.2">
      <c r="AC601" s="122"/>
    </row>
    <row r="602" spans="29:29" ht="15.75" customHeight="1" x14ac:dyDescent="0.2">
      <c r="AC602" s="122"/>
    </row>
    <row r="603" spans="29:29" ht="15.75" customHeight="1" x14ac:dyDescent="0.2">
      <c r="AC603" s="122"/>
    </row>
    <row r="604" spans="29:29" ht="15.75" customHeight="1" x14ac:dyDescent="0.2">
      <c r="AC604" s="122"/>
    </row>
    <row r="605" spans="29:29" ht="15.75" customHeight="1" x14ac:dyDescent="0.2">
      <c r="AC605" s="122"/>
    </row>
    <row r="606" spans="29:29" ht="15.75" customHeight="1" x14ac:dyDescent="0.2">
      <c r="AC606" s="122"/>
    </row>
    <row r="607" spans="29:29" ht="15.75" customHeight="1" x14ac:dyDescent="0.2">
      <c r="AC607" s="122"/>
    </row>
    <row r="608" spans="29:29" ht="15.75" customHeight="1" x14ac:dyDescent="0.2">
      <c r="AC608" s="122"/>
    </row>
    <row r="609" spans="29:29" ht="15.75" customHeight="1" x14ac:dyDescent="0.2">
      <c r="AC609" s="122"/>
    </row>
    <row r="610" spans="29:29" ht="15.75" customHeight="1" x14ac:dyDescent="0.2">
      <c r="AC610" s="122"/>
    </row>
    <row r="611" spans="29:29" ht="15.75" customHeight="1" x14ac:dyDescent="0.2">
      <c r="AC611" s="122"/>
    </row>
    <row r="612" spans="29:29" ht="15.75" customHeight="1" x14ac:dyDescent="0.2">
      <c r="AC612" s="122"/>
    </row>
    <row r="613" spans="29:29" ht="15.75" customHeight="1" x14ac:dyDescent="0.2">
      <c r="AC613" s="122"/>
    </row>
    <row r="614" spans="29:29" ht="15.75" customHeight="1" x14ac:dyDescent="0.2">
      <c r="AC614" s="122"/>
    </row>
    <row r="615" spans="29:29" ht="15.75" customHeight="1" x14ac:dyDescent="0.2">
      <c r="AC615" s="122"/>
    </row>
    <row r="616" spans="29:29" ht="15.75" customHeight="1" x14ac:dyDescent="0.2">
      <c r="AC616" s="122"/>
    </row>
    <row r="617" spans="29:29" ht="15.75" customHeight="1" x14ac:dyDescent="0.2">
      <c r="AC617" s="122"/>
    </row>
    <row r="618" spans="29:29" ht="15.75" customHeight="1" x14ac:dyDescent="0.2">
      <c r="AC618" s="122"/>
    </row>
    <row r="619" spans="29:29" ht="15.75" customHeight="1" x14ac:dyDescent="0.2">
      <c r="AC619" s="122"/>
    </row>
    <row r="620" spans="29:29" ht="15.75" customHeight="1" x14ac:dyDescent="0.2">
      <c r="AC620" s="122"/>
    </row>
    <row r="621" spans="29:29" ht="15.75" customHeight="1" x14ac:dyDescent="0.2">
      <c r="AC621" s="122"/>
    </row>
    <row r="622" spans="29:29" ht="15.75" customHeight="1" x14ac:dyDescent="0.2">
      <c r="AC622" s="122"/>
    </row>
    <row r="623" spans="29:29" ht="15.75" customHeight="1" x14ac:dyDescent="0.2">
      <c r="AC623" s="122"/>
    </row>
    <row r="624" spans="29:29" ht="15.75" customHeight="1" x14ac:dyDescent="0.2">
      <c r="AC624" s="122"/>
    </row>
    <row r="625" spans="29:29" ht="15.75" customHeight="1" x14ac:dyDescent="0.2">
      <c r="AC625" s="122"/>
    </row>
    <row r="626" spans="29:29" ht="15.75" customHeight="1" x14ac:dyDescent="0.2">
      <c r="AC626" s="122"/>
    </row>
    <row r="627" spans="29:29" ht="15.75" customHeight="1" x14ac:dyDescent="0.2">
      <c r="AC627" s="122"/>
    </row>
    <row r="628" spans="29:29" ht="15.75" customHeight="1" x14ac:dyDescent="0.2">
      <c r="AC628" s="122"/>
    </row>
    <row r="629" spans="29:29" ht="15.75" customHeight="1" x14ac:dyDescent="0.2">
      <c r="AC629" s="122"/>
    </row>
    <row r="630" spans="29:29" ht="15.75" customHeight="1" x14ac:dyDescent="0.2">
      <c r="AC630" s="122"/>
    </row>
    <row r="631" spans="29:29" ht="15.75" customHeight="1" x14ac:dyDescent="0.2">
      <c r="AC631" s="122"/>
    </row>
    <row r="632" spans="29:29" ht="15.75" customHeight="1" x14ac:dyDescent="0.2">
      <c r="AC632" s="122"/>
    </row>
    <row r="633" spans="29:29" ht="15.75" customHeight="1" x14ac:dyDescent="0.2">
      <c r="AC633" s="122"/>
    </row>
    <row r="634" spans="29:29" ht="15.75" customHeight="1" x14ac:dyDescent="0.2">
      <c r="AC634" s="122"/>
    </row>
    <row r="635" spans="29:29" ht="15.75" customHeight="1" x14ac:dyDescent="0.2">
      <c r="AC635" s="122"/>
    </row>
    <row r="636" spans="29:29" ht="15.75" customHeight="1" x14ac:dyDescent="0.2">
      <c r="AC636" s="122"/>
    </row>
    <row r="637" spans="29:29" ht="15.75" customHeight="1" x14ac:dyDescent="0.2">
      <c r="AC637" s="122"/>
    </row>
    <row r="638" spans="29:29" ht="15.75" customHeight="1" x14ac:dyDescent="0.2">
      <c r="AC638" s="122"/>
    </row>
    <row r="639" spans="29:29" ht="15.75" customHeight="1" x14ac:dyDescent="0.2">
      <c r="AC639" s="122"/>
    </row>
    <row r="640" spans="29:29" ht="15.75" customHeight="1" x14ac:dyDescent="0.2">
      <c r="AC640" s="122"/>
    </row>
    <row r="641" spans="29:29" ht="15.75" customHeight="1" x14ac:dyDescent="0.2">
      <c r="AC641" s="122"/>
    </row>
    <row r="642" spans="29:29" ht="15.75" customHeight="1" x14ac:dyDescent="0.2">
      <c r="AC642" s="122"/>
    </row>
    <row r="643" spans="29:29" ht="15.75" customHeight="1" x14ac:dyDescent="0.2">
      <c r="AC643" s="122"/>
    </row>
    <row r="644" spans="29:29" ht="15.75" customHeight="1" x14ac:dyDescent="0.2">
      <c r="AC644" s="122"/>
    </row>
    <row r="645" spans="29:29" ht="15.75" customHeight="1" x14ac:dyDescent="0.2">
      <c r="AC645" s="122"/>
    </row>
    <row r="646" spans="29:29" ht="15.75" customHeight="1" x14ac:dyDescent="0.2">
      <c r="AC646" s="122"/>
    </row>
    <row r="647" spans="29:29" ht="15.75" customHeight="1" x14ac:dyDescent="0.2">
      <c r="AC647" s="122"/>
    </row>
    <row r="648" spans="29:29" ht="15.75" customHeight="1" x14ac:dyDescent="0.2">
      <c r="AC648" s="122"/>
    </row>
    <row r="649" spans="29:29" ht="15.75" customHeight="1" x14ac:dyDescent="0.2">
      <c r="AC649" s="122"/>
    </row>
    <row r="650" spans="29:29" ht="15.75" customHeight="1" x14ac:dyDescent="0.2">
      <c r="AC650" s="122"/>
    </row>
    <row r="651" spans="29:29" ht="15.75" customHeight="1" x14ac:dyDescent="0.2">
      <c r="AC651" s="122"/>
    </row>
    <row r="652" spans="29:29" ht="15.75" customHeight="1" x14ac:dyDescent="0.2">
      <c r="AC652" s="122"/>
    </row>
    <row r="653" spans="29:29" ht="15.75" customHeight="1" x14ac:dyDescent="0.2">
      <c r="AC653" s="122"/>
    </row>
    <row r="654" spans="29:29" ht="15.75" customHeight="1" x14ac:dyDescent="0.2">
      <c r="AC654" s="122"/>
    </row>
    <row r="655" spans="29:29" ht="15.75" customHeight="1" x14ac:dyDescent="0.2">
      <c r="AC655" s="122"/>
    </row>
    <row r="656" spans="29:29" ht="15.75" customHeight="1" x14ac:dyDescent="0.2">
      <c r="AC656" s="122"/>
    </row>
    <row r="657" spans="29:29" ht="15.75" customHeight="1" x14ac:dyDescent="0.2">
      <c r="AC657" s="122"/>
    </row>
    <row r="658" spans="29:29" ht="15.75" customHeight="1" x14ac:dyDescent="0.2">
      <c r="AC658" s="122"/>
    </row>
    <row r="659" spans="29:29" ht="15.75" customHeight="1" x14ac:dyDescent="0.2">
      <c r="AC659" s="122"/>
    </row>
    <row r="660" spans="29:29" ht="15.75" customHeight="1" x14ac:dyDescent="0.2">
      <c r="AC660" s="122"/>
    </row>
    <row r="661" spans="29:29" ht="15.75" customHeight="1" x14ac:dyDescent="0.2">
      <c r="AC661" s="122"/>
    </row>
    <row r="662" spans="29:29" ht="15.75" customHeight="1" x14ac:dyDescent="0.2">
      <c r="AC662" s="122"/>
    </row>
    <row r="663" spans="29:29" ht="15.75" customHeight="1" x14ac:dyDescent="0.2">
      <c r="AC663" s="122"/>
    </row>
    <row r="664" spans="29:29" ht="15.75" customHeight="1" x14ac:dyDescent="0.2">
      <c r="AC664" s="122"/>
    </row>
    <row r="665" spans="29:29" ht="15.75" customHeight="1" x14ac:dyDescent="0.2">
      <c r="AC665" s="122"/>
    </row>
    <row r="666" spans="29:29" ht="15.75" customHeight="1" x14ac:dyDescent="0.2">
      <c r="AC666" s="122"/>
    </row>
    <row r="667" spans="29:29" ht="15.75" customHeight="1" x14ac:dyDescent="0.2">
      <c r="AC667" s="122"/>
    </row>
    <row r="668" spans="29:29" ht="15.75" customHeight="1" x14ac:dyDescent="0.2">
      <c r="AC668" s="122"/>
    </row>
    <row r="669" spans="29:29" ht="15.75" customHeight="1" x14ac:dyDescent="0.2">
      <c r="AC669" s="122"/>
    </row>
    <row r="670" spans="29:29" ht="15.75" customHeight="1" x14ac:dyDescent="0.2">
      <c r="AC670" s="122"/>
    </row>
    <row r="671" spans="29:29" ht="15.75" customHeight="1" x14ac:dyDescent="0.2">
      <c r="AC671" s="122"/>
    </row>
    <row r="672" spans="29:29" ht="15.75" customHeight="1" x14ac:dyDescent="0.2">
      <c r="AC672" s="122"/>
    </row>
    <row r="673" spans="29:29" ht="15.75" customHeight="1" x14ac:dyDescent="0.2">
      <c r="AC673" s="122"/>
    </row>
    <row r="674" spans="29:29" ht="15.75" customHeight="1" x14ac:dyDescent="0.2">
      <c r="AC674" s="122"/>
    </row>
    <row r="675" spans="29:29" ht="15.75" customHeight="1" x14ac:dyDescent="0.2">
      <c r="AC675" s="122"/>
    </row>
    <row r="676" spans="29:29" ht="15.75" customHeight="1" x14ac:dyDescent="0.2">
      <c r="AC676" s="122"/>
    </row>
    <row r="677" spans="29:29" ht="15.75" customHeight="1" x14ac:dyDescent="0.2">
      <c r="AC677" s="122"/>
    </row>
    <row r="678" spans="29:29" ht="15.75" customHeight="1" x14ac:dyDescent="0.2">
      <c r="AC678" s="122"/>
    </row>
    <row r="679" spans="29:29" ht="15.75" customHeight="1" x14ac:dyDescent="0.2">
      <c r="AC679" s="122"/>
    </row>
    <row r="680" spans="29:29" ht="15.75" customHeight="1" x14ac:dyDescent="0.2">
      <c r="AC680" s="122"/>
    </row>
    <row r="681" spans="29:29" ht="15.75" customHeight="1" x14ac:dyDescent="0.2">
      <c r="AC681" s="122"/>
    </row>
    <row r="682" spans="29:29" ht="15.75" customHeight="1" x14ac:dyDescent="0.2">
      <c r="AC682" s="122"/>
    </row>
    <row r="683" spans="29:29" ht="15.75" customHeight="1" x14ac:dyDescent="0.2">
      <c r="AC683" s="122"/>
    </row>
    <row r="684" spans="29:29" ht="15.75" customHeight="1" x14ac:dyDescent="0.2">
      <c r="AC684" s="122"/>
    </row>
    <row r="685" spans="29:29" ht="15.75" customHeight="1" x14ac:dyDescent="0.2">
      <c r="AC685" s="122"/>
    </row>
    <row r="686" spans="29:29" ht="15.75" customHeight="1" x14ac:dyDescent="0.2">
      <c r="AC686" s="122"/>
    </row>
    <row r="687" spans="29:29" ht="15.75" customHeight="1" x14ac:dyDescent="0.2">
      <c r="AC687" s="122"/>
    </row>
    <row r="688" spans="29:29" ht="15.75" customHeight="1" x14ac:dyDescent="0.2">
      <c r="AC688" s="122"/>
    </row>
    <row r="689" spans="29:29" ht="15.75" customHeight="1" x14ac:dyDescent="0.2">
      <c r="AC689" s="122"/>
    </row>
    <row r="690" spans="29:29" ht="15.75" customHeight="1" x14ac:dyDescent="0.2">
      <c r="AC690" s="122"/>
    </row>
    <row r="691" spans="29:29" ht="15.75" customHeight="1" x14ac:dyDescent="0.2">
      <c r="AC691" s="122"/>
    </row>
    <row r="692" spans="29:29" ht="15.75" customHeight="1" x14ac:dyDescent="0.2">
      <c r="AC692" s="122"/>
    </row>
    <row r="693" spans="29:29" ht="15.75" customHeight="1" x14ac:dyDescent="0.2">
      <c r="AC693" s="122"/>
    </row>
    <row r="694" spans="29:29" ht="15.75" customHeight="1" x14ac:dyDescent="0.2">
      <c r="AC694" s="122"/>
    </row>
    <row r="695" spans="29:29" ht="15.75" customHeight="1" x14ac:dyDescent="0.2">
      <c r="AC695" s="122"/>
    </row>
    <row r="696" spans="29:29" ht="15.75" customHeight="1" x14ac:dyDescent="0.2">
      <c r="AC696" s="122"/>
    </row>
    <row r="697" spans="29:29" ht="15.75" customHeight="1" x14ac:dyDescent="0.2">
      <c r="AC697" s="122"/>
    </row>
    <row r="698" spans="29:29" ht="15.75" customHeight="1" x14ac:dyDescent="0.2">
      <c r="AC698" s="122"/>
    </row>
    <row r="699" spans="29:29" ht="15.75" customHeight="1" x14ac:dyDescent="0.2">
      <c r="AC699" s="122"/>
    </row>
    <row r="700" spans="29:29" ht="15.75" customHeight="1" x14ac:dyDescent="0.2">
      <c r="AC700" s="122"/>
    </row>
    <row r="701" spans="29:29" ht="15.75" customHeight="1" x14ac:dyDescent="0.2">
      <c r="AC701" s="122"/>
    </row>
    <row r="702" spans="29:29" ht="15.75" customHeight="1" x14ac:dyDescent="0.2">
      <c r="AC702" s="122"/>
    </row>
    <row r="703" spans="29:29" ht="15.75" customHeight="1" x14ac:dyDescent="0.2">
      <c r="AC703" s="122"/>
    </row>
    <row r="704" spans="29:29" ht="15.75" customHeight="1" x14ac:dyDescent="0.2">
      <c r="AC704" s="122"/>
    </row>
    <row r="705" spans="29:29" ht="15.75" customHeight="1" x14ac:dyDescent="0.2">
      <c r="AC705" s="122"/>
    </row>
    <row r="706" spans="29:29" ht="15.75" customHeight="1" x14ac:dyDescent="0.2">
      <c r="AC706" s="122"/>
    </row>
    <row r="707" spans="29:29" ht="15.75" customHeight="1" x14ac:dyDescent="0.2">
      <c r="AC707" s="122"/>
    </row>
    <row r="708" spans="29:29" ht="15.75" customHeight="1" x14ac:dyDescent="0.2">
      <c r="AC708" s="122"/>
    </row>
    <row r="709" spans="29:29" ht="15.75" customHeight="1" x14ac:dyDescent="0.2">
      <c r="AC709" s="122"/>
    </row>
    <row r="710" spans="29:29" ht="15.75" customHeight="1" x14ac:dyDescent="0.2">
      <c r="AC710" s="122"/>
    </row>
    <row r="711" spans="29:29" ht="15.75" customHeight="1" x14ac:dyDescent="0.2">
      <c r="AC711" s="122"/>
    </row>
    <row r="712" spans="29:29" ht="15.75" customHeight="1" x14ac:dyDescent="0.2">
      <c r="AC712" s="122"/>
    </row>
    <row r="713" spans="29:29" ht="15.75" customHeight="1" x14ac:dyDescent="0.2">
      <c r="AC713" s="122"/>
    </row>
    <row r="714" spans="29:29" ht="15.75" customHeight="1" x14ac:dyDescent="0.2">
      <c r="AC714" s="122"/>
    </row>
    <row r="715" spans="29:29" ht="15.75" customHeight="1" x14ac:dyDescent="0.2">
      <c r="AC715" s="122"/>
    </row>
    <row r="716" spans="29:29" ht="15.75" customHeight="1" x14ac:dyDescent="0.2">
      <c r="AC716" s="122"/>
    </row>
    <row r="717" spans="29:29" ht="15.75" customHeight="1" x14ac:dyDescent="0.2">
      <c r="AC717" s="122"/>
    </row>
    <row r="718" spans="29:29" ht="15.75" customHeight="1" x14ac:dyDescent="0.2">
      <c r="AC718" s="122"/>
    </row>
    <row r="719" spans="29:29" ht="15.75" customHeight="1" x14ac:dyDescent="0.2">
      <c r="AC719" s="122"/>
    </row>
    <row r="720" spans="29:29" ht="15.75" customHeight="1" x14ac:dyDescent="0.2">
      <c r="AC720" s="122"/>
    </row>
    <row r="721" spans="29:29" ht="15.75" customHeight="1" x14ac:dyDescent="0.2">
      <c r="AC721" s="122"/>
    </row>
    <row r="722" spans="29:29" ht="15.75" customHeight="1" x14ac:dyDescent="0.2">
      <c r="AC722" s="122"/>
    </row>
    <row r="723" spans="29:29" ht="15.75" customHeight="1" x14ac:dyDescent="0.2">
      <c r="AC723" s="122"/>
    </row>
    <row r="724" spans="29:29" ht="15.75" customHeight="1" x14ac:dyDescent="0.2">
      <c r="AC724" s="122"/>
    </row>
    <row r="725" spans="29:29" ht="15.75" customHeight="1" x14ac:dyDescent="0.2">
      <c r="AC725" s="122"/>
    </row>
    <row r="726" spans="29:29" ht="15.75" customHeight="1" x14ac:dyDescent="0.2">
      <c r="AC726" s="122"/>
    </row>
    <row r="727" spans="29:29" ht="15.75" customHeight="1" x14ac:dyDescent="0.2">
      <c r="AC727" s="122"/>
    </row>
    <row r="728" spans="29:29" ht="15.75" customHeight="1" x14ac:dyDescent="0.2">
      <c r="AC728" s="122"/>
    </row>
    <row r="729" spans="29:29" ht="15.75" customHeight="1" x14ac:dyDescent="0.2">
      <c r="AC729" s="122"/>
    </row>
    <row r="730" spans="29:29" ht="15.75" customHeight="1" x14ac:dyDescent="0.2">
      <c r="AC730" s="122"/>
    </row>
    <row r="731" spans="29:29" ht="15.75" customHeight="1" x14ac:dyDescent="0.2">
      <c r="AC731" s="122"/>
    </row>
    <row r="732" spans="29:29" ht="15.75" customHeight="1" x14ac:dyDescent="0.2">
      <c r="AC732" s="122"/>
    </row>
    <row r="733" spans="29:29" ht="15.75" customHeight="1" x14ac:dyDescent="0.2">
      <c r="AC733" s="122"/>
    </row>
    <row r="734" spans="29:29" ht="15.75" customHeight="1" x14ac:dyDescent="0.2">
      <c r="AC734" s="122"/>
    </row>
    <row r="735" spans="29:29" ht="15.75" customHeight="1" x14ac:dyDescent="0.2">
      <c r="AC735" s="122"/>
    </row>
    <row r="736" spans="29:29" ht="15.75" customHeight="1" x14ac:dyDescent="0.2">
      <c r="AC736" s="122"/>
    </row>
    <row r="737" spans="29:29" ht="15.75" customHeight="1" x14ac:dyDescent="0.2">
      <c r="AC737" s="122"/>
    </row>
    <row r="738" spans="29:29" ht="15.75" customHeight="1" x14ac:dyDescent="0.2">
      <c r="AC738" s="122"/>
    </row>
    <row r="739" spans="29:29" ht="15.75" customHeight="1" x14ac:dyDescent="0.2">
      <c r="AC739" s="122"/>
    </row>
    <row r="740" spans="29:29" ht="15.75" customHeight="1" x14ac:dyDescent="0.2">
      <c r="AC740" s="122"/>
    </row>
    <row r="741" spans="29:29" ht="15.75" customHeight="1" x14ac:dyDescent="0.2">
      <c r="AC741" s="122"/>
    </row>
    <row r="742" spans="29:29" ht="15.75" customHeight="1" x14ac:dyDescent="0.2">
      <c r="AC742" s="122"/>
    </row>
    <row r="743" spans="29:29" ht="15.75" customHeight="1" x14ac:dyDescent="0.2">
      <c r="AC743" s="122"/>
    </row>
    <row r="744" spans="29:29" ht="15.75" customHeight="1" x14ac:dyDescent="0.2">
      <c r="AC744" s="122"/>
    </row>
    <row r="745" spans="29:29" ht="15.75" customHeight="1" x14ac:dyDescent="0.2">
      <c r="AC745" s="122"/>
    </row>
    <row r="746" spans="29:29" ht="15.75" customHeight="1" x14ac:dyDescent="0.2">
      <c r="AC746" s="122"/>
    </row>
    <row r="747" spans="29:29" ht="15.75" customHeight="1" x14ac:dyDescent="0.2">
      <c r="AC747" s="122"/>
    </row>
    <row r="748" spans="29:29" ht="15.75" customHeight="1" x14ac:dyDescent="0.2">
      <c r="AC748" s="122"/>
    </row>
    <row r="749" spans="29:29" ht="15.75" customHeight="1" x14ac:dyDescent="0.2">
      <c r="AC749" s="122"/>
    </row>
    <row r="750" spans="29:29" ht="15.75" customHeight="1" x14ac:dyDescent="0.2">
      <c r="AC750" s="122"/>
    </row>
    <row r="751" spans="29:29" ht="15.75" customHeight="1" x14ac:dyDescent="0.2">
      <c r="AC751" s="122"/>
    </row>
    <row r="752" spans="29:29" ht="15.75" customHeight="1" x14ac:dyDescent="0.2">
      <c r="AC752" s="122"/>
    </row>
    <row r="753" spans="29:29" ht="15.75" customHeight="1" x14ac:dyDescent="0.2">
      <c r="AC753" s="122"/>
    </row>
    <row r="754" spans="29:29" ht="15.75" customHeight="1" x14ac:dyDescent="0.2">
      <c r="AC754" s="122"/>
    </row>
    <row r="755" spans="29:29" ht="15.75" customHeight="1" x14ac:dyDescent="0.2">
      <c r="AC755" s="122"/>
    </row>
    <row r="756" spans="29:29" ht="15.75" customHeight="1" x14ac:dyDescent="0.2">
      <c r="AC756" s="122"/>
    </row>
    <row r="757" spans="29:29" ht="15.75" customHeight="1" x14ac:dyDescent="0.2">
      <c r="AC757" s="122"/>
    </row>
    <row r="758" spans="29:29" ht="15.75" customHeight="1" x14ac:dyDescent="0.2">
      <c r="AC758" s="122"/>
    </row>
    <row r="759" spans="29:29" ht="15.75" customHeight="1" x14ac:dyDescent="0.2">
      <c r="AC759" s="122"/>
    </row>
    <row r="760" spans="29:29" ht="15.75" customHeight="1" x14ac:dyDescent="0.2">
      <c r="AC760" s="122"/>
    </row>
    <row r="761" spans="29:29" ht="15.75" customHeight="1" x14ac:dyDescent="0.2">
      <c r="AC761" s="122"/>
    </row>
    <row r="762" spans="29:29" ht="15.75" customHeight="1" x14ac:dyDescent="0.2">
      <c r="AC762" s="122"/>
    </row>
    <row r="763" spans="29:29" ht="15.75" customHeight="1" x14ac:dyDescent="0.2">
      <c r="AC763" s="122"/>
    </row>
    <row r="764" spans="29:29" ht="15.75" customHeight="1" x14ac:dyDescent="0.2">
      <c r="AC764" s="122"/>
    </row>
    <row r="765" spans="29:29" ht="15.75" customHeight="1" x14ac:dyDescent="0.2">
      <c r="AC765" s="122"/>
    </row>
    <row r="766" spans="29:29" ht="15.75" customHeight="1" x14ac:dyDescent="0.2">
      <c r="AC766" s="122"/>
    </row>
    <row r="767" spans="29:29" ht="15.75" customHeight="1" x14ac:dyDescent="0.2">
      <c r="AC767" s="122"/>
    </row>
    <row r="768" spans="29:29" ht="15.75" customHeight="1" x14ac:dyDescent="0.2">
      <c r="AC768" s="122"/>
    </row>
    <row r="769" spans="29:29" ht="15.75" customHeight="1" x14ac:dyDescent="0.2">
      <c r="AC769" s="122"/>
    </row>
    <row r="770" spans="29:29" ht="15.75" customHeight="1" x14ac:dyDescent="0.2">
      <c r="AC770" s="122"/>
    </row>
    <row r="771" spans="29:29" ht="15.75" customHeight="1" x14ac:dyDescent="0.2">
      <c r="AC771" s="122"/>
    </row>
    <row r="772" spans="29:29" ht="15.75" customHeight="1" x14ac:dyDescent="0.2">
      <c r="AC772" s="122"/>
    </row>
    <row r="773" spans="29:29" ht="15.75" customHeight="1" x14ac:dyDescent="0.2">
      <c r="AC773" s="122"/>
    </row>
    <row r="774" spans="29:29" ht="15.75" customHeight="1" x14ac:dyDescent="0.2">
      <c r="AC774" s="122"/>
    </row>
    <row r="775" spans="29:29" ht="15.75" customHeight="1" x14ac:dyDescent="0.2">
      <c r="AC775" s="122"/>
    </row>
    <row r="776" spans="29:29" ht="15.75" customHeight="1" x14ac:dyDescent="0.2">
      <c r="AC776" s="122"/>
    </row>
    <row r="777" spans="29:29" ht="15.75" customHeight="1" x14ac:dyDescent="0.2">
      <c r="AC777" s="122"/>
    </row>
    <row r="778" spans="29:29" ht="15.75" customHeight="1" x14ac:dyDescent="0.2">
      <c r="AC778" s="122"/>
    </row>
    <row r="779" spans="29:29" ht="15.75" customHeight="1" x14ac:dyDescent="0.2">
      <c r="AC779" s="122"/>
    </row>
    <row r="780" spans="29:29" ht="15.75" customHeight="1" x14ac:dyDescent="0.2">
      <c r="AC780" s="122"/>
    </row>
    <row r="781" spans="29:29" ht="15.75" customHeight="1" x14ac:dyDescent="0.2">
      <c r="AC781" s="122"/>
    </row>
    <row r="782" spans="29:29" ht="15.75" customHeight="1" x14ac:dyDescent="0.2">
      <c r="AC782" s="122"/>
    </row>
    <row r="783" spans="29:29" ht="15.75" customHeight="1" x14ac:dyDescent="0.2">
      <c r="AC783" s="122"/>
    </row>
    <row r="784" spans="29:29" ht="15.75" customHeight="1" x14ac:dyDescent="0.2">
      <c r="AC784" s="122"/>
    </row>
    <row r="785" spans="29:29" ht="15.75" customHeight="1" x14ac:dyDescent="0.2">
      <c r="AC785" s="122"/>
    </row>
    <row r="786" spans="29:29" ht="15.75" customHeight="1" x14ac:dyDescent="0.2">
      <c r="AC786" s="122"/>
    </row>
    <row r="787" spans="29:29" ht="15.75" customHeight="1" x14ac:dyDescent="0.2">
      <c r="AC787" s="122"/>
    </row>
    <row r="788" spans="29:29" ht="15.75" customHeight="1" x14ac:dyDescent="0.2">
      <c r="AC788" s="122"/>
    </row>
    <row r="789" spans="29:29" ht="15.75" customHeight="1" x14ac:dyDescent="0.2">
      <c r="AC789" s="122"/>
    </row>
    <row r="790" spans="29:29" ht="15.75" customHeight="1" x14ac:dyDescent="0.2">
      <c r="AC790" s="122"/>
    </row>
    <row r="791" spans="29:29" ht="15.75" customHeight="1" x14ac:dyDescent="0.2">
      <c r="AC791" s="122"/>
    </row>
    <row r="792" spans="29:29" ht="15.75" customHeight="1" x14ac:dyDescent="0.2">
      <c r="AC792" s="122"/>
    </row>
    <row r="793" spans="29:29" ht="15.75" customHeight="1" x14ac:dyDescent="0.2">
      <c r="AC793" s="122"/>
    </row>
    <row r="794" spans="29:29" ht="15.75" customHeight="1" x14ac:dyDescent="0.2">
      <c r="AC794" s="122"/>
    </row>
    <row r="795" spans="29:29" ht="15.75" customHeight="1" x14ac:dyDescent="0.2">
      <c r="AC795" s="122"/>
    </row>
    <row r="796" spans="29:29" ht="15.75" customHeight="1" x14ac:dyDescent="0.2">
      <c r="AC796" s="122"/>
    </row>
    <row r="797" spans="29:29" ht="15.75" customHeight="1" x14ac:dyDescent="0.2">
      <c r="AC797" s="122"/>
    </row>
    <row r="798" spans="29:29" ht="15.75" customHeight="1" x14ac:dyDescent="0.2">
      <c r="AC798" s="122"/>
    </row>
    <row r="799" spans="29:29" ht="15.75" customHeight="1" x14ac:dyDescent="0.2">
      <c r="AC799" s="122"/>
    </row>
    <row r="800" spans="29:29" ht="15.75" customHeight="1" x14ac:dyDescent="0.2">
      <c r="AC800" s="122"/>
    </row>
    <row r="801" spans="29:29" ht="15.75" customHeight="1" x14ac:dyDescent="0.2">
      <c r="AC801" s="122"/>
    </row>
    <row r="802" spans="29:29" ht="15.75" customHeight="1" x14ac:dyDescent="0.2">
      <c r="AC802" s="122"/>
    </row>
    <row r="803" spans="29:29" ht="15.75" customHeight="1" x14ac:dyDescent="0.2">
      <c r="AC803" s="122"/>
    </row>
    <row r="804" spans="29:29" ht="15.75" customHeight="1" x14ac:dyDescent="0.2">
      <c r="AC804" s="122"/>
    </row>
    <row r="805" spans="29:29" ht="15.75" customHeight="1" x14ac:dyDescent="0.2">
      <c r="AC805" s="122"/>
    </row>
    <row r="806" spans="29:29" ht="15.75" customHeight="1" x14ac:dyDescent="0.2">
      <c r="AC806" s="122"/>
    </row>
    <row r="807" spans="29:29" ht="15.75" customHeight="1" x14ac:dyDescent="0.2">
      <c r="AC807" s="122"/>
    </row>
    <row r="808" spans="29:29" ht="15.75" customHeight="1" x14ac:dyDescent="0.2">
      <c r="AC808" s="122"/>
    </row>
    <row r="809" spans="29:29" ht="15.75" customHeight="1" x14ac:dyDescent="0.2">
      <c r="AC809" s="122"/>
    </row>
    <row r="810" spans="29:29" ht="15.75" customHeight="1" x14ac:dyDescent="0.2">
      <c r="AC810" s="122"/>
    </row>
    <row r="811" spans="29:29" ht="15.75" customHeight="1" x14ac:dyDescent="0.2">
      <c r="AC811" s="122"/>
    </row>
    <row r="812" spans="29:29" ht="15.75" customHeight="1" x14ac:dyDescent="0.2">
      <c r="AC812" s="122"/>
    </row>
    <row r="813" spans="29:29" ht="15.75" customHeight="1" x14ac:dyDescent="0.2">
      <c r="AC813" s="122"/>
    </row>
    <row r="814" spans="29:29" ht="15.75" customHeight="1" x14ac:dyDescent="0.2">
      <c r="AC814" s="122"/>
    </row>
    <row r="815" spans="29:29" ht="15.75" customHeight="1" x14ac:dyDescent="0.2">
      <c r="AC815" s="122"/>
    </row>
    <row r="816" spans="29:29" ht="15.75" customHeight="1" x14ac:dyDescent="0.2">
      <c r="AC816" s="122"/>
    </row>
    <row r="817" spans="29:29" ht="15.75" customHeight="1" x14ac:dyDescent="0.2">
      <c r="AC817" s="122"/>
    </row>
    <row r="818" spans="29:29" ht="15.75" customHeight="1" x14ac:dyDescent="0.2">
      <c r="AC818" s="122"/>
    </row>
    <row r="819" spans="29:29" ht="15.75" customHeight="1" x14ac:dyDescent="0.2">
      <c r="AC819" s="122"/>
    </row>
    <row r="820" spans="29:29" ht="15.75" customHeight="1" x14ac:dyDescent="0.2">
      <c r="AC820" s="122"/>
    </row>
    <row r="821" spans="29:29" ht="15.75" customHeight="1" x14ac:dyDescent="0.2">
      <c r="AC821" s="122"/>
    </row>
    <row r="822" spans="29:29" ht="15.75" customHeight="1" x14ac:dyDescent="0.2">
      <c r="AC822" s="122"/>
    </row>
    <row r="823" spans="29:29" ht="15.75" customHeight="1" x14ac:dyDescent="0.2">
      <c r="AC823" s="122"/>
    </row>
    <row r="824" spans="29:29" ht="15.75" customHeight="1" x14ac:dyDescent="0.2">
      <c r="AC824" s="122"/>
    </row>
    <row r="825" spans="29:29" ht="15.75" customHeight="1" x14ac:dyDescent="0.2">
      <c r="AC825" s="122"/>
    </row>
    <row r="826" spans="29:29" ht="15.75" customHeight="1" x14ac:dyDescent="0.2">
      <c r="AC826" s="122"/>
    </row>
    <row r="827" spans="29:29" ht="15.75" customHeight="1" x14ac:dyDescent="0.2">
      <c r="AC827" s="122"/>
    </row>
    <row r="828" spans="29:29" ht="15.75" customHeight="1" x14ac:dyDescent="0.2">
      <c r="AC828" s="122"/>
    </row>
    <row r="829" spans="29:29" ht="15.75" customHeight="1" x14ac:dyDescent="0.2">
      <c r="AC829" s="122"/>
    </row>
    <row r="830" spans="29:29" ht="15.75" customHeight="1" x14ac:dyDescent="0.2">
      <c r="AC830" s="122"/>
    </row>
    <row r="831" spans="29:29" ht="15.75" customHeight="1" x14ac:dyDescent="0.2">
      <c r="AC831" s="122"/>
    </row>
    <row r="832" spans="29:29" ht="15.75" customHeight="1" x14ac:dyDescent="0.2">
      <c r="AC832" s="122"/>
    </row>
    <row r="833" spans="29:29" ht="15.75" customHeight="1" x14ac:dyDescent="0.2">
      <c r="AC833" s="122"/>
    </row>
    <row r="834" spans="29:29" ht="15.75" customHeight="1" x14ac:dyDescent="0.2">
      <c r="AC834" s="122"/>
    </row>
    <row r="835" spans="29:29" ht="15.75" customHeight="1" x14ac:dyDescent="0.2">
      <c r="AC835" s="122"/>
    </row>
    <row r="836" spans="29:29" ht="15.75" customHeight="1" x14ac:dyDescent="0.2">
      <c r="AC836" s="122"/>
    </row>
    <row r="837" spans="29:29" ht="15.75" customHeight="1" x14ac:dyDescent="0.2">
      <c r="AC837" s="122"/>
    </row>
    <row r="838" spans="29:29" ht="15.75" customHeight="1" x14ac:dyDescent="0.2">
      <c r="AC838" s="122"/>
    </row>
    <row r="839" spans="29:29" ht="15.75" customHeight="1" x14ac:dyDescent="0.2">
      <c r="AC839" s="122"/>
    </row>
    <row r="840" spans="29:29" ht="15.75" customHeight="1" x14ac:dyDescent="0.2">
      <c r="AC840" s="122"/>
    </row>
    <row r="841" spans="29:29" ht="15.75" customHeight="1" x14ac:dyDescent="0.2">
      <c r="AC841" s="122"/>
    </row>
    <row r="842" spans="29:29" ht="15.75" customHeight="1" x14ac:dyDescent="0.2">
      <c r="AC842" s="122"/>
    </row>
    <row r="843" spans="29:29" ht="15.75" customHeight="1" x14ac:dyDescent="0.2">
      <c r="AC843" s="122"/>
    </row>
    <row r="844" spans="29:29" ht="15.75" customHeight="1" x14ac:dyDescent="0.2">
      <c r="AC844" s="122"/>
    </row>
    <row r="845" spans="29:29" ht="15.75" customHeight="1" x14ac:dyDescent="0.2">
      <c r="AC845" s="122"/>
    </row>
    <row r="846" spans="29:29" ht="15.75" customHeight="1" x14ac:dyDescent="0.2">
      <c r="AC846" s="122"/>
    </row>
    <row r="847" spans="29:29" ht="15.75" customHeight="1" x14ac:dyDescent="0.2">
      <c r="AC847" s="122"/>
    </row>
    <row r="848" spans="29:29" ht="15.75" customHeight="1" x14ac:dyDescent="0.2">
      <c r="AC848" s="122"/>
    </row>
    <row r="849" spans="29:29" ht="15.75" customHeight="1" x14ac:dyDescent="0.2">
      <c r="AC849" s="122"/>
    </row>
    <row r="850" spans="29:29" ht="15.75" customHeight="1" x14ac:dyDescent="0.2">
      <c r="AC850" s="122"/>
    </row>
    <row r="851" spans="29:29" ht="15.75" customHeight="1" x14ac:dyDescent="0.2">
      <c r="AC851" s="122"/>
    </row>
    <row r="852" spans="29:29" ht="15.75" customHeight="1" x14ac:dyDescent="0.2">
      <c r="AC852" s="122"/>
    </row>
    <row r="853" spans="29:29" ht="15.75" customHeight="1" x14ac:dyDescent="0.2">
      <c r="AC853" s="122"/>
    </row>
    <row r="854" spans="29:29" ht="15.75" customHeight="1" x14ac:dyDescent="0.2">
      <c r="AC854" s="122"/>
    </row>
    <row r="855" spans="29:29" ht="15.75" customHeight="1" x14ac:dyDescent="0.2">
      <c r="AC855" s="122"/>
    </row>
    <row r="856" spans="29:29" ht="15.75" customHeight="1" x14ac:dyDescent="0.2">
      <c r="AC856" s="122"/>
    </row>
    <row r="857" spans="29:29" ht="15.75" customHeight="1" x14ac:dyDescent="0.2">
      <c r="AC857" s="122"/>
    </row>
    <row r="858" spans="29:29" ht="15.75" customHeight="1" x14ac:dyDescent="0.2">
      <c r="AC858" s="122"/>
    </row>
    <row r="859" spans="29:29" ht="15.75" customHeight="1" x14ac:dyDescent="0.2">
      <c r="AC859" s="122"/>
    </row>
    <row r="860" spans="29:29" ht="15.75" customHeight="1" x14ac:dyDescent="0.2">
      <c r="AC860" s="122"/>
    </row>
    <row r="861" spans="29:29" ht="15.75" customHeight="1" x14ac:dyDescent="0.2">
      <c r="AC861" s="122"/>
    </row>
    <row r="862" spans="29:29" ht="15.75" customHeight="1" x14ac:dyDescent="0.2">
      <c r="AC862" s="122"/>
    </row>
    <row r="863" spans="29:29" ht="15.75" customHeight="1" x14ac:dyDescent="0.2">
      <c r="AC863" s="122"/>
    </row>
    <row r="864" spans="29:29" ht="15.75" customHeight="1" x14ac:dyDescent="0.2">
      <c r="AC864" s="122"/>
    </row>
    <row r="865" spans="29:29" ht="15.75" customHeight="1" x14ac:dyDescent="0.2">
      <c r="AC865" s="122"/>
    </row>
    <row r="866" spans="29:29" ht="15.75" customHeight="1" x14ac:dyDescent="0.2">
      <c r="AC866" s="122"/>
    </row>
    <row r="867" spans="29:29" ht="15.75" customHeight="1" x14ac:dyDescent="0.2">
      <c r="AC867" s="122"/>
    </row>
    <row r="868" spans="29:29" ht="15.75" customHeight="1" x14ac:dyDescent="0.2">
      <c r="AC868" s="122"/>
    </row>
    <row r="869" spans="29:29" ht="15.75" customHeight="1" x14ac:dyDescent="0.2">
      <c r="AC869" s="122"/>
    </row>
    <row r="870" spans="29:29" ht="15.75" customHeight="1" x14ac:dyDescent="0.2">
      <c r="AC870" s="122"/>
    </row>
    <row r="871" spans="29:29" ht="15.75" customHeight="1" x14ac:dyDescent="0.2">
      <c r="AC871" s="122"/>
    </row>
    <row r="872" spans="29:29" ht="15.75" customHeight="1" x14ac:dyDescent="0.2">
      <c r="AC872" s="122"/>
    </row>
    <row r="873" spans="29:29" ht="15.75" customHeight="1" x14ac:dyDescent="0.2">
      <c r="AC873" s="122"/>
    </row>
    <row r="874" spans="29:29" ht="15.75" customHeight="1" x14ac:dyDescent="0.2">
      <c r="AC874" s="122"/>
    </row>
    <row r="875" spans="29:29" ht="15.75" customHeight="1" x14ac:dyDescent="0.2">
      <c r="AC875" s="122"/>
    </row>
    <row r="876" spans="29:29" ht="15.75" customHeight="1" x14ac:dyDescent="0.2">
      <c r="AC876" s="122"/>
    </row>
    <row r="877" spans="29:29" ht="15.75" customHeight="1" x14ac:dyDescent="0.2">
      <c r="AC877" s="122"/>
    </row>
    <row r="878" spans="29:29" ht="15.75" customHeight="1" x14ac:dyDescent="0.2">
      <c r="AC878" s="122"/>
    </row>
    <row r="879" spans="29:29" ht="15.75" customHeight="1" x14ac:dyDescent="0.2">
      <c r="AC879" s="122"/>
    </row>
    <row r="880" spans="29:29" ht="15.75" customHeight="1" x14ac:dyDescent="0.2">
      <c r="AC880" s="122"/>
    </row>
    <row r="881" spans="29:29" ht="15.75" customHeight="1" x14ac:dyDescent="0.2">
      <c r="AC881" s="122"/>
    </row>
    <row r="882" spans="29:29" ht="15.75" customHeight="1" x14ac:dyDescent="0.2">
      <c r="AC882" s="122"/>
    </row>
    <row r="883" spans="29:29" ht="15.75" customHeight="1" x14ac:dyDescent="0.2">
      <c r="AC883" s="122"/>
    </row>
    <row r="884" spans="29:29" ht="15.75" customHeight="1" x14ac:dyDescent="0.2">
      <c r="AC884" s="122"/>
    </row>
    <row r="885" spans="29:29" ht="15.75" customHeight="1" x14ac:dyDescent="0.2">
      <c r="AC885" s="122"/>
    </row>
    <row r="886" spans="29:29" ht="15.75" customHeight="1" x14ac:dyDescent="0.2">
      <c r="AC886" s="122"/>
    </row>
    <row r="887" spans="29:29" ht="15.75" customHeight="1" x14ac:dyDescent="0.2">
      <c r="AC887" s="122"/>
    </row>
    <row r="888" spans="29:29" ht="15.75" customHeight="1" x14ac:dyDescent="0.2">
      <c r="AC888" s="122"/>
    </row>
    <row r="889" spans="29:29" ht="15.75" customHeight="1" x14ac:dyDescent="0.2">
      <c r="AC889" s="122"/>
    </row>
    <row r="890" spans="29:29" ht="15.75" customHeight="1" x14ac:dyDescent="0.2">
      <c r="AC890" s="122"/>
    </row>
    <row r="891" spans="29:29" ht="15.75" customHeight="1" x14ac:dyDescent="0.2">
      <c r="AC891" s="122"/>
    </row>
    <row r="892" spans="29:29" ht="15.75" customHeight="1" x14ac:dyDescent="0.2">
      <c r="AC892" s="122"/>
    </row>
    <row r="893" spans="29:29" ht="15.75" customHeight="1" x14ac:dyDescent="0.2">
      <c r="AC893" s="122"/>
    </row>
    <row r="894" spans="29:29" ht="15.75" customHeight="1" x14ac:dyDescent="0.2">
      <c r="AC894" s="122"/>
    </row>
    <row r="895" spans="29:29" ht="15.75" customHeight="1" x14ac:dyDescent="0.2">
      <c r="AC895" s="122"/>
    </row>
    <row r="896" spans="29:29" ht="15.75" customHeight="1" x14ac:dyDescent="0.2">
      <c r="AC896" s="122"/>
    </row>
    <row r="897" spans="29:29" ht="15.75" customHeight="1" x14ac:dyDescent="0.2">
      <c r="AC897" s="122"/>
    </row>
    <row r="898" spans="29:29" ht="15.75" customHeight="1" x14ac:dyDescent="0.2">
      <c r="AC898" s="122"/>
    </row>
    <row r="899" spans="29:29" ht="15.75" customHeight="1" x14ac:dyDescent="0.2">
      <c r="AC899" s="122"/>
    </row>
    <row r="900" spans="29:29" ht="15.75" customHeight="1" x14ac:dyDescent="0.2">
      <c r="AC900" s="122"/>
    </row>
    <row r="901" spans="29:29" ht="15.75" customHeight="1" x14ac:dyDescent="0.2">
      <c r="AC901" s="122"/>
    </row>
    <row r="902" spans="29:29" ht="15.75" customHeight="1" x14ac:dyDescent="0.2">
      <c r="AC902" s="122"/>
    </row>
    <row r="903" spans="29:29" ht="15.75" customHeight="1" x14ac:dyDescent="0.2">
      <c r="AC903" s="122"/>
    </row>
    <row r="904" spans="29:29" ht="15.75" customHeight="1" x14ac:dyDescent="0.2">
      <c r="AC904" s="122"/>
    </row>
    <row r="905" spans="29:29" ht="15.75" customHeight="1" x14ac:dyDescent="0.2">
      <c r="AC905" s="122"/>
    </row>
    <row r="906" spans="29:29" ht="15.75" customHeight="1" x14ac:dyDescent="0.2">
      <c r="AC906" s="122"/>
    </row>
    <row r="907" spans="29:29" ht="15.75" customHeight="1" x14ac:dyDescent="0.2">
      <c r="AC907" s="122"/>
    </row>
    <row r="908" spans="29:29" ht="15.75" customHeight="1" x14ac:dyDescent="0.2">
      <c r="AC908" s="122"/>
    </row>
    <row r="909" spans="29:29" ht="15.75" customHeight="1" x14ac:dyDescent="0.2">
      <c r="AC909" s="122"/>
    </row>
    <row r="910" spans="29:29" ht="15.75" customHeight="1" x14ac:dyDescent="0.2">
      <c r="AC910" s="122"/>
    </row>
    <row r="911" spans="29:29" ht="15.75" customHeight="1" x14ac:dyDescent="0.2">
      <c r="AC911" s="122"/>
    </row>
    <row r="912" spans="29:29" ht="15.75" customHeight="1" x14ac:dyDescent="0.2">
      <c r="AC912" s="122"/>
    </row>
    <row r="913" spans="29:29" ht="15.75" customHeight="1" x14ac:dyDescent="0.2">
      <c r="AC913" s="122"/>
    </row>
    <row r="914" spans="29:29" ht="15.75" customHeight="1" x14ac:dyDescent="0.2">
      <c r="AC914" s="122"/>
    </row>
    <row r="915" spans="29:29" ht="15.75" customHeight="1" x14ac:dyDescent="0.2">
      <c r="AC915" s="122"/>
    </row>
    <row r="916" spans="29:29" ht="15.75" customHeight="1" x14ac:dyDescent="0.2">
      <c r="AC916" s="122"/>
    </row>
    <row r="917" spans="29:29" ht="15.75" customHeight="1" x14ac:dyDescent="0.2">
      <c r="AC917" s="122"/>
    </row>
    <row r="918" spans="29:29" ht="15.75" customHeight="1" x14ac:dyDescent="0.2">
      <c r="AC918" s="122"/>
    </row>
    <row r="919" spans="29:29" ht="15.75" customHeight="1" x14ac:dyDescent="0.2">
      <c r="AC919" s="122"/>
    </row>
    <row r="920" spans="29:29" ht="15.75" customHeight="1" x14ac:dyDescent="0.2">
      <c r="AC920" s="122"/>
    </row>
    <row r="921" spans="29:29" ht="15.75" customHeight="1" x14ac:dyDescent="0.2">
      <c r="AC921" s="122"/>
    </row>
    <row r="922" spans="29:29" ht="15.75" customHeight="1" x14ac:dyDescent="0.2">
      <c r="AC922" s="122"/>
    </row>
    <row r="923" spans="29:29" ht="15.75" customHeight="1" x14ac:dyDescent="0.2">
      <c r="AC923" s="122"/>
    </row>
    <row r="924" spans="29:29" ht="15.75" customHeight="1" x14ac:dyDescent="0.2">
      <c r="AC924" s="122"/>
    </row>
    <row r="925" spans="29:29" ht="15.75" customHeight="1" x14ac:dyDescent="0.2">
      <c r="AC925" s="122"/>
    </row>
    <row r="926" spans="29:29" ht="15.75" customHeight="1" x14ac:dyDescent="0.2">
      <c r="AC926" s="122"/>
    </row>
    <row r="927" spans="29:29" ht="15.75" customHeight="1" x14ac:dyDescent="0.2">
      <c r="AC927" s="122"/>
    </row>
    <row r="928" spans="29:29" ht="15.75" customHeight="1" x14ac:dyDescent="0.2">
      <c r="AC928" s="122"/>
    </row>
    <row r="929" spans="29:29" ht="15.75" customHeight="1" x14ac:dyDescent="0.2">
      <c r="AC929" s="122"/>
    </row>
    <row r="930" spans="29:29" ht="15.75" customHeight="1" x14ac:dyDescent="0.2">
      <c r="AC930" s="122"/>
    </row>
    <row r="931" spans="29:29" ht="15.75" customHeight="1" x14ac:dyDescent="0.2">
      <c r="AC931" s="122"/>
    </row>
    <row r="932" spans="29:29" ht="15.75" customHeight="1" x14ac:dyDescent="0.2">
      <c r="AC932" s="122"/>
    </row>
    <row r="933" spans="29:29" ht="15.75" customHeight="1" x14ac:dyDescent="0.2">
      <c r="AC933" s="122"/>
    </row>
    <row r="934" spans="29:29" ht="15.75" customHeight="1" x14ac:dyDescent="0.2">
      <c r="AC934" s="122"/>
    </row>
    <row r="935" spans="29:29" ht="15.75" customHeight="1" x14ac:dyDescent="0.2">
      <c r="AC935" s="122"/>
    </row>
    <row r="936" spans="29:29" ht="15.75" customHeight="1" x14ac:dyDescent="0.2">
      <c r="AC936" s="122"/>
    </row>
    <row r="937" spans="29:29" ht="15.75" customHeight="1" x14ac:dyDescent="0.2">
      <c r="AC937" s="122"/>
    </row>
    <row r="938" spans="29:29" ht="15.75" customHeight="1" x14ac:dyDescent="0.2">
      <c r="AC938" s="122"/>
    </row>
    <row r="939" spans="29:29" ht="15.75" customHeight="1" x14ac:dyDescent="0.2">
      <c r="AC939" s="122"/>
    </row>
    <row r="940" spans="29:29" ht="15.75" customHeight="1" x14ac:dyDescent="0.2">
      <c r="AC940" s="122"/>
    </row>
    <row r="941" spans="29:29" ht="15.75" customHeight="1" x14ac:dyDescent="0.2">
      <c r="AC941" s="122"/>
    </row>
    <row r="942" spans="29:29" ht="15.75" customHeight="1" x14ac:dyDescent="0.2">
      <c r="AC942" s="122"/>
    </row>
    <row r="943" spans="29:29" ht="15.75" customHeight="1" x14ac:dyDescent="0.2">
      <c r="AC943" s="122"/>
    </row>
    <row r="944" spans="29:29" ht="15.75" customHeight="1" x14ac:dyDescent="0.2">
      <c r="AC944" s="122"/>
    </row>
    <row r="945" spans="29:29" ht="15.75" customHeight="1" x14ac:dyDescent="0.2">
      <c r="AC945" s="122"/>
    </row>
    <row r="946" spans="29:29" ht="15.75" customHeight="1" x14ac:dyDescent="0.2">
      <c r="AC946" s="122"/>
    </row>
    <row r="947" spans="29:29" ht="15.75" customHeight="1" x14ac:dyDescent="0.2">
      <c r="AC947" s="122"/>
    </row>
    <row r="948" spans="29:29" ht="15.75" customHeight="1" x14ac:dyDescent="0.2">
      <c r="AC948" s="122"/>
    </row>
    <row r="949" spans="29:29" ht="15.75" customHeight="1" x14ac:dyDescent="0.2">
      <c r="AC949" s="122"/>
    </row>
    <row r="950" spans="29:29" ht="15.75" customHeight="1" x14ac:dyDescent="0.2">
      <c r="AC950" s="122"/>
    </row>
    <row r="951" spans="29:29" ht="15.75" customHeight="1" x14ac:dyDescent="0.2">
      <c r="AC951" s="122"/>
    </row>
    <row r="952" spans="29:29" ht="15.75" customHeight="1" x14ac:dyDescent="0.2">
      <c r="AC952" s="122"/>
    </row>
    <row r="953" spans="29:29" ht="15.75" customHeight="1" x14ac:dyDescent="0.2">
      <c r="AC953" s="122"/>
    </row>
    <row r="954" spans="29:29" ht="15.75" customHeight="1" x14ac:dyDescent="0.2">
      <c r="AC954" s="122"/>
    </row>
    <row r="955" spans="29:29" ht="15.75" customHeight="1" x14ac:dyDescent="0.2">
      <c r="AC955" s="122"/>
    </row>
    <row r="956" spans="29:29" ht="15.75" customHeight="1" x14ac:dyDescent="0.2">
      <c r="AC956" s="122"/>
    </row>
    <row r="957" spans="29:29" ht="15.75" customHeight="1" x14ac:dyDescent="0.2">
      <c r="AC957" s="122"/>
    </row>
    <row r="958" spans="29:29" ht="15.75" customHeight="1" x14ac:dyDescent="0.2">
      <c r="AC958" s="122"/>
    </row>
    <row r="959" spans="29:29" ht="15.75" customHeight="1" x14ac:dyDescent="0.2">
      <c r="AC959" s="122"/>
    </row>
    <row r="960" spans="29:29" ht="15.75" customHeight="1" x14ac:dyDescent="0.2">
      <c r="AC960" s="122"/>
    </row>
    <row r="961" spans="29:29" ht="15.75" customHeight="1" x14ac:dyDescent="0.2">
      <c r="AC961" s="122"/>
    </row>
    <row r="962" spans="29:29" ht="15.75" customHeight="1" x14ac:dyDescent="0.2">
      <c r="AC962" s="122"/>
    </row>
    <row r="963" spans="29:29" ht="15.75" customHeight="1" x14ac:dyDescent="0.2">
      <c r="AC963" s="122"/>
    </row>
    <row r="964" spans="29:29" ht="15.75" customHeight="1" x14ac:dyDescent="0.2">
      <c r="AC964" s="122"/>
    </row>
    <row r="965" spans="29:29" ht="15.75" customHeight="1" x14ac:dyDescent="0.2">
      <c r="AC965" s="122"/>
    </row>
    <row r="966" spans="29:29" ht="15.75" customHeight="1" x14ac:dyDescent="0.2">
      <c r="AC966" s="122"/>
    </row>
    <row r="967" spans="29:29" ht="15.75" customHeight="1" x14ac:dyDescent="0.2">
      <c r="AC967" s="122"/>
    </row>
    <row r="968" spans="29:29" ht="15.75" customHeight="1" x14ac:dyDescent="0.2">
      <c r="AC968" s="122"/>
    </row>
    <row r="969" spans="29:29" ht="15.75" customHeight="1" x14ac:dyDescent="0.2">
      <c r="AC969" s="122"/>
    </row>
    <row r="970" spans="29:29" ht="15.75" customHeight="1" x14ac:dyDescent="0.2">
      <c r="AC970" s="122"/>
    </row>
    <row r="971" spans="29:29" ht="15.75" customHeight="1" x14ac:dyDescent="0.2">
      <c r="AC971" s="122"/>
    </row>
    <row r="972" spans="29:29" ht="15.75" customHeight="1" x14ac:dyDescent="0.2">
      <c r="AC972" s="122"/>
    </row>
    <row r="973" spans="29:29" ht="15.75" customHeight="1" x14ac:dyDescent="0.2">
      <c r="AC973" s="122"/>
    </row>
    <row r="974" spans="29:29" ht="15.75" customHeight="1" x14ac:dyDescent="0.2">
      <c r="AC974" s="122"/>
    </row>
    <row r="975" spans="29:29" ht="15.75" customHeight="1" x14ac:dyDescent="0.2">
      <c r="AC975" s="122"/>
    </row>
    <row r="976" spans="29:29" ht="15.75" customHeight="1" x14ac:dyDescent="0.2">
      <c r="AC976" s="122"/>
    </row>
    <row r="977" spans="29:29" ht="15.75" customHeight="1" x14ac:dyDescent="0.2">
      <c r="AC977" s="122"/>
    </row>
    <row r="978" spans="29:29" ht="15.75" customHeight="1" x14ac:dyDescent="0.2">
      <c r="AC978" s="122"/>
    </row>
    <row r="979" spans="29:29" ht="15.75" customHeight="1" x14ac:dyDescent="0.2">
      <c r="AC979" s="122"/>
    </row>
    <row r="980" spans="29:29" ht="15.75" customHeight="1" x14ac:dyDescent="0.2">
      <c r="AC980" s="122"/>
    </row>
    <row r="981" spans="29:29" ht="15.75" customHeight="1" x14ac:dyDescent="0.2">
      <c r="AC981" s="122"/>
    </row>
    <row r="982" spans="29:29" ht="15.75" customHeight="1" x14ac:dyDescent="0.2">
      <c r="AC982" s="122"/>
    </row>
    <row r="983" spans="29:29" ht="15.75" customHeight="1" x14ac:dyDescent="0.2">
      <c r="AC983" s="122"/>
    </row>
    <row r="984" spans="29:29" ht="15.75" customHeight="1" x14ac:dyDescent="0.2">
      <c r="AC984" s="122"/>
    </row>
    <row r="985" spans="29:29" ht="15.75" customHeight="1" x14ac:dyDescent="0.2">
      <c r="AC985" s="122"/>
    </row>
    <row r="986" spans="29:29" ht="15.75" customHeight="1" x14ac:dyDescent="0.2">
      <c r="AC986" s="122"/>
    </row>
    <row r="987" spans="29:29" ht="15.75" customHeight="1" x14ac:dyDescent="0.2">
      <c r="AC987" s="122"/>
    </row>
    <row r="988" spans="29:29" ht="15.75" customHeight="1" x14ac:dyDescent="0.2">
      <c r="AC988" s="122"/>
    </row>
    <row r="989" spans="29:29" ht="15.75" customHeight="1" x14ac:dyDescent="0.2">
      <c r="AC989" s="122"/>
    </row>
    <row r="990" spans="29:29" ht="15.75" customHeight="1" x14ac:dyDescent="0.2">
      <c r="AC990" s="122"/>
    </row>
    <row r="991" spans="29:29" ht="15.75" customHeight="1" x14ac:dyDescent="0.2">
      <c r="AC991" s="122"/>
    </row>
    <row r="992" spans="29:29" ht="15.75" customHeight="1" x14ac:dyDescent="0.2">
      <c r="AC992" s="122"/>
    </row>
    <row r="993" spans="29:29" ht="15.75" customHeight="1" x14ac:dyDescent="0.2">
      <c r="AC993" s="122"/>
    </row>
    <row r="994" spans="29:29" ht="15.75" customHeight="1" x14ac:dyDescent="0.2">
      <c r="AC994" s="122"/>
    </row>
    <row r="995" spans="29:29" ht="15.75" customHeight="1" x14ac:dyDescent="0.2">
      <c r="AC995" s="122"/>
    </row>
    <row r="996" spans="29:29" ht="15.75" customHeight="1" x14ac:dyDescent="0.2">
      <c r="AC996" s="122"/>
    </row>
    <row r="997" spans="29:29" ht="15.75" customHeight="1" x14ac:dyDescent="0.2">
      <c r="AC997" s="122"/>
    </row>
    <row r="998" spans="29:29" ht="15.75" customHeight="1" x14ac:dyDescent="0.2">
      <c r="AC998" s="122"/>
    </row>
    <row r="999" spans="29:29" ht="15.75" customHeight="1" x14ac:dyDescent="0.2">
      <c r="AC999" s="122"/>
    </row>
    <row r="1000" spans="29:29" ht="15.75" customHeight="1" x14ac:dyDescent="0.2">
      <c r="AC1000" s="122"/>
    </row>
  </sheetData>
  <pageMargins left="0.7" right="0.7" top="0.75" bottom="0.75" header="0" footer="0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001"/>
  <sheetViews>
    <sheetView showGridLines="0" workbookViewId="0">
      <pane xSplit="3" ySplit="2" topLeftCell="D3" activePane="bottomRight" state="frozen"/>
      <selection activeCell="B1" sqref="B1:B1048576"/>
      <selection pane="topRight" activeCell="B1" sqref="B1:B1048576"/>
      <selection pane="bottomLeft" activeCell="B1" sqref="B1:B1048576"/>
      <selection pane="bottomRight" activeCell="H19" sqref="H19"/>
    </sheetView>
  </sheetViews>
  <sheetFormatPr baseColWidth="10" defaultColWidth="12.59765625" defaultRowHeight="15" customHeight="1" x14ac:dyDescent="0.2"/>
  <cols>
    <col min="1" max="1" width="2.3984375" style="121" customWidth="1"/>
    <col min="2" max="2" width="12" style="121" customWidth="1"/>
    <col min="3" max="3" width="26.09765625" style="121" customWidth="1"/>
    <col min="4" max="5" width="10.8984375" style="121" customWidth="1"/>
    <col min="6" max="18" width="10.5" style="121" customWidth="1"/>
    <col min="19" max="19" width="10.5" style="121" hidden="1" customWidth="1"/>
    <col min="20" max="20" width="10.5" style="121" customWidth="1"/>
    <col min="21" max="21" width="10.5" style="121" hidden="1" customWidth="1"/>
    <col min="22" max="22" width="10.5" style="121" customWidth="1"/>
    <col min="23" max="23" width="10.5" style="121" hidden="1" customWidth="1"/>
    <col min="24" max="24" width="10.5" style="121" customWidth="1"/>
    <col min="25" max="25" width="10.5" style="121" hidden="1" customWidth="1"/>
    <col min="26" max="26" width="10.5" style="121" customWidth="1"/>
    <col min="27" max="27" width="10.5" style="121" hidden="1" customWidth="1"/>
    <col min="28" max="28" width="9.8984375" style="121" customWidth="1"/>
    <col min="29" max="16384" width="12.59765625" style="121"/>
  </cols>
  <sheetData>
    <row r="1" spans="1:31" ht="15" customHeight="1" x14ac:dyDescent="0.2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2"/>
      <c r="AD1" s="172" t="s">
        <v>78</v>
      </c>
      <c r="AE1" s="173" t="s">
        <v>79</v>
      </c>
    </row>
    <row r="2" spans="1:31" ht="12.75" customHeight="1" x14ac:dyDescent="0.2">
      <c r="A2" s="125"/>
      <c r="B2" s="125"/>
      <c r="C2" s="180" t="s">
        <v>223</v>
      </c>
      <c r="D2" s="172">
        <v>45658</v>
      </c>
      <c r="E2" s="173">
        <v>45658</v>
      </c>
      <c r="F2" s="172">
        <v>45689</v>
      </c>
      <c r="G2" s="173">
        <v>45689</v>
      </c>
      <c r="H2" s="172">
        <v>45717</v>
      </c>
      <c r="I2" s="173">
        <v>45717</v>
      </c>
      <c r="J2" s="172">
        <v>45748</v>
      </c>
      <c r="K2" s="173">
        <v>45748</v>
      </c>
      <c r="L2" s="172">
        <v>45778</v>
      </c>
      <c r="M2" s="173">
        <v>45778</v>
      </c>
      <c r="N2" s="172">
        <v>45809</v>
      </c>
      <c r="O2" s="173">
        <v>45809</v>
      </c>
      <c r="P2" s="172">
        <v>45839</v>
      </c>
      <c r="Q2" s="173">
        <v>45839</v>
      </c>
      <c r="R2" s="172">
        <v>45870</v>
      </c>
      <c r="S2" s="173">
        <v>45870</v>
      </c>
      <c r="T2" s="172">
        <v>45901</v>
      </c>
      <c r="U2" s="173">
        <v>45901</v>
      </c>
      <c r="V2" s="172">
        <v>45931</v>
      </c>
      <c r="W2" s="173">
        <v>45931</v>
      </c>
      <c r="X2" s="172">
        <v>45962</v>
      </c>
      <c r="Y2" s="173">
        <v>45962</v>
      </c>
      <c r="Z2" s="172">
        <v>45992</v>
      </c>
      <c r="AA2" s="173">
        <v>45992</v>
      </c>
      <c r="AB2" s="127">
        <v>2025</v>
      </c>
      <c r="AC2" s="122"/>
      <c r="AD2" s="172" t="s">
        <v>81</v>
      </c>
      <c r="AE2" s="173" t="s">
        <v>81</v>
      </c>
    </row>
    <row r="3" spans="1:31" ht="12.75" customHeight="1" x14ac:dyDescent="0.2">
      <c r="A3" s="125"/>
      <c r="B3" s="181"/>
      <c r="C3" s="194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6"/>
      <c r="T3" s="195"/>
      <c r="U3" s="196"/>
      <c r="V3" s="195"/>
      <c r="W3" s="196"/>
      <c r="X3" s="195"/>
      <c r="Y3" s="196"/>
      <c r="Z3" s="195"/>
      <c r="AA3" s="196"/>
      <c r="AB3" s="194"/>
      <c r="AC3" s="122"/>
      <c r="AD3" s="125"/>
      <c r="AE3" s="125"/>
    </row>
    <row r="4" spans="1:31" ht="12.75" customHeight="1" x14ac:dyDescent="0.2">
      <c r="A4" s="125"/>
      <c r="B4" s="181"/>
      <c r="C4" s="129" t="s">
        <v>224</v>
      </c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6"/>
      <c r="T4" s="195"/>
      <c r="U4" s="196"/>
      <c r="V4" s="195"/>
      <c r="W4" s="196"/>
      <c r="X4" s="195"/>
      <c r="Y4" s="196"/>
      <c r="Z4" s="195"/>
      <c r="AA4" s="196"/>
      <c r="AB4" s="194"/>
      <c r="AC4" s="122"/>
      <c r="AD4" s="125"/>
      <c r="AE4" s="125"/>
    </row>
    <row r="5" spans="1:31" ht="12.75" customHeight="1" x14ac:dyDescent="0.2">
      <c r="A5" s="125"/>
      <c r="B5" s="181" t="s">
        <v>225</v>
      </c>
      <c r="C5" s="125" t="s">
        <v>226</v>
      </c>
      <c r="D5" s="134">
        <v>0</v>
      </c>
      <c r="E5" s="134">
        <v>29.04</v>
      </c>
      <c r="F5" s="134">
        <v>0</v>
      </c>
      <c r="G5" s="134">
        <v>32.869999999999997</v>
      </c>
      <c r="H5" s="134">
        <v>0</v>
      </c>
      <c r="I5" s="134">
        <v>10.89</v>
      </c>
      <c r="J5" s="134">
        <v>0</v>
      </c>
      <c r="K5" s="134">
        <v>20.27</v>
      </c>
      <c r="L5" s="134">
        <v>0</v>
      </c>
      <c r="M5" s="134">
        <v>13.92</v>
      </c>
      <c r="N5" s="134">
        <v>0</v>
      </c>
      <c r="O5" s="134">
        <v>21.96</v>
      </c>
      <c r="P5" s="134">
        <v>0</v>
      </c>
      <c r="Q5" s="134">
        <v>0.01</v>
      </c>
      <c r="R5" s="134">
        <v>0</v>
      </c>
      <c r="S5" s="134"/>
      <c r="T5" s="134">
        <v>0</v>
      </c>
      <c r="U5" s="134"/>
      <c r="V5" s="134">
        <v>0</v>
      </c>
      <c r="W5" s="134"/>
      <c r="X5" s="134">
        <v>0</v>
      </c>
      <c r="Y5" s="134"/>
      <c r="Z5" s="134">
        <v>0</v>
      </c>
      <c r="AA5" s="134"/>
      <c r="AB5" s="134">
        <f>D5+F5+H5+J5+L5+N5+P5+R5+T5+V5+X5+Z5</f>
        <v>0</v>
      </c>
      <c r="AC5" s="122"/>
      <c r="AD5" s="134">
        <f>D5+F5+H5+J5+L5+N5+P5</f>
        <v>0</v>
      </c>
      <c r="AE5" s="134">
        <f>E5+G5+I5+K5+M5+O5+Q5</f>
        <v>128.95999999999998</v>
      </c>
    </row>
    <row r="6" spans="1:31" ht="13.5" customHeight="1" x14ac:dyDescent="0.2">
      <c r="A6" s="125"/>
      <c r="B6" s="181"/>
      <c r="C6" s="197" t="s">
        <v>227</v>
      </c>
      <c r="D6" s="156">
        <f t="shared" ref="D6:AB6" si="0">D5</f>
        <v>0</v>
      </c>
      <c r="E6" s="156">
        <f t="shared" si="0"/>
        <v>29.04</v>
      </c>
      <c r="F6" s="156">
        <f t="shared" si="0"/>
        <v>0</v>
      </c>
      <c r="G6" s="156">
        <f t="shared" si="0"/>
        <v>32.869999999999997</v>
      </c>
      <c r="H6" s="156">
        <f t="shared" si="0"/>
        <v>0</v>
      </c>
      <c r="I6" s="156">
        <f t="shared" si="0"/>
        <v>10.89</v>
      </c>
      <c r="J6" s="156">
        <f t="shared" si="0"/>
        <v>0</v>
      </c>
      <c r="K6" s="156">
        <f t="shared" si="0"/>
        <v>20.27</v>
      </c>
      <c r="L6" s="156">
        <f t="shared" si="0"/>
        <v>0</v>
      </c>
      <c r="M6" s="156">
        <f t="shared" si="0"/>
        <v>13.92</v>
      </c>
      <c r="N6" s="156">
        <f t="shared" si="0"/>
        <v>0</v>
      </c>
      <c r="O6" s="156">
        <f t="shared" si="0"/>
        <v>21.96</v>
      </c>
      <c r="P6" s="156">
        <f t="shared" si="0"/>
        <v>0</v>
      </c>
      <c r="Q6" s="156">
        <f t="shared" si="0"/>
        <v>0.01</v>
      </c>
      <c r="R6" s="156">
        <f t="shared" si="0"/>
        <v>0</v>
      </c>
      <c r="S6" s="157"/>
      <c r="T6" s="156">
        <f t="shared" si="0"/>
        <v>0</v>
      </c>
      <c r="U6" s="157"/>
      <c r="V6" s="156">
        <f t="shared" si="0"/>
        <v>0</v>
      </c>
      <c r="W6" s="157"/>
      <c r="X6" s="156">
        <f t="shared" si="0"/>
        <v>0</v>
      </c>
      <c r="Y6" s="157"/>
      <c r="Z6" s="156">
        <f t="shared" si="0"/>
        <v>0</v>
      </c>
      <c r="AA6" s="157"/>
      <c r="AB6" s="156">
        <f t="shared" si="0"/>
        <v>0</v>
      </c>
      <c r="AC6" s="122"/>
      <c r="AD6" s="156">
        <f t="shared" ref="AD6:AE6" si="1">AD5</f>
        <v>0</v>
      </c>
      <c r="AE6" s="156">
        <f t="shared" si="1"/>
        <v>128.95999999999998</v>
      </c>
    </row>
    <row r="7" spans="1:31" ht="12.75" customHeight="1" x14ac:dyDescent="0.2">
      <c r="A7" s="125"/>
      <c r="B7" s="181"/>
      <c r="C7" s="194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6"/>
      <c r="T7" s="195"/>
      <c r="U7" s="196"/>
      <c r="V7" s="195"/>
      <c r="W7" s="196"/>
      <c r="X7" s="195"/>
      <c r="Y7" s="196"/>
      <c r="Z7" s="195"/>
      <c r="AA7" s="196"/>
      <c r="AB7" s="194"/>
      <c r="AC7" s="122"/>
      <c r="AD7" s="125"/>
      <c r="AE7" s="125"/>
    </row>
    <row r="8" spans="1:31" ht="12.75" customHeight="1" x14ac:dyDescent="0.2">
      <c r="A8" s="125"/>
      <c r="B8" s="181"/>
      <c r="C8" s="129" t="s">
        <v>228</v>
      </c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1"/>
      <c r="T8" s="150"/>
      <c r="U8" s="151"/>
      <c r="V8" s="150"/>
      <c r="W8" s="151"/>
      <c r="X8" s="150"/>
      <c r="Y8" s="151"/>
      <c r="Z8" s="150"/>
      <c r="AA8" s="151"/>
      <c r="AB8" s="150"/>
      <c r="AC8" s="122"/>
      <c r="AD8" s="125"/>
      <c r="AE8" s="125"/>
    </row>
    <row r="9" spans="1:31" ht="12.75" customHeight="1" x14ac:dyDescent="0.2">
      <c r="A9" s="125"/>
      <c r="B9" s="181" t="s">
        <v>229</v>
      </c>
      <c r="C9" s="125" t="s">
        <v>230</v>
      </c>
      <c r="D9" s="150">
        <v>0</v>
      </c>
      <c r="E9" s="150">
        <v>0</v>
      </c>
      <c r="F9" s="150">
        <v>0</v>
      </c>
      <c r="G9" s="150">
        <v>0</v>
      </c>
      <c r="H9" s="150">
        <v>0</v>
      </c>
      <c r="I9" s="150">
        <v>0</v>
      </c>
      <c r="J9" s="150">
        <v>0</v>
      </c>
      <c r="K9" s="150">
        <v>0</v>
      </c>
      <c r="L9" s="150">
        <v>0</v>
      </c>
      <c r="M9" s="150">
        <v>0</v>
      </c>
      <c r="N9" s="150">
        <v>0</v>
      </c>
      <c r="O9" s="150">
        <v>0</v>
      </c>
      <c r="P9" s="150">
        <v>0</v>
      </c>
      <c r="Q9" s="150">
        <v>0</v>
      </c>
      <c r="R9" s="150">
        <v>0</v>
      </c>
      <c r="S9" s="151"/>
      <c r="T9" s="150">
        <v>0</v>
      </c>
      <c r="U9" s="151"/>
      <c r="V9" s="150">
        <v>0</v>
      </c>
      <c r="W9" s="151"/>
      <c r="X9" s="150">
        <v>0</v>
      </c>
      <c r="Y9" s="151"/>
      <c r="Z9" s="150">
        <v>0</v>
      </c>
      <c r="AA9" s="151"/>
      <c r="AB9" s="150">
        <f t="shared" ref="AB9:AB11" si="2">D9+F9+H9+J9+L9+N9+P9+R9+T9+V9+X9+Z9</f>
        <v>0</v>
      </c>
      <c r="AC9" s="122"/>
      <c r="AD9" s="134">
        <f t="shared" ref="AD9:AE11" si="3">D9+F9+H9+J9+L9+N9+P9</f>
        <v>0</v>
      </c>
      <c r="AE9" s="134">
        <f t="shared" si="3"/>
        <v>0</v>
      </c>
    </row>
    <row r="10" spans="1:31" ht="12.75" customHeight="1" x14ac:dyDescent="0.2">
      <c r="A10" s="125"/>
      <c r="B10" s="181" t="s">
        <v>231</v>
      </c>
      <c r="C10" s="125" t="s">
        <v>232</v>
      </c>
      <c r="D10" s="150">
        <v>0</v>
      </c>
      <c r="E10" s="150">
        <v>0</v>
      </c>
      <c r="F10" s="150">
        <v>0</v>
      </c>
      <c r="G10" s="150">
        <v>0</v>
      </c>
      <c r="H10" s="150">
        <v>0</v>
      </c>
      <c r="I10" s="150">
        <v>0</v>
      </c>
      <c r="J10" s="150">
        <v>0</v>
      </c>
      <c r="K10" s="150">
        <v>0</v>
      </c>
      <c r="L10" s="150">
        <v>0</v>
      </c>
      <c r="M10" s="150">
        <v>0</v>
      </c>
      <c r="N10" s="150">
        <v>0</v>
      </c>
      <c r="O10" s="150">
        <v>0</v>
      </c>
      <c r="P10" s="150">
        <v>0</v>
      </c>
      <c r="Q10" s="150">
        <v>0</v>
      </c>
      <c r="R10" s="150">
        <v>0</v>
      </c>
      <c r="S10" s="151"/>
      <c r="T10" s="150">
        <v>0</v>
      </c>
      <c r="U10" s="151"/>
      <c r="V10" s="150">
        <v>0</v>
      </c>
      <c r="W10" s="151"/>
      <c r="X10" s="150">
        <v>0</v>
      </c>
      <c r="Y10" s="151"/>
      <c r="Z10" s="150">
        <v>0</v>
      </c>
      <c r="AA10" s="151"/>
      <c r="AB10" s="150">
        <f t="shared" si="2"/>
        <v>0</v>
      </c>
      <c r="AC10" s="122"/>
      <c r="AD10" s="134">
        <f t="shared" si="3"/>
        <v>0</v>
      </c>
      <c r="AE10" s="134">
        <f t="shared" si="3"/>
        <v>0</v>
      </c>
    </row>
    <row r="11" spans="1:31" ht="12.75" customHeight="1" x14ac:dyDescent="0.2">
      <c r="A11" s="125"/>
      <c r="B11" s="181" t="s">
        <v>233</v>
      </c>
      <c r="C11" s="125" t="s">
        <v>234</v>
      </c>
      <c r="D11" s="134">
        <v>3750</v>
      </c>
      <c r="E11" s="134">
        <v>6394.13</v>
      </c>
      <c r="F11" s="134">
        <v>3750</v>
      </c>
      <c r="G11" s="134">
        <v>1455.07</v>
      </c>
      <c r="H11" s="134">
        <v>3750</v>
      </c>
      <c r="I11" s="134">
        <v>1405.74</v>
      </c>
      <c r="J11" s="134">
        <v>3750</v>
      </c>
      <c r="K11" s="134">
        <v>3853.96</v>
      </c>
      <c r="L11" s="134">
        <v>3750</v>
      </c>
      <c r="M11" s="134">
        <v>3054.68</v>
      </c>
      <c r="N11" s="134">
        <v>3750</v>
      </c>
      <c r="O11" s="134">
        <v>6965.99</v>
      </c>
      <c r="P11" s="134">
        <v>3750</v>
      </c>
      <c r="Q11" s="134">
        <v>3326.66</v>
      </c>
      <c r="R11" s="134">
        <v>3750</v>
      </c>
      <c r="S11" s="134"/>
      <c r="T11" s="134">
        <v>3750</v>
      </c>
      <c r="U11" s="134"/>
      <c r="V11" s="134">
        <v>3750</v>
      </c>
      <c r="W11" s="134"/>
      <c r="X11" s="134">
        <v>3750</v>
      </c>
      <c r="Y11" s="134"/>
      <c r="Z11" s="134">
        <v>3750</v>
      </c>
      <c r="AA11" s="134"/>
      <c r="AB11" s="134">
        <f t="shared" si="2"/>
        <v>45000</v>
      </c>
      <c r="AC11" s="122"/>
      <c r="AD11" s="134">
        <f t="shared" si="3"/>
        <v>26250</v>
      </c>
      <c r="AE11" s="134">
        <f t="shared" si="3"/>
        <v>26456.23</v>
      </c>
    </row>
    <row r="12" spans="1:31" ht="13.5" customHeight="1" x14ac:dyDescent="0.2">
      <c r="A12" s="125"/>
      <c r="B12" s="181"/>
      <c r="C12" s="197" t="s">
        <v>235</v>
      </c>
      <c r="D12" s="156">
        <f t="shared" ref="D12:AB12" si="4">D11+D10-D9</f>
        <v>3750</v>
      </c>
      <c r="E12" s="156">
        <f t="shared" si="4"/>
        <v>6394.13</v>
      </c>
      <c r="F12" s="156">
        <f t="shared" si="4"/>
        <v>3750</v>
      </c>
      <c r="G12" s="156">
        <f t="shared" si="4"/>
        <v>1455.07</v>
      </c>
      <c r="H12" s="156">
        <f t="shared" si="4"/>
        <v>3750</v>
      </c>
      <c r="I12" s="156">
        <f t="shared" si="4"/>
        <v>1405.74</v>
      </c>
      <c r="J12" s="156">
        <f t="shared" si="4"/>
        <v>3750</v>
      </c>
      <c r="K12" s="156">
        <f t="shared" si="4"/>
        <v>3853.96</v>
      </c>
      <c r="L12" s="156">
        <f t="shared" si="4"/>
        <v>3750</v>
      </c>
      <c r="M12" s="156">
        <f t="shared" si="4"/>
        <v>3054.68</v>
      </c>
      <c r="N12" s="156">
        <f t="shared" si="4"/>
        <v>3750</v>
      </c>
      <c r="O12" s="156">
        <f t="shared" si="4"/>
        <v>6965.99</v>
      </c>
      <c r="P12" s="156">
        <f t="shared" si="4"/>
        <v>3750</v>
      </c>
      <c r="Q12" s="156">
        <f t="shared" si="4"/>
        <v>3326.66</v>
      </c>
      <c r="R12" s="156">
        <f t="shared" si="4"/>
        <v>3750</v>
      </c>
      <c r="S12" s="157"/>
      <c r="T12" s="156">
        <f t="shared" si="4"/>
        <v>3750</v>
      </c>
      <c r="U12" s="157"/>
      <c r="V12" s="156">
        <f t="shared" si="4"/>
        <v>3750</v>
      </c>
      <c r="W12" s="157"/>
      <c r="X12" s="156">
        <f t="shared" si="4"/>
        <v>3750</v>
      </c>
      <c r="Y12" s="157"/>
      <c r="Z12" s="156">
        <f t="shared" si="4"/>
        <v>3750</v>
      </c>
      <c r="AA12" s="157"/>
      <c r="AB12" s="156">
        <f t="shared" si="4"/>
        <v>45000</v>
      </c>
      <c r="AC12" s="122"/>
      <c r="AD12" s="156">
        <f t="shared" ref="AD12:AE12" si="5">AD11+AD10-AD9</f>
        <v>26250</v>
      </c>
      <c r="AE12" s="156">
        <f t="shared" si="5"/>
        <v>26456.23</v>
      </c>
    </row>
    <row r="13" spans="1:31" ht="12.75" customHeight="1" x14ac:dyDescent="0.2">
      <c r="A13" s="125"/>
      <c r="B13" s="181"/>
      <c r="C13" s="198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1"/>
      <c r="T13" s="150"/>
      <c r="U13" s="151"/>
      <c r="V13" s="150"/>
      <c r="W13" s="151"/>
      <c r="X13" s="150"/>
      <c r="Y13" s="151"/>
      <c r="Z13" s="150"/>
      <c r="AA13" s="151"/>
      <c r="AB13" s="150"/>
      <c r="AC13" s="122"/>
      <c r="AD13" s="150"/>
      <c r="AE13" s="150"/>
    </row>
    <row r="14" spans="1:31" ht="12.75" customHeight="1" x14ac:dyDescent="0.2">
      <c r="A14" s="125"/>
      <c r="B14" s="125"/>
      <c r="C14" s="135" t="s">
        <v>236</v>
      </c>
      <c r="D14" s="136">
        <f t="shared" ref="D14:AB14" si="6">D6-D12</f>
        <v>-3750</v>
      </c>
      <c r="E14" s="136">
        <f t="shared" si="6"/>
        <v>-6365.09</v>
      </c>
      <c r="F14" s="136">
        <f t="shared" si="6"/>
        <v>-3750</v>
      </c>
      <c r="G14" s="136">
        <f t="shared" si="6"/>
        <v>-1422.2</v>
      </c>
      <c r="H14" s="136">
        <f t="shared" si="6"/>
        <v>-3750</v>
      </c>
      <c r="I14" s="136">
        <f t="shared" si="6"/>
        <v>-1394.85</v>
      </c>
      <c r="J14" s="136">
        <f t="shared" si="6"/>
        <v>-3750</v>
      </c>
      <c r="K14" s="136">
        <f t="shared" si="6"/>
        <v>-3833.69</v>
      </c>
      <c r="L14" s="136">
        <f t="shared" si="6"/>
        <v>-3750</v>
      </c>
      <c r="M14" s="136">
        <f t="shared" si="6"/>
        <v>-3040.7599999999998</v>
      </c>
      <c r="N14" s="136">
        <f t="shared" si="6"/>
        <v>-3750</v>
      </c>
      <c r="O14" s="136">
        <f t="shared" si="6"/>
        <v>-6944.03</v>
      </c>
      <c r="P14" s="136">
        <f t="shared" si="6"/>
        <v>-3750</v>
      </c>
      <c r="Q14" s="136">
        <f t="shared" si="6"/>
        <v>-3326.6499999999996</v>
      </c>
      <c r="R14" s="136">
        <f t="shared" si="6"/>
        <v>-3750</v>
      </c>
      <c r="S14" s="137"/>
      <c r="T14" s="136">
        <f t="shared" si="6"/>
        <v>-3750</v>
      </c>
      <c r="U14" s="137"/>
      <c r="V14" s="136">
        <f t="shared" si="6"/>
        <v>-3750</v>
      </c>
      <c r="W14" s="137"/>
      <c r="X14" s="136">
        <f t="shared" si="6"/>
        <v>-3750</v>
      </c>
      <c r="Y14" s="137"/>
      <c r="Z14" s="136">
        <f t="shared" si="6"/>
        <v>-3750</v>
      </c>
      <c r="AA14" s="137"/>
      <c r="AB14" s="136">
        <f t="shared" si="6"/>
        <v>-45000</v>
      </c>
      <c r="AC14" s="122"/>
      <c r="AD14" s="136">
        <f t="shared" ref="AD14:AE14" si="7">AD6-AD12</f>
        <v>-26250</v>
      </c>
      <c r="AE14" s="136">
        <f t="shared" si="7"/>
        <v>-26327.27</v>
      </c>
    </row>
    <row r="15" spans="1:31" ht="12.75" customHeight="1" x14ac:dyDescent="0.2">
      <c r="A15" s="125"/>
      <c r="B15" s="181"/>
      <c r="C15" s="198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97"/>
      <c r="O15" s="197"/>
      <c r="P15" s="150"/>
      <c r="Q15" s="150"/>
      <c r="R15" s="150"/>
      <c r="S15" s="151"/>
      <c r="T15" s="150"/>
      <c r="U15" s="151"/>
      <c r="V15" s="150"/>
      <c r="W15" s="151"/>
      <c r="X15" s="150"/>
      <c r="Y15" s="151"/>
      <c r="Z15" s="150"/>
      <c r="AA15" s="151"/>
      <c r="AB15" s="150"/>
      <c r="AC15" s="122"/>
      <c r="AD15" s="125"/>
      <c r="AE15" s="125"/>
    </row>
    <row r="16" spans="1:31" ht="12.75" customHeight="1" x14ac:dyDescent="0.2">
      <c r="A16" s="125"/>
      <c r="B16" s="181"/>
      <c r="C16" s="199" t="s">
        <v>237</v>
      </c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1"/>
      <c r="T16" s="150"/>
      <c r="U16" s="151"/>
      <c r="V16" s="150"/>
      <c r="W16" s="151"/>
      <c r="X16" s="150"/>
      <c r="Y16" s="151"/>
      <c r="Z16" s="150"/>
      <c r="AA16" s="151"/>
      <c r="AB16" s="150"/>
      <c r="AC16" s="122"/>
      <c r="AD16" s="125"/>
      <c r="AE16" s="125"/>
    </row>
    <row r="17" spans="1:31" ht="12.75" customHeight="1" x14ac:dyDescent="0.2">
      <c r="A17" s="125"/>
      <c r="B17" s="181" t="s">
        <v>238</v>
      </c>
      <c r="C17" s="200" t="s">
        <v>239</v>
      </c>
      <c r="D17" s="188">
        <f>996*1.06</f>
        <v>1055.76</v>
      </c>
      <c r="E17" s="188">
        <v>1317</v>
      </c>
      <c r="F17" s="188">
        <v>1055.76</v>
      </c>
      <c r="G17" s="188">
        <v>450</v>
      </c>
      <c r="H17" s="188">
        <v>1055.76</v>
      </c>
      <c r="I17" s="188">
        <v>2998</v>
      </c>
      <c r="J17" s="188">
        <v>1055.76</v>
      </c>
      <c r="K17" s="188">
        <v>900</v>
      </c>
      <c r="L17" s="188">
        <f>996*1.06</f>
        <v>1055.76</v>
      </c>
      <c r="M17" s="188">
        <v>450</v>
      </c>
      <c r="N17" s="188">
        <f>996*1.06</f>
        <v>1055.76</v>
      </c>
      <c r="O17" s="188">
        <v>2937</v>
      </c>
      <c r="P17" s="188">
        <f>996*1.06</f>
        <v>1055.76</v>
      </c>
      <c r="Q17" s="188">
        <v>450</v>
      </c>
      <c r="R17" s="188">
        <f t="shared" ref="R17:Z17" si="8">996*1.06</f>
        <v>1055.76</v>
      </c>
      <c r="S17" s="189"/>
      <c r="T17" s="188">
        <f t="shared" si="8"/>
        <v>1055.76</v>
      </c>
      <c r="U17" s="189"/>
      <c r="V17" s="188">
        <f t="shared" si="8"/>
        <v>1055.76</v>
      </c>
      <c r="W17" s="189"/>
      <c r="X17" s="188">
        <f t="shared" si="8"/>
        <v>1055.76</v>
      </c>
      <c r="Y17" s="189"/>
      <c r="Z17" s="188">
        <f t="shared" si="8"/>
        <v>1055.76</v>
      </c>
      <c r="AA17" s="189"/>
      <c r="AB17" s="134">
        <f t="shared" ref="AB17:AB62" si="9">D17+F17+H17+J17+L17+N17+P17+R17+T17+V17+X17+Z17</f>
        <v>12669.12</v>
      </c>
      <c r="AC17" s="122"/>
      <c r="AD17" s="188">
        <f t="shared" ref="AD17:AD62" si="10">D17+F17+H17+J17+L17+N17+P17</f>
        <v>7390.3200000000006</v>
      </c>
      <c r="AE17" s="188">
        <f t="shared" ref="AE17:AE62" si="11">E17+G17+I17+K17+M17+O17+Q17</f>
        <v>9502</v>
      </c>
    </row>
    <row r="18" spans="1:31" ht="12.75" customHeight="1" x14ac:dyDescent="0.2">
      <c r="A18" s="125"/>
      <c r="B18" s="181" t="s">
        <v>240</v>
      </c>
      <c r="C18" s="125" t="s">
        <v>241</v>
      </c>
      <c r="D18" s="188">
        <v>9500</v>
      </c>
      <c r="E18" s="188">
        <v>0</v>
      </c>
      <c r="F18" s="188">
        <v>0</v>
      </c>
      <c r="G18" s="188">
        <v>3899.96</v>
      </c>
      <c r="H18" s="188">
        <v>9500</v>
      </c>
      <c r="I18" s="188">
        <v>0</v>
      </c>
      <c r="J18" s="188">
        <v>0</v>
      </c>
      <c r="K18" s="188">
        <v>5018.08</v>
      </c>
      <c r="L18" s="188">
        <v>9500</v>
      </c>
      <c r="M18" s="188">
        <v>0</v>
      </c>
      <c r="N18" s="188">
        <v>0</v>
      </c>
      <c r="O18" s="188">
        <v>9280.15</v>
      </c>
      <c r="P18" s="188">
        <v>9500</v>
      </c>
      <c r="Q18" s="188">
        <v>0</v>
      </c>
      <c r="R18" s="188">
        <v>0</v>
      </c>
      <c r="S18" s="189"/>
      <c r="T18" s="188">
        <v>9500</v>
      </c>
      <c r="U18" s="189"/>
      <c r="V18" s="188">
        <v>0</v>
      </c>
      <c r="W18" s="189"/>
      <c r="X18" s="188">
        <v>9500</v>
      </c>
      <c r="Y18" s="189"/>
      <c r="Z18" s="188">
        <v>0</v>
      </c>
      <c r="AA18" s="189"/>
      <c r="AB18" s="134">
        <f t="shared" si="9"/>
        <v>57000</v>
      </c>
      <c r="AC18" s="122"/>
      <c r="AD18" s="188">
        <f t="shared" si="10"/>
        <v>38000</v>
      </c>
      <c r="AE18" s="188">
        <f t="shared" si="11"/>
        <v>18198.190000000002</v>
      </c>
    </row>
    <row r="19" spans="1:31" ht="12.75" customHeight="1" x14ac:dyDescent="0.2">
      <c r="A19" s="125"/>
      <c r="B19" s="181" t="s">
        <v>242</v>
      </c>
      <c r="C19" s="200" t="s">
        <v>243</v>
      </c>
      <c r="D19" s="188">
        <v>800</v>
      </c>
      <c r="E19" s="188">
        <v>143</v>
      </c>
      <c r="F19" s="188">
        <v>800</v>
      </c>
      <c r="G19" s="188">
        <v>372</v>
      </c>
      <c r="H19" s="188">
        <v>800</v>
      </c>
      <c r="I19" s="188">
        <v>197</v>
      </c>
      <c r="J19" s="188">
        <v>800</v>
      </c>
      <c r="K19" s="188">
        <v>150</v>
      </c>
      <c r="L19" s="188">
        <v>800</v>
      </c>
      <c r="M19" s="188">
        <v>168</v>
      </c>
      <c r="N19" s="188">
        <v>800</v>
      </c>
      <c r="O19" s="188">
        <v>138</v>
      </c>
      <c r="P19" s="188">
        <v>800</v>
      </c>
      <c r="Q19" s="188">
        <v>114</v>
      </c>
      <c r="R19" s="188">
        <v>800</v>
      </c>
      <c r="S19" s="189"/>
      <c r="T19" s="188">
        <v>800</v>
      </c>
      <c r="U19" s="189"/>
      <c r="V19" s="188">
        <v>800</v>
      </c>
      <c r="W19" s="189"/>
      <c r="X19" s="188">
        <v>800</v>
      </c>
      <c r="Y19" s="189"/>
      <c r="Z19" s="188">
        <v>800</v>
      </c>
      <c r="AA19" s="189"/>
      <c r="AB19" s="134">
        <f t="shared" si="9"/>
        <v>9600</v>
      </c>
      <c r="AC19" s="122"/>
      <c r="AD19" s="188">
        <f t="shared" si="10"/>
        <v>5600</v>
      </c>
      <c r="AE19" s="188">
        <f t="shared" si="11"/>
        <v>1282</v>
      </c>
    </row>
    <row r="20" spans="1:31" ht="12.75" customHeight="1" x14ac:dyDescent="0.2">
      <c r="A20" s="125"/>
      <c r="B20" s="181" t="s">
        <v>244</v>
      </c>
      <c r="C20" s="200" t="s">
        <v>245</v>
      </c>
      <c r="D20" s="201">
        <f>12657+(12657*0.1)</f>
        <v>13922.7</v>
      </c>
      <c r="E20" s="201">
        <v>13185</v>
      </c>
      <c r="F20" s="188">
        <v>0</v>
      </c>
      <c r="G20" s="188">
        <v>0</v>
      </c>
      <c r="H20" s="188">
        <v>0</v>
      </c>
      <c r="I20" s="188">
        <v>0</v>
      </c>
      <c r="J20" s="188">
        <v>0</v>
      </c>
      <c r="K20" s="188">
        <v>0</v>
      </c>
      <c r="L20" s="188">
        <v>0</v>
      </c>
      <c r="M20" s="188">
        <v>0</v>
      </c>
      <c r="N20" s="188">
        <v>0</v>
      </c>
      <c r="O20" s="188">
        <v>0</v>
      </c>
      <c r="P20" s="188">
        <v>0</v>
      </c>
      <c r="Q20" s="188">
        <v>0</v>
      </c>
      <c r="R20" s="188">
        <v>0</v>
      </c>
      <c r="S20" s="189"/>
      <c r="T20" s="188">
        <v>0</v>
      </c>
      <c r="U20" s="189"/>
      <c r="V20" s="188">
        <v>0</v>
      </c>
      <c r="W20" s="189"/>
      <c r="X20" s="188">
        <v>0</v>
      </c>
      <c r="Y20" s="189"/>
      <c r="Z20" s="188">
        <v>0</v>
      </c>
      <c r="AA20" s="189"/>
      <c r="AB20" s="134">
        <f t="shared" si="9"/>
        <v>13922.7</v>
      </c>
      <c r="AC20" s="122"/>
      <c r="AD20" s="201">
        <f t="shared" si="10"/>
        <v>13922.7</v>
      </c>
      <c r="AE20" s="201">
        <f t="shared" si="11"/>
        <v>13185</v>
      </c>
    </row>
    <row r="21" spans="1:31" ht="12.75" customHeight="1" x14ac:dyDescent="0.2">
      <c r="A21" s="125"/>
      <c r="B21" s="181" t="s">
        <v>246</v>
      </c>
      <c r="C21" s="125" t="s">
        <v>247</v>
      </c>
      <c r="D21" s="201">
        <f>9990+(9990*0.1)</f>
        <v>10989</v>
      </c>
      <c r="E21" s="201">
        <v>11190</v>
      </c>
      <c r="F21" s="201">
        <v>10989</v>
      </c>
      <c r="G21" s="201">
        <v>11190</v>
      </c>
      <c r="H21" s="201">
        <v>10989</v>
      </c>
      <c r="I21" s="201">
        <v>11190</v>
      </c>
      <c r="J21" s="201">
        <v>10989</v>
      </c>
      <c r="K21" s="201">
        <v>11190</v>
      </c>
      <c r="L21" s="201">
        <f>9990+(9990*0.1)</f>
        <v>10989</v>
      </c>
      <c r="M21" s="201">
        <v>11190</v>
      </c>
      <c r="N21" s="201">
        <f>9990+(9990*0.1)</f>
        <v>10989</v>
      </c>
      <c r="O21" s="201">
        <v>14990</v>
      </c>
      <c r="P21" s="201">
        <f>9990+(9990*0.1)</f>
        <v>10989</v>
      </c>
      <c r="Q21" s="201">
        <v>14990</v>
      </c>
      <c r="R21" s="201">
        <f t="shared" ref="R21:Z21" si="12">9990+(9990*0.1)</f>
        <v>10989</v>
      </c>
      <c r="S21" s="202"/>
      <c r="T21" s="201">
        <f t="shared" si="12"/>
        <v>10989</v>
      </c>
      <c r="U21" s="202"/>
      <c r="V21" s="201">
        <f t="shared" si="12"/>
        <v>10989</v>
      </c>
      <c r="W21" s="202"/>
      <c r="X21" s="201">
        <f t="shared" si="12"/>
        <v>10989</v>
      </c>
      <c r="Y21" s="202"/>
      <c r="Z21" s="201">
        <f t="shared" si="12"/>
        <v>10989</v>
      </c>
      <c r="AA21" s="202"/>
      <c r="AB21" s="134">
        <f t="shared" si="9"/>
        <v>131868</v>
      </c>
      <c r="AC21" s="122"/>
      <c r="AD21" s="201">
        <f t="shared" si="10"/>
        <v>76923</v>
      </c>
      <c r="AE21" s="201">
        <f t="shared" si="11"/>
        <v>85930</v>
      </c>
    </row>
    <row r="22" spans="1:31" ht="12.75" customHeight="1" x14ac:dyDescent="0.2">
      <c r="A22" s="125"/>
      <c r="B22" s="181" t="s">
        <v>248</v>
      </c>
      <c r="C22" s="125" t="s">
        <v>249</v>
      </c>
      <c r="D22" s="188">
        <v>1100</v>
      </c>
      <c r="E22" s="188">
        <v>0</v>
      </c>
      <c r="F22" s="188">
        <v>0</v>
      </c>
      <c r="G22" s="188">
        <v>651.76</v>
      </c>
      <c r="H22" s="188">
        <v>0</v>
      </c>
      <c r="I22" s="188">
        <v>15500</v>
      </c>
      <c r="J22" s="188">
        <v>1100</v>
      </c>
      <c r="K22" s="188">
        <v>0</v>
      </c>
      <c r="L22" s="188">
        <v>0</v>
      </c>
      <c r="M22" s="188">
        <v>0</v>
      </c>
      <c r="N22" s="188">
        <v>0</v>
      </c>
      <c r="O22" s="188">
        <v>0</v>
      </c>
      <c r="P22" s="188">
        <v>1100</v>
      </c>
      <c r="Q22" s="188">
        <v>0</v>
      </c>
      <c r="R22" s="188">
        <v>0</v>
      </c>
      <c r="S22" s="189"/>
      <c r="T22" s="188">
        <v>0</v>
      </c>
      <c r="U22" s="189"/>
      <c r="V22" s="188">
        <v>1100</v>
      </c>
      <c r="W22" s="189"/>
      <c r="X22" s="188">
        <v>0</v>
      </c>
      <c r="Y22" s="189"/>
      <c r="Z22" s="188">
        <v>0</v>
      </c>
      <c r="AA22" s="189"/>
      <c r="AB22" s="134">
        <f t="shared" si="9"/>
        <v>4400</v>
      </c>
      <c r="AC22" s="122"/>
      <c r="AD22" s="188">
        <f t="shared" si="10"/>
        <v>3300</v>
      </c>
      <c r="AE22" s="188">
        <f t="shared" si="11"/>
        <v>16151.76</v>
      </c>
    </row>
    <row r="23" spans="1:31" ht="12.75" customHeight="1" x14ac:dyDescent="0.2">
      <c r="A23" s="125"/>
      <c r="B23" s="181"/>
      <c r="C23" s="203" t="s">
        <v>250</v>
      </c>
      <c r="D23" s="204">
        <v>1740</v>
      </c>
      <c r="E23" s="204">
        <v>0</v>
      </c>
      <c r="F23" s="204">
        <v>1740</v>
      </c>
      <c r="G23" s="204">
        <v>0</v>
      </c>
      <c r="H23" s="204">
        <v>1740</v>
      </c>
      <c r="I23" s="204">
        <v>0</v>
      </c>
      <c r="J23" s="204">
        <v>1740</v>
      </c>
      <c r="K23" s="204">
        <v>0</v>
      </c>
      <c r="L23" s="204">
        <v>1740</v>
      </c>
      <c r="M23" s="204">
        <v>0</v>
      </c>
      <c r="N23" s="204">
        <v>1740</v>
      </c>
      <c r="O23" s="204">
        <v>0</v>
      </c>
      <c r="P23" s="204">
        <v>1740</v>
      </c>
      <c r="Q23" s="204">
        <v>0</v>
      </c>
      <c r="R23" s="204">
        <v>1740</v>
      </c>
      <c r="S23" s="205"/>
      <c r="T23" s="204">
        <v>1740</v>
      </c>
      <c r="U23" s="205"/>
      <c r="V23" s="204">
        <v>1740</v>
      </c>
      <c r="W23" s="205"/>
      <c r="X23" s="204">
        <v>1740</v>
      </c>
      <c r="Y23" s="205"/>
      <c r="Z23" s="204">
        <v>1740</v>
      </c>
      <c r="AA23" s="205"/>
      <c r="AB23" s="206">
        <f t="shared" si="9"/>
        <v>20880</v>
      </c>
      <c r="AC23" s="122"/>
      <c r="AD23" s="204">
        <f t="shared" si="10"/>
        <v>12180</v>
      </c>
      <c r="AE23" s="204">
        <f t="shared" si="11"/>
        <v>0</v>
      </c>
    </row>
    <row r="24" spans="1:31" ht="12.75" customHeight="1" x14ac:dyDescent="0.2">
      <c r="A24" s="125"/>
      <c r="B24" s="181"/>
      <c r="C24" s="203" t="s">
        <v>251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5"/>
      <c r="T24" s="204">
        <v>0</v>
      </c>
      <c r="U24" s="205"/>
      <c r="V24" s="204">
        <v>0</v>
      </c>
      <c r="W24" s="205"/>
      <c r="X24" s="204">
        <v>0</v>
      </c>
      <c r="Y24" s="205"/>
      <c r="Z24" s="204">
        <v>0</v>
      </c>
      <c r="AA24" s="205"/>
      <c r="AB24" s="206">
        <f t="shared" si="9"/>
        <v>0</v>
      </c>
      <c r="AC24" s="122"/>
      <c r="AD24" s="204">
        <f t="shared" si="10"/>
        <v>0</v>
      </c>
      <c r="AE24" s="204">
        <f t="shared" si="11"/>
        <v>0</v>
      </c>
    </row>
    <row r="25" spans="1:31" ht="12.75" customHeight="1" x14ac:dyDescent="0.2">
      <c r="A25" s="125"/>
      <c r="B25" s="181" t="s">
        <v>252</v>
      </c>
      <c r="C25" s="207" t="s">
        <v>253</v>
      </c>
      <c r="D25" s="183">
        <f t="shared" ref="D25:Z25" si="13">SUM(D23:D24)</f>
        <v>1740</v>
      </c>
      <c r="E25" s="183">
        <f t="shared" si="13"/>
        <v>0</v>
      </c>
      <c r="F25" s="183">
        <f t="shared" si="13"/>
        <v>1740</v>
      </c>
      <c r="G25" s="183">
        <f t="shared" si="13"/>
        <v>0</v>
      </c>
      <c r="H25" s="183">
        <f t="shared" si="13"/>
        <v>1740</v>
      </c>
      <c r="I25" s="183">
        <f t="shared" si="13"/>
        <v>0</v>
      </c>
      <c r="J25" s="183">
        <f t="shared" si="13"/>
        <v>1740</v>
      </c>
      <c r="K25" s="183">
        <f t="shared" si="13"/>
        <v>0</v>
      </c>
      <c r="L25" s="183">
        <f t="shared" si="13"/>
        <v>1740</v>
      </c>
      <c r="M25" s="183">
        <f t="shared" si="13"/>
        <v>0</v>
      </c>
      <c r="N25" s="183">
        <f t="shared" si="13"/>
        <v>1740</v>
      </c>
      <c r="O25" s="183">
        <f t="shared" si="13"/>
        <v>0</v>
      </c>
      <c r="P25" s="183">
        <f t="shared" si="13"/>
        <v>1740</v>
      </c>
      <c r="Q25" s="183">
        <f t="shared" si="13"/>
        <v>0</v>
      </c>
      <c r="R25" s="183">
        <f t="shared" si="13"/>
        <v>1740</v>
      </c>
      <c r="S25" s="184"/>
      <c r="T25" s="183">
        <f t="shared" si="13"/>
        <v>1740</v>
      </c>
      <c r="U25" s="184"/>
      <c r="V25" s="183">
        <f t="shared" si="13"/>
        <v>1740</v>
      </c>
      <c r="W25" s="184"/>
      <c r="X25" s="183">
        <f t="shared" si="13"/>
        <v>1740</v>
      </c>
      <c r="Y25" s="184"/>
      <c r="Z25" s="183">
        <f t="shared" si="13"/>
        <v>1740</v>
      </c>
      <c r="AA25" s="184"/>
      <c r="AB25" s="183">
        <f t="shared" si="9"/>
        <v>20880</v>
      </c>
      <c r="AC25" s="122"/>
      <c r="AD25" s="183">
        <f t="shared" si="10"/>
        <v>12180</v>
      </c>
      <c r="AE25" s="183">
        <f t="shared" si="11"/>
        <v>0</v>
      </c>
    </row>
    <row r="26" spans="1:31" ht="12.75" customHeight="1" x14ac:dyDescent="0.2">
      <c r="A26" s="125"/>
      <c r="B26" s="181" t="s">
        <v>254</v>
      </c>
      <c r="C26" s="208" t="s">
        <v>255</v>
      </c>
      <c r="D26" s="188">
        <v>0</v>
      </c>
      <c r="E26" s="188">
        <v>0</v>
      </c>
      <c r="F26" s="188">
        <v>28000</v>
      </c>
      <c r="G26" s="188">
        <v>21444.52</v>
      </c>
      <c r="H26" s="188">
        <v>0</v>
      </c>
      <c r="I26" s="188">
        <v>4256.22</v>
      </c>
      <c r="J26" s="188">
        <v>16000</v>
      </c>
      <c r="K26" s="188">
        <v>2102.0700000000002</v>
      </c>
      <c r="L26" s="188">
        <v>0</v>
      </c>
      <c r="M26" s="188">
        <v>0</v>
      </c>
      <c r="N26" s="188">
        <v>0</v>
      </c>
      <c r="O26" s="201">
        <v>1425</v>
      </c>
      <c r="P26" s="188">
        <v>16000</v>
      </c>
      <c r="Q26" s="188">
        <v>7995</v>
      </c>
      <c r="R26" s="188">
        <v>0</v>
      </c>
      <c r="S26" s="189"/>
      <c r="T26" s="188">
        <v>0</v>
      </c>
      <c r="U26" s="189"/>
      <c r="V26" s="188">
        <v>16000</v>
      </c>
      <c r="W26" s="189"/>
      <c r="X26" s="188">
        <v>0</v>
      </c>
      <c r="Y26" s="189"/>
      <c r="Z26" s="188">
        <v>0</v>
      </c>
      <c r="AA26" s="189"/>
      <c r="AB26" s="134">
        <f t="shared" si="9"/>
        <v>76000</v>
      </c>
      <c r="AC26" s="122"/>
      <c r="AD26" s="188">
        <f t="shared" si="10"/>
        <v>60000</v>
      </c>
      <c r="AE26" s="188">
        <f t="shared" si="11"/>
        <v>37222.81</v>
      </c>
    </row>
    <row r="27" spans="1:31" ht="12.75" customHeight="1" x14ac:dyDescent="0.2">
      <c r="A27" s="125"/>
      <c r="B27" s="181"/>
      <c r="C27" s="203" t="s">
        <v>256</v>
      </c>
      <c r="D27" s="204">
        <v>0</v>
      </c>
      <c r="E27" s="204">
        <v>0</v>
      </c>
      <c r="F27" s="204">
        <v>0</v>
      </c>
      <c r="G27" s="204">
        <v>0</v>
      </c>
      <c r="H27" s="209">
        <v>2695</v>
      </c>
      <c r="I27" s="209">
        <v>2500</v>
      </c>
      <c r="J27" s="209">
        <v>0</v>
      </c>
      <c r="K27" s="209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5"/>
      <c r="T27" s="209">
        <v>2695</v>
      </c>
      <c r="U27" s="210"/>
      <c r="V27" s="204">
        <v>0</v>
      </c>
      <c r="W27" s="205"/>
      <c r="X27" s="204">
        <v>0</v>
      </c>
      <c r="Y27" s="205"/>
      <c r="Z27" s="204">
        <v>0</v>
      </c>
      <c r="AA27" s="205"/>
      <c r="AB27" s="206">
        <f t="shared" si="9"/>
        <v>5390</v>
      </c>
      <c r="AC27" s="122"/>
      <c r="AD27" s="204">
        <f t="shared" si="10"/>
        <v>2695</v>
      </c>
      <c r="AE27" s="204">
        <f t="shared" si="11"/>
        <v>2500</v>
      </c>
    </row>
    <row r="28" spans="1:31" ht="12.75" customHeight="1" x14ac:dyDescent="0.2">
      <c r="A28" s="125"/>
      <c r="B28" s="181"/>
      <c r="C28" s="203" t="s">
        <v>257</v>
      </c>
      <c r="D28" s="204">
        <f>3150*1.06</f>
        <v>3339</v>
      </c>
      <c r="E28" s="204">
        <v>0</v>
      </c>
      <c r="F28" s="209">
        <v>0</v>
      </c>
      <c r="G28" s="209">
        <v>0</v>
      </c>
      <c r="H28" s="204">
        <v>0</v>
      </c>
      <c r="I28" s="204">
        <v>0</v>
      </c>
      <c r="J28" s="204">
        <v>3339</v>
      </c>
      <c r="K28" s="204">
        <v>0</v>
      </c>
      <c r="L28" s="204">
        <v>0</v>
      </c>
      <c r="M28" s="204">
        <v>1400</v>
      </c>
      <c r="N28" s="204">
        <v>0</v>
      </c>
      <c r="O28" s="204">
        <v>0</v>
      </c>
      <c r="P28" s="204">
        <f>3150*1.06</f>
        <v>3339</v>
      </c>
      <c r="Q28" s="204">
        <v>1600</v>
      </c>
      <c r="R28" s="209">
        <v>0</v>
      </c>
      <c r="S28" s="210"/>
      <c r="T28" s="204">
        <v>0</v>
      </c>
      <c r="U28" s="205"/>
      <c r="V28" s="204">
        <f>3150*1.06</f>
        <v>3339</v>
      </c>
      <c r="W28" s="205"/>
      <c r="X28" s="204">
        <v>0</v>
      </c>
      <c r="Y28" s="205"/>
      <c r="Z28" s="204">
        <v>0</v>
      </c>
      <c r="AA28" s="205"/>
      <c r="AB28" s="206">
        <f t="shared" si="9"/>
        <v>13356</v>
      </c>
      <c r="AC28" s="122"/>
      <c r="AD28" s="204">
        <f t="shared" si="10"/>
        <v>10017</v>
      </c>
      <c r="AE28" s="204">
        <f t="shared" si="11"/>
        <v>3000</v>
      </c>
    </row>
    <row r="29" spans="1:31" ht="12.75" customHeight="1" x14ac:dyDescent="0.2">
      <c r="A29" s="125"/>
      <c r="B29" s="181"/>
      <c r="C29" s="211" t="s">
        <v>258</v>
      </c>
      <c r="D29" s="209">
        <v>7500</v>
      </c>
      <c r="E29" s="209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9">
        <v>7500</v>
      </c>
      <c r="Q29" s="209">
        <v>0</v>
      </c>
      <c r="R29" s="204">
        <v>0</v>
      </c>
      <c r="S29" s="205"/>
      <c r="T29" s="204">
        <v>0</v>
      </c>
      <c r="U29" s="205"/>
      <c r="V29" s="204">
        <v>0</v>
      </c>
      <c r="W29" s="205"/>
      <c r="X29" s="204">
        <v>0</v>
      </c>
      <c r="Y29" s="205"/>
      <c r="Z29" s="204">
        <v>0</v>
      </c>
      <c r="AA29" s="205"/>
      <c r="AB29" s="206">
        <f t="shared" si="9"/>
        <v>15000</v>
      </c>
      <c r="AC29" s="122"/>
      <c r="AD29" s="209">
        <f t="shared" si="10"/>
        <v>15000</v>
      </c>
      <c r="AE29" s="209">
        <f t="shared" si="11"/>
        <v>0</v>
      </c>
    </row>
    <row r="30" spans="1:31" ht="12.75" customHeight="1" x14ac:dyDescent="0.2">
      <c r="A30" s="125"/>
      <c r="B30" s="181"/>
      <c r="C30" s="203" t="s">
        <v>259</v>
      </c>
      <c r="D30" s="204">
        <v>0</v>
      </c>
      <c r="E30" s="204">
        <v>0</v>
      </c>
      <c r="F30" s="204">
        <v>0</v>
      </c>
      <c r="G30" s="204">
        <v>0</v>
      </c>
      <c r="H30" s="209">
        <v>20000</v>
      </c>
      <c r="I30" s="209">
        <v>0</v>
      </c>
      <c r="J30" s="204">
        <v>0</v>
      </c>
      <c r="K30" s="204">
        <v>55800</v>
      </c>
      <c r="L30" s="204">
        <v>0</v>
      </c>
      <c r="M30" s="204">
        <v>9100</v>
      </c>
      <c r="N30" s="209">
        <v>20000</v>
      </c>
      <c r="O30" s="209">
        <v>19650</v>
      </c>
      <c r="P30" s="204">
        <v>0</v>
      </c>
      <c r="Q30" s="204">
        <v>0</v>
      </c>
      <c r="R30" s="204">
        <v>0</v>
      </c>
      <c r="S30" s="205"/>
      <c r="T30" s="209">
        <v>20000</v>
      </c>
      <c r="U30" s="210"/>
      <c r="V30" s="204">
        <v>0</v>
      </c>
      <c r="W30" s="205"/>
      <c r="X30" s="204">
        <v>0</v>
      </c>
      <c r="Y30" s="205"/>
      <c r="Z30" s="204">
        <v>0</v>
      </c>
      <c r="AA30" s="205"/>
      <c r="AB30" s="206">
        <f t="shared" si="9"/>
        <v>60000</v>
      </c>
      <c r="AC30" s="122"/>
      <c r="AD30" s="204">
        <f t="shared" si="10"/>
        <v>40000</v>
      </c>
      <c r="AE30" s="204">
        <f t="shared" si="11"/>
        <v>84550</v>
      </c>
    </row>
    <row r="31" spans="1:31" ht="12.75" customHeight="1" x14ac:dyDescent="0.2">
      <c r="A31" s="125"/>
      <c r="B31" s="181"/>
      <c r="C31" s="203" t="s">
        <v>260</v>
      </c>
      <c r="D31" s="209">
        <v>10000</v>
      </c>
      <c r="E31" s="209">
        <v>600</v>
      </c>
      <c r="F31" s="209">
        <v>10000</v>
      </c>
      <c r="G31" s="209">
        <v>4129.3500000000004</v>
      </c>
      <c r="H31" s="209">
        <v>80000</v>
      </c>
      <c r="I31" s="209">
        <v>41836.74</v>
      </c>
      <c r="J31" s="209">
        <v>50000</v>
      </c>
      <c r="K31" s="209">
        <v>2150</v>
      </c>
      <c r="L31" s="209">
        <v>30000</v>
      </c>
      <c r="M31" s="209">
        <v>24521.75</v>
      </c>
      <c r="N31" s="209">
        <v>10000</v>
      </c>
      <c r="O31" s="209">
        <v>11378</v>
      </c>
      <c r="P31" s="209">
        <v>10000</v>
      </c>
      <c r="Q31" s="209">
        <v>13800</v>
      </c>
      <c r="R31" s="209">
        <v>10000</v>
      </c>
      <c r="S31" s="210"/>
      <c r="T31" s="209">
        <v>10000</v>
      </c>
      <c r="U31" s="210"/>
      <c r="V31" s="209">
        <v>10000</v>
      </c>
      <c r="W31" s="210"/>
      <c r="X31" s="209">
        <v>10000</v>
      </c>
      <c r="Y31" s="210"/>
      <c r="Z31" s="209">
        <v>10000</v>
      </c>
      <c r="AA31" s="210"/>
      <c r="AB31" s="206">
        <f t="shared" si="9"/>
        <v>250000</v>
      </c>
      <c r="AC31" s="122"/>
      <c r="AD31" s="209">
        <f t="shared" si="10"/>
        <v>200000</v>
      </c>
      <c r="AE31" s="209">
        <f t="shared" si="11"/>
        <v>98415.84</v>
      </c>
    </row>
    <row r="32" spans="1:31" ht="12.75" customHeight="1" x14ac:dyDescent="0.2">
      <c r="A32" s="125"/>
      <c r="B32" s="181" t="s">
        <v>261</v>
      </c>
      <c r="C32" s="212" t="s">
        <v>262</v>
      </c>
      <c r="D32" s="183">
        <f t="shared" ref="D32:Z32" si="14">SUM(D27:D31)</f>
        <v>20839</v>
      </c>
      <c r="E32" s="183">
        <f t="shared" si="14"/>
        <v>600</v>
      </c>
      <c r="F32" s="183">
        <f t="shared" si="14"/>
        <v>10000</v>
      </c>
      <c r="G32" s="183">
        <f t="shared" si="14"/>
        <v>4129.3500000000004</v>
      </c>
      <c r="H32" s="183">
        <f t="shared" si="14"/>
        <v>102695</v>
      </c>
      <c r="I32" s="183">
        <f t="shared" si="14"/>
        <v>44336.74</v>
      </c>
      <c r="J32" s="183">
        <f t="shared" si="14"/>
        <v>53339</v>
      </c>
      <c r="K32" s="183">
        <f t="shared" si="14"/>
        <v>57950</v>
      </c>
      <c r="L32" s="183">
        <f t="shared" si="14"/>
        <v>30000</v>
      </c>
      <c r="M32" s="183">
        <f t="shared" si="14"/>
        <v>35021.75</v>
      </c>
      <c r="N32" s="183">
        <f t="shared" si="14"/>
        <v>30000</v>
      </c>
      <c r="O32" s="183">
        <f t="shared" si="14"/>
        <v>31028</v>
      </c>
      <c r="P32" s="183">
        <f t="shared" si="14"/>
        <v>20839</v>
      </c>
      <c r="Q32" s="183">
        <f t="shared" si="14"/>
        <v>15400</v>
      </c>
      <c r="R32" s="183">
        <f t="shared" si="14"/>
        <v>10000</v>
      </c>
      <c r="S32" s="184"/>
      <c r="T32" s="183">
        <f t="shared" si="14"/>
        <v>32695</v>
      </c>
      <c r="U32" s="184"/>
      <c r="V32" s="183">
        <f t="shared" si="14"/>
        <v>13339</v>
      </c>
      <c r="W32" s="184"/>
      <c r="X32" s="183">
        <f t="shared" si="14"/>
        <v>10000</v>
      </c>
      <c r="Y32" s="184"/>
      <c r="Z32" s="183">
        <f t="shared" si="14"/>
        <v>10000</v>
      </c>
      <c r="AA32" s="184"/>
      <c r="AB32" s="183">
        <f t="shared" si="9"/>
        <v>343746</v>
      </c>
      <c r="AC32" s="122"/>
      <c r="AD32" s="183">
        <f t="shared" si="10"/>
        <v>267712</v>
      </c>
      <c r="AE32" s="183">
        <f t="shared" si="11"/>
        <v>188465.84</v>
      </c>
    </row>
    <row r="33" spans="1:31" ht="12.75" customHeight="1" x14ac:dyDescent="0.2">
      <c r="A33" s="125"/>
      <c r="B33" s="181" t="s">
        <v>263</v>
      </c>
      <c r="C33" s="213" t="s">
        <v>264</v>
      </c>
      <c r="D33" s="188">
        <f>1700*1.06</f>
        <v>1802</v>
      </c>
      <c r="E33" s="188">
        <v>1700</v>
      </c>
      <c r="F33" s="188">
        <v>1802</v>
      </c>
      <c r="G33" s="188">
        <v>1700</v>
      </c>
      <c r="H33" s="188">
        <v>1802</v>
      </c>
      <c r="I33" s="188">
        <v>1700</v>
      </c>
      <c r="J33" s="188">
        <v>1802</v>
      </c>
      <c r="K33" s="188">
        <v>1700</v>
      </c>
      <c r="L33" s="188">
        <f>1700*1.06</f>
        <v>1802</v>
      </c>
      <c r="M33" s="188">
        <v>1700</v>
      </c>
      <c r="N33" s="188">
        <f>1700*1.06</f>
        <v>1802</v>
      </c>
      <c r="O33" s="188">
        <v>1700</v>
      </c>
      <c r="P33" s="188">
        <f>1700*1.06</f>
        <v>1802</v>
      </c>
      <c r="Q33" s="188">
        <v>1700</v>
      </c>
      <c r="R33" s="188">
        <f t="shared" ref="R33:Z33" si="15">1700*1.06</f>
        <v>1802</v>
      </c>
      <c r="S33" s="189"/>
      <c r="T33" s="188">
        <f t="shared" si="15"/>
        <v>1802</v>
      </c>
      <c r="U33" s="189"/>
      <c r="V33" s="188">
        <f t="shared" si="15"/>
        <v>1802</v>
      </c>
      <c r="W33" s="189"/>
      <c r="X33" s="188">
        <f t="shared" si="15"/>
        <v>1802</v>
      </c>
      <c r="Y33" s="189"/>
      <c r="Z33" s="188">
        <f t="shared" si="15"/>
        <v>1802</v>
      </c>
      <c r="AA33" s="189"/>
      <c r="AB33" s="134">
        <f t="shared" si="9"/>
        <v>21624</v>
      </c>
      <c r="AC33" s="122"/>
      <c r="AD33" s="188">
        <f t="shared" si="10"/>
        <v>12614</v>
      </c>
      <c r="AE33" s="188">
        <f t="shared" si="11"/>
        <v>11900</v>
      </c>
    </row>
    <row r="34" spans="1:31" ht="12.75" customHeight="1" x14ac:dyDescent="0.2">
      <c r="A34" s="125"/>
      <c r="B34" s="181" t="s">
        <v>265</v>
      </c>
      <c r="C34" s="185" t="s">
        <v>266</v>
      </c>
      <c r="D34" s="204">
        <v>3200</v>
      </c>
      <c r="E34" s="204">
        <v>3192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5"/>
      <c r="T34" s="204">
        <v>0</v>
      </c>
      <c r="U34" s="205"/>
      <c r="V34" s="204">
        <v>0</v>
      </c>
      <c r="W34" s="205"/>
      <c r="X34" s="204">
        <v>0</v>
      </c>
      <c r="Y34" s="205"/>
      <c r="Z34" s="204">
        <v>0</v>
      </c>
      <c r="AA34" s="205"/>
      <c r="AB34" s="206">
        <f t="shared" si="9"/>
        <v>3200</v>
      </c>
      <c r="AC34" s="122"/>
      <c r="AD34" s="204">
        <f t="shared" si="10"/>
        <v>3200</v>
      </c>
      <c r="AE34" s="204">
        <f t="shared" si="11"/>
        <v>3192</v>
      </c>
    </row>
    <row r="35" spans="1:31" ht="12.75" customHeight="1" x14ac:dyDescent="0.2">
      <c r="A35" s="125"/>
      <c r="B35" s="181" t="s">
        <v>267</v>
      </c>
      <c r="C35" s="214" t="s">
        <v>268</v>
      </c>
      <c r="D35" s="204">
        <f>799+(799*0.1)</f>
        <v>878.9</v>
      </c>
      <c r="E35" s="204">
        <v>799</v>
      </c>
      <c r="F35" s="204">
        <v>878.9</v>
      </c>
      <c r="G35" s="204">
        <v>799</v>
      </c>
      <c r="H35" s="204">
        <v>878.9</v>
      </c>
      <c r="I35" s="204">
        <v>799</v>
      </c>
      <c r="J35" s="204">
        <v>878.9</v>
      </c>
      <c r="K35" s="204">
        <v>799</v>
      </c>
      <c r="L35" s="204">
        <f>799+(799*0.1)</f>
        <v>878.9</v>
      </c>
      <c r="M35" s="204">
        <v>799</v>
      </c>
      <c r="N35" s="204">
        <f>799+(799*0.1)</f>
        <v>878.9</v>
      </c>
      <c r="O35" s="204">
        <v>799</v>
      </c>
      <c r="P35" s="204">
        <f>799+(799*0.1)</f>
        <v>878.9</v>
      </c>
      <c r="Q35" s="204">
        <v>799</v>
      </c>
      <c r="R35" s="204">
        <f t="shared" ref="R35:Z35" si="16">799+(799*0.1)</f>
        <v>878.9</v>
      </c>
      <c r="S35" s="205"/>
      <c r="T35" s="204">
        <f t="shared" si="16"/>
        <v>878.9</v>
      </c>
      <c r="U35" s="205"/>
      <c r="V35" s="204">
        <f t="shared" si="16"/>
        <v>878.9</v>
      </c>
      <c r="W35" s="205"/>
      <c r="X35" s="204">
        <f t="shared" si="16"/>
        <v>878.9</v>
      </c>
      <c r="Y35" s="205"/>
      <c r="Z35" s="204">
        <f t="shared" si="16"/>
        <v>878.9</v>
      </c>
      <c r="AA35" s="205"/>
      <c r="AB35" s="206">
        <f t="shared" si="9"/>
        <v>10546.799999999997</v>
      </c>
      <c r="AC35" s="122"/>
      <c r="AD35" s="204">
        <f t="shared" si="10"/>
        <v>6152.2999999999993</v>
      </c>
      <c r="AE35" s="204">
        <f t="shared" si="11"/>
        <v>5593</v>
      </c>
    </row>
    <row r="36" spans="1:31" ht="12.75" customHeight="1" x14ac:dyDescent="0.2">
      <c r="A36" s="125"/>
      <c r="B36" s="181"/>
      <c r="C36" s="212" t="s">
        <v>269</v>
      </c>
      <c r="D36" s="183">
        <f t="shared" ref="D36:Z36" si="17">SUM(D34:D35)</f>
        <v>4078.9</v>
      </c>
      <c r="E36" s="183">
        <f t="shared" si="17"/>
        <v>3991</v>
      </c>
      <c r="F36" s="183">
        <f t="shared" si="17"/>
        <v>878.9</v>
      </c>
      <c r="G36" s="183">
        <f t="shared" si="17"/>
        <v>799</v>
      </c>
      <c r="H36" s="183">
        <f t="shared" si="17"/>
        <v>878.9</v>
      </c>
      <c r="I36" s="183">
        <f t="shared" si="17"/>
        <v>799</v>
      </c>
      <c r="J36" s="183">
        <f t="shared" si="17"/>
        <v>878.9</v>
      </c>
      <c r="K36" s="183">
        <f t="shared" si="17"/>
        <v>799</v>
      </c>
      <c r="L36" s="183">
        <f t="shared" si="17"/>
        <v>878.9</v>
      </c>
      <c r="M36" s="183">
        <f t="shared" si="17"/>
        <v>799</v>
      </c>
      <c r="N36" s="183">
        <f t="shared" si="17"/>
        <v>878.9</v>
      </c>
      <c r="O36" s="183">
        <f t="shared" si="17"/>
        <v>799</v>
      </c>
      <c r="P36" s="183">
        <f t="shared" si="17"/>
        <v>878.9</v>
      </c>
      <c r="Q36" s="183">
        <f t="shared" si="17"/>
        <v>799</v>
      </c>
      <c r="R36" s="183">
        <f t="shared" si="17"/>
        <v>878.9</v>
      </c>
      <c r="S36" s="184"/>
      <c r="T36" s="183">
        <f t="shared" si="17"/>
        <v>878.9</v>
      </c>
      <c r="U36" s="184"/>
      <c r="V36" s="183">
        <f t="shared" si="17"/>
        <v>878.9</v>
      </c>
      <c r="W36" s="184"/>
      <c r="X36" s="183">
        <f t="shared" si="17"/>
        <v>878.9</v>
      </c>
      <c r="Y36" s="184"/>
      <c r="Z36" s="183">
        <f t="shared" si="17"/>
        <v>878.9</v>
      </c>
      <c r="AA36" s="184"/>
      <c r="AB36" s="183">
        <f t="shared" si="9"/>
        <v>13746.799999999997</v>
      </c>
      <c r="AC36" s="122"/>
      <c r="AD36" s="183">
        <f t="shared" si="10"/>
        <v>9352.2999999999993</v>
      </c>
      <c r="AE36" s="183">
        <f t="shared" si="11"/>
        <v>8785</v>
      </c>
    </row>
    <row r="37" spans="1:31" ht="12.75" customHeight="1" x14ac:dyDescent="0.2">
      <c r="A37" s="125"/>
      <c r="B37" s="181"/>
      <c r="C37" s="185" t="s">
        <v>270</v>
      </c>
      <c r="D37" s="209">
        <v>500</v>
      </c>
      <c r="E37" s="209">
        <v>0</v>
      </c>
      <c r="F37" s="204">
        <v>400</v>
      </c>
      <c r="G37" s="204">
        <v>0</v>
      </c>
      <c r="H37" s="209">
        <v>500</v>
      </c>
      <c r="I37" s="209">
        <v>700.24</v>
      </c>
      <c r="J37" s="204">
        <v>400</v>
      </c>
      <c r="K37" s="204">
        <v>0</v>
      </c>
      <c r="L37" s="209">
        <v>500</v>
      </c>
      <c r="M37" s="209">
        <v>1587.52</v>
      </c>
      <c r="N37" s="204">
        <v>0</v>
      </c>
      <c r="O37" s="204">
        <v>533.98</v>
      </c>
      <c r="P37" s="209">
        <v>500</v>
      </c>
      <c r="Q37" s="209">
        <v>0</v>
      </c>
      <c r="R37" s="204">
        <v>400</v>
      </c>
      <c r="S37" s="205"/>
      <c r="T37" s="209">
        <v>500</v>
      </c>
      <c r="U37" s="210"/>
      <c r="V37" s="204">
        <v>400</v>
      </c>
      <c r="W37" s="205"/>
      <c r="X37" s="209">
        <v>500</v>
      </c>
      <c r="Y37" s="210"/>
      <c r="Z37" s="204">
        <v>400</v>
      </c>
      <c r="AA37" s="205"/>
      <c r="AB37" s="206">
        <f t="shared" si="9"/>
        <v>5000</v>
      </c>
      <c r="AC37" s="122"/>
      <c r="AD37" s="209">
        <f t="shared" si="10"/>
        <v>2800</v>
      </c>
      <c r="AE37" s="209">
        <f t="shared" si="11"/>
        <v>2821.7400000000002</v>
      </c>
    </row>
    <row r="38" spans="1:31" ht="12.75" customHeight="1" x14ac:dyDescent="0.2">
      <c r="A38" s="125"/>
      <c r="B38" s="181" t="s">
        <v>271</v>
      </c>
      <c r="C38" s="215" t="s">
        <v>272</v>
      </c>
      <c r="D38" s="216">
        <f>SUM(D37)</f>
        <v>500</v>
      </c>
      <c r="E38" s="216">
        <v>0</v>
      </c>
      <c r="F38" s="216">
        <v>400</v>
      </c>
      <c r="G38" s="216">
        <v>0</v>
      </c>
      <c r="H38" s="216">
        <v>500</v>
      </c>
      <c r="I38" s="216">
        <v>700.24</v>
      </c>
      <c r="J38" s="216">
        <v>400</v>
      </c>
      <c r="K38" s="216">
        <v>0</v>
      </c>
      <c r="L38" s="216">
        <f>SUM(L37)</f>
        <v>500</v>
      </c>
      <c r="M38" s="216">
        <v>1587.52</v>
      </c>
      <c r="N38" s="216">
        <f>SUM(N37)</f>
        <v>0</v>
      </c>
      <c r="O38" s="216">
        <v>533.98</v>
      </c>
      <c r="P38" s="216">
        <f t="shared" ref="P38:Z38" si="18">SUM(P37)</f>
        <v>500</v>
      </c>
      <c r="Q38" s="216">
        <f t="shared" si="18"/>
        <v>0</v>
      </c>
      <c r="R38" s="216">
        <f t="shared" si="18"/>
        <v>400</v>
      </c>
      <c r="S38" s="216"/>
      <c r="T38" s="216">
        <f t="shared" si="18"/>
        <v>500</v>
      </c>
      <c r="U38" s="216"/>
      <c r="V38" s="216">
        <f t="shared" si="18"/>
        <v>400</v>
      </c>
      <c r="W38" s="216"/>
      <c r="X38" s="216">
        <f t="shared" si="18"/>
        <v>500</v>
      </c>
      <c r="Y38" s="216"/>
      <c r="Z38" s="216">
        <f t="shared" si="18"/>
        <v>400</v>
      </c>
      <c r="AA38" s="216"/>
      <c r="AB38" s="216">
        <f t="shared" si="9"/>
        <v>5000</v>
      </c>
      <c r="AC38" s="122"/>
      <c r="AD38" s="216">
        <f t="shared" si="10"/>
        <v>2800</v>
      </c>
      <c r="AE38" s="216">
        <f t="shared" si="11"/>
        <v>2821.7400000000002</v>
      </c>
    </row>
    <row r="39" spans="1:31" ht="12.75" customHeight="1" x14ac:dyDescent="0.2">
      <c r="A39" s="125"/>
      <c r="B39" s="181" t="s">
        <v>273</v>
      </c>
      <c r="C39" s="125" t="s">
        <v>274</v>
      </c>
      <c r="D39" s="188">
        <v>0</v>
      </c>
      <c r="E39" s="188">
        <v>0</v>
      </c>
      <c r="F39" s="188">
        <v>0</v>
      </c>
      <c r="G39" s="188">
        <v>0</v>
      </c>
      <c r="H39" s="188">
        <v>25000</v>
      </c>
      <c r="I39" s="188">
        <v>0</v>
      </c>
      <c r="J39" s="188">
        <v>0</v>
      </c>
      <c r="K39" s="188">
        <v>0</v>
      </c>
      <c r="L39" s="188">
        <v>0</v>
      </c>
      <c r="M39" s="188">
        <v>7000</v>
      </c>
      <c r="N39" s="188">
        <v>0</v>
      </c>
      <c r="O39" s="188">
        <v>7000</v>
      </c>
      <c r="P39" s="188">
        <v>25000</v>
      </c>
      <c r="Q39" s="188">
        <v>0</v>
      </c>
      <c r="R39" s="188">
        <v>0</v>
      </c>
      <c r="S39" s="189"/>
      <c r="T39" s="188">
        <v>0</v>
      </c>
      <c r="U39" s="189"/>
      <c r="V39" s="188">
        <v>0</v>
      </c>
      <c r="W39" s="189"/>
      <c r="X39" s="188">
        <v>25000</v>
      </c>
      <c r="Y39" s="189"/>
      <c r="Z39" s="188">
        <v>0</v>
      </c>
      <c r="AA39" s="189"/>
      <c r="AB39" s="134">
        <f t="shared" si="9"/>
        <v>75000</v>
      </c>
      <c r="AC39" s="122"/>
      <c r="AD39" s="188">
        <f t="shared" si="10"/>
        <v>50000</v>
      </c>
      <c r="AE39" s="188">
        <f t="shared" si="11"/>
        <v>14000</v>
      </c>
    </row>
    <row r="40" spans="1:31" ht="12.75" customHeight="1" x14ac:dyDescent="0.2">
      <c r="A40" s="125"/>
      <c r="B40" s="181" t="s">
        <v>275</v>
      </c>
      <c r="C40" s="125" t="s">
        <v>276</v>
      </c>
      <c r="D40" s="188">
        <v>0</v>
      </c>
      <c r="E40" s="188">
        <v>7755.58</v>
      </c>
      <c r="F40" s="188">
        <v>20000</v>
      </c>
      <c r="G40" s="188">
        <v>0</v>
      </c>
      <c r="H40" s="188">
        <v>0</v>
      </c>
      <c r="I40" s="188">
        <v>-748.09</v>
      </c>
      <c r="J40" s="188">
        <v>20000</v>
      </c>
      <c r="K40" s="188">
        <v>701.1</v>
      </c>
      <c r="L40" s="188">
        <v>0</v>
      </c>
      <c r="M40" s="188">
        <v>123021.26</v>
      </c>
      <c r="N40" s="188">
        <v>20000</v>
      </c>
      <c r="O40" s="188">
        <v>93000</v>
      </c>
      <c r="P40" s="188">
        <v>0</v>
      </c>
      <c r="Q40" s="188">
        <v>0</v>
      </c>
      <c r="R40" s="188">
        <v>20000</v>
      </c>
      <c r="S40" s="189"/>
      <c r="T40" s="188">
        <v>0</v>
      </c>
      <c r="U40" s="189"/>
      <c r="V40" s="188">
        <v>20000</v>
      </c>
      <c r="W40" s="189"/>
      <c r="X40" s="188">
        <v>0</v>
      </c>
      <c r="Y40" s="189"/>
      <c r="Z40" s="188">
        <v>20000</v>
      </c>
      <c r="AA40" s="189"/>
      <c r="AB40" s="134">
        <f t="shared" si="9"/>
        <v>120000</v>
      </c>
      <c r="AC40" s="122"/>
      <c r="AD40" s="188">
        <f t="shared" si="10"/>
        <v>60000</v>
      </c>
      <c r="AE40" s="217">
        <f t="shared" si="11"/>
        <v>223729.84999999998</v>
      </c>
    </row>
    <row r="41" spans="1:31" ht="12.75" customHeight="1" x14ac:dyDescent="0.2">
      <c r="A41" s="125"/>
      <c r="B41" s="181" t="s">
        <v>277</v>
      </c>
      <c r="C41" s="218" t="s">
        <v>278</v>
      </c>
      <c r="D41" s="209">
        <v>20000</v>
      </c>
      <c r="E41" s="209">
        <v>0</v>
      </c>
      <c r="F41" s="209">
        <v>50000</v>
      </c>
      <c r="G41" s="209">
        <v>0</v>
      </c>
      <c r="H41" s="204"/>
      <c r="I41" s="204">
        <v>0</v>
      </c>
      <c r="J41" s="209">
        <v>50000</v>
      </c>
      <c r="K41" s="209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15003.21</v>
      </c>
      <c r="R41" s="209">
        <v>0</v>
      </c>
      <c r="S41" s="210"/>
      <c r="T41" s="204">
        <v>0</v>
      </c>
      <c r="U41" s="205"/>
      <c r="V41" s="204">
        <v>0</v>
      </c>
      <c r="W41" s="205"/>
      <c r="X41" s="204">
        <v>0</v>
      </c>
      <c r="Y41" s="205"/>
      <c r="Z41" s="204">
        <v>0</v>
      </c>
      <c r="AA41" s="205"/>
      <c r="AB41" s="206">
        <f t="shared" si="9"/>
        <v>120000</v>
      </c>
      <c r="AC41" s="122"/>
      <c r="AD41" s="209">
        <f t="shared" si="10"/>
        <v>120000</v>
      </c>
      <c r="AE41" s="209">
        <f t="shared" si="11"/>
        <v>15003.21</v>
      </c>
    </row>
    <row r="42" spans="1:31" ht="12.75" customHeight="1" x14ac:dyDescent="0.2">
      <c r="A42" s="125"/>
      <c r="B42" s="181" t="s">
        <v>279</v>
      </c>
      <c r="C42" s="219" t="s">
        <v>280</v>
      </c>
      <c r="D42" s="204">
        <f>600+300+150</f>
        <v>1050</v>
      </c>
      <c r="E42" s="204">
        <v>3370</v>
      </c>
      <c r="F42" s="204">
        <v>1050</v>
      </c>
      <c r="G42" s="204">
        <v>600</v>
      </c>
      <c r="H42" s="204">
        <v>1050</v>
      </c>
      <c r="I42" s="204">
        <v>600</v>
      </c>
      <c r="J42" s="204">
        <v>1050</v>
      </c>
      <c r="K42" s="204">
        <v>600</v>
      </c>
      <c r="L42" s="204">
        <f>600+300+150</f>
        <v>1050</v>
      </c>
      <c r="M42" s="204">
        <v>754.99</v>
      </c>
      <c r="N42" s="204">
        <f>600+300+150</f>
        <v>1050</v>
      </c>
      <c r="O42" s="204">
        <v>923</v>
      </c>
      <c r="P42" s="204">
        <f>600+300+150</f>
        <v>1050</v>
      </c>
      <c r="Q42" s="204">
        <v>1149.99</v>
      </c>
      <c r="R42" s="204">
        <f t="shared" ref="R42:Z42" si="19">600+300+150</f>
        <v>1050</v>
      </c>
      <c r="S42" s="205"/>
      <c r="T42" s="204">
        <f t="shared" si="19"/>
        <v>1050</v>
      </c>
      <c r="U42" s="205"/>
      <c r="V42" s="204">
        <f t="shared" si="19"/>
        <v>1050</v>
      </c>
      <c r="W42" s="205"/>
      <c r="X42" s="204">
        <f t="shared" si="19"/>
        <v>1050</v>
      </c>
      <c r="Y42" s="205"/>
      <c r="Z42" s="204">
        <f t="shared" si="19"/>
        <v>1050</v>
      </c>
      <c r="AA42" s="205"/>
      <c r="AB42" s="206">
        <f t="shared" si="9"/>
        <v>12600</v>
      </c>
      <c r="AC42" s="122"/>
      <c r="AD42" s="204">
        <f t="shared" si="10"/>
        <v>7350</v>
      </c>
      <c r="AE42" s="204">
        <f t="shared" si="11"/>
        <v>7997.98</v>
      </c>
    </row>
    <row r="43" spans="1:31" ht="12.75" customHeight="1" x14ac:dyDescent="0.2">
      <c r="A43" s="125"/>
      <c r="B43" s="181" t="s">
        <v>281</v>
      </c>
      <c r="C43" s="218" t="s">
        <v>282</v>
      </c>
      <c r="D43" s="209">
        <v>1000</v>
      </c>
      <c r="E43" s="209">
        <v>0</v>
      </c>
      <c r="F43" s="209">
        <v>1000</v>
      </c>
      <c r="G43" s="209">
        <v>0</v>
      </c>
      <c r="H43" s="209">
        <v>1000</v>
      </c>
      <c r="I43" s="209">
        <v>0</v>
      </c>
      <c r="J43" s="209">
        <v>1000</v>
      </c>
      <c r="K43" s="209">
        <v>0</v>
      </c>
      <c r="L43" s="209">
        <v>1000</v>
      </c>
      <c r="M43" s="209">
        <v>0</v>
      </c>
      <c r="N43" s="209">
        <v>1000</v>
      </c>
      <c r="O43" s="209">
        <v>0</v>
      </c>
      <c r="P43" s="209">
        <v>1000</v>
      </c>
      <c r="Q43" s="209">
        <v>0</v>
      </c>
      <c r="R43" s="209">
        <v>1000</v>
      </c>
      <c r="S43" s="210"/>
      <c r="T43" s="209">
        <v>1000</v>
      </c>
      <c r="U43" s="210"/>
      <c r="V43" s="209">
        <v>1000</v>
      </c>
      <c r="W43" s="210"/>
      <c r="X43" s="209">
        <v>1000</v>
      </c>
      <c r="Y43" s="210"/>
      <c r="Z43" s="209">
        <v>1000</v>
      </c>
      <c r="AA43" s="210"/>
      <c r="AB43" s="206">
        <f t="shared" si="9"/>
        <v>12000</v>
      </c>
      <c r="AC43" s="122"/>
      <c r="AD43" s="209">
        <f t="shared" si="10"/>
        <v>7000</v>
      </c>
      <c r="AE43" s="209">
        <f t="shared" si="11"/>
        <v>0</v>
      </c>
    </row>
    <row r="44" spans="1:31" ht="12.75" customHeight="1" x14ac:dyDescent="0.2">
      <c r="A44" s="125"/>
      <c r="B44" s="181"/>
      <c r="C44" s="220" t="s">
        <v>283</v>
      </c>
      <c r="D44" s="221">
        <f t="shared" ref="D44:Z44" si="20">SUM(D41:D43)</f>
        <v>22050</v>
      </c>
      <c r="E44" s="221">
        <f t="shared" si="20"/>
        <v>3370</v>
      </c>
      <c r="F44" s="221">
        <f t="shared" si="20"/>
        <v>52050</v>
      </c>
      <c r="G44" s="221">
        <f t="shared" si="20"/>
        <v>600</v>
      </c>
      <c r="H44" s="221">
        <f t="shared" si="20"/>
        <v>2050</v>
      </c>
      <c r="I44" s="221">
        <f t="shared" si="20"/>
        <v>600</v>
      </c>
      <c r="J44" s="221">
        <f t="shared" si="20"/>
        <v>52050</v>
      </c>
      <c r="K44" s="221">
        <f t="shared" si="20"/>
        <v>600</v>
      </c>
      <c r="L44" s="221">
        <f t="shared" si="20"/>
        <v>2050</v>
      </c>
      <c r="M44" s="221">
        <f t="shared" si="20"/>
        <v>754.99</v>
      </c>
      <c r="N44" s="221">
        <f t="shared" si="20"/>
        <v>2050</v>
      </c>
      <c r="O44" s="221">
        <f t="shared" si="20"/>
        <v>923</v>
      </c>
      <c r="P44" s="221">
        <f t="shared" si="20"/>
        <v>2050</v>
      </c>
      <c r="Q44" s="221">
        <f t="shared" si="20"/>
        <v>16153.199999999999</v>
      </c>
      <c r="R44" s="221">
        <f t="shared" si="20"/>
        <v>2050</v>
      </c>
      <c r="S44" s="222"/>
      <c r="T44" s="221">
        <f t="shared" si="20"/>
        <v>2050</v>
      </c>
      <c r="U44" s="222"/>
      <c r="V44" s="221">
        <f t="shared" si="20"/>
        <v>2050</v>
      </c>
      <c r="W44" s="222"/>
      <c r="X44" s="221">
        <f t="shared" si="20"/>
        <v>2050</v>
      </c>
      <c r="Y44" s="222"/>
      <c r="Z44" s="221">
        <f t="shared" si="20"/>
        <v>2050</v>
      </c>
      <c r="AA44" s="222"/>
      <c r="AB44" s="221">
        <f t="shared" si="9"/>
        <v>144600</v>
      </c>
      <c r="AC44" s="122"/>
      <c r="AD44" s="221">
        <f t="shared" si="10"/>
        <v>134350</v>
      </c>
      <c r="AE44" s="221">
        <f t="shared" si="11"/>
        <v>23001.19</v>
      </c>
    </row>
    <row r="45" spans="1:31" ht="12.75" customHeight="1" x14ac:dyDescent="0.2">
      <c r="A45" s="125"/>
      <c r="B45" s="181" t="s">
        <v>284</v>
      </c>
      <c r="C45" s="223" t="s">
        <v>285</v>
      </c>
      <c r="D45" s="188">
        <v>0</v>
      </c>
      <c r="E45" s="188">
        <v>0</v>
      </c>
      <c r="F45" s="188">
        <v>0</v>
      </c>
      <c r="G45" s="188">
        <v>0</v>
      </c>
      <c r="H45" s="188">
        <v>0</v>
      </c>
      <c r="I45" s="188">
        <v>0</v>
      </c>
      <c r="J45" s="188">
        <v>0</v>
      </c>
      <c r="K45" s="188">
        <v>0</v>
      </c>
      <c r="L45" s="188">
        <v>0</v>
      </c>
      <c r="M45" s="188">
        <v>0</v>
      </c>
      <c r="N45" s="188">
        <v>0</v>
      </c>
      <c r="O45" s="188">
        <v>0</v>
      </c>
      <c r="P45" s="188">
        <v>0</v>
      </c>
      <c r="Q45" s="188">
        <v>0</v>
      </c>
      <c r="R45" s="188">
        <v>0</v>
      </c>
      <c r="S45" s="189"/>
      <c r="T45" s="188">
        <v>0</v>
      </c>
      <c r="U45" s="189"/>
      <c r="V45" s="188">
        <v>0</v>
      </c>
      <c r="W45" s="189"/>
      <c r="X45" s="188">
        <v>17750</v>
      </c>
      <c r="Y45" s="189"/>
      <c r="Z45" s="188">
        <v>17750</v>
      </c>
      <c r="AA45" s="189"/>
      <c r="AB45" s="134">
        <f t="shared" si="9"/>
        <v>35500</v>
      </c>
      <c r="AC45" s="122"/>
      <c r="AD45" s="188">
        <f t="shared" si="10"/>
        <v>0</v>
      </c>
      <c r="AE45" s="188">
        <f t="shared" si="11"/>
        <v>0</v>
      </c>
    </row>
    <row r="46" spans="1:31" ht="12.75" customHeight="1" x14ac:dyDescent="0.2">
      <c r="A46" s="125"/>
      <c r="B46" s="190" t="s">
        <v>286</v>
      </c>
      <c r="C46" s="224" t="s">
        <v>287</v>
      </c>
      <c r="D46" s="191">
        <v>7583.33</v>
      </c>
      <c r="E46" s="191">
        <v>6300.83</v>
      </c>
      <c r="F46" s="191">
        <v>7583.33</v>
      </c>
      <c r="G46" s="191">
        <v>4300.6499999999996</v>
      </c>
      <c r="H46" s="191">
        <v>7583.33</v>
      </c>
      <c r="I46" s="191">
        <v>5488.08</v>
      </c>
      <c r="J46" s="191">
        <v>7583.33</v>
      </c>
      <c r="K46" s="191">
        <v>8205.68</v>
      </c>
      <c r="L46" s="191">
        <v>7583.33</v>
      </c>
      <c r="M46" s="191">
        <v>4527.8900000000003</v>
      </c>
      <c r="N46" s="191">
        <v>7583.33</v>
      </c>
      <c r="O46" s="191">
        <v>4660.03</v>
      </c>
      <c r="P46" s="191">
        <v>7583.33</v>
      </c>
      <c r="Q46" s="191">
        <v>5873.59</v>
      </c>
      <c r="R46" s="191">
        <v>7583.33</v>
      </c>
      <c r="S46" s="192"/>
      <c r="T46" s="191">
        <v>7583.33</v>
      </c>
      <c r="U46" s="192"/>
      <c r="V46" s="191">
        <v>7583.33</v>
      </c>
      <c r="W46" s="192"/>
      <c r="X46" s="191">
        <v>7583.33</v>
      </c>
      <c r="Y46" s="192"/>
      <c r="Z46" s="191">
        <v>7583.33</v>
      </c>
      <c r="AA46" s="192"/>
      <c r="AB46" s="191">
        <f t="shared" si="9"/>
        <v>90999.96</v>
      </c>
      <c r="AC46" s="122"/>
      <c r="AD46" s="191">
        <f t="shared" si="10"/>
        <v>53083.310000000005</v>
      </c>
      <c r="AE46" s="191">
        <f t="shared" si="11"/>
        <v>39356.75</v>
      </c>
    </row>
    <row r="47" spans="1:31" ht="12.75" customHeight="1" x14ac:dyDescent="0.2">
      <c r="A47" s="125"/>
      <c r="B47" s="181" t="s">
        <v>288</v>
      </c>
      <c r="C47" s="125" t="s">
        <v>289</v>
      </c>
      <c r="D47" s="188">
        <v>0</v>
      </c>
      <c r="E47" s="188">
        <v>-0.01</v>
      </c>
      <c r="F47" s="188">
        <v>0</v>
      </c>
      <c r="G47" s="188">
        <v>-10.01</v>
      </c>
      <c r="H47" s="188">
        <v>0</v>
      </c>
      <c r="I47" s="188">
        <v>-0.01</v>
      </c>
      <c r="J47" s="188">
        <v>0</v>
      </c>
      <c r="K47" s="188">
        <v>0</v>
      </c>
      <c r="L47" s="188">
        <v>0</v>
      </c>
      <c r="M47" s="188">
        <v>-19.91</v>
      </c>
      <c r="N47" s="188">
        <v>0</v>
      </c>
      <c r="O47" s="188">
        <v>0.01</v>
      </c>
      <c r="P47" s="188">
        <v>0</v>
      </c>
      <c r="Q47" s="188">
        <v>0.01</v>
      </c>
      <c r="R47" s="188">
        <v>0</v>
      </c>
      <c r="S47" s="189"/>
      <c r="T47" s="188">
        <v>0</v>
      </c>
      <c r="U47" s="189"/>
      <c r="V47" s="188">
        <v>0</v>
      </c>
      <c r="W47" s="189"/>
      <c r="X47" s="188">
        <v>0</v>
      </c>
      <c r="Y47" s="189"/>
      <c r="Z47" s="188">
        <v>0</v>
      </c>
      <c r="AA47" s="189"/>
      <c r="AB47" s="134">
        <f t="shared" si="9"/>
        <v>0</v>
      </c>
      <c r="AC47" s="122"/>
      <c r="AD47" s="188">
        <f t="shared" si="10"/>
        <v>0</v>
      </c>
      <c r="AE47" s="188">
        <f t="shared" si="11"/>
        <v>-29.919999999999995</v>
      </c>
    </row>
    <row r="48" spans="1:31" ht="12.75" customHeight="1" x14ac:dyDescent="0.2">
      <c r="A48" s="125"/>
      <c r="B48" s="181"/>
      <c r="C48" s="225" t="s">
        <v>290</v>
      </c>
      <c r="D48" s="186">
        <v>0</v>
      </c>
      <c r="E48" s="186">
        <v>2700</v>
      </c>
      <c r="F48" s="186">
        <v>0</v>
      </c>
      <c r="G48" s="186"/>
      <c r="H48" s="186">
        <f>2800+(2800*0.1)</f>
        <v>3080</v>
      </c>
      <c r="I48" s="186">
        <v>0</v>
      </c>
      <c r="J48" s="186">
        <v>0</v>
      </c>
      <c r="K48" s="186">
        <v>0</v>
      </c>
      <c r="L48" s="186">
        <v>0</v>
      </c>
      <c r="M48" s="186">
        <v>0</v>
      </c>
      <c r="N48" s="186">
        <v>0</v>
      </c>
      <c r="O48" s="186">
        <v>0</v>
      </c>
      <c r="P48" s="186">
        <v>0</v>
      </c>
      <c r="Q48" s="186">
        <v>0</v>
      </c>
      <c r="R48" s="186">
        <v>0</v>
      </c>
      <c r="S48" s="187"/>
      <c r="T48" s="186">
        <v>0</v>
      </c>
      <c r="U48" s="187"/>
      <c r="V48" s="186">
        <v>0</v>
      </c>
      <c r="W48" s="187"/>
      <c r="X48" s="186">
        <v>0</v>
      </c>
      <c r="Y48" s="187"/>
      <c r="Z48" s="186">
        <v>0</v>
      </c>
      <c r="AA48" s="187"/>
      <c r="AB48" s="133">
        <f t="shared" si="9"/>
        <v>3080</v>
      </c>
      <c r="AC48" s="122"/>
      <c r="AD48" s="186">
        <f t="shared" si="10"/>
        <v>3080</v>
      </c>
      <c r="AE48" s="186">
        <f t="shared" si="11"/>
        <v>2700</v>
      </c>
    </row>
    <row r="49" spans="1:31" ht="12.75" customHeight="1" x14ac:dyDescent="0.2">
      <c r="A49" s="125"/>
      <c r="B49" s="181"/>
      <c r="C49" s="225" t="s">
        <v>291</v>
      </c>
      <c r="D49" s="186">
        <v>0</v>
      </c>
      <c r="E49" s="186">
        <v>0</v>
      </c>
      <c r="F49" s="186">
        <v>0</v>
      </c>
      <c r="G49" s="186"/>
      <c r="H49" s="186">
        <v>0</v>
      </c>
      <c r="I49" s="186">
        <v>0</v>
      </c>
      <c r="J49" s="186">
        <v>0</v>
      </c>
      <c r="K49" s="186">
        <v>0</v>
      </c>
      <c r="L49" s="186">
        <v>0</v>
      </c>
      <c r="M49" s="186">
        <v>0</v>
      </c>
      <c r="N49" s="186">
        <f>5600+(5600*0.1)</f>
        <v>6160</v>
      </c>
      <c r="O49" s="186">
        <v>0</v>
      </c>
      <c r="P49" s="186">
        <v>0</v>
      </c>
      <c r="Q49" s="186">
        <v>0</v>
      </c>
      <c r="R49" s="186">
        <v>0</v>
      </c>
      <c r="S49" s="187"/>
      <c r="T49" s="186">
        <v>0</v>
      </c>
      <c r="U49" s="187"/>
      <c r="V49" s="186">
        <v>0</v>
      </c>
      <c r="W49" s="187"/>
      <c r="X49" s="186">
        <v>0</v>
      </c>
      <c r="Y49" s="187"/>
      <c r="Z49" s="186">
        <v>0</v>
      </c>
      <c r="AA49" s="187"/>
      <c r="AB49" s="133">
        <f t="shared" si="9"/>
        <v>6160</v>
      </c>
      <c r="AC49" s="122"/>
      <c r="AD49" s="186">
        <f t="shared" si="10"/>
        <v>6160</v>
      </c>
      <c r="AE49" s="186">
        <f t="shared" si="11"/>
        <v>0</v>
      </c>
    </row>
    <row r="50" spans="1:31" ht="12.75" customHeight="1" x14ac:dyDescent="0.2">
      <c r="A50" s="125"/>
      <c r="B50" s="181"/>
      <c r="C50" s="225" t="s">
        <v>292</v>
      </c>
      <c r="D50" s="186">
        <v>400</v>
      </c>
      <c r="E50" s="186">
        <v>0</v>
      </c>
      <c r="F50" s="186">
        <v>400</v>
      </c>
      <c r="G50" s="186"/>
      <c r="H50" s="186">
        <v>400</v>
      </c>
      <c r="I50" s="186">
        <v>0</v>
      </c>
      <c r="J50" s="186">
        <v>400</v>
      </c>
      <c r="K50" s="186">
        <v>0</v>
      </c>
      <c r="L50" s="186">
        <v>400</v>
      </c>
      <c r="M50" s="186">
        <v>0</v>
      </c>
      <c r="N50" s="186">
        <v>400</v>
      </c>
      <c r="O50" s="186">
        <v>0</v>
      </c>
      <c r="P50" s="186">
        <v>400</v>
      </c>
      <c r="Q50" s="186">
        <v>0</v>
      </c>
      <c r="R50" s="186">
        <v>400</v>
      </c>
      <c r="S50" s="187"/>
      <c r="T50" s="186">
        <v>400</v>
      </c>
      <c r="U50" s="187"/>
      <c r="V50" s="186">
        <v>400</v>
      </c>
      <c r="W50" s="187"/>
      <c r="X50" s="186">
        <v>400</v>
      </c>
      <c r="Y50" s="187"/>
      <c r="Z50" s="186">
        <v>400</v>
      </c>
      <c r="AA50" s="187"/>
      <c r="AB50" s="133">
        <f t="shared" si="9"/>
        <v>4800</v>
      </c>
      <c r="AC50" s="122"/>
      <c r="AD50" s="186">
        <f t="shared" si="10"/>
        <v>2800</v>
      </c>
      <c r="AE50" s="186">
        <f t="shared" si="11"/>
        <v>0</v>
      </c>
    </row>
    <row r="51" spans="1:31" ht="12.75" customHeight="1" x14ac:dyDescent="0.2">
      <c r="A51" s="125"/>
      <c r="B51" s="181" t="s">
        <v>293</v>
      </c>
      <c r="C51" s="212" t="s">
        <v>294</v>
      </c>
      <c r="D51" s="183">
        <f>SUM(D48:D50)</f>
        <v>400</v>
      </c>
      <c r="E51" s="183">
        <v>2700</v>
      </c>
      <c r="F51" s="183">
        <v>400</v>
      </c>
      <c r="G51" s="183">
        <v>0</v>
      </c>
      <c r="H51" s="183">
        <v>3480</v>
      </c>
      <c r="I51" s="183">
        <v>0</v>
      </c>
      <c r="J51" s="183">
        <v>400</v>
      </c>
      <c r="K51" s="183">
        <v>0</v>
      </c>
      <c r="L51" s="183">
        <f>SUM(L48:L50)</f>
        <v>400</v>
      </c>
      <c r="M51" s="183">
        <v>0</v>
      </c>
      <c r="N51" s="183">
        <f>SUM(N48:N50)</f>
        <v>6560</v>
      </c>
      <c r="O51" s="183">
        <v>0</v>
      </c>
      <c r="P51" s="183">
        <f t="shared" ref="P51:Z51" si="21">SUM(P48:P50)</f>
        <v>400</v>
      </c>
      <c r="Q51" s="183">
        <f t="shared" si="21"/>
        <v>0</v>
      </c>
      <c r="R51" s="183">
        <f t="shared" si="21"/>
        <v>400</v>
      </c>
      <c r="S51" s="184"/>
      <c r="T51" s="183">
        <f t="shared" si="21"/>
        <v>400</v>
      </c>
      <c r="U51" s="184"/>
      <c r="V51" s="183">
        <f t="shared" si="21"/>
        <v>400</v>
      </c>
      <c r="W51" s="184"/>
      <c r="X51" s="183">
        <f t="shared" si="21"/>
        <v>400</v>
      </c>
      <c r="Y51" s="184"/>
      <c r="Z51" s="183">
        <f t="shared" si="21"/>
        <v>400</v>
      </c>
      <c r="AA51" s="184"/>
      <c r="AB51" s="183">
        <f t="shared" si="9"/>
        <v>14040</v>
      </c>
      <c r="AC51" s="122"/>
      <c r="AD51" s="183">
        <f t="shared" si="10"/>
        <v>12040</v>
      </c>
      <c r="AE51" s="183">
        <f t="shared" si="11"/>
        <v>2700</v>
      </c>
    </row>
    <row r="52" spans="1:31" ht="12.75" customHeight="1" x14ac:dyDescent="0.2">
      <c r="A52" s="125"/>
      <c r="B52" s="181" t="s">
        <v>295</v>
      </c>
      <c r="C52" s="125" t="s">
        <v>296</v>
      </c>
      <c r="D52" s="188">
        <v>2032.11</v>
      </c>
      <c r="E52" s="188">
        <v>1348.06</v>
      </c>
      <c r="F52" s="188">
        <v>2032.11</v>
      </c>
      <c r="G52" s="188">
        <v>2525</v>
      </c>
      <c r="H52" s="188">
        <v>2032.11</v>
      </c>
      <c r="I52" s="188">
        <v>1769.82</v>
      </c>
      <c r="J52" s="188">
        <v>2032.11</v>
      </c>
      <c r="K52" s="188">
        <v>800.69</v>
      </c>
      <c r="L52" s="188">
        <v>2032.11</v>
      </c>
      <c r="M52" s="188">
        <v>2196.34</v>
      </c>
      <c r="N52" s="188">
        <v>2032.11</v>
      </c>
      <c r="O52" s="188">
        <v>1238.76</v>
      </c>
      <c r="P52" s="188">
        <v>2032.11</v>
      </c>
      <c r="Q52" s="188">
        <v>2484.4699999999998</v>
      </c>
      <c r="R52" s="188">
        <v>2032.11</v>
      </c>
      <c r="S52" s="189"/>
      <c r="T52" s="188">
        <v>2032.11</v>
      </c>
      <c r="U52" s="189"/>
      <c r="V52" s="188">
        <v>2032.11</v>
      </c>
      <c r="W52" s="189"/>
      <c r="X52" s="188">
        <v>2032.11</v>
      </c>
      <c r="Y52" s="189"/>
      <c r="Z52" s="188">
        <v>2032.11</v>
      </c>
      <c r="AA52" s="189"/>
      <c r="AB52" s="134">
        <f t="shared" si="9"/>
        <v>24385.320000000003</v>
      </c>
      <c r="AC52" s="122"/>
      <c r="AD52" s="188">
        <f t="shared" si="10"/>
        <v>14224.77</v>
      </c>
      <c r="AE52" s="188">
        <f t="shared" si="11"/>
        <v>12363.14</v>
      </c>
    </row>
    <row r="53" spans="1:31" ht="12.75" customHeight="1" x14ac:dyDescent="0.2">
      <c r="A53" s="125"/>
      <c r="B53" s="125" t="s">
        <v>216</v>
      </c>
      <c r="C53" s="125" t="s">
        <v>297</v>
      </c>
      <c r="D53" s="134">
        <v>0</v>
      </c>
      <c r="E53" s="134">
        <v>0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4">
        <v>0</v>
      </c>
      <c r="M53" s="134">
        <v>0</v>
      </c>
      <c r="N53" s="134">
        <v>0</v>
      </c>
      <c r="O53" s="134">
        <v>0</v>
      </c>
      <c r="P53" s="134">
        <v>0</v>
      </c>
      <c r="Q53" s="134">
        <v>10220.69</v>
      </c>
      <c r="R53" s="134">
        <v>0</v>
      </c>
      <c r="S53" s="134"/>
      <c r="T53" s="134">
        <v>0</v>
      </c>
      <c r="U53" s="134"/>
      <c r="V53" s="134">
        <v>0</v>
      </c>
      <c r="W53" s="134"/>
      <c r="X53" s="134">
        <v>0</v>
      </c>
      <c r="Y53" s="134"/>
      <c r="Z53" s="134">
        <v>0</v>
      </c>
      <c r="AA53" s="134"/>
      <c r="AB53" s="134">
        <f t="shared" si="9"/>
        <v>0</v>
      </c>
      <c r="AC53" s="122"/>
      <c r="AD53" s="134">
        <f t="shared" si="10"/>
        <v>0</v>
      </c>
      <c r="AE53" s="134">
        <f t="shared" si="11"/>
        <v>10220.69</v>
      </c>
    </row>
    <row r="54" spans="1:31" ht="12.75" customHeight="1" x14ac:dyDescent="0.2">
      <c r="A54" s="125"/>
      <c r="B54" s="125" t="s">
        <v>298</v>
      </c>
      <c r="C54" s="155" t="s">
        <v>299</v>
      </c>
      <c r="D54" s="134">
        <f>15734.32*1.05</f>
        <v>16521.036</v>
      </c>
      <c r="E54" s="134">
        <v>15734.32</v>
      </c>
      <c r="F54" s="134">
        <v>16521.036</v>
      </c>
      <c r="G54" s="134">
        <v>15734.32</v>
      </c>
      <c r="H54" s="134">
        <v>16521.036</v>
      </c>
      <c r="I54" s="134">
        <v>15734.32</v>
      </c>
      <c r="J54" s="134">
        <v>16521.036</v>
      </c>
      <c r="K54" s="134">
        <v>15734.32</v>
      </c>
      <c r="L54" s="134">
        <f>15734.32*1.05</f>
        <v>16521.036</v>
      </c>
      <c r="M54" s="134">
        <v>15734.32</v>
      </c>
      <c r="N54" s="134">
        <f>15734.32*1.05</f>
        <v>16521.036</v>
      </c>
      <c r="O54" s="134">
        <v>15734.32</v>
      </c>
      <c r="P54" s="134">
        <f>15734.32*1.05</f>
        <v>16521.036</v>
      </c>
      <c r="Q54" s="134">
        <v>15734.32</v>
      </c>
      <c r="R54" s="134">
        <f t="shared" ref="R54:Z54" si="22">15734.32*1.05</f>
        <v>16521.036</v>
      </c>
      <c r="S54" s="134"/>
      <c r="T54" s="134">
        <f t="shared" si="22"/>
        <v>16521.036</v>
      </c>
      <c r="U54" s="134"/>
      <c r="V54" s="134">
        <f t="shared" si="22"/>
        <v>16521.036</v>
      </c>
      <c r="W54" s="134"/>
      <c r="X54" s="134">
        <f t="shared" si="22"/>
        <v>16521.036</v>
      </c>
      <c r="Y54" s="134"/>
      <c r="Z54" s="134">
        <f t="shared" si="22"/>
        <v>16521.036</v>
      </c>
      <c r="AA54" s="134"/>
      <c r="AB54" s="134">
        <f t="shared" si="9"/>
        <v>198252.43199999994</v>
      </c>
      <c r="AC54" s="122"/>
      <c r="AD54" s="134">
        <f t="shared" si="10"/>
        <v>115647.25199999998</v>
      </c>
      <c r="AE54" s="134">
        <f t="shared" si="11"/>
        <v>110140.24000000002</v>
      </c>
    </row>
    <row r="55" spans="1:31" ht="12.75" customHeight="1" x14ac:dyDescent="0.2">
      <c r="A55" s="125"/>
      <c r="B55" s="181" t="s">
        <v>300</v>
      </c>
      <c r="C55" s="125" t="s">
        <v>301</v>
      </c>
      <c r="D55" s="188">
        <v>0</v>
      </c>
      <c r="E55" s="188">
        <v>0</v>
      </c>
      <c r="F55" s="188">
        <v>1000</v>
      </c>
      <c r="G55" s="188">
        <v>0</v>
      </c>
      <c r="H55" s="188">
        <v>0</v>
      </c>
      <c r="I55" s="188">
        <v>0</v>
      </c>
      <c r="J55" s="188">
        <v>1000</v>
      </c>
      <c r="K55" s="188">
        <v>0</v>
      </c>
      <c r="L55" s="188">
        <v>0</v>
      </c>
      <c r="M55" s="188">
        <v>0</v>
      </c>
      <c r="N55" s="188">
        <v>1000</v>
      </c>
      <c r="O55" s="188">
        <v>0</v>
      </c>
      <c r="P55" s="188">
        <v>0</v>
      </c>
      <c r="Q55" s="188">
        <v>0</v>
      </c>
      <c r="R55" s="188">
        <v>1000</v>
      </c>
      <c r="S55" s="189"/>
      <c r="T55" s="188">
        <v>0</v>
      </c>
      <c r="U55" s="189"/>
      <c r="V55" s="188">
        <v>1000</v>
      </c>
      <c r="W55" s="189"/>
      <c r="X55" s="188">
        <v>0</v>
      </c>
      <c r="Y55" s="189"/>
      <c r="Z55" s="188">
        <v>0</v>
      </c>
      <c r="AA55" s="189"/>
      <c r="AB55" s="134">
        <f t="shared" si="9"/>
        <v>5000</v>
      </c>
      <c r="AC55" s="122"/>
      <c r="AD55" s="188">
        <f t="shared" si="10"/>
        <v>3000</v>
      </c>
      <c r="AE55" s="188">
        <f t="shared" si="11"/>
        <v>0</v>
      </c>
    </row>
    <row r="56" spans="1:31" ht="12.75" customHeight="1" x14ac:dyDescent="0.2">
      <c r="A56" s="125"/>
      <c r="B56" s="181" t="s">
        <v>302</v>
      </c>
      <c r="C56" s="200" t="s">
        <v>303</v>
      </c>
      <c r="D56" s="188">
        <v>0</v>
      </c>
      <c r="E56" s="188">
        <v>0</v>
      </c>
      <c r="F56" s="188">
        <v>1666.67</v>
      </c>
      <c r="G56" s="188">
        <v>0</v>
      </c>
      <c r="H56" s="188">
        <v>0</v>
      </c>
      <c r="I56" s="188">
        <v>2850</v>
      </c>
      <c r="J56" s="188">
        <v>1666.67</v>
      </c>
      <c r="K56" s="188">
        <v>850</v>
      </c>
      <c r="L56" s="188">
        <v>0</v>
      </c>
      <c r="M56" s="188">
        <v>5126.18</v>
      </c>
      <c r="N56" s="188">
        <v>1666.67</v>
      </c>
      <c r="O56" s="188">
        <v>4978.45</v>
      </c>
      <c r="P56" s="188">
        <v>0</v>
      </c>
      <c r="Q56" s="188">
        <v>2194.83</v>
      </c>
      <c r="R56" s="188">
        <v>1666.67</v>
      </c>
      <c r="S56" s="189"/>
      <c r="T56" s="188">
        <v>0</v>
      </c>
      <c r="U56" s="189"/>
      <c r="V56" s="188">
        <v>1666.67</v>
      </c>
      <c r="W56" s="189"/>
      <c r="X56" s="188">
        <v>0</v>
      </c>
      <c r="Y56" s="189"/>
      <c r="Z56" s="188">
        <v>1666.65</v>
      </c>
      <c r="AA56" s="189"/>
      <c r="AB56" s="134">
        <f t="shared" si="9"/>
        <v>10000</v>
      </c>
      <c r="AC56" s="122"/>
      <c r="AD56" s="188">
        <f t="shared" si="10"/>
        <v>5000.01</v>
      </c>
      <c r="AE56" s="188">
        <f t="shared" si="11"/>
        <v>15999.460000000001</v>
      </c>
    </row>
    <row r="57" spans="1:31" ht="12.75" customHeight="1" x14ac:dyDescent="0.2">
      <c r="A57" s="125"/>
      <c r="B57" s="181" t="s">
        <v>304</v>
      </c>
      <c r="C57" s="125" t="s">
        <v>305</v>
      </c>
      <c r="D57" s="188">
        <v>1000</v>
      </c>
      <c r="E57" s="188">
        <v>0</v>
      </c>
      <c r="F57" s="188">
        <v>0</v>
      </c>
      <c r="G57" s="188">
        <v>80</v>
      </c>
      <c r="H57" s="188">
        <v>1000</v>
      </c>
      <c r="I57" s="188">
        <v>156</v>
      </c>
      <c r="J57" s="188">
        <v>0</v>
      </c>
      <c r="K57" s="188">
        <v>142.22999999999999</v>
      </c>
      <c r="L57" s="188">
        <v>1000</v>
      </c>
      <c r="M57" s="188">
        <v>0</v>
      </c>
      <c r="N57" s="188">
        <v>0</v>
      </c>
      <c r="O57" s="188">
        <v>0</v>
      </c>
      <c r="P57" s="188">
        <v>1000</v>
      </c>
      <c r="Q57" s="188">
        <v>0</v>
      </c>
      <c r="R57" s="188">
        <v>0</v>
      </c>
      <c r="S57" s="189"/>
      <c r="T57" s="188">
        <v>1000</v>
      </c>
      <c r="U57" s="189"/>
      <c r="V57" s="188">
        <v>0</v>
      </c>
      <c r="W57" s="189"/>
      <c r="X57" s="188">
        <v>1000</v>
      </c>
      <c r="Y57" s="189"/>
      <c r="Z57" s="188">
        <v>0</v>
      </c>
      <c r="AA57" s="189"/>
      <c r="AB57" s="134">
        <f t="shared" si="9"/>
        <v>6000</v>
      </c>
      <c r="AC57" s="122"/>
      <c r="AD57" s="188">
        <f t="shared" si="10"/>
        <v>4000</v>
      </c>
      <c r="AE57" s="188">
        <f t="shared" si="11"/>
        <v>378.23</v>
      </c>
    </row>
    <row r="58" spans="1:31" ht="12.75" customHeight="1" x14ac:dyDescent="0.2">
      <c r="A58" s="125"/>
      <c r="B58" s="181" t="s">
        <v>306</v>
      </c>
      <c r="C58" s="125" t="s">
        <v>307</v>
      </c>
      <c r="D58" s="188">
        <v>0</v>
      </c>
      <c r="E58" s="188">
        <v>44</v>
      </c>
      <c r="F58" s="188">
        <v>0</v>
      </c>
      <c r="G58" s="188">
        <v>102.59</v>
      </c>
      <c r="H58" s="188">
        <v>0</v>
      </c>
      <c r="I58" s="188">
        <v>0</v>
      </c>
      <c r="J58" s="188">
        <v>0</v>
      </c>
      <c r="K58" s="188">
        <v>0</v>
      </c>
      <c r="L58" s="188">
        <v>0</v>
      </c>
      <c r="M58" s="188">
        <v>0</v>
      </c>
      <c r="N58" s="188">
        <v>0</v>
      </c>
      <c r="O58" s="188">
        <v>0</v>
      </c>
      <c r="P58" s="188">
        <v>0</v>
      </c>
      <c r="Q58" s="188">
        <v>0</v>
      </c>
      <c r="R58" s="188">
        <v>0</v>
      </c>
      <c r="S58" s="189"/>
      <c r="T58" s="188">
        <v>0</v>
      </c>
      <c r="U58" s="189"/>
      <c r="V58" s="188">
        <v>0</v>
      </c>
      <c r="W58" s="189"/>
      <c r="X58" s="188">
        <v>0</v>
      </c>
      <c r="Y58" s="189"/>
      <c r="Z58" s="188">
        <v>0</v>
      </c>
      <c r="AA58" s="189"/>
      <c r="AB58" s="134">
        <f t="shared" si="9"/>
        <v>0</v>
      </c>
      <c r="AC58" s="122"/>
      <c r="AD58" s="188">
        <f t="shared" si="10"/>
        <v>0</v>
      </c>
      <c r="AE58" s="188">
        <f t="shared" si="11"/>
        <v>146.59</v>
      </c>
    </row>
    <row r="59" spans="1:31" ht="12.75" customHeight="1" x14ac:dyDescent="0.2">
      <c r="A59" s="125"/>
      <c r="B59" s="190" t="s">
        <v>308</v>
      </c>
      <c r="C59" s="226" t="s">
        <v>309</v>
      </c>
      <c r="D59" s="191">
        <f>470484.14+6218</f>
        <v>476702.14</v>
      </c>
      <c r="E59" s="191">
        <v>374295.29</v>
      </c>
      <c r="F59" s="191">
        <v>476702.14</v>
      </c>
      <c r="G59" s="191">
        <v>454221.51</v>
      </c>
      <c r="H59" s="191">
        <v>476702.14</v>
      </c>
      <c r="I59" s="191">
        <v>464140.67</v>
      </c>
      <c r="J59" s="191">
        <v>476702.14</v>
      </c>
      <c r="K59" s="191">
        <v>456208.07</v>
      </c>
      <c r="L59" s="191">
        <f>470484.14+6218</f>
        <v>476702.14</v>
      </c>
      <c r="M59" s="191">
        <v>683954.99</v>
      </c>
      <c r="N59" s="191">
        <f>470484.14+6218</f>
        <v>476702.14</v>
      </c>
      <c r="O59" s="191">
        <v>454501.14</v>
      </c>
      <c r="P59" s="191">
        <f>470484.14+6218</f>
        <v>476702.14</v>
      </c>
      <c r="Q59" s="191">
        <v>426396.96</v>
      </c>
      <c r="R59" s="191">
        <f t="shared" ref="R59:Z59" si="23">470484.14+6218</f>
        <v>476702.14</v>
      </c>
      <c r="S59" s="192"/>
      <c r="T59" s="191">
        <f t="shared" si="23"/>
        <v>476702.14</v>
      </c>
      <c r="U59" s="192"/>
      <c r="V59" s="191">
        <f t="shared" si="23"/>
        <v>476702.14</v>
      </c>
      <c r="W59" s="192"/>
      <c r="X59" s="191">
        <f t="shared" si="23"/>
        <v>476702.14</v>
      </c>
      <c r="Y59" s="192"/>
      <c r="Z59" s="191">
        <f t="shared" si="23"/>
        <v>476702.14</v>
      </c>
      <c r="AA59" s="192"/>
      <c r="AB59" s="191">
        <f t="shared" si="9"/>
        <v>5720425.6799999997</v>
      </c>
      <c r="AC59" s="122"/>
      <c r="AD59" s="191">
        <f t="shared" si="10"/>
        <v>3336914.9800000004</v>
      </c>
      <c r="AE59" s="191">
        <f t="shared" si="11"/>
        <v>3313718.6300000004</v>
      </c>
    </row>
    <row r="60" spans="1:31" ht="12.75" customHeight="1" x14ac:dyDescent="0.2">
      <c r="A60" s="125"/>
      <c r="B60" s="190" t="s">
        <v>310</v>
      </c>
      <c r="C60" s="190" t="s">
        <v>311</v>
      </c>
      <c r="D60" s="191">
        <f>2000*3</f>
        <v>6000</v>
      </c>
      <c r="E60" s="191">
        <v>2000</v>
      </c>
      <c r="F60" s="191">
        <v>6000</v>
      </c>
      <c r="G60" s="191">
        <v>0</v>
      </c>
      <c r="H60" s="191">
        <v>6000</v>
      </c>
      <c r="I60" s="191">
        <v>2550</v>
      </c>
      <c r="J60" s="191">
        <v>6000</v>
      </c>
      <c r="K60" s="191">
        <v>3867</v>
      </c>
      <c r="L60" s="191">
        <f>2000*3</f>
        <v>6000</v>
      </c>
      <c r="M60" s="191">
        <v>7068</v>
      </c>
      <c r="N60" s="191">
        <f>2000*3</f>
        <v>6000</v>
      </c>
      <c r="O60" s="191">
        <v>6000</v>
      </c>
      <c r="P60" s="191">
        <f>2000*3</f>
        <v>6000</v>
      </c>
      <c r="Q60" s="191">
        <v>4000</v>
      </c>
      <c r="R60" s="191">
        <f t="shared" ref="R60:Z60" si="24">2000*3</f>
        <v>6000</v>
      </c>
      <c r="S60" s="192"/>
      <c r="T60" s="191">
        <f t="shared" si="24"/>
        <v>6000</v>
      </c>
      <c r="U60" s="192"/>
      <c r="V60" s="191">
        <f t="shared" si="24"/>
        <v>6000</v>
      </c>
      <c r="W60" s="192"/>
      <c r="X60" s="191">
        <f t="shared" si="24"/>
        <v>6000</v>
      </c>
      <c r="Y60" s="192"/>
      <c r="Z60" s="191">
        <f t="shared" si="24"/>
        <v>6000</v>
      </c>
      <c r="AA60" s="192"/>
      <c r="AB60" s="191">
        <f t="shared" si="9"/>
        <v>72000</v>
      </c>
      <c r="AC60" s="122"/>
      <c r="AD60" s="191">
        <f t="shared" si="10"/>
        <v>42000</v>
      </c>
      <c r="AE60" s="191">
        <f t="shared" si="11"/>
        <v>25485</v>
      </c>
    </row>
    <row r="61" spans="1:31" ht="12.75" customHeight="1" x14ac:dyDescent="0.2">
      <c r="A61" s="125"/>
      <c r="B61" s="190" t="s">
        <v>312</v>
      </c>
      <c r="C61" s="190" t="s">
        <v>313</v>
      </c>
      <c r="D61" s="191">
        <f>800*6</f>
        <v>4800</v>
      </c>
      <c r="E61" s="191">
        <v>1239</v>
      </c>
      <c r="F61" s="191">
        <v>4800</v>
      </c>
      <c r="G61" s="191">
        <v>2188.83</v>
      </c>
      <c r="H61" s="191">
        <v>4800</v>
      </c>
      <c r="I61" s="191">
        <v>3195.16</v>
      </c>
      <c r="J61" s="191">
        <v>4800</v>
      </c>
      <c r="K61" s="191">
        <v>2394</v>
      </c>
      <c r="L61" s="191">
        <f>800*6</f>
        <v>4800</v>
      </c>
      <c r="M61" s="191">
        <v>2308</v>
      </c>
      <c r="N61" s="191">
        <f>800*6</f>
        <v>4800</v>
      </c>
      <c r="O61" s="191">
        <v>3303.54</v>
      </c>
      <c r="P61" s="191">
        <f>800*6</f>
        <v>4800</v>
      </c>
      <c r="Q61" s="191">
        <v>2794</v>
      </c>
      <c r="R61" s="191">
        <f t="shared" ref="R61:Z61" si="25">800*6</f>
        <v>4800</v>
      </c>
      <c r="S61" s="192"/>
      <c r="T61" s="191">
        <f t="shared" si="25"/>
        <v>4800</v>
      </c>
      <c r="U61" s="192"/>
      <c r="V61" s="191">
        <f t="shared" si="25"/>
        <v>4800</v>
      </c>
      <c r="W61" s="192"/>
      <c r="X61" s="191">
        <f t="shared" si="25"/>
        <v>4800</v>
      </c>
      <c r="Y61" s="192"/>
      <c r="Z61" s="191">
        <f t="shared" si="25"/>
        <v>4800</v>
      </c>
      <c r="AA61" s="192"/>
      <c r="AB61" s="191">
        <f t="shared" si="9"/>
        <v>57600</v>
      </c>
      <c r="AC61" s="122"/>
      <c r="AD61" s="191">
        <f t="shared" si="10"/>
        <v>33600</v>
      </c>
      <c r="AE61" s="191">
        <f t="shared" si="11"/>
        <v>17422.53</v>
      </c>
    </row>
    <row r="62" spans="1:31" ht="12.75" customHeight="1" x14ac:dyDescent="0.2">
      <c r="A62" s="125"/>
      <c r="B62" s="190" t="s">
        <v>314</v>
      </c>
      <c r="C62" s="190" t="s">
        <v>315</v>
      </c>
      <c r="D62" s="191">
        <f>700*10</f>
        <v>7000</v>
      </c>
      <c r="E62" s="191">
        <v>5797</v>
      </c>
      <c r="F62" s="191">
        <v>7000</v>
      </c>
      <c r="G62" s="191">
        <v>6230</v>
      </c>
      <c r="H62" s="191">
        <v>7000</v>
      </c>
      <c r="I62" s="191">
        <v>6953.52</v>
      </c>
      <c r="J62" s="191">
        <v>7000</v>
      </c>
      <c r="K62" s="191">
        <v>5600</v>
      </c>
      <c r="L62" s="191">
        <f>700*10</f>
        <v>7000</v>
      </c>
      <c r="M62" s="191">
        <v>6673</v>
      </c>
      <c r="N62" s="191">
        <f>700*10</f>
        <v>7000</v>
      </c>
      <c r="O62" s="191">
        <v>6953.33</v>
      </c>
      <c r="P62" s="191">
        <f>700*10</f>
        <v>7000</v>
      </c>
      <c r="Q62" s="191">
        <v>6300</v>
      </c>
      <c r="R62" s="191">
        <f t="shared" ref="R62:Z62" si="26">700*10</f>
        <v>7000</v>
      </c>
      <c r="S62" s="192"/>
      <c r="T62" s="191">
        <f t="shared" si="26"/>
        <v>7000</v>
      </c>
      <c r="U62" s="192"/>
      <c r="V62" s="191">
        <f t="shared" si="26"/>
        <v>7000</v>
      </c>
      <c r="W62" s="192"/>
      <c r="X62" s="191">
        <f t="shared" si="26"/>
        <v>7000</v>
      </c>
      <c r="Y62" s="192"/>
      <c r="Z62" s="191">
        <f t="shared" si="26"/>
        <v>7000</v>
      </c>
      <c r="AA62" s="192"/>
      <c r="AB62" s="191">
        <f t="shared" si="9"/>
        <v>84000</v>
      </c>
      <c r="AC62" s="122"/>
      <c r="AD62" s="191">
        <f t="shared" si="10"/>
        <v>49000</v>
      </c>
      <c r="AE62" s="191">
        <f t="shared" si="11"/>
        <v>44506.85</v>
      </c>
    </row>
    <row r="63" spans="1:31" ht="12.75" customHeight="1" x14ac:dyDescent="0.2">
      <c r="A63" s="125"/>
      <c r="B63" s="125"/>
      <c r="C63" s="135" t="s">
        <v>316</v>
      </c>
      <c r="D63" s="136">
        <f t="shared" ref="D63:AB63" si="27">SUM(D17:D22)+D25+D26+D32+D33+D36+SUM(D38:D40)+SUM(D44:D47)+SUM(D51:D55)+SUM(D56:D62)</f>
        <v>610415.97600000002</v>
      </c>
      <c r="E63" s="136">
        <f t="shared" si="27"/>
        <v>452710.06999999995</v>
      </c>
      <c r="F63" s="136">
        <f t="shared" si="27"/>
        <v>651420.946</v>
      </c>
      <c r="G63" s="136">
        <f t="shared" si="27"/>
        <v>530609.48</v>
      </c>
      <c r="H63" s="136">
        <f t="shared" si="27"/>
        <v>682129.27600000007</v>
      </c>
      <c r="I63" s="136">
        <f t="shared" si="27"/>
        <v>584366.66999999993</v>
      </c>
      <c r="J63" s="136">
        <f t="shared" si="27"/>
        <v>683859.946</v>
      </c>
      <c r="K63" s="136">
        <f t="shared" si="27"/>
        <v>574912.24</v>
      </c>
      <c r="L63" s="136">
        <f t="shared" si="27"/>
        <v>581354.27600000007</v>
      </c>
      <c r="M63" s="136">
        <f t="shared" si="27"/>
        <v>909261.33000000007</v>
      </c>
      <c r="N63" s="136">
        <f t="shared" si="27"/>
        <v>599180.946</v>
      </c>
      <c r="O63" s="136">
        <f t="shared" si="27"/>
        <v>661123.71</v>
      </c>
      <c r="P63" s="136">
        <f t="shared" si="27"/>
        <v>614293.27600000007</v>
      </c>
      <c r="Q63" s="136">
        <f t="shared" si="27"/>
        <v>533600.07000000007</v>
      </c>
      <c r="R63" s="136">
        <f t="shared" si="27"/>
        <v>573420.946</v>
      </c>
      <c r="S63" s="137"/>
      <c r="T63" s="136">
        <f t="shared" si="27"/>
        <v>584049.27600000007</v>
      </c>
      <c r="U63" s="137"/>
      <c r="V63" s="136">
        <f t="shared" si="27"/>
        <v>593859.946</v>
      </c>
      <c r="W63" s="137"/>
      <c r="X63" s="136">
        <f t="shared" si="27"/>
        <v>604104.27600000007</v>
      </c>
      <c r="Y63" s="137"/>
      <c r="Z63" s="136">
        <f t="shared" si="27"/>
        <v>590170.92599999998</v>
      </c>
      <c r="AA63" s="137"/>
      <c r="AB63" s="136">
        <f t="shared" si="27"/>
        <v>7368260.0120000001</v>
      </c>
      <c r="AC63" s="122"/>
      <c r="AD63" s="136">
        <f t="shared" ref="AD63:AE63" si="28">SUM(AD17:AD22)+AD25+AD26+AD32+AD33+AD36+SUM(AD38:AD40)+SUM(AD44:AD47)+SUM(AD51:AD55)+SUM(AD56:AD62)</f>
        <v>4422654.642</v>
      </c>
      <c r="AE63" s="136">
        <f t="shared" si="28"/>
        <v>4246583.57</v>
      </c>
    </row>
    <row r="64" spans="1:31" ht="12.75" customHeight="1" x14ac:dyDescent="0.2">
      <c r="A64" s="125"/>
      <c r="B64" s="125"/>
      <c r="C64" s="125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22"/>
      <c r="AD64" s="125"/>
      <c r="AE64" s="125"/>
    </row>
    <row r="65" spans="1:31" ht="12.75" customHeight="1" x14ac:dyDescent="0.2">
      <c r="A65" s="125"/>
      <c r="B65" s="181"/>
      <c r="C65" s="199" t="s">
        <v>317</v>
      </c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1"/>
      <c r="T65" s="150"/>
      <c r="U65" s="151"/>
      <c r="V65" s="150"/>
      <c r="W65" s="151"/>
      <c r="X65" s="150"/>
      <c r="Y65" s="151"/>
      <c r="Z65" s="150"/>
      <c r="AA65" s="151"/>
      <c r="AB65" s="134"/>
      <c r="AC65" s="122"/>
      <c r="AD65" s="125"/>
      <c r="AE65" s="125"/>
    </row>
    <row r="66" spans="1:31" ht="12.75" customHeight="1" x14ac:dyDescent="0.2">
      <c r="A66" s="125"/>
      <c r="B66" s="125" t="s">
        <v>318</v>
      </c>
      <c r="C66" s="227" t="s">
        <v>319</v>
      </c>
      <c r="D66" s="228">
        <f>SUM(D67:D68)</f>
        <v>6339.3556500000004</v>
      </c>
      <c r="E66" s="228">
        <v>5563.34</v>
      </c>
      <c r="F66" s="228">
        <v>6339.3556500000004</v>
      </c>
      <c r="G66" s="228">
        <v>5563.34</v>
      </c>
      <c r="H66" s="228">
        <v>6339.3556500000004</v>
      </c>
      <c r="I66" s="228">
        <v>5563.34</v>
      </c>
      <c r="J66" s="228">
        <v>6339.3556500000004</v>
      </c>
      <c r="K66" s="228">
        <v>5563.34</v>
      </c>
      <c r="L66" s="228">
        <f>SUM(L67:L68)</f>
        <v>6339.3556500000004</v>
      </c>
      <c r="M66" s="228">
        <v>5563.34</v>
      </c>
      <c r="N66" s="228">
        <f>SUM(N67:N68)</f>
        <v>6339.3556500000004</v>
      </c>
      <c r="O66" s="228">
        <v>5563.34</v>
      </c>
      <c r="P66" s="228">
        <f>SUM(P67:P68)</f>
        <v>6339.3556500000004</v>
      </c>
      <c r="Q66" s="228">
        <v>5563.34</v>
      </c>
      <c r="R66" s="228">
        <f t="shared" ref="R66:Z66" si="29">SUM(R67:R68)</f>
        <v>6339.3556500000004</v>
      </c>
      <c r="S66" s="228"/>
      <c r="T66" s="228">
        <f t="shared" si="29"/>
        <v>6339.3556500000004</v>
      </c>
      <c r="U66" s="228"/>
      <c r="V66" s="228">
        <f t="shared" si="29"/>
        <v>6339.3556500000004</v>
      </c>
      <c r="W66" s="228"/>
      <c r="X66" s="228">
        <f t="shared" si="29"/>
        <v>6339.3556500000004</v>
      </c>
      <c r="Y66" s="228"/>
      <c r="Z66" s="228">
        <f t="shared" si="29"/>
        <v>6339.3556500000004</v>
      </c>
      <c r="AA66" s="228"/>
      <c r="AB66" s="130">
        <f t="shared" ref="AB66:AB69" si="30">D66+F66+H66+J66+L66+N66+P66+R66+T66+V66+X66+Z66</f>
        <v>76072.267799999987</v>
      </c>
      <c r="AC66" s="122"/>
      <c r="AD66" s="228">
        <f t="shared" ref="AD66:AE69" si="31">D66+F66+H66+J66+L66+N66+P66</f>
        <v>44375.489549999998</v>
      </c>
      <c r="AE66" s="228">
        <f t="shared" si="31"/>
        <v>38943.380000000005</v>
      </c>
    </row>
    <row r="67" spans="1:31" ht="12.75" customHeight="1" x14ac:dyDescent="0.2">
      <c r="A67" s="125"/>
      <c r="B67" s="125"/>
      <c r="C67" s="132" t="s">
        <v>320</v>
      </c>
      <c r="D67" s="186">
        <v>5563.35</v>
      </c>
      <c r="E67" s="186"/>
      <c r="F67" s="186">
        <v>5563.35</v>
      </c>
      <c r="G67" s="186"/>
      <c r="H67" s="186">
        <v>5563.35</v>
      </c>
      <c r="I67" s="186"/>
      <c r="J67" s="186">
        <v>5563.35</v>
      </c>
      <c r="K67" s="186"/>
      <c r="L67" s="186">
        <v>5563.35</v>
      </c>
      <c r="M67" s="186"/>
      <c r="N67" s="186">
        <v>5563.35</v>
      </c>
      <c r="O67" s="186"/>
      <c r="P67" s="186">
        <v>5563.35</v>
      </c>
      <c r="Q67" s="186"/>
      <c r="R67" s="186">
        <v>5563.35</v>
      </c>
      <c r="S67" s="187"/>
      <c r="T67" s="186">
        <v>5563.35</v>
      </c>
      <c r="U67" s="187"/>
      <c r="V67" s="186">
        <v>5563.35</v>
      </c>
      <c r="W67" s="187"/>
      <c r="X67" s="186">
        <v>5563.35</v>
      </c>
      <c r="Y67" s="187"/>
      <c r="Z67" s="186">
        <v>5563.35</v>
      </c>
      <c r="AA67" s="187"/>
      <c r="AB67" s="133">
        <f t="shared" si="30"/>
        <v>66760.2</v>
      </c>
      <c r="AC67" s="122"/>
      <c r="AD67" s="134">
        <f t="shared" si="31"/>
        <v>38943.449999999997</v>
      </c>
      <c r="AE67" s="134">
        <f t="shared" si="31"/>
        <v>0</v>
      </c>
    </row>
    <row r="68" spans="1:31" ht="12.75" customHeight="1" x14ac:dyDescent="0.2">
      <c r="A68" s="125"/>
      <c r="B68" s="125"/>
      <c r="C68" s="132" t="s">
        <v>321</v>
      </c>
      <c r="D68" s="186">
        <f>(((14781.06*2)*1.05)*0.3)/12</f>
        <v>776.00564999999995</v>
      </c>
      <c r="E68" s="186"/>
      <c r="F68" s="186">
        <f>(((14781.06*2)*1.05)*0.3)/12</f>
        <v>776.00564999999995</v>
      </c>
      <c r="G68" s="186"/>
      <c r="H68" s="186">
        <f>(((14781.06*2)*1.05)*0.3)/12</f>
        <v>776.00564999999995</v>
      </c>
      <c r="I68" s="186"/>
      <c r="J68" s="186">
        <f>(((14781.06*2)*1.05)*0.3)/12</f>
        <v>776.00564999999995</v>
      </c>
      <c r="K68" s="186"/>
      <c r="L68" s="186">
        <f>(((14781.06*2)*1.05)*0.3)/12</f>
        <v>776.00564999999995</v>
      </c>
      <c r="M68" s="186"/>
      <c r="N68" s="186">
        <f>(((14781.06*2)*1.05)*0.3)/12</f>
        <v>776.00564999999995</v>
      </c>
      <c r="O68" s="186"/>
      <c r="P68" s="186">
        <f>(((14781.06*2)*1.05)*0.3)/12</f>
        <v>776.00564999999995</v>
      </c>
      <c r="Q68" s="186"/>
      <c r="R68" s="186">
        <f t="shared" ref="R68:Z68" si="32">(((14781.06*2)*1.05)*0.3)/12</f>
        <v>776.00564999999995</v>
      </c>
      <c r="S68" s="187"/>
      <c r="T68" s="186">
        <f t="shared" si="32"/>
        <v>776.00564999999995</v>
      </c>
      <c r="U68" s="187"/>
      <c r="V68" s="186">
        <f t="shared" si="32"/>
        <v>776.00564999999995</v>
      </c>
      <c r="W68" s="187"/>
      <c r="X68" s="186">
        <f t="shared" si="32"/>
        <v>776.00564999999995</v>
      </c>
      <c r="Y68" s="187"/>
      <c r="Z68" s="186">
        <f t="shared" si="32"/>
        <v>776.00564999999995</v>
      </c>
      <c r="AA68" s="187"/>
      <c r="AB68" s="133">
        <f t="shared" si="30"/>
        <v>9312.0677999999989</v>
      </c>
      <c r="AC68" s="122"/>
      <c r="AD68" s="134">
        <f t="shared" si="31"/>
        <v>5432.0395499999995</v>
      </c>
      <c r="AE68" s="134">
        <f t="shared" si="31"/>
        <v>0</v>
      </c>
    </row>
    <row r="69" spans="1:31" ht="12.75" customHeight="1" x14ac:dyDescent="0.2">
      <c r="A69" s="125"/>
      <c r="B69" s="125" t="s">
        <v>322</v>
      </c>
      <c r="C69" s="125" t="s">
        <v>323</v>
      </c>
      <c r="D69" s="188">
        <v>3317.6066666666657</v>
      </c>
      <c r="E69" s="188">
        <v>3317.61</v>
      </c>
      <c r="F69" s="188">
        <v>3317.6066666666657</v>
      </c>
      <c r="G69" s="188">
        <v>3317.61</v>
      </c>
      <c r="H69" s="188">
        <v>3317.6066666666657</v>
      </c>
      <c r="I69" s="188">
        <v>3317.61</v>
      </c>
      <c r="J69" s="188">
        <v>3317.6066666666657</v>
      </c>
      <c r="K69" s="188">
        <v>3317.61</v>
      </c>
      <c r="L69" s="188">
        <v>3317.6066666666657</v>
      </c>
      <c r="M69" s="188">
        <v>3317.61</v>
      </c>
      <c r="N69" s="188">
        <v>3317.6066666666657</v>
      </c>
      <c r="O69" s="188">
        <v>3317.61</v>
      </c>
      <c r="P69" s="188">
        <v>3317.6066666666657</v>
      </c>
      <c r="Q69" s="188">
        <v>3317.61</v>
      </c>
      <c r="R69" s="188">
        <v>3317.6066666666657</v>
      </c>
      <c r="S69" s="189"/>
      <c r="T69" s="188">
        <v>3317.6066666666657</v>
      </c>
      <c r="U69" s="189"/>
      <c r="V69" s="188">
        <v>3317.6066666666657</v>
      </c>
      <c r="W69" s="189"/>
      <c r="X69" s="188">
        <v>3317.6066666666657</v>
      </c>
      <c r="Y69" s="189"/>
      <c r="Z69" s="188">
        <v>3317.6066666666657</v>
      </c>
      <c r="AA69" s="189"/>
      <c r="AB69" s="134">
        <f t="shared" si="30"/>
        <v>39811.279999999992</v>
      </c>
      <c r="AC69" s="122"/>
      <c r="AD69" s="134">
        <f t="shared" si="31"/>
        <v>23223.246666666662</v>
      </c>
      <c r="AE69" s="134">
        <f t="shared" si="31"/>
        <v>23223.27</v>
      </c>
    </row>
    <row r="70" spans="1:31" ht="12.75" customHeight="1" x14ac:dyDescent="0.2">
      <c r="A70" s="125"/>
      <c r="B70" s="125"/>
      <c r="C70" s="135" t="s">
        <v>324</v>
      </c>
      <c r="D70" s="136">
        <f t="shared" ref="D70:AB70" si="33">D66+D69</f>
        <v>9656.9623166666661</v>
      </c>
      <c r="E70" s="136">
        <f t="shared" si="33"/>
        <v>8880.9500000000007</v>
      </c>
      <c r="F70" s="136">
        <f t="shared" si="33"/>
        <v>9656.9623166666661</v>
      </c>
      <c r="G70" s="136">
        <f t="shared" si="33"/>
        <v>8880.9500000000007</v>
      </c>
      <c r="H70" s="136">
        <f t="shared" si="33"/>
        <v>9656.9623166666661</v>
      </c>
      <c r="I70" s="136">
        <f t="shared" si="33"/>
        <v>8880.9500000000007</v>
      </c>
      <c r="J70" s="136">
        <f t="shared" si="33"/>
        <v>9656.9623166666661</v>
      </c>
      <c r="K70" s="136">
        <f t="shared" si="33"/>
        <v>8880.9500000000007</v>
      </c>
      <c r="L70" s="136">
        <f t="shared" si="33"/>
        <v>9656.9623166666661</v>
      </c>
      <c r="M70" s="136">
        <f t="shared" si="33"/>
        <v>8880.9500000000007</v>
      </c>
      <c r="N70" s="136">
        <f t="shared" si="33"/>
        <v>9656.9623166666661</v>
      </c>
      <c r="O70" s="136">
        <f t="shared" si="33"/>
        <v>8880.9500000000007</v>
      </c>
      <c r="P70" s="136">
        <f t="shared" si="33"/>
        <v>9656.9623166666661</v>
      </c>
      <c r="Q70" s="136">
        <f t="shared" si="33"/>
        <v>8880.9500000000007</v>
      </c>
      <c r="R70" s="136">
        <f t="shared" si="33"/>
        <v>9656.9623166666661</v>
      </c>
      <c r="S70" s="137"/>
      <c r="T70" s="136">
        <f t="shared" si="33"/>
        <v>9656.9623166666661</v>
      </c>
      <c r="U70" s="137"/>
      <c r="V70" s="136">
        <f t="shared" si="33"/>
        <v>9656.9623166666661</v>
      </c>
      <c r="W70" s="137"/>
      <c r="X70" s="136">
        <f t="shared" si="33"/>
        <v>9656.9623166666661</v>
      </c>
      <c r="Y70" s="137"/>
      <c r="Z70" s="136">
        <f t="shared" si="33"/>
        <v>9656.9623166666661</v>
      </c>
      <c r="AA70" s="137"/>
      <c r="AB70" s="136">
        <f t="shared" si="33"/>
        <v>115883.54779999997</v>
      </c>
      <c r="AC70" s="122"/>
      <c r="AD70" s="136">
        <f t="shared" ref="AD70:AE70" si="34">AD66+AD69</f>
        <v>67598.736216666657</v>
      </c>
      <c r="AE70" s="136">
        <f t="shared" si="34"/>
        <v>62166.650000000009</v>
      </c>
    </row>
    <row r="71" spans="1:31" ht="12.75" customHeight="1" x14ac:dyDescent="0.2">
      <c r="A71" s="125"/>
      <c r="B71" s="125"/>
      <c r="C71" s="125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22"/>
      <c r="AD71" s="125"/>
      <c r="AE71" s="125"/>
    </row>
    <row r="72" spans="1:31" ht="12.75" customHeight="1" x14ac:dyDescent="0.2">
      <c r="A72" s="125"/>
      <c r="B72" s="125" t="s">
        <v>325</v>
      </c>
      <c r="C72" s="155" t="s">
        <v>326</v>
      </c>
      <c r="D72" s="134">
        <f>'Gtos. Corporativos'!H26</f>
        <v>326722.30196384934</v>
      </c>
      <c r="E72" s="134">
        <f>'Gtos. Corporativos (P)'!J26</f>
        <v>299581.09999999998</v>
      </c>
      <c r="F72" s="134">
        <f>D72</f>
        <v>326722.30196384934</v>
      </c>
      <c r="G72" s="134">
        <f>'Gtos. Corporativos (P)'!L26</f>
        <v>298143.42000000004</v>
      </c>
      <c r="H72" s="134">
        <f>F72</f>
        <v>326722.30196384934</v>
      </c>
      <c r="I72" s="134">
        <f>'Gtos. Corporativos (P)'!N26</f>
        <v>307809.7</v>
      </c>
      <c r="J72" s="134">
        <f>H72</f>
        <v>326722.30196384934</v>
      </c>
      <c r="K72" s="134">
        <f>'Gtos. Corporativos (P)'!P26</f>
        <v>299807.92000000004</v>
      </c>
      <c r="L72" s="134">
        <f>J72</f>
        <v>326722.30196384934</v>
      </c>
      <c r="M72" s="134">
        <v>311622.34999999998</v>
      </c>
      <c r="N72" s="134">
        <f>L72</f>
        <v>326722.30196384934</v>
      </c>
      <c r="O72" s="134">
        <v>303994.33</v>
      </c>
      <c r="P72" s="134">
        <f>N72</f>
        <v>326722.30196384934</v>
      </c>
      <c r="Q72" s="134">
        <v>305326.69</v>
      </c>
      <c r="R72" s="134">
        <f>P72</f>
        <v>326722.30196384934</v>
      </c>
      <c r="S72" s="134"/>
      <c r="T72" s="134">
        <f t="shared" ref="T72" si="35">R72</f>
        <v>326722.30196384934</v>
      </c>
      <c r="U72" s="134"/>
      <c r="V72" s="134">
        <f>T72</f>
        <v>326722.30196384934</v>
      </c>
      <c r="W72" s="134"/>
      <c r="X72" s="134">
        <f>V72</f>
        <v>326722.30196384934</v>
      </c>
      <c r="Y72" s="134"/>
      <c r="Z72" s="134">
        <f>X72</f>
        <v>326722.30196384934</v>
      </c>
      <c r="AA72" s="134"/>
      <c r="AB72" s="134">
        <f>D72+F72+H72+J72+L72+N72+P72+R72+T72+V72+X72+Z72</f>
        <v>3920667.623566193</v>
      </c>
      <c r="AC72" s="122"/>
      <c r="AD72" s="134">
        <f>D72+F72+H72+J72+L72+N72+P72</f>
        <v>2287056.1137469457</v>
      </c>
      <c r="AE72" s="134">
        <f>E72+G72+I72+K72+M72+O72+Q72</f>
        <v>2126285.5100000002</v>
      </c>
    </row>
    <row r="73" spans="1:31" ht="12.75" customHeight="1" x14ac:dyDescent="0.2">
      <c r="A73" s="125"/>
      <c r="B73" s="125"/>
      <c r="C73" s="155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22"/>
      <c r="AD73" s="125"/>
      <c r="AE73" s="125"/>
    </row>
    <row r="74" spans="1:31" ht="12.75" customHeight="1" x14ac:dyDescent="0.2">
      <c r="A74" s="125"/>
      <c r="B74" s="181" t="s">
        <v>327</v>
      </c>
      <c r="C74" s="155" t="s">
        <v>13</v>
      </c>
      <c r="D74" s="134">
        <v>0</v>
      </c>
      <c r="E74" s="134">
        <v>41606.6</v>
      </c>
      <c r="F74" s="134">
        <v>0</v>
      </c>
      <c r="G74" s="134">
        <v>17657.62</v>
      </c>
      <c r="H74" s="134">
        <v>0</v>
      </c>
      <c r="I74" s="134">
        <v>58913.760000000002</v>
      </c>
      <c r="J74" s="134">
        <v>0</v>
      </c>
      <c r="K74" s="134">
        <v>34155.83</v>
      </c>
      <c r="L74" s="134">
        <v>0</v>
      </c>
      <c r="M74" s="134">
        <v>35336.78</v>
      </c>
      <c r="N74" s="134">
        <v>0</v>
      </c>
      <c r="O74" s="134">
        <v>59646.77</v>
      </c>
      <c r="P74" s="134">
        <v>0</v>
      </c>
      <c r="Q74" s="134">
        <v>100829.45</v>
      </c>
      <c r="R74" s="134">
        <v>0</v>
      </c>
      <c r="S74" s="134"/>
      <c r="T74" s="134">
        <v>0</v>
      </c>
      <c r="U74" s="134"/>
      <c r="V74" s="134">
        <v>0</v>
      </c>
      <c r="W74" s="134"/>
      <c r="X74" s="134">
        <v>0</v>
      </c>
      <c r="Y74" s="134"/>
      <c r="Z74" s="134">
        <v>0</v>
      </c>
      <c r="AA74" s="134"/>
      <c r="AB74" s="134">
        <f>D74+F74+H74+J74+L74+N74+P74+R74+T74+V74+X74+Z74</f>
        <v>0</v>
      </c>
      <c r="AC74" s="122"/>
      <c r="AD74" s="134">
        <f>D74+F74+H74+J74+L74+N74+P74</f>
        <v>0</v>
      </c>
      <c r="AE74" s="134">
        <f>E74+G74+I74+K74+M74+O74+Q74</f>
        <v>348146.81</v>
      </c>
    </row>
    <row r="75" spans="1:31" ht="12.75" customHeight="1" x14ac:dyDescent="0.2">
      <c r="A75" s="125"/>
      <c r="B75" s="181"/>
      <c r="C75" s="181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1"/>
      <c r="T75" s="150"/>
      <c r="U75" s="151"/>
      <c r="V75" s="150"/>
      <c r="W75" s="151"/>
      <c r="X75" s="150"/>
      <c r="Y75" s="151"/>
      <c r="Z75" s="150"/>
      <c r="AA75" s="151"/>
      <c r="AB75" s="150"/>
      <c r="AC75" s="122"/>
      <c r="AD75" s="125"/>
      <c r="AE75" s="125"/>
    </row>
    <row r="76" spans="1:31" ht="12.75" customHeight="1" x14ac:dyDescent="0.2">
      <c r="A76" s="125"/>
      <c r="B76" s="125"/>
      <c r="C76" s="135" t="s">
        <v>328</v>
      </c>
      <c r="D76" s="136">
        <f t="shared" ref="D76:AB76" si="36">+D14-D63-D70-D72-D74</f>
        <v>-950545.24028051598</v>
      </c>
      <c r="E76" s="136">
        <f t="shared" si="36"/>
        <v>-809143.80999999994</v>
      </c>
      <c r="F76" s="136">
        <f t="shared" si="36"/>
        <v>-991550.21028051595</v>
      </c>
      <c r="G76" s="136">
        <f t="shared" si="36"/>
        <v>-856713.66999999993</v>
      </c>
      <c r="H76" s="136">
        <f t="shared" si="36"/>
        <v>-1022258.540280516</v>
      </c>
      <c r="I76" s="136">
        <f t="shared" si="36"/>
        <v>-961365.92999999993</v>
      </c>
      <c r="J76" s="136">
        <f t="shared" si="36"/>
        <v>-1023989.210280516</v>
      </c>
      <c r="K76" s="136">
        <f t="shared" si="36"/>
        <v>-921590.62999999989</v>
      </c>
      <c r="L76" s="136">
        <f t="shared" si="36"/>
        <v>-921483.54028051603</v>
      </c>
      <c r="M76" s="136">
        <f t="shared" si="36"/>
        <v>-1268142.1700000002</v>
      </c>
      <c r="N76" s="136">
        <f t="shared" si="36"/>
        <v>-939310.21028051595</v>
      </c>
      <c r="O76" s="136">
        <f t="shared" si="36"/>
        <v>-1040589.79</v>
      </c>
      <c r="P76" s="136">
        <f t="shared" si="36"/>
        <v>-954422.54028051603</v>
      </c>
      <c r="Q76" s="136">
        <f t="shared" si="36"/>
        <v>-951963.81</v>
      </c>
      <c r="R76" s="136">
        <f t="shared" si="36"/>
        <v>-913550.21028051595</v>
      </c>
      <c r="S76" s="137"/>
      <c r="T76" s="136">
        <f t="shared" si="36"/>
        <v>-924178.54028051603</v>
      </c>
      <c r="U76" s="137"/>
      <c r="V76" s="136">
        <f t="shared" si="36"/>
        <v>-933989.21028051595</v>
      </c>
      <c r="W76" s="137"/>
      <c r="X76" s="136">
        <f t="shared" si="36"/>
        <v>-944233.54028051603</v>
      </c>
      <c r="Y76" s="137"/>
      <c r="Z76" s="136">
        <f t="shared" si="36"/>
        <v>-930300.19028051593</v>
      </c>
      <c r="AA76" s="137"/>
      <c r="AB76" s="136">
        <f t="shared" si="36"/>
        <v>-11449811.183366193</v>
      </c>
      <c r="AC76" s="122"/>
      <c r="AD76" s="136">
        <f t="shared" ref="AD76:AE76" si="37">+AD14-AD63-AD70-AD72-AD74</f>
        <v>-6803559.4919636128</v>
      </c>
      <c r="AE76" s="136">
        <f t="shared" si="37"/>
        <v>-6809509.8099999996</v>
      </c>
    </row>
    <row r="77" spans="1:31" ht="10.5" customHeight="1" x14ac:dyDescent="0.2">
      <c r="A77" s="125"/>
      <c r="B77" s="181"/>
      <c r="C77" s="229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230"/>
      <c r="T77" s="197"/>
      <c r="U77" s="230"/>
      <c r="V77" s="197"/>
      <c r="W77" s="230"/>
      <c r="X77" s="197"/>
      <c r="Y77" s="230"/>
      <c r="Z77" s="197"/>
      <c r="AA77" s="230"/>
      <c r="AB77" s="150"/>
      <c r="AC77" s="122"/>
      <c r="AD77" s="125"/>
      <c r="AE77" s="125"/>
    </row>
    <row r="78" spans="1:31" ht="12.75" hidden="1" customHeight="1" x14ac:dyDescent="0.2">
      <c r="A78" s="125"/>
      <c r="B78" s="125"/>
      <c r="C78" s="125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 t="e">
        <f>DN!AB19+Comités!AB33+Eventos!AB68+#REF!+Dirección!AB29+'Gastos Generales'!AB76</f>
        <v>#REF!</v>
      </c>
      <c r="AC78" s="122"/>
      <c r="AD78" s="125"/>
      <c r="AE78" s="125"/>
    </row>
    <row r="79" spans="1:31" ht="12.75" hidden="1" customHeight="1" x14ac:dyDescent="0.2">
      <c r="A79" s="125"/>
      <c r="B79" s="181"/>
      <c r="C79" s="181"/>
      <c r="D79" s="231"/>
      <c r="E79" s="231"/>
      <c r="F79" s="231"/>
      <c r="G79" s="231"/>
      <c r="H79" s="231"/>
      <c r="I79" s="231"/>
      <c r="J79" s="231"/>
      <c r="K79" s="231"/>
      <c r="L79" s="231"/>
      <c r="M79" s="231"/>
      <c r="N79" s="231"/>
      <c r="O79" s="231"/>
      <c r="P79" s="231"/>
      <c r="Q79" s="231"/>
      <c r="R79" s="231"/>
      <c r="S79" s="232"/>
      <c r="T79" s="231"/>
      <c r="U79" s="232"/>
      <c r="V79" s="231"/>
      <c r="W79" s="232"/>
      <c r="X79" s="231"/>
      <c r="Y79" s="232"/>
      <c r="Z79" s="198"/>
      <c r="AA79" s="233"/>
      <c r="AB79" s="150" t="e">
        <f>AB78-RESUMEN!D37</f>
        <v>#REF!</v>
      </c>
      <c r="AC79" s="122"/>
      <c r="AD79" s="125"/>
      <c r="AE79" s="125"/>
    </row>
    <row r="80" spans="1:31" ht="12.75" customHeight="1" x14ac:dyDescent="0.2">
      <c r="A80" s="125"/>
      <c r="B80" s="181"/>
      <c r="C80" s="181"/>
      <c r="D80" s="231"/>
      <c r="E80" s="231"/>
      <c r="F80" s="231"/>
      <c r="G80" s="231"/>
      <c r="H80" s="231"/>
      <c r="I80" s="231"/>
      <c r="J80" s="150"/>
      <c r="K80" s="150"/>
      <c r="L80" s="150"/>
      <c r="M80" s="150"/>
      <c r="N80" s="150"/>
      <c r="O80" s="150"/>
      <c r="P80" s="150"/>
      <c r="Q80" s="150"/>
      <c r="R80" s="150"/>
      <c r="S80" s="151"/>
      <c r="T80" s="150"/>
      <c r="U80" s="151"/>
      <c r="V80" s="231"/>
      <c r="W80" s="232"/>
      <c r="X80" s="231"/>
      <c r="Y80" s="232"/>
      <c r="Z80" s="231"/>
      <c r="AA80" s="232"/>
      <c r="AB80" s="231"/>
      <c r="AC80" s="122"/>
      <c r="AD80" s="125"/>
      <c r="AE80" s="125"/>
    </row>
    <row r="81" spans="1:31" ht="12.75" customHeight="1" x14ac:dyDescent="0.2">
      <c r="A81" s="125"/>
      <c r="B81" s="125"/>
      <c r="C81" s="171" t="s">
        <v>329</v>
      </c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34"/>
      <c r="AC81" s="122"/>
      <c r="AD81" s="125"/>
      <c r="AE81" s="125"/>
    </row>
    <row r="82" spans="1:31" ht="15.75" customHeight="1" x14ac:dyDescent="0.2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2"/>
      <c r="AD82" s="125"/>
      <c r="AE82" s="125"/>
    </row>
    <row r="83" spans="1:31" ht="15.75" customHeight="1" x14ac:dyDescent="0.2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2"/>
      <c r="AD83" s="125"/>
      <c r="AE83" s="125"/>
    </row>
    <row r="84" spans="1:31" ht="15.75" customHeight="1" x14ac:dyDescent="0.2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2"/>
      <c r="AD84" s="125"/>
      <c r="AE84" s="125"/>
    </row>
    <row r="85" spans="1:31" ht="15.75" customHeight="1" x14ac:dyDescent="0.2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2"/>
      <c r="AD85" s="125"/>
      <c r="AE85" s="125"/>
    </row>
    <row r="86" spans="1:31" ht="15.75" customHeight="1" x14ac:dyDescent="0.2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2"/>
      <c r="AD86" s="125"/>
      <c r="AE86" s="125"/>
    </row>
    <row r="87" spans="1:31" ht="15.75" customHeight="1" x14ac:dyDescent="0.2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2"/>
      <c r="AD87" s="125"/>
      <c r="AE87" s="125"/>
    </row>
    <row r="88" spans="1:31" ht="15.75" customHeight="1" x14ac:dyDescent="0.2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2"/>
      <c r="AD88" s="125"/>
      <c r="AE88" s="125"/>
    </row>
    <row r="89" spans="1:31" ht="15.75" customHeight="1" x14ac:dyDescent="0.2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2"/>
      <c r="AD89" s="125"/>
      <c r="AE89" s="125"/>
    </row>
    <row r="90" spans="1:31" ht="15.75" customHeight="1" x14ac:dyDescent="0.2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2"/>
      <c r="AD90" s="125"/>
      <c r="AE90" s="125"/>
    </row>
    <row r="91" spans="1:31" ht="15.75" customHeight="1" x14ac:dyDescent="0.2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2"/>
      <c r="AD91" s="125"/>
      <c r="AE91" s="125"/>
    </row>
    <row r="92" spans="1:31" ht="15.75" customHeight="1" x14ac:dyDescent="0.2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2"/>
      <c r="AD92" s="125"/>
      <c r="AE92" s="125"/>
    </row>
    <row r="93" spans="1:31" ht="15.75" customHeight="1" x14ac:dyDescent="0.2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2"/>
      <c r="AD93" s="125"/>
      <c r="AE93" s="125"/>
    </row>
    <row r="94" spans="1:31" ht="15.75" customHeight="1" x14ac:dyDescent="0.2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2"/>
      <c r="AD94" s="125"/>
      <c r="AE94" s="125"/>
    </row>
    <row r="95" spans="1:31" ht="15.75" customHeight="1" x14ac:dyDescent="0.2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2"/>
      <c r="AD95" s="125"/>
      <c r="AE95" s="125"/>
    </row>
    <row r="96" spans="1:31" ht="15.75" customHeight="1" x14ac:dyDescent="0.2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2"/>
      <c r="AD96" s="125"/>
      <c r="AE96" s="125"/>
    </row>
    <row r="97" spans="1:31" ht="15.75" customHeight="1" x14ac:dyDescent="0.2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2"/>
      <c r="AD97" s="125"/>
      <c r="AE97" s="125"/>
    </row>
    <row r="98" spans="1:31" ht="15.75" customHeight="1" x14ac:dyDescent="0.2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2"/>
      <c r="AD98" s="125"/>
      <c r="AE98" s="125"/>
    </row>
    <row r="99" spans="1:31" ht="15.75" customHeight="1" x14ac:dyDescent="0.2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2"/>
      <c r="AD99" s="125"/>
      <c r="AE99" s="125"/>
    </row>
    <row r="100" spans="1:31" ht="15.75" customHeight="1" x14ac:dyDescent="0.2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2"/>
      <c r="AD100" s="125"/>
      <c r="AE100" s="125"/>
    </row>
    <row r="101" spans="1:31" ht="15.75" customHeight="1" x14ac:dyDescent="0.2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2"/>
      <c r="AD101" s="125"/>
      <c r="AE101" s="125"/>
    </row>
    <row r="102" spans="1:31" ht="15.75" customHeight="1" x14ac:dyDescent="0.2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2"/>
      <c r="AD102" s="125"/>
      <c r="AE102" s="125"/>
    </row>
    <row r="103" spans="1:31" ht="15.75" customHeight="1" x14ac:dyDescent="0.2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2"/>
      <c r="AD103" s="125"/>
      <c r="AE103" s="125"/>
    </row>
    <row r="104" spans="1:31" ht="15.75" customHeight="1" x14ac:dyDescent="0.2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2"/>
      <c r="AD104" s="125"/>
      <c r="AE104" s="125"/>
    </row>
    <row r="105" spans="1:31" ht="15.75" customHeight="1" x14ac:dyDescent="0.2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2"/>
      <c r="AD105" s="125"/>
      <c r="AE105" s="125"/>
    </row>
    <row r="106" spans="1:31" ht="15.75" customHeight="1" x14ac:dyDescent="0.2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2"/>
      <c r="AD106" s="125"/>
      <c r="AE106" s="125"/>
    </row>
    <row r="107" spans="1:31" ht="15.75" customHeight="1" x14ac:dyDescent="0.2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2"/>
      <c r="AD107" s="125"/>
      <c r="AE107" s="125"/>
    </row>
    <row r="108" spans="1:31" ht="15.75" customHeight="1" x14ac:dyDescent="0.2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2"/>
      <c r="AD108" s="125"/>
      <c r="AE108" s="125"/>
    </row>
    <row r="109" spans="1:31" ht="15.75" customHeight="1" x14ac:dyDescent="0.2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2"/>
      <c r="AD109" s="125"/>
      <c r="AE109" s="125"/>
    </row>
    <row r="110" spans="1:31" ht="15.75" customHeight="1" x14ac:dyDescent="0.2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2"/>
      <c r="AD110" s="125"/>
      <c r="AE110" s="125"/>
    </row>
    <row r="111" spans="1:31" ht="15.75" customHeight="1" x14ac:dyDescent="0.2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2"/>
      <c r="AD111" s="125"/>
      <c r="AE111" s="125"/>
    </row>
    <row r="112" spans="1:31" ht="15.75" customHeight="1" x14ac:dyDescent="0.2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2"/>
      <c r="AD112" s="125"/>
      <c r="AE112" s="125"/>
    </row>
    <row r="113" spans="1:31" ht="15.75" customHeight="1" x14ac:dyDescent="0.2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2"/>
      <c r="AD113" s="125"/>
      <c r="AE113" s="125"/>
    </row>
    <row r="114" spans="1:31" ht="15.75" customHeight="1" x14ac:dyDescent="0.2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2"/>
      <c r="AD114" s="125"/>
      <c r="AE114" s="125"/>
    </row>
    <row r="115" spans="1:31" ht="15.75" customHeight="1" x14ac:dyDescent="0.2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2"/>
      <c r="AD115" s="125"/>
      <c r="AE115" s="125"/>
    </row>
    <row r="116" spans="1:31" ht="15.75" customHeight="1" x14ac:dyDescent="0.2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2"/>
      <c r="AD116" s="125"/>
      <c r="AE116" s="125"/>
    </row>
    <row r="117" spans="1:31" ht="15.75" customHeight="1" x14ac:dyDescent="0.2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2"/>
      <c r="AD117" s="125"/>
      <c r="AE117" s="125"/>
    </row>
    <row r="118" spans="1:31" ht="15.75" customHeight="1" x14ac:dyDescent="0.2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2"/>
      <c r="AD118" s="125"/>
      <c r="AE118" s="125"/>
    </row>
    <row r="119" spans="1:31" ht="15.75" customHeight="1" x14ac:dyDescent="0.2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2"/>
      <c r="AD119" s="125"/>
      <c r="AE119" s="125"/>
    </row>
    <row r="120" spans="1:31" ht="15.75" customHeight="1" x14ac:dyDescent="0.2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2"/>
      <c r="AD120" s="125"/>
      <c r="AE120" s="125"/>
    </row>
    <row r="121" spans="1:31" ht="15.75" customHeight="1" x14ac:dyDescent="0.2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2"/>
      <c r="AD121" s="125"/>
      <c r="AE121" s="125"/>
    </row>
    <row r="122" spans="1:31" ht="15.75" customHeight="1" x14ac:dyDescent="0.2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2"/>
      <c r="AD122" s="125"/>
      <c r="AE122" s="125"/>
    </row>
    <row r="123" spans="1:31" ht="15.75" customHeight="1" x14ac:dyDescent="0.2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2"/>
      <c r="AD123" s="125"/>
      <c r="AE123" s="125"/>
    </row>
    <row r="124" spans="1:31" ht="15.75" customHeight="1" x14ac:dyDescent="0.2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2"/>
      <c r="AD124" s="125"/>
      <c r="AE124" s="125"/>
    </row>
    <row r="125" spans="1:31" ht="15.75" customHeight="1" x14ac:dyDescent="0.2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2"/>
      <c r="AD125" s="125"/>
      <c r="AE125" s="125"/>
    </row>
    <row r="126" spans="1:31" ht="15.75" customHeight="1" x14ac:dyDescent="0.2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2"/>
      <c r="AD126" s="125"/>
      <c r="AE126" s="125"/>
    </row>
    <row r="127" spans="1:31" ht="15.75" customHeight="1" x14ac:dyDescent="0.2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2"/>
      <c r="AD127" s="125"/>
      <c r="AE127" s="125"/>
    </row>
    <row r="128" spans="1:31" ht="15.75" customHeight="1" x14ac:dyDescent="0.2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2"/>
      <c r="AD128" s="125"/>
      <c r="AE128" s="125"/>
    </row>
    <row r="129" spans="1:31" ht="15.75" customHeight="1" x14ac:dyDescent="0.2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2"/>
      <c r="AD129" s="125"/>
      <c r="AE129" s="125"/>
    </row>
    <row r="130" spans="1:31" ht="15.75" customHeight="1" x14ac:dyDescent="0.2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2"/>
      <c r="AD130" s="125"/>
      <c r="AE130" s="125"/>
    </row>
    <row r="131" spans="1:31" ht="15.75" customHeight="1" x14ac:dyDescent="0.2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2"/>
      <c r="AD131" s="125"/>
      <c r="AE131" s="125"/>
    </row>
    <row r="132" spans="1:31" ht="15.75" customHeight="1" x14ac:dyDescent="0.2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2"/>
      <c r="AD132" s="125"/>
      <c r="AE132" s="125"/>
    </row>
    <row r="133" spans="1:31" ht="15.75" customHeight="1" x14ac:dyDescent="0.2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2"/>
      <c r="AD133" s="125"/>
      <c r="AE133" s="125"/>
    </row>
    <row r="134" spans="1:31" ht="15.75" customHeight="1" x14ac:dyDescent="0.2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2"/>
      <c r="AD134" s="125"/>
      <c r="AE134" s="125"/>
    </row>
    <row r="135" spans="1:31" ht="15.75" customHeight="1" x14ac:dyDescent="0.2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2"/>
      <c r="AD135" s="125"/>
      <c r="AE135" s="125"/>
    </row>
    <row r="136" spans="1:31" ht="15.75" customHeight="1" x14ac:dyDescent="0.2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2"/>
      <c r="AD136" s="125"/>
      <c r="AE136" s="125"/>
    </row>
    <row r="137" spans="1:31" ht="15.75" customHeight="1" x14ac:dyDescent="0.2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2"/>
      <c r="AD137" s="125"/>
      <c r="AE137" s="125"/>
    </row>
    <row r="138" spans="1:31" ht="15.75" customHeight="1" x14ac:dyDescent="0.2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2"/>
      <c r="AD138" s="125"/>
      <c r="AE138" s="125"/>
    </row>
    <row r="139" spans="1:31" ht="15.75" customHeight="1" x14ac:dyDescent="0.2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2"/>
      <c r="AD139" s="125"/>
      <c r="AE139" s="125"/>
    </row>
    <row r="140" spans="1:31" ht="15.75" customHeight="1" x14ac:dyDescent="0.2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2"/>
      <c r="AD140" s="125"/>
      <c r="AE140" s="125"/>
    </row>
    <row r="141" spans="1:31" ht="15.75" customHeight="1" x14ac:dyDescent="0.2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2"/>
      <c r="AD141" s="125"/>
      <c r="AE141" s="125"/>
    </row>
    <row r="142" spans="1:31" ht="15.75" customHeight="1" x14ac:dyDescent="0.2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2"/>
      <c r="AD142" s="125"/>
      <c r="AE142" s="125"/>
    </row>
    <row r="143" spans="1:31" ht="15.75" customHeight="1" x14ac:dyDescent="0.2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2"/>
      <c r="AD143" s="125"/>
      <c r="AE143" s="125"/>
    </row>
    <row r="144" spans="1:31" ht="15.75" customHeight="1" x14ac:dyDescent="0.2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2"/>
      <c r="AD144" s="125"/>
      <c r="AE144" s="125"/>
    </row>
    <row r="145" spans="1:31" ht="15.75" customHeight="1" x14ac:dyDescent="0.2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2"/>
      <c r="AD145" s="125"/>
      <c r="AE145" s="125"/>
    </row>
    <row r="146" spans="1:31" ht="15.75" customHeight="1" x14ac:dyDescent="0.2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2"/>
      <c r="AD146" s="125"/>
      <c r="AE146" s="125"/>
    </row>
    <row r="147" spans="1:31" ht="15.75" customHeight="1" x14ac:dyDescent="0.2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2"/>
      <c r="AD147" s="125"/>
      <c r="AE147" s="125"/>
    </row>
    <row r="148" spans="1:31" ht="15.75" customHeight="1" x14ac:dyDescent="0.2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2"/>
      <c r="AD148" s="125"/>
      <c r="AE148" s="125"/>
    </row>
    <row r="149" spans="1:31" ht="15.75" customHeight="1" x14ac:dyDescent="0.2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2"/>
      <c r="AD149" s="125"/>
      <c r="AE149" s="125"/>
    </row>
    <row r="150" spans="1:31" ht="15.75" customHeight="1" x14ac:dyDescent="0.2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2"/>
      <c r="AD150" s="125"/>
      <c r="AE150" s="125"/>
    </row>
    <row r="151" spans="1:31" ht="15.75" customHeight="1" x14ac:dyDescent="0.2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2"/>
      <c r="AD151" s="125"/>
      <c r="AE151" s="125"/>
    </row>
    <row r="152" spans="1:31" ht="15.75" customHeight="1" x14ac:dyDescent="0.2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2"/>
      <c r="AD152" s="125"/>
      <c r="AE152" s="125"/>
    </row>
    <row r="153" spans="1:31" ht="15.75" customHeight="1" x14ac:dyDescent="0.2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2"/>
      <c r="AD153" s="125"/>
      <c r="AE153" s="125"/>
    </row>
    <row r="154" spans="1:31" ht="15.75" customHeight="1" x14ac:dyDescent="0.2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2"/>
      <c r="AD154" s="125"/>
      <c r="AE154" s="125"/>
    </row>
    <row r="155" spans="1:31" ht="15.75" customHeight="1" x14ac:dyDescent="0.2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2"/>
      <c r="AD155" s="125"/>
      <c r="AE155" s="125"/>
    </row>
    <row r="156" spans="1:31" ht="15.75" customHeight="1" x14ac:dyDescent="0.2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2"/>
      <c r="AD156" s="125"/>
      <c r="AE156" s="125"/>
    </row>
    <row r="157" spans="1:31" ht="15.75" customHeight="1" x14ac:dyDescent="0.2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2"/>
      <c r="AD157" s="125"/>
      <c r="AE157" s="125"/>
    </row>
    <row r="158" spans="1:31" ht="15.75" customHeight="1" x14ac:dyDescent="0.2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2"/>
      <c r="AD158" s="125"/>
      <c r="AE158" s="125"/>
    </row>
    <row r="159" spans="1:31" ht="15.75" customHeight="1" x14ac:dyDescent="0.2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2"/>
      <c r="AD159" s="125"/>
      <c r="AE159" s="125"/>
    </row>
    <row r="160" spans="1:31" ht="15.75" customHeight="1" x14ac:dyDescent="0.2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2"/>
      <c r="AD160" s="125"/>
      <c r="AE160" s="125"/>
    </row>
    <row r="161" spans="1:31" ht="15.75" customHeight="1" x14ac:dyDescent="0.2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2"/>
      <c r="AD161" s="125"/>
      <c r="AE161" s="125"/>
    </row>
    <row r="162" spans="1:31" ht="15.75" customHeight="1" x14ac:dyDescent="0.2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2"/>
      <c r="AD162" s="125"/>
      <c r="AE162" s="125"/>
    </row>
    <row r="163" spans="1:31" ht="15.75" customHeight="1" x14ac:dyDescent="0.2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2"/>
      <c r="AD163" s="125"/>
      <c r="AE163" s="125"/>
    </row>
    <row r="164" spans="1:31" ht="15.75" customHeight="1" x14ac:dyDescent="0.2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2"/>
      <c r="AD164" s="125"/>
      <c r="AE164" s="125"/>
    </row>
    <row r="165" spans="1:31" ht="15.75" customHeight="1" x14ac:dyDescent="0.2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2"/>
      <c r="AD165" s="125"/>
      <c r="AE165" s="125"/>
    </row>
    <row r="166" spans="1:31" ht="15.75" customHeight="1" x14ac:dyDescent="0.2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2"/>
      <c r="AD166" s="125"/>
      <c r="AE166" s="125"/>
    </row>
    <row r="167" spans="1:31" ht="15.75" customHeight="1" x14ac:dyDescent="0.2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2"/>
      <c r="AD167" s="125"/>
      <c r="AE167" s="125"/>
    </row>
    <row r="168" spans="1:31" ht="15.75" customHeight="1" x14ac:dyDescent="0.2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2"/>
      <c r="AD168" s="125"/>
      <c r="AE168" s="125"/>
    </row>
    <row r="169" spans="1:31" ht="15.75" customHeight="1" x14ac:dyDescent="0.2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2"/>
      <c r="AD169" s="125"/>
      <c r="AE169" s="125"/>
    </row>
    <row r="170" spans="1:31" ht="15.75" customHeight="1" x14ac:dyDescent="0.2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2"/>
      <c r="AD170" s="125"/>
      <c r="AE170" s="125"/>
    </row>
    <row r="171" spans="1:31" ht="15.75" customHeight="1" x14ac:dyDescent="0.2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2"/>
      <c r="AD171" s="125"/>
      <c r="AE171" s="125"/>
    </row>
    <row r="172" spans="1:31" ht="15.75" customHeight="1" x14ac:dyDescent="0.2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2"/>
      <c r="AD172" s="125"/>
      <c r="AE172" s="125"/>
    </row>
    <row r="173" spans="1:31" ht="15.75" customHeight="1" x14ac:dyDescent="0.2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2"/>
      <c r="AD173" s="125"/>
      <c r="AE173" s="125"/>
    </row>
    <row r="174" spans="1:31" ht="15.75" customHeight="1" x14ac:dyDescent="0.2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2"/>
      <c r="AD174" s="125"/>
      <c r="AE174" s="125"/>
    </row>
    <row r="175" spans="1:31" ht="15.75" customHeight="1" x14ac:dyDescent="0.2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2"/>
      <c r="AD175" s="125"/>
      <c r="AE175" s="125"/>
    </row>
    <row r="176" spans="1:31" ht="15.75" customHeight="1" x14ac:dyDescent="0.2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2"/>
      <c r="AD176" s="125"/>
      <c r="AE176" s="125"/>
    </row>
    <row r="177" spans="1:31" ht="15.75" customHeight="1" x14ac:dyDescent="0.2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2"/>
      <c r="AD177" s="125"/>
      <c r="AE177" s="125"/>
    </row>
    <row r="178" spans="1:31" ht="15.75" customHeight="1" x14ac:dyDescent="0.2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2"/>
      <c r="AD178" s="125"/>
      <c r="AE178" s="125"/>
    </row>
    <row r="179" spans="1:31" ht="15.75" customHeight="1" x14ac:dyDescent="0.2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2"/>
      <c r="AD179" s="125"/>
      <c r="AE179" s="125"/>
    </row>
    <row r="180" spans="1:31" ht="15.75" customHeight="1" x14ac:dyDescent="0.2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2"/>
      <c r="AD180" s="125"/>
      <c r="AE180" s="125"/>
    </row>
    <row r="181" spans="1:31" ht="15.75" customHeight="1" x14ac:dyDescent="0.2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2"/>
      <c r="AD181" s="125"/>
      <c r="AE181" s="125"/>
    </row>
    <row r="182" spans="1:31" ht="15.75" customHeight="1" x14ac:dyDescent="0.2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2"/>
      <c r="AD182" s="125"/>
      <c r="AE182" s="125"/>
    </row>
    <row r="183" spans="1:31" ht="15.75" customHeight="1" x14ac:dyDescent="0.2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2"/>
      <c r="AD183" s="125"/>
      <c r="AE183" s="125"/>
    </row>
    <row r="184" spans="1:31" ht="15.75" customHeight="1" x14ac:dyDescent="0.2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2"/>
      <c r="AD184" s="125"/>
      <c r="AE184" s="125"/>
    </row>
    <row r="185" spans="1:31" ht="15.75" customHeight="1" x14ac:dyDescent="0.2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2"/>
      <c r="AD185" s="125"/>
      <c r="AE185" s="125"/>
    </row>
    <row r="186" spans="1:31" ht="15.75" customHeight="1" x14ac:dyDescent="0.2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2"/>
      <c r="AD186" s="125"/>
      <c r="AE186" s="125"/>
    </row>
    <row r="187" spans="1:31" ht="15.75" customHeight="1" x14ac:dyDescent="0.2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2"/>
      <c r="AD187" s="125"/>
      <c r="AE187" s="125"/>
    </row>
    <row r="188" spans="1:31" ht="15.75" customHeight="1" x14ac:dyDescent="0.2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2"/>
      <c r="AD188" s="125"/>
      <c r="AE188" s="125"/>
    </row>
    <row r="189" spans="1:31" ht="15.75" customHeight="1" x14ac:dyDescent="0.2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2"/>
      <c r="AD189" s="125"/>
      <c r="AE189" s="125"/>
    </row>
    <row r="190" spans="1:31" ht="15.75" customHeight="1" x14ac:dyDescent="0.2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2"/>
      <c r="AD190" s="125"/>
      <c r="AE190" s="125"/>
    </row>
    <row r="191" spans="1:31" ht="15.75" customHeight="1" x14ac:dyDescent="0.2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2"/>
      <c r="AD191" s="125"/>
      <c r="AE191" s="125"/>
    </row>
    <row r="192" spans="1:31" ht="15.75" customHeight="1" x14ac:dyDescent="0.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2"/>
      <c r="AD192" s="125"/>
      <c r="AE192" s="125"/>
    </row>
    <row r="193" spans="1:31" ht="15.75" customHeight="1" x14ac:dyDescent="0.2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2"/>
      <c r="AD193" s="125"/>
      <c r="AE193" s="125"/>
    </row>
    <row r="194" spans="1:31" ht="15.75" customHeight="1" x14ac:dyDescent="0.2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2"/>
      <c r="AD194" s="125"/>
      <c r="AE194" s="125"/>
    </row>
    <row r="195" spans="1:31" ht="15.75" customHeight="1" x14ac:dyDescent="0.2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2"/>
      <c r="AD195" s="125"/>
      <c r="AE195" s="125"/>
    </row>
    <row r="196" spans="1:31" ht="15.75" customHeight="1" x14ac:dyDescent="0.2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2"/>
      <c r="AD196" s="125"/>
      <c r="AE196" s="125"/>
    </row>
    <row r="197" spans="1:31" ht="15.75" customHeight="1" x14ac:dyDescent="0.2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2"/>
      <c r="AD197" s="125"/>
      <c r="AE197" s="125"/>
    </row>
    <row r="198" spans="1:31" ht="15.75" customHeight="1" x14ac:dyDescent="0.2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2"/>
      <c r="AD198" s="125"/>
      <c r="AE198" s="125"/>
    </row>
    <row r="199" spans="1:31" ht="15.75" customHeight="1" x14ac:dyDescent="0.2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2"/>
      <c r="AD199" s="125"/>
      <c r="AE199" s="125"/>
    </row>
    <row r="200" spans="1:31" ht="15.75" customHeight="1" x14ac:dyDescent="0.2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2"/>
      <c r="AD200" s="125"/>
      <c r="AE200" s="125"/>
    </row>
    <row r="201" spans="1:31" ht="15.75" customHeight="1" x14ac:dyDescent="0.2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2"/>
      <c r="AD201" s="125"/>
      <c r="AE201" s="125"/>
    </row>
    <row r="202" spans="1:31" ht="15.75" customHeight="1" x14ac:dyDescent="0.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2"/>
      <c r="AD202" s="125"/>
      <c r="AE202" s="125"/>
    </row>
    <row r="203" spans="1:31" ht="15.75" customHeight="1" x14ac:dyDescent="0.2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2"/>
      <c r="AD203" s="125"/>
      <c r="AE203" s="125"/>
    </row>
    <row r="204" spans="1:31" ht="15.75" customHeight="1" x14ac:dyDescent="0.2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2"/>
      <c r="AD204" s="125"/>
      <c r="AE204" s="125"/>
    </row>
    <row r="205" spans="1:31" ht="15.75" customHeight="1" x14ac:dyDescent="0.2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2"/>
      <c r="AD205" s="125"/>
      <c r="AE205" s="125"/>
    </row>
    <row r="206" spans="1:31" ht="15.75" customHeight="1" x14ac:dyDescent="0.2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2"/>
      <c r="AD206" s="125"/>
      <c r="AE206" s="125"/>
    </row>
    <row r="207" spans="1:31" ht="15.75" customHeight="1" x14ac:dyDescent="0.2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2"/>
      <c r="AD207" s="125"/>
      <c r="AE207" s="125"/>
    </row>
    <row r="208" spans="1:31" ht="15.75" customHeight="1" x14ac:dyDescent="0.2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2"/>
      <c r="AD208" s="125"/>
      <c r="AE208" s="125"/>
    </row>
    <row r="209" spans="1:31" ht="15.75" customHeight="1" x14ac:dyDescent="0.2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2"/>
      <c r="AD209" s="125"/>
      <c r="AE209" s="125"/>
    </row>
    <row r="210" spans="1:31" ht="15.75" customHeight="1" x14ac:dyDescent="0.2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2"/>
      <c r="AD210" s="125"/>
      <c r="AE210" s="125"/>
    </row>
    <row r="211" spans="1:31" ht="15.75" customHeight="1" x14ac:dyDescent="0.2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2"/>
      <c r="AD211" s="125"/>
      <c r="AE211" s="125"/>
    </row>
    <row r="212" spans="1:31" ht="15.75" customHeight="1" x14ac:dyDescent="0.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2"/>
      <c r="AD212" s="125"/>
      <c r="AE212" s="125"/>
    </row>
    <row r="213" spans="1:31" ht="15.75" customHeight="1" x14ac:dyDescent="0.2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2"/>
      <c r="AD213" s="125"/>
      <c r="AE213" s="125"/>
    </row>
    <row r="214" spans="1:31" ht="15.75" customHeight="1" x14ac:dyDescent="0.2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2"/>
      <c r="AD214" s="125"/>
      <c r="AE214" s="125"/>
    </row>
    <row r="215" spans="1:31" ht="15.75" customHeight="1" x14ac:dyDescent="0.2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2"/>
      <c r="AD215" s="125"/>
      <c r="AE215" s="125"/>
    </row>
    <row r="216" spans="1:31" ht="15.75" customHeight="1" x14ac:dyDescent="0.2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2"/>
      <c r="AD216" s="125"/>
      <c r="AE216" s="125"/>
    </row>
    <row r="217" spans="1:31" ht="15.75" customHeight="1" x14ac:dyDescent="0.2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2"/>
      <c r="AD217" s="125"/>
      <c r="AE217" s="125"/>
    </row>
    <row r="218" spans="1:31" ht="15.75" customHeight="1" x14ac:dyDescent="0.2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2"/>
      <c r="AD218" s="125"/>
      <c r="AE218" s="125"/>
    </row>
    <row r="219" spans="1:31" ht="15.75" customHeight="1" x14ac:dyDescent="0.2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2"/>
      <c r="AD219" s="125"/>
      <c r="AE219" s="125"/>
    </row>
    <row r="220" spans="1:31" ht="15.75" customHeight="1" x14ac:dyDescent="0.2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  <c r="AC220" s="122"/>
      <c r="AD220" s="125"/>
      <c r="AE220" s="125"/>
    </row>
    <row r="221" spans="1:31" ht="15.75" customHeight="1" x14ac:dyDescent="0.2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2"/>
      <c r="AD221" s="125"/>
      <c r="AE221" s="125"/>
    </row>
    <row r="222" spans="1:31" ht="15.75" customHeight="1" x14ac:dyDescent="0.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2"/>
      <c r="AD222" s="125"/>
      <c r="AE222" s="125"/>
    </row>
    <row r="223" spans="1:31" ht="15.75" customHeight="1" x14ac:dyDescent="0.2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2"/>
      <c r="AD223" s="125"/>
      <c r="AE223" s="125"/>
    </row>
    <row r="224" spans="1:31" ht="15.75" customHeight="1" x14ac:dyDescent="0.2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2"/>
      <c r="AD224" s="125"/>
      <c r="AE224" s="125"/>
    </row>
    <row r="225" spans="1:31" ht="15.75" customHeight="1" x14ac:dyDescent="0.2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2"/>
      <c r="AD225" s="125"/>
      <c r="AE225" s="125"/>
    </row>
    <row r="226" spans="1:31" ht="15.75" customHeight="1" x14ac:dyDescent="0.2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2"/>
      <c r="AD226" s="125"/>
      <c r="AE226" s="125"/>
    </row>
    <row r="227" spans="1:31" ht="15.75" customHeight="1" x14ac:dyDescent="0.2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2"/>
      <c r="AD227" s="125"/>
      <c r="AE227" s="125"/>
    </row>
    <row r="228" spans="1:31" ht="15.75" customHeight="1" x14ac:dyDescent="0.2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2"/>
      <c r="AD228" s="125"/>
      <c r="AE228" s="125"/>
    </row>
    <row r="229" spans="1:31" ht="15.75" customHeight="1" x14ac:dyDescent="0.2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2"/>
      <c r="AD229" s="125"/>
      <c r="AE229" s="125"/>
    </row>
    <row r="230" spans="1:31" ht="15.75" customHeight="1" x14ac:dyDescent="0.2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2"/>
      <c r="AD230" s="125"/>
      <c r="AE230" s="125"/>
    </row>
    <row r="231" spans="1:31" ht="15.75" customHeight="1" x14ac:dyDescent="0.2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2"/>
      <c r="AD231" s="125"/>
      <c r="AE231" s="125"/>
    </row>
    <row r="232" spans="1:31" ht="15.75" customHeight="1" x14ac:dyDescent="0.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2"/>
      <c r="AD232" s="125"/>
      <c r="AE232" s="125"/>
    </row>
    <row r="233" spans="1:31" ht="15.75" customHeight="1" x14ac:dyDescent="0.2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2"/>
      <c r="AD233" s="125"/>
      <c r="AE233" s="125"/>
    </row>
    <row r="234" spans="1:31" ht="15.75" customHeight="1" x14ac:dyDescent="0.2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2"/>
      <c r="AD234" s="125"/>
      <c r="AE234" s="125"/>
    </row>
    <row r="235" spans="1:31" ht="15.75" customHeight="1" x14ac:dyDescent="0.2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2"/>
      <c r="AD235" s="125"/>
      <c r="AE235" s="125"/>
    </row>
    <row r="236" spans="1:31" ht="15.75" customHeight="1" x14ac:dyDescent="0.2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2"/>
      <c r="AD236" s="125"/>
      <c r="AE236" s="125"/>
    </row>
    <row r="237" spans="1:31" ht="15.75" customHeight="1" x14ac:dyDescent="0.2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2"/>
      <c r="AD237" s="125"/>
      <c r="AE237" s="125"/>
    </row>
    <row r="238" spans="1:31" ht="15.75" customHeight="1" x14ac:dyDescent="0.2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2"/>
      <c r="AD238" s="125"/>
      <c r="AE238" s="125"/>
    </row>
    <row r="239" spans="1:31" ht="15.75" customHeight="1" x14ac:dyDescent="0.2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2"/>
      <c r="AD239" s="125"/>
      <c r="AE239" s="125"/>
    </row>
    <row r="240" spans="1:31" ht="15.75" customHeight="1" x14ac:dyDescent="0.2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2"/>
      <c r="AD240" s="125"/>
      <c r="AE240" s="125"/>
    </row>
    <row r="241" spans="1:31" ht="15.75" customHeight="1" x14ac:dyDescent="0.2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  <c r="AC241" s="122"/>
      <c r="AD241" s="125"/>
      <c r="AE241" s="125"/>
    </row>
    <row r="242" spans="1:31" ht="15.75" customHeight="1" x14ac:dyDescent="0.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2"/>
      <c r="AD242" s="125"/>
      <c r="AE242" s="125"/>
    </row>
    <row r="243" spans="1:31" ht="15.75" customHeight="1" x14ac:dyDescent="0.2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2"/>
      <c r="AD243" s="125"/>
      <c r="AE243" s="125"/>
    </row>
    <row r="244" spans="1:31" ht="15.75" customHeight="1" x14ac:dyDescent="0.2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  <c r="AB244" s="125"/>
      <c r="AC244" s="122"/>
      <c r="AD244" s="125"/>
      <c r="AE244" s="125"/>
    </row>
    <row r="245" spans="1:31" ht="15.75" customHeight="1" x14ac:dyDescent="0.2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2"/>
      <c r="AD245" s="125"/>
      <c r="AE245" s="125"/>
    </row>
    <row r="246" spans="1:31" ht="15.75" customHeight="1" x14ac:dyDescent="0.2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  <c r="AC246" s="122"/>
      <c r="AD246" s="125"/>
      <c r="AE246" s="125"/>
    </row>
    <row r="247" spans="1:31" ht="15.75" customHeight="1" x14ac:dyDescent="0.2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2"/>
      <c r="AD247" s="125"/>
      <c r="AE247" s="125"/>
    </row>
    <row r="248" spans="1:31" ht="15.75" customHeight="1" x14ac:dyDescent="0.2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2"/>
      <c r="AD248" s="125"/>
      <c r="AE248" s="125"/>
    </row>
    <row r="249" spans="1:31" ht="15.75" customHeight="1" x14ac:dyDescent="0.2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2"/>
      <c r="AD249" s="125"/>
      <c r="AE249" s="125"/>
    </row>
    <row r="250" spans="1:31" ht="15.75" customHeight="1" x14ac:dyDescent="0.2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  <c r="AC250" s="122"/>
      <c r="AD250" s="125"/>
      <c r="AE250" s="125"/>
    </row>
    <row r="251" spans="1:31" ht="15.75" customHeight="1" x14ac:dyDescent="0.2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  <c r="AB251" s="125"/>
      <c r="AC251" s="122"/>
      <c r="AD251" s="125"/>
      <c r="AE251" s="125"/>
    </row>
    <row r="252" spans="1:31" ht="15.75" customHeight="1" x14ac:dyDescent="0.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2"/>
      <c r="AD252" s="125"/>
      <c r="AE252" s="125"/>
    </row>
    <row r="253" spans="1:31" ht="15.75" customHeight="1" x14ac:dyDescent="0.2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2"/>
      <c r="AD253" s="125"/>
      <c r="AE253" s="125"/>
    </row>
    <row r="254" spans="1:31" ht="15.75" customHeight="1" x14ac:dyDescent="0.2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  <c r="AB254" s="125"/>
      <c r="AC254" s="122"/>
      <c r="AD254" s="125"/>
      <c r="AE254" s="125"/>
    </row>
    <row r="255" spans="1:31" ht="15.75" customHeight="1" x14ac:dyDescent="0.2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  <c r="AB255" s="125"/>
      <c r="AC255" s="122"/>
      <c r="AD255" s="125"/>
      <c r="AE255" s="125"/>
    </row>
    <row r="256" spans="1:31" ht="15.75" customHeight="1" x14ac:dyDescent="0.2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2"/>
      <c r="AD256" s="125"/>
      <c r="AE256" s="125"/>
    </row>
    <row r="257" spans="1:31" ht="15.75" customHeight="1" x14ac:dyDescent="0.2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2"/>
      <c r="AD257" s="125"/>
      <c r="AE257" s="125"/>
    </row>
    <row r="258" spans="1:31" ht="15.75" customHeight="1" x14ac:dyDescent="0.2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2"/>
      <c r="AD258" s="125"/>
      <c r="AE258" s="125"/>
    </row>
    <row r="259" spans="1:31" ht="15.75" customHeight="1" x14ac:dyDescent="0.2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2"/>
      <c r="AD259" s="125"/>
      <c r="AE259" s="125"/>
    </row>
    <row r="260" spans="1:31" ht="15.75" customHeight="1" x14ac:dyDescent="0.2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2"/>
      <c r="AD260" s="125"/>
      <c r="AE260" s="125"/>
    </row>
    <row r="261" spans="1:31" ht="15.75" customHeight="1" x14ac:dyDescent="0.2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  <c r="AC261" s="122"/>
      <c r="AD261" s="125"/>
      <c r="AE261" s="125"/>
    </row>
    <row r="262" spans="1:31" ht="15.75" customHeight="1" x14ac:dyDescent="0.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  <c r="AB262" s="125"/>
      <c r="AC262" s="122"/>
      <c r="AD262" s="125"/>
      <c r="AE262" s="125"/>
    </row>
    <row r="263" spans="1:31" ht="15.75" customHeight="1" x14ac:dyDescent="0.2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  <c r="AC263" s="122"/>
      <c r="AD263" s="125"/>
      <c r="AE263" s="125"/>
    </row>
    <row r="264" spans="1:31" ht="15.75" customHeight="1" x14ac:dyDescent="0.2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  <c r="AC264" s="122"/>
      <c r="AD264" s="125"/>
      <c r="AE264" s="125"/>
    </row>
    <row r="265" spans="1:31" ht="15.75" customHeight="1" x14ac:dyDescent="0.2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2"/>
      <c r="AD265" s="125"/>
      <c r="AE265" s="125"/>
    </row>
    <row r="266" spans="1:31" ht="15.75" customHeight="1" x14ac:dyDescent="0.2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2"/>
      <c r="AD266" s="125"/>
      <c r="AE266" s="125"/>
    </row>
    <row r="267" spans="1:31" ht="15.75" customHeight="1" x14ac:dyDescent="0.2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2"/>
      <c r="AD267" s="125"/>
      <c r="AE267" s="125"/>
    </row>
    <row r="268" spans="1:31" ht="15.75" customHeight="1" x14ac:dyDescent="0.2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2"/>
      <c r="AD268" s="125"/>
      <c r="AE268" s="125"/>
    </row>
    <row r="269" spans="1:31" ht="15.75" customHeight="1" x14ac:dyDescent="0.2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2"/>
      <c r="AD269" s="125"/>
      <c r="AE269" s="125"/>
    </row>
    <row r="270" spans="1:31" ht="15.75" customHeight="1" x14ac:dyDescent="0.2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2"/>
      <c r="AD270" s="125"/>
      <c r="AE270" s="125"/>
    </row>
    <row r="271" spans="1:31" ht="15.75" customHeight="1" x14ac:dyDescent="0.2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  <c r="AB271" s="125"/>
      <c r="AC271" s="122"/>
      <c r="AD271" s="125"/>
      <c r="AE271" s="125"/>
    </row>
    <row r="272" spans="1:31" ht="15.75" customHeight="1" x14ac:dyDescent="0.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2"/>
      <c r="AD272" s="125"/>
      <c r="AE272" s="125"/>
    </row>
    <row r="273" spans="1:31" ht="15.75" customHeight="1" x14ac:dyDescent="0.2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2"/>
      <c r="AD273" s="125"/>
      <c r="AE273" s="125"/>
    </row>
    <row r="274" spans="1:31" ht="15.75" customHeight="1" x14ac:dyDescent="0.2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  <c r="AB274" s="125"/>
      <c r="AC274" s="122"/>
      <c r="AD274" s="125"/>
      <c r="AE274" s="125"/>
    </row>
    <row r="275" spans="1:31" ht="15.75" customHeight="1" x14ac:dyDescent="0.2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  <c r="AB275" s="125"/>
      <c r="AC275" s="122"/>
      <c r="AD275" s="125"/>
      <c r="AE275" s="125"/>
    </row>
    <row r="276" spans="1:31" ht="15.75" customHeight="1" x14ac:dyDescent="0.2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2"/>
      <c r="AD276" s="125"/>
      <c r="AE276" s="125"/>
    </row>
    <row r="277" spans="1:31" ht="15.75" customHeight="1" x14ac:dyDescent="0.2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2"/>
      <c r="AD277" s="125"/>
      <c r="AE277" s="125"/>
    </row>
    <row r="278" spans="1:31" ht="15.75" customHeight="1" x14ac:dyDescent="0.2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2"/>
      <c r="AD278" s="125"/>
      <c r="AE278" s="125"/>
    </row>
    <row r="279" spans="1:31" ht="15.75" customHeight="1" x14ac:dyDescent="0.2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2"/>
      <c r="AD279" s="125"/>
      <c r="AE279" s="125"/>
    </row>
    <row r="280" spans="1:31" ht="15.75" customHeight="1" x14ac:dyDescent="0.2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2"/>
      <c r="AD280" s="125"/>
      <c r="AE280" s="125"/>
    </row>
    <row r="281" spans="1:31" ht="15.75" customHeight="1" x14ac:dyDescent="0.2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2"/>
      <c r="AD281" s="125"/>
      <c r="AE281" s="125"/>
    </row>
    <row r="282" spans="1:31" ht="15.75" customHeight="1" x14ac:dyDescent="0.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2"/>
      <c r="AD282" s="125"/>
      <c r="AE282" s="125"/>
    </row>
    <row r="283" spans="1:31" ht="15.75" customHeight="1" x14ac:dyDescent="0.2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2"/>
      <c r="AD283" s="125"/>
      <c r="AE283" s="125"/>
    </row>
    <row r="284" spans="1:31" ht="15.75" customHeight="1" x14ac:dyDescent="0.2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2"/>
      <c r="AD284" s="125"/>
      <c r="AE284" s="125"/>
    </row>
    <row r="285" spans="1:31" ht="15.75" customHeight="1" x14ac:dyDescent="0.2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2"/>
      <c r="AD285" s="125"/>
      <c r="AE285" s="125"/>
    </row>
    <row r="286" spans="1:31" ht="15.75" customHeight="1" x14ac:dyDescent="0.2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2"/>
      <c r="AD286" s="125"/>
      <c r="AE286" s="125"/>
    </row>
    <row r="287" spans="1:31" ht="15.75" customHeight="1" x14ac:dyDescent="0.2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2"/>
      <c r="AD287" s="125"/>
      <c r="AE287" s="125"/>
    </row>
    <row r="288" spans="1:31" ht="15.75" customHeight="1" x14ac:dyDescent="0.2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2"/>
      <c r="AD288" s="125"/>
      <c r="AE288" s="125"/>
    </row>
    <row r="289" spans="1:31" ht="15.75" customHeight="1" x14ac:dyDescent="0.2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2"/>
      <c r="AD289" s="125"/>
      <c r="AE289" s="125"/>
    </row>
    <row r="290" spans="1:31" ht="15.75" customHeight="1" x14ac:dyDescent="0.2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/>
      <c r="AC290" s="122"/>
      <c r="AD290" s="125"/>
      <c r="AE290" s="125"/>
    </row>
    <row r="291" spans="1:31" ht="15.75" customHeight="1" x14ac:dyDescent="0.2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  <c r="AC291" s="122"/>
      <c r="AD291" s="125"/>
      <c r="AE291" s="125"/>
    </row>
    <row r="292" spans="1:31" ht="15.75" customHeight="1" x14ac:dyDescent="0.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  <c r="AC292" s="122"/>
      <c r="AD292" s="125"/>
      <c r="AE292" s="125"/>
    </row>
    <row r="293" spans="1:31" ht="15.75" customHeight="1" x14ac:dyDescent="0.2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  <c r="AC293" s="122"/>
      <c r="AD293" s="125"/>
      <c r="AE293" s="125"/>
    </row>
    <row r="294" spans="1:31" ht="15.75" customHeight="1" x14ac:dyDescent="0.2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2"/>
      <c r="AD294" s="125"/>
      <c r="AE294" s="125"/>
    </row>
    <row r="295" spans="1:31" ht="15.75" customHeight="1" x14ac:dyDescent="0.2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  <c r="AC295" s="122"/>
      <c r="AD295" s="125"/>
      <c r="AE295" s="125"/>
    </row>
    <row r="296" spans="1:31" ht="15.75" customHeight="1" x14ac:dyDescent="0.2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2"/>
      <c r="AD296" s="125"/>
      <c r="AE296" s="125"/>
    </row>
    <row r="297" spans="1:31" ht="15.75" customHeight="1" x14ac:dyDescent="0.2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  <c r="AC297" s="122"/>
      <c r="AD297" s="125"/>
      <c r="AE297" s="125"/>
    </row>
    <row r="298" spans="1:31" ht="15.75" customHeight="1" x14ac:dyDescent="0.2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  <c r="AB298" s="125"/>
      <c r="AC298" s="122"/>
      <c r="AD298" s="125"/>
      <c r="AE298" s="125"/>
    </row>
    <row r="299" spans="1:31" ht="15.75" customHeight="1" x14ac:dyDescent="0.2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  <c r="AC299" s="122"/>
      <c r="AD299" s="125"/>
      <c r="AE299" s="125"/>
    </row>
    <row r="300" spans="1:31" ht="15.75" customHeight="1" x14ac:dyDescent="0.2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  <c r="AC300" s="122"/>
      <c r="AD300" s="125"/>
      <c r="AE300" s="125"/>
    </row>
    <row r="301" spans="1:31" ht="15.75" customHeight="1" x14ac:dyDescent="0.2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2"/>
      <c r="AD301" s="125"/>
      <c r="AE301" s="125"/>
    </row>
    <row r="302" spans="1:31" ht="15.75" customHeight="1" x14ac:dyDescent="0.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2"/>
      <c r="AD302" s="125"/>
      <c r="AE302" s="125"/>
    </row>
    <row r="303" spans="1:31" ht="15.75" customHeight="1" x14ac:dyDescent="0.2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  <c r="AC303" s="122"/>
      <c r="AD303" s="125"/>
      <c r="AE303" s="125"/>
    </row>
    <row r="304" spans="1:31" ht="15.75" customHeight="1" x14ac:dyDescent="0.2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2"/>
      <c r="AD304" s="125"/>
      <c r="AE304" s="125"/>
    </row>
    <row r="305" spans="1:31" ht="15.75" customHeight="1" x14ac:dyDescent="0.2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2"/>
      <c r="AD305" s="125"/>
      <c r="AE305" s="125"/>
    </row>
    <row r="306" spans="1:31" ht="15.75" customHeight="1" x14ac:dyDescent="0.2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  <c r="AC306" s="122"/>
      <c r="AD306" s="125"/>
      <c r="AE306" s="125"/>
    </row>
    <row r="307" spans="1:31" ht="15.75" customHeight="1" x14ac:dyDescent="0.2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  <c r="AC307" s="122"/>
      <c r="AD307" s="125"/>
      <c r="AE307" s="125"/>
    </row>
    <row r="308" spans="1:31" ht="15.75" customHeight="1" x14ac:dyDescent="0.2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  <c r="AC308" s="122"/>
      <c r="AD308" s="125"/>
      <c r="AE308" s="125"/>
    </row>
    <row r="309" spans="1:31" ht="15.75" customHeight="1" x14ac:dyDescent="0.2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  <c r="AC309" s="122"/>
      <c r="AD309" s="125"/>
      <c r="AE309" s="125"/>
    </row>
    <row r="310" spans="1:31" ht="15.75" customHeight="1" x14ac:dyDescent="0.2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2"/>
      <c r="AD310" s="125"/>
      <c r="AE310" s="125"/>
    </row>
    <row r="311" spans="1:31" ht="15.75" customHeight="1" x14ac:dyDescent="0.2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2"/>
      <c r="AD311" s="125"/>
      <c r="AE311" s="125"/>
    </row>
    <row r="312" spans="1:31" ht="15.75" customHeight="1" x14ac:dyDescent="0.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2"/>
      <c r="AD312" s="125"/>
      <c r="AE312" s="125"/>
    </row>
    <row r="313" spans="1:31" ht="15.75" customHeight="1" x14ac:dyDescent="0.2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2"/>
      <c r="AD313" s="125"/>
      <c r="AE313" s="125"/>
    </row>
    <row r="314" spans="1:31" ht="15.75" customHeight="1" x14ac:dyDescent="0.2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2"/>
      <c r="AD314" s="125"/>
      <c r="AE314" s="125"/>
    </row>
    <row r="315" spans="1:31" ht="15.75" customHeight="1" x14ac:dyDescent="0.2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2"/>
      <c r="AD315" s="125"/>
      <c r="AE315" s="125"/>
    </row>
    <row r="316" spans="1:31" ht="15.75" customHeight="1" x14ac:dyDescent="0.2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2"/>
      <c r="AD316" s="125"/>
      <c r="AE316" s="125"/>
    </row>
    <row r="317" spans="1:31" ht="15.75" customHeight="1" x14ac:dyDescent="0.2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2"/>
      <c r="AD317" s="125"/>
      <c r="AE317" s="125"/>
    </row>
    <row r="318" spans="1:31" ht="15.75" customHeight="1" x14ac:dyDescent="0.2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2"/>
      <c r="AD318" s="125"/>
      <c r="AE318" s="125"/>
    </row>
    <row r="319" spans="1:31" ht="15.75" customHeight="1" x14ac:dyDescent="0.2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2"/>
      <c r="AD319" s="125"/>
      <c r="AE319" s="125"/>
    </row>
    <row r="320" spans="1:31" ht="15.75" customHeight="1" x14ac:dyDescent="0.2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2"/>
      <c r="AD320" s="125"/>
      <c r="AE320" s="125"/>
    </row>
    <row r="321" spans="1:31" ht="15.75" customHeight="1" x14ac:dyDescent="0.2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2"/>
      <c r="AD321" s="125"/>
      <c r="AE321" s="125"/>
    </row>
    <row r="322" spans="1:31" ht="15.75" customHeight="1" x14ac:dyDescent="0.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  <c r="AC322" s="122"/>
      <c r="AD322" s="125"/>
      <c r="AE322" s="125"/>
    </row>
    <row r="323" spans="1:31" ht="15.75" customHeight="1" x14ac:dyDescent="0.2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  <c r="AC323" s="122"/>
      <c r="AD323" s="125"/>
      <c r="AE323" s="125"/>
    </row>
    <row r="324" spans="1:31" ht="15.75" customHeight="1" x14ac:dyDescent="0.2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  <c r="AC324" s="122"/>
      <c r="AD324" s="125"/>
      <c r="AE324" s="125"/>
    </row>
    <row r="325" spans="1:31" ht="15.75" customHeight="1" x14ac:dyDescent="0.2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  <c r="AC325" s="122"/>
      <c r="AD325" s="125"/>
      <c r="AE325" s="125"/>
    </row>
    <row r="326" spans="1:31" ht="15.75" customHeight="1" x14ac:dyDescent="0.2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  <c r="AC326" s="122"/>
      <c r="AD326" s="125"/>
      <c r="AE326" s="125"/>
    </row>
    <row r="327" spans="1:31" ht="15.75" customHeight="1" x14ac:dyDescent="0.2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2"/>
      <c r="AD327" s="125"/>
      <c r="AE327" s="125"/>
    </row>
    <row r="328" spans="1:31" ht="15.75" customHeight="1" x14ac:dyDescent="0.2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  <c r="AC328" s="122"/>
      <c r="AD328" s="125"/>
      <c r="AE328" s="125"/>
    </row>
    <row r="329" spans="1:31" ht="15.75" customHeight="1" x14ac:dyDescent="0.2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  <c r="AC329" s="122"/>
      <c r="AD329" s="125"/>
      <c r="AE329" s="125"/>
    </row>
    <row r="330" spans="1:31" ht="15.75" customHeight="1" x14ac:dyDescent="0.2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2"/>
      <c r="AD330" s="125"/>
      <c r="AE330" s="125"/>
    </row>
    <row r="331" spans="1:31" ht="15.75" customHeight="1" x14ac:dyDescent="0.2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2"/>
      <c r="AD331" s="125"/>
      <c r="AE331" s="125"/>
    </row>
    <row r="332" spans="1:31" ht="15.75" customHeight="1" x14ac:dyDescent="0.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  <c r="AC332" s="122"/>
      <c r="AD332" s="125"/>
      <c r="AE332" s="125"/>
    </row>
    <row r="333" spans="1:31" ht="15.75" customHeight="1" x14ac:dyDescent="0.2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2"/>
      <c r="AD333" s="125"/>
      <c r="AE333" s="125"/>
    </row>
    <row r="334" spans="1:31" ht="15.75" customHeight="1" x14ac:dyDescent="0.2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2"/>
      <c r="AD334" s="125"/>
      <c r="AE334" s="125"/>
    </row>
    <row r="335" spans="1:31" ht="15.75" customHeight="1" x14ac:dyDescent="0.2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2"/>
      <c r="AD335" s="125"/>
      <c r="AE335" s="125"/>
    </row>
    <row r="336" spans="1:31" ht="15.75" customHeight="1" x14ac:dyDescent="0.2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  <c r="AC336" s="122"/>
      <c r="AD336" s="125"/>
      <c r="AE336" s="125"/>
    </row>
    <row r="337" spans="1:31" ht="15.75" customHeight="1" x14ac:dyDescent="0.2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  <c r="AC337" s="122"/>
      <c r="AD337" s="125"/>
      <c r="AE337" s="125"/>
    </row>
    <row r="338" spans="1:31" ht="15.75" customHeight="1" x14ac:dyDescent="0.2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  <c r="AC338" s="122"/>
      <c r="AD338" s="125"/>
      <c r="AE338" s="125"/>
    </row>
    <row r="339" spans="1:31" ht="15.75" customHeight="1" x14ac:dyDescent="0.2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  <c r="AC339" s="122"/>
      <c r="AD339" s="125"/>
      <c r="AE339" s="125"/>
    </row>
    <row r="340" spans="1:31" ht="15.75" customHeight="1" x14ac:dyDescent="0.2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  <c r="AC340" s="122"/>
      <c r="AD340" s="125"/>
      <c r="AE340" s="125"/>
    </row>
    <row r="341" spans="1:31" ht="15.75" customHeight="1" x14ac:dyDescent="0.2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2"/>
      <c r="AD341" s="125"/>
      <c r="AE341" s="125"/>
    </row>
    <row r="342" spans="1:31" ht="15.75" customHeight="1" x14ac:dyDescent="0.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  <c r="AC342" s="122"/>
      <c r="AD342" s="125"/>
      <c r="AE342" s="125"/>
    </row>
    <row r="343" spans="1:31" ht="15.75" customHeight="1" x14ac:dyDescent="0.2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  <c r="AC343" s="122"/>
      <c r="AD343" s="125"/>
      <c r="AE343" s="125"/>
    </row>
    <row r="344" spans="1:31" ht="15.75" customHeight="1" x14ac:dyDescent="0.2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  <c r="AB344" s="125"/>
      <c r="AC344" s="122"/>
      <c r="AD344" s="125"/>
      <c r="AE344" s="125"/>
    </row>
    <row r="345" spans="1:31" ht="15.75" customHeight="1" x14ac:dyDescent="0.2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  <c r="AB345" s="125"/>
      <c r="AC345" s="122"/>
      <c r="AD345" s="125"/>
      <c r="AE345" s="125"/>
    </row>
    <row r="346" spans="1:31" ht="15.75" customHeight="1" x14ac:dyDescent="0.2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  <c r="AC346" s="122"/>
      <c r="AD346" s="125"/>
      <c r="AE346" s="125"/>
    </row>
    <row r="347" spans="1:31" ht="15.75" customHeight="1" x14ac:dyDescent="0.2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  <c r="AB347" s="125"/>
      <c r="AC347" s="122"/>
      <c r="AD347" s="125"/>
      <c r="AE347" s="125"/>
    </row>
    <row r="348" spans="1:31" ht="15.75" customHeight="1" x14ac:dyDescent="0.2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  <c r="AB348" s="125"/>
      <c r="AC348" s="122"/>
      <c r="AD348" s="125"/>
      <c r="AE348" s="125"/>
    </row>
    <row r="349" spans="1:31" ht="15.75" customHeight="1" x14ac:dyDescent="0.2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  <c r="AB349" s="125"/>
      <c r="AC349" s="122"/>
      <c r="AD349" s="125"/>
      <c r="AE349" s="125"/>
    </row>
    <row r="350" spans="1:31" ht="15.75" customHeight="1" x14ac:dyDescent="0.2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  <c r="AB350" s="125"/>
      <c r="AC350" s="122"/>
      <c r="AD350" s="125"/>
      <c r="AE350" s="125"/>
    </row>
    <row r="351" spans="1:31" ht="15.75" customHeight="1" x14ac:dyDescent="0.2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  <c r="AB351" s="125"/>
      <c r="AC351" s="122"/>
      <c r="AD351" s="125"/>
      <c r="AE351" s="125"/>
    </row>
    <row r="352" spans="1:31" ht="15.75" customHeight="1" x14ac:dyDescent="0.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  <c r="AB352" s="125"/>
      <c r="AC352" s="122"/>
      <c r="AD352" s="125"/>
      <c r="AE352" s="125"/>
    </row>
    <row r="353" spans="1:31" ht="15.75" customHeight="1" x14ac:dyDescent="0.2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  <c r="AB353" s="125"/>
      <c r="AC353" s="122"/>
      <c r="AD353" s="125"/>
      <c r="AE353" s="125"/>
    </row>
    <row r="354" spans="1:31" ht="15.75" customHeight="1" x14ac:dyDescent="0.2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  <c r="AB354" s="125"/>
      <c r="AC354" s="122"/>
      <c r="AD354" s="125"/>
      <c r="AE354" s="125"/>
    </row>
    <row r="355" spans="1:31" ht="15.75" customHeight="1" x14ac:dyDescent="0.2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  <c r="AB355" s="125"/>
      <c r="AC355" s="122"/>
      <c r="AD355" s="125"/>
      <c r="AE355" s="125"/>
    </row>
    <row r="356" spans="1:31" ht="15.75" customHeight="1" x14ac:dyDescent="0.2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  <c r="AB356" s="125"/>
      <c r="AC356" s="122"/>
      <c r="AD356" s="125"/>
      <c r="AE356" s="125"/>
    </row>
    <row r="357" spans="1:31" ht="15.75" customHeight="1" x14ac:dyDescent="0.2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  <c r="AB357" s="125"/>
      <c r="AC357" s="122"/>
      <c r="AD357" s="125"/>
      <c r="AE357" s="125"/>
    </row>
    <row r="358" spans="1:31" ht="15.75" customHeight="1" x14ac:dyDescent="0.2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  <c r="AB358" s="125"/>
      <c r="AC358" s="122"/>
      <c r="AD358" s="125"/>
      <c r="AE358" s="125"/>
    </row>
    <row r="359" spans="1:31" ht="15.75" customHeight="1" x14ac:dyDescent="0.2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  <c r="AB359" s="125"/>
      <c r="AC359" s="122"/>
      <c r="AD359" s="125"/>
      <c r="AE359" s="125"/>
    </row>
    <row r="360" spans="1:31" ht="15.75" customHeight="1" x14ac:dyDescent="0.2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  <c r="AB360" s="125"/>
      <c r="AC360" s="122"/>
      <c r="AD360" s="125"/>
      <c r="AE360" s="125"/>
    </row>
    <row r="361" spans="1:31" ht="15.75" customHeight="1" x14ac:dyDescent="0.2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  <c r="AB361" s="125"/>
      <c r="AC361" s="122"/>
      <c r="AD361" s="125"/>
      <c r="AE361" s="125"/>
    </row>
    <row r="362" spans="1:31" ht="15.75" customHeight="1" x14ac:dyDescent="0.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  <c r="AB362" s="125"/>
      <c r="AC362" s="122"/>
      <c r="AD362" s="125"/>
      <c r="AE362" s="125"/>
    </row>
    <row r="363" spans="1:31" ht="15.75" customHeight="1" x14ac:dyDescent="0.2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  <c r="AB363" s="125"/>
      <c r="AC363" s="122"/>
      <c r="AD363" s="125"/>
      <c r="AE363" s="125"/>
    </row>
    <row r="364" spans="1:31" ht="15.75" customHeight="1" x14ac:dyDescent="0.2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2"/>
      <c r="AD364" s="125"/>
      <c r="AE364" s="125"/>
    </row>
    <row r="365" spans="1:31" ht="15.75" customHeight="1" x14ac:dyDescent="0.2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  <c r="AB365" s="125"/>
      <c r="AC365" s="122"/>
      <c r="AD365" s="125"/>
      <c r="AE365" s="125"/>
    </row>
    <row r="366" spans="1:31" ht="15.75" customHeight="1" x14ac:dyDescent="0.2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  <c r="AB366" s="125"/>
      <c r="AC366" s="122"/>
      <c r="AD366" s="125"/>
      <c r="AE366" s="125"/>
    </row>
    <row r="367" spans="1:31" ht="15.75" customHeight="1" x14ac:dyDescent="0.2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  <c r="AB367" s="125"/>
      <c r="AC367" s="122"/>
      <c r="AD367" s="125"/>
      <c r="AE367" s="125"/>
    </row>
    <row r="368" spans="1:31" ht="15.75" customHeight="1" x14ac:dyDescent="0.2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  <c r="AB368" s="125"/>
      <c r="AC368" s="122"/>
      <c r="AD368" s="125"/>
      <c r="AE368" s="125"/>
    </row>
    <row r="369" spans="1:31" ht="15.75" customHeight="1" x14ac:dyDescent="0.2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  <c r="AB369" s="125"/>
      <c r="AC369" s="122"/>
      <c r="AD369" s="125"/>
      <c r="AE369" s="125"/>
    </row>
    <row r="370" spans="1:31" ht="15.75" customHeight="1" x14ac:dyDescent="0.2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  <c r="AB370" s="125"/>
      <c r="AC370" s="122"/>
      <c r="AD370" s="125"/>
      <c r="AE370" s="125"/>
    </row>
    <row r="371" spans="1:31" ht="15.75" customHeight="1" x14ac:dyDescent="0.2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  <c r="AB371" s="125"/>
      <c r="AC371" s="122"/>
      <c r="AD371" s="125"/>
      <c r="AE371" s="125"/>
    </row>
    <row r="372" spans="1:31" ht="15.75" customHeight="1" x14ac:dyDescent="0.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  <c r="AB372" s="125"/>
      <c r="AC372" s="122"/>
      <c r="AD372" s="125"/>
      <c r="AE372" s="125"/>
    </row>
    <row r="373" spans="1:31" ht="15.75" customHeight="1" x14ac:dyDescent="0.2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  <c r="AB373" s="125"/>
      <c r="AC373" s="122"/>
      <c r="AD373" s="125"/>
      <c r="AE373" s="125"/>
    </row>
    <row r="374" spans="1:31" ht="15.75" customHeight="1" x14ac:dyDescent="0.2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  <c r="AB374" s="125"/>
      <c r="AC374" s="122"/>
      <c r="AD374" s="125"/>
      <c r="AE374" s="125"/>
    </row>
    <row r="375" spans="1:31" ht="15.75" customHeight="1" x14ac:dyDescent="0.2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  <c r="AB375" s="125"/>
      <c r="AC375" s="122"/>
      <c r="AD375" s="125"/>
      <c r="AE375" s="125"/>
    </row>
    <row r="376" spans="1:31" ht="15.75" customHeight="1" x14ac:dyDescent="0.2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  <c r="AB376" s="125"/>
      <c r="AC376" s="122"/>
      <c r="AD376" s="125"/>
      <c r="AE376" s="125"/>
    </row>
    <row r="377" spans="1:31" ht="15.75" customHeight="1" x14ac:dyDescent="0.2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  <c r="AB377" s="125"/>
      <c r="AC377" s="122"/>
      <c r="AD377" s="125"/>
      <c r="AE377" s="125"/>
    </row>
    <row r="378" spans="1:31" ht="15.75" customHeight="1" x14ac:dyDescent="0.2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  <c r="AB378" s="125"/>
      <c r="AC378" s="122"/>
      <c r="AD378" s="125"/>
      <c r="AE378" s="125"/>
    </row>
    <row r="379" spans="1:31" ht="15.75" customHeight="1" x14ac:dyDescent="0.2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  <c r="AB379" s="125"/>
      <c r="AC379" s="122"/>
      <c r="AD379" s="125"/>
      <c r="AE379" s="125"/>
    </row>
    <row r="380" spans="1:31" ht="15.75" customHeight="1" x14ac:dyDescent="0.2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  <c r="AB380" s="125"/>
      <c r="AC380" s="122"/>
      <c r="AD380" s="125"/>
      <c r="AE380" s="125"/>
    </row>
    <row r="381" spans="1:31" ht="15.75" customHeight="1" x14ac:dyDescent="0.2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  <c r="AB381" s="125"/>
      <c r="AC381" s="122"/>
      <c r="AD381" s="125"/>
      <c r="AE381" s="125"/>
    </row>
    <row r="382" spans="1:31" ht="15.75" customHeight="1" x14ac:dyDescent="0.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  <c r="AB382" s="125"/>
      <c r="AC382" s="122"/>
      <c r="AD382" s="125"/>
      <c r="AE382" s="125"/>
    </row>
    <row r="383" spans="1:31" ht="15.75" customHeight="1" x14ac:dyDescent="0.2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  <c r="AB383" s="125"/>
      <c r="AC383" s="122"/>
      <c r="AD383" s="125"/>
      <c r="AE383" s="125"/>
    </row>
    <row r="384" spans="1:31" ht="15.75" customHeight="1" x14ac:dyDescent="0.2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  <c r="AB384" s="125"/>
      <c r="AC384" s="122"/>
      <c r="AD384" s="125"/>
      <c r="AE384" s="125"/>
    </row>
    <row r="385" spans="1:31" ht="15.75" customHeight="1" x14ac:dyDescent="0.2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  <c r="AB385" s="125"/>
      <c r="AC385" s="122"/>
      <c r="AD385" s="125"/>
      <c r="AE385" s="125"/>
    </row>
    <row r="386" spans="1:31" ht="15.75" customHeight="1" x14ac:dyDescent="0.2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  <c r="AB386" s="125"/>
      <c r="AC386" s="122"/>
      <c r="AD386" s="125"/>
      <c r="AE386" s="125"/>
    </row>
    <row r="387" spans="1:31" ht="15.75" customHeight="1" x14ac:dyDescent="0.2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  <c r="AB387" s="125"/>
      <c r="AC387" s="122"/>
      <c r="AD387" s="125"/>
      <c r="AE387" s="125"/>
    </row>
    <row r="388" spans="1:31" ht="15.75" customHeight="1" x14ac:dyDescent="0.2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  <c r="AB388" s="125"/>
      <c r="AC388" s="122"/>
      <c r="AD388" s="125"/>
      <c r="AE388" s="125"/>
    </row>
    <row r="389" spans="1:31" ht="15.75" customHeight="1" x14ac:dyDescent="0.2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  <c r="AB389" s="125"/>
      <c r="AC389" s="122"/>
      <c r="AD389" s="125"/>
      <c r="AE389" s="125"/>
    </row>
    <row r="390" spans="1:31" ht="15.75" customHeight="1" x14ac:dyDescent="0.2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  <c r="AB390" s="125"/>
      <c r="AC390" s="122"/>
      <c r="AD390" s="125"/>
      <c r="AE390" s="125"/>
    </row>
    <row r="391" spans="1:31" ht="15.75" customHeight="1" x14ac:dyDescent="0.2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  <c r="AB391" s="125"/>
      <c r="AC391" s="122"/>
      <c r="AD391" s="125"/>
      <c r="AE391" s="125"/>
    </row>
    <row r="392" spans="1:31" ht="15.75" customHeight="1" x14ac:dyDescent="0.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  <c r="AB392" s="125"/>
      <c r="AC392" s="122"/>
      <c r="AD392" s="125"/>
      <c r="AE392" s="125"/>
    </row>
    <row r="393" spans="1:31" ht="15.75" customHeight="1" x14ac:dyDescent="0.2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  <c r="AB393" s="125"/>
      <c r="AC393" s="122"/>
      <c r="AD393" s="125"/>
      <c r="AE393" s="125"/>
    </row>
    <row r="394" spans="1:31" ht="15.75" customHeight="1" x14ac:dyDescent="0.2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  <c r="AB394" s="125"/>
      <c r="AC394" s="122"/>
      <c r="AD394" s="125"/>
      <c r="AE394" s="125"/>
    </row>
    <row r="395" spans="1:31" ht="15.75" customHeight="1" x14ac:dyDescent="0.2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  <c r="AB395" s="125"/>
      <c r="AC395" s="122"/>
      <c r="AD395" s="125"/>
      <c r="AE395" s="125"/>
    </row>
    <row r="396" spans="1:31" ht="15.75" customHeight="1" x14ac:dyDescent="0.2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  <c r="AB396" s="125"/>
      <c r="AC396" s="122"/>
      <c r="AD396" s="125"/>
      <c r="AE396" s="125"/>
    </row>
    <row r="397" spans="1:31" ht="15.75" customHeight="1" x14ac:dyDescent="0.2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  <c r="AB397" s="125"/>
      <c r="AC397" s="122"/>
      <c r="AD397" s="125"/>
      <c r="AE397" s="125"/>
    </row>
    <row r="398" spans="1:31" ht="15.75" customHeight="1" x14ac:dyDescent="0.2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  <c r="AB398" s="125"/>
      <c r="AC398" s="122"/>
      <c r="AD398" s="125"/>
      <c r="AE398" s="125"/>
    </row>
    <row r="399" spans="1:31" ht="15.75" customHeight="1" x14ac:dyDescent="0.2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  <c r="AB399" s="125"/>
      <c r="AC399" s="122"/>
      <c r="AD399" s="125"/>
      <c r="AE399" s="125"/>
    </row>
    <row r="400" spans="1:31" ht="15.75" customHeight="1" x14ac:dyDescent="0.2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  <c r="AB400" s="125"/>
      <c r="AC400" s="122"/>
      <c r="AD400" s="125"/>
      <c r="AE400" s="125"/>
    </row>
    <row r="401" spans="1:31" ht="15.75" customHeight="1" x14ac:dyDescent="0.2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  <c r="AB401" s="125"/>
      <c r="AC401" s="122"/>
      <c r="AD401" s="125"/>
      <c r="AE401" s="125"/>
    </row>
    <row r="402" spans="1:31" ht="15.75" customHeight="1" x14ac:dyDescent="0.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  <c r="AB402" s="125"/>
      <c r="AC402" s="122"/>
      <c r="AD402" s="125"/>
      <c r="AE402" s="125"/>
    </row>
    <row r="403" spans="1:31" ht="15.75" customHeight="1" x14ac:dyDescent="0.2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  <c r="AB403" s="125"/>
      <c r="AC403" s="122"/>
      <c r="AD403" s="125"/>
      <c r="AE403" s="125"/>
    </row>
    <row r="404" spans="1:31" ht="15.75" customHeight="1" x14ac:dyDescent="0.2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  <c r="AB404" s="125"/>
      <c r="AC404" s="122"/>
      <c r="AD404" s="125"/>
      <c r="AE404" s="125"/>
    </row>
    <row r="405" spans="1:31" ht="15.75" customHeight="1" x14ac:dyDescent="0.2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  <c r="AB405" s="125"/>
      <c r="AC405" s="122"/>
      <c r="AD405" s="125"/>
      <c r="AE405" s="125"/>
    </row>
    <row r="406" spans="1:31" ht="15.75" customHeight="1" x14ac:dyDescent="0.2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  <c r="AB406" s="125"/>
      <c r="AC406" s="122"/>
      <c r="AD406" s="125"/>
      <c r="AE406" s="125"/>
    </row>
    <row r="407" spans="1:31" ht="15.75" customHeight="1" x14ac:dyDescent="0.2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  <c r="AB407" s="125"/>
      <c r="AC407" s="122"/>
      <c r="AD407" s="125"/>
      <c r="AE407" s="125"/>
    </row>
    <row r="408" spans="1:31" ht="15.75" customHeight="1" x14ac:dyDescent="0.2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  <c r="AB408" s="125"/>
      <c r="AC408" s="122"/>
      <c r="AD408" s="125"/>
      <c r="AE408" s="125"/>
    </row>
    <row r="409" spans="1:31" ht="15.75" customHeight="1" x14ac:dyDescent="0.2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  <c r="AB409" s="125"/>
      <c r="AC409" s="122"/>
      <c r="AD409" s="125"/>
      <c r="AE409" s="125"/>
    </row>
    <row r="410" spans="1:31" ht="15.75" customHeight="1" x14ac:dyDescent="0.2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  <c r="AB410" s="125"/>
      <c r="AC410" s="122"/>
      <c r="AD410" s="125"/>
      <c r="AE410" s="125"/>
    </row>
    <row r="411" spans="1:31" ht="15.75" customHeight="1" x14ac:dyDescent="0.2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  <c r="AB411" s="125"/>
      <c r="AC411" s="122"/>
      <c r="AD411" s="125"/>
      <c r="AE411" s="125"/>
    </row>
    <row r="412" spans="1:31" ht="15.75" customHeight="1" x14ac:dyDescent="0.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  <c r="AB412" s="125"/>
      <c r="AC412" s="122"/>
      <c r="AD412" s="125"/>
      <c r="AE412" s="125"/>
    </row>
    <row r="413" spans="1:31" ht="15.75" customHeight="1" x14ac:dyDescent="0.2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  <c r="AB413" s="125"/>
      <c r="AC413" s="122"/>
      <c r="AD413" s="125"/>
      <c r="AE413" s="125"/>
    </row>
    <row r="414" spans="1:31" ht="15.75" customHeight="1" x14ac:dyDescent="0.2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  <c r="AB414" s="125"/>
      <c r="AC414" s="122"/>
      <c r="AD414" s="125"/>
      <c r="AE414" s="125"/>
    </row>
    <row r="415" spans="1:31" ht="15.75" customHeight="1" x14ac:dyDescent="0.2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  <c r="AB415" s="125"/>
      <c r="AC415" s="122"/>
      <c r="AD415" s="125"/>
      <c r="AE415" s="125"/>
    </row>
    <row r="416" spans="1:31" ht="15.75" customHeight="1" x14ac:dyDescent="0.2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  <c r="AB416" s="125"/>
      <c r="AC416" s="122"/>
      <c r="AD416" s="125"/>
      <c r="AE416" s="125"/>
    </row>
    <row r="417" spans="1:31" ht="15.75" customHeight="1" x14ac:dyDescent="0.2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  <c r="AB417" s="125"/>
      <c r="AC417" s="122"/>
      <c r="AD417" s="125"/>
      <c r="AE417" s="125"/>
    </row>
    <row r="418" spans="1:31" ht="15.75" customHeight="1" x14ac:dyDescent="0.2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  <c r="AB418" s="125"/>
      <c r="AC418" s="122"/>
      <c r="AD418" s="125"/>
      <c r="AE418" s="125"/>
    </row>
    <row r="419" spans="1:31" ht="15.75" customHeight="1" x14ac:dyDescent="0.2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  <c r="AB419" s="125"/>
      <c r="AC419" s="122"/>
      <c r="AD419" s="125"/>
      <c r="AE419" s="125"/>
    </row>
    <row r="420" spans="1:31" ht="15.75" customHeight="1" x14ac:dyDescent="0.2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  <c r="AB420" s="125"/>
      <c r="AC420" s="122"/>
      <c r="AD420" s="125"/>
      <c r="AE420" s="125"/>
    </row>
    <row r="421" spans="1:31" ht="15.75" customHeight="1" x14ac:dyDescent="0.2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  <c r="AB421" s="125"/>
      <c r="AC421" s="122"/>
      <c r="AD421" s="125"/>
      <c r="AE421" s="125"/>
    </row>
    <row r="422" spans="1:31" ht="15.75" customHeight="1" x14ac:dyDescent="0.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  <c r="AB422" s="125"/>
      <c r="AC422" s="122"/>
      <c r="AD422" s="125"/>
      <c r="AE422" s="125"/>
    </row>
    <row r="423" spans="1:31" ht="15.75" customHeight="1" x14ac:dyDescent="0.2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  <c r="AB423" s="125"/>
      <c r="AC423" s="122"/>
      <c r="AD423" s="125"/>
      <c r="AE423" s="125"/>
    </row>
    <row r="424" spans="1:31" ht="15.75" customHeight="1" x14ac:dyDescent="0.2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  <c r="AB424" s="125"/>
      <c r="AC424" s="122"/>
      <c r="AD424" s="125"/>
      <c r="AE424" s="125"/>
    </row>
    <row r="425" spans="1:31" ht="15.75" customHeight="1" x14ac:dyDescent="0.2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  <c r="AB425" s="125"/>
      <c r="AC425" s="122"/>
      <c r="AD425" s="125"/>
      <c r="AE425" s="125"/>
    </row>
    <row r="426" spans="1:31" ht="15.75" customHeight="1" x14ac:dyDescent="0.2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  <c r="AB426" s="125"/>
      <c r="AC426" s="122"/>
      <c r="AD426" s="125"/>
      <c r="AE426" s="125"/>
    </row>
    <row r="427" spans="1:31" ht="15.75" customHeight="1" x14ac:dyDescent="0.2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  <c r="AB427" s="125"/>
      <c r="AC427" s="122"/>
      <c r="AD427" s="125"/>
      <c r="AE427" s="125"/>
    </row>
    <row r="428" spans="1:31" ht="15.75" customHeight="1" x14ac:dyDescent="0.2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  <c r="AB428" s="125"/>
      <c r="AC428" s="122"/>
      <c r="AD428" s="125"/>
      <c r="AE428" s="125"/>
    </row>
    <row r="429" spans="1:31" ht="15.75" customHeight="1" x14ac:dyDescent="0.2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  <c r="AB429" s="125"/>
      <c r="AC429" s="122"/>
      <c r="AD429" s="125"/>
      <c r="AE429" s="125"/>
    </row>
    <row r="430" spans="1:31" ht="15.75" customHeight="1" x14ac:dyDescent="0.2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  <c r="AB430" s="125"/>
      <c r="AC430" s="122"/>
      <c r="AD430" s="125"/>
      <c r="AE430" s="125"/>
    </row>
    <row r="431" spans="1:31" ht="15.75" customHeight="1" x14ac:dyDescent="0.2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  <c r="AB431" s="125"/>
      <c r="AC431" s="122"/>
      <c r="AD431" s="125"/>
      <c r="AE431" s="125"/>
    </row>
    <row r="432" spans="1:31" ht="15.75" customHeight="1" x14ac:dyDescent="0.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  <c r="AB432" s="125"/>
      <c r="AC432" s="122"/>
      <c r="AD432" s="125"/>
      <c r="AE432" s="125"/>
    </row>
    <row r="433" spans="1:31" ht="15.75" customHeight="1" x14ac:dyDescent="0.2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  <c r="AB433" s="125"/>
      <c r="AC433" s="122"/>
      <c r="AD433" s="125"/>
      <c r="AE433" s="125"/>
    </row>
    <row r="434" spans="1:31" ht="15.75" customHeight="1" x14ac:dyDescent="0.2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  <c r="AB434" s="125"/>
      <c r="AC434" s="122"/>
      <c r="AD434" s="125"/>
      <c r="AE434" s="125"/>
    </row>
    <row r="435" spans="1:31" ht="15.75" customHeight="1" x14ac:dyDescent="0.2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  <c r="AB435" s="125"/>
      <c r="AC435" s="122"/>
      <c r="AD435" s="125"/>
      <c r="AE435" s="125"/>
    </row>
    <row r="436" spans="1:31" ht="15.75" customHeight="1" x14ac:dyDescent="0.2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  <c r="AB436" s="125"/>
      <c r="AC436" s="122"/>
      <c r="AD436" s="125"/>
      <c r="AE436" s="125"/>
    </row>
    <row r="437" spans="1:31" ht="15.75" customHeight="1" x14ac:dyDescent="0.2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  <c r="AB437" s="125"/>
      <c r="AC437" s="122"/>
      <c r="AD437" s="125"/>
      <c r="AE437" s="125"/>
    </row>
    <row r="438" spans="1:31" ht="15.75" customHeight="1" x14ac:dyDescent="0.2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  <c r="AB438" s="125"/>
      <c r="AC438" s="122"/>
      <c r="AD438" s="125"/>
      <c r="AE438" s="125"/>
    </row>
    <row r="439" spans="1:31" ht="15.75" customHeight="1" x14ac:dyDescent="0.2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  <c r="AB439" s="125"/>
      <c r="AC439" s="122"/>
      <c r="AD439" s="125"/>
      <c r="AE439" s="125"/>
    </row>
    <row r="440" spans="1:31" ht="15.75" customHeight="1" x14ac:dyDescent="0.2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  <c r="AB440" s="125"/>
      <c r="AC440" s="122"/>
      <c r="AD440" s="125"/>
      <c r="AE440" s="125"/>
    </row>
    <row r="441" spans="1:31" ht="15.75" customHeight="1" x14ac:dyDescent="0.2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  <c r="AB441" s="125"/>
      <c r="AC441" s="122"/>
      <c r="AD441" s="125"/>
      <c r="AE441" s="125"/>
    </row>
    <row r="442" spans="1:31" ht="15.75" customHeight="1" x14ac:dyDescent="0.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  <c r="AB442" s="125"/>
      <c r="AC442" s="122"/>
      <c r="AD442" s="125"/>
      <c r="AE442" s="125"/>
    </row>
    <row r="443" spans="1:31" ht="15.75" customHeight="1" x14ac:dyDescent="0.2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  <c r="AB443" s="125"/>
      <c r="AC443" s="122"/>
      <c r="AD443" s="125"/>
      <c r="AE443" s="125"/>
    </row>
    <row r="444" spans="1:31" ht="15.75" customHeight="1" x14ac:dyDescent="0.2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  <c r="AB444" s="125"/>
      <c r="AC444" s="122"/>
      <c r="AD444" s="125"/>
      <c r="AE444" s="125"/>
    </row>
    <row r="445" spans="1:31" ht="15.75" customHeight="1" x14ac:dyDescent="0.2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  <c r="AB445" s="125"/>
      <c r="AC445" s="122"/>
      <c r="AD445" s="125"/>
      <c r="AE445" s="125"/>
    </row>
    <row r="446" spans="1:31" ht="15.75" customHeight="1" x14ac:dyDescent="0.2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  <c r="AB446" s="125"/>
      <c r="AC446" s="122"/>
      <c r="AD446" s="125"/>
      <c r="AE446" s="125"/>
    </row>
    <row r="447" spans="1:31" ht="15.75" customHeight="1" x14ac:dyDescent="0.2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  <c r="AB447" s="125"/>
      <c r="AC447" s="122"/>
      <c r="AD447" s="125"/>
      <c r="AE447" s="125"/>
    </row>
    <row r="448" spans="1:31" ht="15.75" customHeight="1" x14ac:dyDescent="0.2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  <c r="AB448" s="125"/>
      <c r="AC448" s="122"/>
      <c r="AD448" s="125"/>
      <c r="AE448" s="125"/>
    </row>
    <row r="449" spans="1:31" ht="15.75" customHeight="1" x14ac:dyDescent="0.2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  <c r="AB449" s="125"/>
      <c r="AC449" s="122"/>
      <c r="AD449" s="125"/>
      <c r="AE449" s="125"/>
    </row>
    <row r="450" spans="1:31" ht="15.75" customHeight="1" x14ac:dyDescent="0.2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  <c r="AB450" s="125"/>
      <c r="AC450" s="122"/>
      <c r="AD450" s="125"/>
      <c r="AE450" s="125"/>
    </row>
    <row r="451" spans="1:31" ht="15.75" customHeight="1" x14ac:dyDescent="0.2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  <c r="AB451" s="125"/>
      <c r="AC451" s="122"/>
      <c r="AD451" s="125"/>
      <c r="AE451" s="125"/>
    </row>
    <row r="452" spans="1:31" ht="15.75" customHeight="1" x14ac:dyDescent="0.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  <c r="AB452" s="125"/>
      <c r="AC452" s="122"/>
      <c r="AD452" s="125"/>
      <c r="AE452" s="125"/>
    </row>
    <row r="453" spans="1:31" ht="15.75" customHeight="1" x14ac:dyDescent="0.2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  <c r="AB453" s="125"/>
      <c r="AC453" s="122"/>
      <c r="AD453" s="125"/>
      <c r="AE453" s="125"/>
    </row>
    <row r="454" spans="1:31" ht="15.75" customHeight="1" x14ac:dyDescent="0.2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  <c r="AB454" s="125"/>
      <c r="AC454" s="122"/>
      <c r="AD454" s="125"/>
      <c r="AE454" s="125"/>
    </row>
    <row r="455" spans="1:31" ht="15.75" customHeight="1" x14ac:dyDescent="0.2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  <c r="AB455" s="125"/>
      <c r="AC455" s="122"/>
      <c r="AD455" s="125"/>
      <c r="AE455" s="125"/>
    </row>
    <row r="456" spans="1:31" ht="15.75" customHeight="1" x14ac:dyDescent="0.2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  <c r="AB456" s="125"/>
      <c r="AC456" s="122"/>
      <c r="AD456" s="125"/>
      <c r="AE456" s="125"/>
    </row>
    <row r="457" spans="1:31" ht="15.75" customHeight="1" x14ac:dyDescent="0.2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  <c r="AB457" s="125"/>
      <c r="AC457" s="122"/>
      <c r="AD457" s="125"/>
      <c r="AE457" s="125"/>
    </row>
    <row r="458" spans="1:31" ht="15.75" customHeight="1" x14ac:dyDescent="0.2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  <c r="AB458" s="125"/>
      <c r="AC458" s="122"/>
      <c r="AD458" s="125"/>
      <c r="AE458" s="125"/>
    </row>
    <row r="459" spans="1:31" ht="15.75" customHeight="1" x14ac:dyDescent="0.2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  <c r="AB459" s="125"/>
      <c r="AC459" s="122"/>
      <c r="AD459" s="125"/>
      <c r="AE459" s="125"/>
    </row>
    <row r="460" spans="1:31" ht="15.75" customHeight="1" x14ac:dyDescent="0.2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  <c r="AB460" s="125"/>
      <c r="AC460" s="122"/>
      <c r="AD460" s="125"/>
      <c r="AE460" s="125"/>
    </row>
    <row r="461" spans="1:31" ht="15.75" customHeight="1" x14ac:dyDescent="0.2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  <c r="AB461" s="125"/>
      <c r="AC461" s="122"/>
      <c r="AD461" s="125"/>
      <c r="AE461" s="125"/>
    </row>
    <row r="462" spans="1:31" ht="15.75" customHeight="1" x14ac:dyDescent="0.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  <c r="AB462" s="125"/>
      <c r="AC462" s="122"/>
      <c r="AD462" s="125"/>
      <c r="AE462" s="125"/>
    </row>
    <row r="463" spans="1:31" ht="15.75" customHeight="1" x14ac:dyDescent="0.2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  <c r="AB463" s="125"/>
      <c r="AC463" s="122"/>
      <c r="AD463" s="125"/>
      <c r="AE463" s="125"/>
    </row>
    <row r="464" spans="1:31" ht="15.75" customHeight="1" x14ac:dyDescent="0.2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  <c r="AB464" s="125"/>
      <c r="AC464" s="122"/>
      <c r="AD464" s="125"/>
      <c r="AE464" s="125"/>
    </row>
    <row r="465" spans="1:31" ht="15.75" customHeight="1" x14ac:dyDescent="0.2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  <c r="AB465" s="125"/>
      <c r="AC465" s="122"/>
      <c r="AD465" s="125"/>
      <c r="AE465" s="125"/>
    </row>
    <row r="466" spans="1:31" ht="15.75" customHeight="1" x14ac:dyDescent="0.2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  <c r="AB466" s="125"/>
      <c r="AC466" s="122"/>
      <c r="AD466" s="125"/>
      <c r="AE466" s="125"/>
    </row>
    <row r="467" spans="1:31" ht="15.75" customHeight="1" x14ac:dyDescent="0.2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  <c r="AB467" s="125"/>
      <c r="AC467" s="122"/>
      <c r="AD467" s="125"/>
      <c r="AE467" s="125"/>
    </row>
    <row r="468" spans="1:31" ht="15.75" customHeight="1" x14ac:dyDescent="0.2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  <c r="AB468" s="125"/>
      <c r="AC468" s="122"/>
      <c r="AD468" s="125"/>
      <c r="AE468" s="125"/>
    </row>
    <row r="469" spans="1:31" ht="15.75" customHeight="1" x14ac:dyDescent="0.2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  <c r="AB469" s="125"/>
      <c r="AC469" s="122"/>
      <c r="AD469" s="125"/>
      <c r="AE469" s="125"/>
    </row>
    <row r="470" spans="1:31" ht="15.75" customHeight="1" x14ac:dyDescent="0.2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  <c r="AB470" s="125"/>
      <c r="AC470" s="122"/>
      <c r="AD470" s="125"/>
      <c r="AE470" s="125"/>
    </row>
    <row r="471" spans="1:31" ht="15.75" customHeight="1" x14ac:dyDescent="0.2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  <c r="AB471" s="125"/>
      <c r="AC471" s="122"/>
      <c r="AD471" s="125"/>
      <c r="AE471" s="125"/>
    </row>
    <row r="472" spans="1:31" ht="15.75" customHeight="1" x14ac:dyDescent="0.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  <c r="AB472" s="125"/>
      <c r="AC472" s="122"/>
      <c r="AD472" s="125"/>
      <c r="AE472" s="125"/>
    </row>
    <row r="473" spans="1:31" ht="15.75" customHeight="1" x14ac:dyDescent="0.2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  <c r="AB473" s="125"/>
      <c r="AC473" s="122"/>
      <c r="AD473" s="125"/>
      <c r="AE473" s="125"/>
    </row>
    <row r="474" spans="1:31" ht="15.75" customHeight="1" x14ac:dyDescent="0.2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  <c r="AB474" s="125"/>
      <c r="AC474" s="122"/>
      <c r="AD474" s="125"/>
      <c r="AE474" s="125"/>
    </row>
    <row r="475" spans="1:31" ht="15.75" customHeight="1" x14ac:dyDescent="0.2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  <c r="AB475" s="125"/>
      <c r="AC475" s="122"/>
      <c r="AD475" s="125"/>
      <c r="AE475" s="125"/>
    </row>
    <row r="476" spans="1:31" ht="15.75" customHeight="1" x14ac:dyDescent="0.2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  <c r="AB476" s="125"/>
      <c r="AC476" s="122"/>
      <c r="AD476" s="125"/>
      <c r="AE476" s="125"/>
    </row>
    <row r="477" spans="1:31" ht="15.75" customHeight="1" x14ac:dyDescent="0.2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  <c r="AB477" s="125"/>
      <c r="AC477" s="122"/>
      <c r="AD477" s="125"/>
      <c r="AE477" s="125"/>
    </row>
    <row r="478" spans="1:31" ht="15.75" customHeight="1" x14ac:dyDescent="0.2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  <c r="AB478" s="125"/>
      <c r="AC478" s="122"/>
      <c r="AD478" s="125"/>
      <c r="AE478" s="125"/>
    </row>
    <row r="479" spans="1:31" ht="15.75" customHeight="1" x14ac:dyDescent="0.2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  <c r="AB479" s="125"/>
      <c r="AC479" s="122"/>
      <c r="AD479" s="125"/>
      <c r="AE479" s="125"/>
    </row>
    <row r="480" spans="1:31" ht="15.75" customHeight="1" x14ac:dyDescent="0.2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  <c r="AB480" s="125"/>
      <c r="AC480" s="122"/>
      <c r="AD480" s="125"/>
      <c r="AE480" s="125"/>
    </row>
    <row r="481" spans="1:31" ht="15.75" customHeight="1" x14ac:dyDescent="0.2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  <c r="AB481" s="125"/>
      <c r="AC481" s="122"/>
      <c r="AD481" s="125"/>
      <c r="AE481" s="125"/>
    </row>
    <row r="482" spans="1:31" ht="15.75" customHeight="1" x14ac:dyDescent="0.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  <c r="AB482" s="125"/>
      <c r="AC482" s="122"/>
      <c r="AD482" s="125"/>
      <c r="AE482" s="125"/>
    </row>
    <row r="483" spans="1:31" ht="15.75" customHeight="1" x14ac:dyDescent="0.2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  <c r="AB483" s="125"/>
      <c r="AC483" s="122"/>
      <c r="AD483" s="125"/>
      <c r="AE483" s="125"/>
    </row>
    <row r="484" spans="1:31" ht="15.75" customHeight="1" x14ac:dyDescent="0.2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  <c r="AB484" s="125"/>
      <c r="AC484" s="122"/>
      <c r="AD484" s="125"/>
      <c r="AE484" s="125"/>
    </row>
    <row r="485" spans="1:31" ht="15.75" customHeight="1" x14ac:dyDescent="0.2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  <c r="AB485" s="125"/>
      <c r="AC485" s="122"/>
      <c r="AD485" s="125"/>
      <c r="AE485" s="125"/>
    </row>
    <row r="486" spans="1:31" ht="15.75" customHeight="1" x14ac:dyDescent="0.2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  <c r="AB486" s="125"/>
      <c r="AC486" s="122"/>
      <c r="AD486" s="125"/>
      <c r="AE486" s="125"/>
    </row>
    <row r="487" spans="1:31" ht="15.75" customHeight="1" x14ac:dyDescent="0.2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  <c r="AB487" s="125"/>
      <c r="AC487" s="122"/>
      <c r="AD487" s="125"/>
      <c r="AE487" s="125"/>
    </row>
    <row r="488" spans="1:31" ht="15.75" customHeight="1" x14ac:dyDescent="0.2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B488" s="125"/>
      <c r="AC488" s="122"/>
      <c r="AD488" s="125"/>
      <c r="AE488" s="125"/>
    </row>
    <row r="489" spans="1:31" ht="15.75" customHeight="1" x14ac:dyDescent="0.2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  <c r="AB489" s="125"/>
      <c r="AC489" s="122"/>
      <c r="AD489" s="125"/>
      <c r="AE489" s="125"/>
    </row>
    <row r="490" spans="1:31" ht="15.75" customHeight="1" x14ac:dyDescent="0.2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  <c r="AB490" s="125"/>
      <c r="AC490" s="122"/>
      <c r="AD490" s="125"/>
      <c r="AE490" s="125"/>
    </row>
    <row r="491" spans="1:31" ht="15.75" customHeight="1" x14ac:dyDescent="0.2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  <c r="AB491" s="125"/>
      <c r="AC491" s="122"/>
      <c r="AD491" s="125"/>
      <c r="AE491" s="125"/>
    </row>
    <row r="492" spans="1:31" ht="15.75" customHeight="1" x14ac:dyDescent="0.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  <c r="AB492" s="125"/>
      <c r="AC492" s="122"/>
      <c r="AD492" s="125"/>
      <c r="AE492" s="125"/>
    </row>
    <row r="493" spans="1:31" ht="15.75" customHeight="1" x14ac:dyDescent="0.2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  <c r="AB493" s="125"/>
      <c r="AC493" s="122"/>
      <c r="AD493" s="125"/>
      <c r="AE493" s="125"/>
    </row>
    <row r="494" spans="1:31" ht="15.75" customHeight="1" x14ac:dyDescent="0.2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  <c r="AB494" s="125"/>
      <c r="AC494" s="122"/>
      <c r="AD494" s="125"/>
      <c r="AE494" s="125"/>
    </row>
    <row r="495" spans="1:31" ht="15.75" customHeight="1" x14ac:dyDescent="0.2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  <c r="AB495" s="125"/>
      <c r="AC495" s="122"/>
      <c r="AD495" s="125"/>
      <c r="AE495" s="125"/>
    </row>
    <row r="496" spans="1:31" ht="15.75" customHeight="1" x14ac:dyDescent="0.2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  <c r="AB496" s="125"/>
      <c r="AC496" s="122"/>
      <c r="AD496" s="125"/>
      <c r="AE496" s="125"/>
    </row>
    <row r="497" spans="1:31" ht="15.75" customHeight="1" x14ac:dyDescent="0.2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  <c r="AB497" s="125"/>
      <c r="AC497" s="122"/>
      <c r="AD497" s="125"/>
      <c r="AE497" s="125"/>
    </row>
    <row r="498" spans="1:31" ht="15.75" customHeight="1" x14ac:dyDescent="0.2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  <c r="AB498" s="125"/>
      <c r="AC498" s="122"/>
      <c r="AD498" s="125"/>
      <c r="AE498" s="125"/>
    </row>
    <row r="499" spans="1:31" ht="15.75" customHeight="1" x14ac:dyDescent="0.2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  <c r="AB499" s="125"/>
      <c r="AC499" s="122"/>
      <c r="AD499" s="125"/>
      <c r="AE499" s="125"/>
    </row>
    <row r="500" spans="1:31" ht="15.75" customHeight="1" x14ac:dyDescent="0.2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  <c r="AB500" s="125"/>
      <c r="AC500" s="122"/>
      <c r="AD500" s="125"/>
      <c r="AE500" s="125"/>
    </row>
    <row r="501" spans="1:31" ht="15.75" customHeight="1" x14ac:dyDescent="0.2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  <c r="AB501" s="125"/>
      <c r="AC501" s="122"/>
      <c r="AD501" s="125"/>
      <c r="AE501" s="125"/>
    </row>
    <row r="502" spans="1:31" ht="15.75" customHeight="1" x14ac:dyDescent="0.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  <c r="AB502" s="125"/>
      <c r="AC502" s="122"/>
      <c r="AD502" s="125"/>
      <c r="AE502" s="125"/>
    </row>
    <row r="503" spans="1:31" ht="15.75" customHeight="1" x14ac:dyDescent="0.2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  <c r="AB503" s="125"/>
      <c r="AC503" s="122"/>
      <c r="AD503" s="125"/>
      <c r="AE503" s="125"/>
    </row>
    <row r="504" spans="1:31" ht="15.75" customHeight="1" x14ac:dyDescent="0.2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  <c r="AB504" s="125"/>
      <c r="AC504" s="122"/>
      <c r="AD504" s="125"/>
      <c r="AE504" s="125"/>
    </row>
    <row r="505" spans="1:31" ht="15.75" customHeight="1" x14ac:dyDescent="0.2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  <c r="AB505" s="125"/>
      <c r="AC505" s="122"/>
      <c r="AD505" s="125"/>
      <c r="AE505" s="125"/>
    </row>
    <row r="506" spans="1:31" ht="15.75" customHeight="1" x14ac:dyDescent="0.2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  <c r="AB506" s="125"/>
      <c r="AC506" s="122"/>
      <c r="AD506" s="125"/>
      <c r="AE506" s="125"/>
    </row>
    <row r="507" spans="1:31" ht="15.75" customHeight="1" x14ac:dyDescent="0.2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  <c r="AB507" s="125"/>
      <c r="AC507" s="122"/>
      <c r="AD507" s="125"/>
      <c r="AE507" s="125"/>
    </row>
    <row r="508" spans="1:31" ht="15.75" customHeight="1" x14ac:dyDescent="0.2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  <c r="AB508" s="125"/>
      <c r="AC508" s="122"/>
      <c r="AD508" s="125"/>
      <c r="AE508" s="125"/>
    </row>
    <row r="509" spans="1:31" ht="15.75" customHeight="1" x14ac:dyDescent="0.2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  <c r="AB509" s="125"/>
      <c r="AC509" s="122"/>
      <c r="AD509" s="125"/>
      <c r="AE509" s="125"/>
    </row>
    <row r="510" spans="1:31" ht="15.75" customHeight="1" x14ac:dyDescent="0.2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  <c r="AB510" s="125"/>
      <c r="AC510" s="122"/>
      <c r="AD510" s="125"/>
      <c r="AE510" s="125"/>
    </row>
    <row r="511" spans="1:31" ht="15.75" customHeight="1" x14ac:dyDescent="0.2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2"/>
      <c r="AD511" s="125"/>
      <c r="AE511" s="125"/>
    </row>
    <row r="512" spans="1:31" ht="15.75" customHeight="1" x14ac:dyDescent="0.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2"/>
      <c r="AD512" s="125"/>
      <c r="AE512" s="125"/>
    </row>
    <row r="513" spans="1:31" ht="15.75" customHeight="1" x14ac:dyDescent="0.2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2"/>
      <c r="AD513" s="125"/>
      <c r="AE513" s="125"/>
    </row>
    <row r="514" spans="1:31" ht="15.75" customHeight="1" x14ac:dyDescent="0.2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2"/>
      <c r="AD514" s="125"/>
      <c r="AE514" s="125"/>
    </row>
    <row r="515" spans="1:31" ht="15.75" customHeight="1" x14ac:dyDescent="0.2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  <c r="AB515" s="125"/>
      <c r="AC515" s="122"/>
      <c r="AD515" s="125"/>
      <c r="AE515" s="125"/>
    </row>
    <row r="516" spans="1:31" ht="15.75" customHeight="1" x14ac:dyDescent="0.2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  <c r="AB516" s="125"/>
      <c r="AC516" s="122"/>
      <c r="AD516" s="125"/>
      <c r="AE516" s="125"/>
    </row>
    <row r="517" spans="1:31" ht="15.75" customHeight="1" x14ac:dyDescent="0.2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  <c r="AB517" s="125"/>
      <c r="AC517" s="122"/>
      <c r="AD517" s="125"/>
      <c r="AE517" s="125"/>
    </row>
    <row r="518" spans="1:31" ht="15.75" customHeight="1" x14ac:dyDescent="0.2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  <c r="AB518" s="125"/>
      <c r="AC518" s="122"/>
      <c r="AD518" s="125"/>
      <c r="AE518" s="125"/>
    </row>
    <row r="519" spans="1:31" ht="15.75" customHeight="1" x14ac:dyDescent="0.2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  <c r="AB519" s="125"/>
      <c r="AC519" s="122"/>
      <c r="AD519" s="125"/>
      <c r="AE519" s="125"/>
    </row>
    <row r="520" spans="1:31" ht="15.75" customHeight="1" x14ac:dyDescent="0.2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  <c r="AB520" s="125"/>
      <c r="AC520" s="122"/>
      <c r="AD520" s="125"/>
      <c r="AE520" s="125"/>
    </row>
    <row r="521" spans="1:31" ht="15.75" customHeight="1" x14ac:dyDescent="0.2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  <c r="AB521" s="125"/>
      <c r="AC521" s="122"/>
      <c r="AD521" s="125"/>
      <c r="AE521" s="125"/>
    </row>
    <row r="522" spans="1:31" ht="15.75" customHeight="1" x14ac:dyDescent="0.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  <c r="AB522" s="125"/>
      <c r="AC522" s="122"/>
      <c r="AD522" s="125"/>
      <c r="AE522" s="125"/>
    </row>
    <row r="523" spans="1:31" ht="15.75" customHeight="1" x14ac:dyDescent="0.2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  <c r="AB523" s="125"/>
      <c r="AC523" s="122"/>
      <c r="AD523" s="125"/>
      <c r="AE523" s="125"/>
    </row>
    <row r="524" spans="1:31" ht="15.75" customHeight="1" x14ac:dyDescent="0.2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  <c r="AB524" s="125"/>
      <c r="AC524" s="122"/>
      <c r="AD524" s="125"/>
      <c r="AE524" s="125"/>
    </row>
    <row r="525" spans="1:31" ht="15.75" customHeight="1" x14ac:dyDescent="0.2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  <c r="AB525" s="125"/>
      <c r="AC525" s="122"/>
      <c r="AD525" s="125"/>
      <c r="AE525" s="125"/>
    </row>
    <row r="526" spans="1:31" ht="15.75" customHeight="1" x14ac:dyDescent="0.2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  <c r="AB526" s="125"/>
      <c r="AC526" s="122"/>
      <c r="AD526" s="125"/>
      <c r="AE526" s="125"/>
    </row>
    <row r="527" spans="1:31" ht="15.75" customHeight="1" x14ac:dyDescent="0.2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  <c r="AB527" s="125"/>
      <c r="AC527" s="122"/>
      <c r="AD527" s="125"/>
      <c r="AE527" s="125"/>
    </row>
    <row r="528" spans="1:31" ht="15.75" customHeight="1" x14ac:dyDescent="0.2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  <c r="AB528" s="125"/>
      <c r="AC528" s="122"/>
      <c r="AD528" s="125"/>
      <c r="AE528" s="125"/>
    </row>
    <row r="529" spans="1:31" ht="15.75" customHeight="1" x14ac:dyDescent="0.2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  <c r="AB529" s="125"/>
      <c r="AC529" s="122"/>
      <c r="AD529" s="125"/>
      <c r="AE529" s="125"/>
    </row>
    <row r="530" spans="1:31" ht="15.75" customHeight="1" x14ac:dyDescent="0.2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  <c r="AB530" s="125"/>
      <c r="AC530" s="122"/>
      <c r="AD530" s="125"/>
      <c r="AE530" s="125"/>
    </row>
    <row r="531" spans="1:31" ht="15.75" customHeight="1" x14ac:dyDescent="0.2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  <c r="AB531" s="125"/>
      <c r="AC531" s="122"/>
      <c r="AD531" s="125"/>
      <c r="AE531" s="125"/>
    </row>
    <row r="532" spans="1:31" ht="15.75" customHeight="1" x14ac:dyDescent="0.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  <c r="AB532" s="125"/>
      <c r="AC532" s="122"/>
      <c r="AD532" s="125"/>
      <c r="AE532" s="125"/>
    </row>
    <row r="533" spans="1:31" ht="15.75" customHeight="1" x14ac:dyDescent="0.2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  <c r="AB533" s="125"/>
      <c r="AC533" s="122"/>
      <c r="AD533" s="125"/>
      <c r="AE533" s="125"/>
    </row>
    <row r="534" spans="1:31" ht="15.75" customHeight="1" x14ac:dyDescent="0.2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  <c r="AB534" s="125"/>
      <c r="AC534" s="122"/>
      <c r="AD534" s="125"/>
      <c r="AE534" s="125"/>
    </row>
    <row r="535" spans="1:31" ht="15.75" customHeight="1" x14ac:dyDescent="0.2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  <c r="AB535" s="125"/>
      <c r="AC535" s="122"/>
      <c r="AD535" s="125"/>
      <c r="AE535" s="125"/>
    </row>
    <row r="536" spans="1:31" ht="15.75" customHeight="1" x14ac:dyDescent="0.2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  <c r="AB536" s="125"/>
      <c r="AC536" s="122"/>
      <c r="AD536" s="125"/>
      <c r="AE536" s="125"/>
    </row>
    <row r="537" spans="1:31" ht="15.75" customHeight="1" x14ac:dyDescent="0.2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  <c r="AB537" s="125"/>
      <c r="AC537" s="122"/>
      <c r="AD537" s="125"/>
      <c r="AE537" s="125"/>
    </row>
    <row r="538" spans="1:31" ht="15.75" customHeight="1" x14ac:dyDescent="0.2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  <c r="AB538" s="125"/>
      <c r="AC538" s="122"/>
      <c r="AD538" s="125"/>
      <c r="AE538" s="125"/>
    </row>
    <row r="539" spans="1:31" ht="15.75" customHeight="1" x14ac:dyDescent="0.2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  <c r="AB539" s="125"/>
      <c r="AC539" s="122"/>
      <c r="AD539" s="125"/>
      <c r="AE539" s="125"/>
    </row>
    <row r="540" spans="1:31" ht="15.75" customHeight="1" x14ac:dyDescent="0.2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  <c r="AB540" s="125"/>
      <c r="AC540" s="122"/>
      <c r="AD540" s="125"/>
      <c r="AE540" s="125"/>
    </row>
    <row r="541" spans="1:31" ht="15.75" customHeight="1" x14ac:dyDescent="0.2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  <c r="AB541" s="125"/>
      <c r="AC541" s="122"/>
      <c r="AD541" s="125"/>
      <c r="AE541" s="125"/>
    </row>
    <row r="542" spans="1:31" ht="15.75" customHeight="1" x14ac:dyDescent="0.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  <c r="AB542" s="125"/>
      <c r="AC542" s="122"/>
      <c r="AD542" s="125"/>
      <c r="AE542" s="125"/>
    </row>
    <row r="543" spans="1:31" ht="15.75" customHeight="1" x14ac:dyDescent="0.2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  <c r="AB543" s="125"/>
      <c r="AC543" s="122"/>
      <c r="AD543" s="125"/>
      <c r="AE543" s="125"/>
    </row>
    <row r="544" spans="1:31" ht="15.75" customHeight="1" x14ac:dyDescent="0.2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  <c r="AB544" s="125"/>
      <c r="AC544" s="122"/>
      <c r="AD544" s="125"/>
      <c r="AE544" s="125"/>
    </row>
    <row r="545" spans="1:31" ht="15.75" customHeight="1" x14ac:dyDescent="0.2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  <c r="AB545" s="125"/>
      <c r="AC545" s="122"/>
      <c r="AD545" s="125"/>
      <c r="AE545" s="125"/>
    </row>
    <row r="546" spans="1:31" ht="15.75" customHeight="1" x14ac:dyDescent="0.2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  <c r="AB546" s="125"/>
      <c r="AC546" s="122"/>
      <c r="AD546" s="125"/>
      <c r="AE546" s="125"/>
    </row>
    <row r="547" spans="1:31" ht="15.75" customHeight="1" x14ac:dyDescent="0.2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  <c r="AB547" s="125"/>
      <c r="AC547" s="122"/>
      <c r="AD547" s="125"/>
      <c r="AE547" s="125"/>
    </row>
    <row r="548" spans="1:31" ht="15.75" customHeight="1" x14ac:dyDescent="0.2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  <c r="AB548" s="125"/>
      <c r="AC548" s="122"/>
      <c r="AD548" s="125"/>
      <c r="AE548" s="125"/>
    </row>
    <row r="549" spans="1:31" ht="15.75" customHeight="1" x14ac:dyDescent="0.2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  <c r="AB549" s="125"/>
      <c r="AC549" s="122"/>
      <c r="AD549" s="125"/>
      <c r="AE549" s="125"/>
    </row>
    <row r="550" spans="1:31" ht="15.75" customHeight="1" x14ac:dyDescent="0.2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  <c r="AB550" s="125"/>
      <c r="AC550" s="122"/>
      <c r="AD550" s="125"/>
      <c r="AE550" s="125"/>
    </row>
    <row r="551" spans="1:31" ht="15.75" customHeight="1" x14ac:dyDescent="0.2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  <c r="AB551" s="125"/>
      <c r="AC551" s="122"/>
      <c r="AD551" s="125"/>
      <c r="AE551" s="125"/>
    </row>
    <row r="552" spans="1:31" ht="15.75" customHeight="1" x14ac:dyDescent="0.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  <c r="AB552" s="125"/>
      <c r="AC552" s="122"/>
      <c r="AD552" s="125"/>
      <c r="AE552" s="125"/>
    </row>
    <row r="553" spans="1:31" ht="15.75" customHeight="1" x14ac:dyDescent="0.2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  <c r="AB553" s="125"/>
      <c r="AC553" s="122"/>
      <c r="AD553" s="125"/>
      <c r="AE553" s="125"/>
    </row>
    <row r="554" spans="1:31" ht="15.75" customHeight="1" x14ac:dyDescent="0.2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  <c r="AB554" s="125"/>
      <c r="AC554" s="122"/>
      <c r="AD554" s="125"/>
      <c r="AE554" s="125"/>
    </row>
    <row r="555" spans="1:31" ht="15.75" customHeight="1" x14ac:dyDescent="0.2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  <c r="AB555" s="125"/>
      <c r="AC555" s="122"/>
      <c r="AD555" s="125"/>
      <c r="AE555" s="125"/>
    </row>
    <row r="556" spans="1:31" ht="15.75" customHeight="1" x14ac:dyDescent="0.2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  <c r="AB556" s="125"/>
      <c r="AC556" s="122"/>
      <c r="AD556" s="125"/>
      <c r="AE556" s="125"/>
    </row>
    <row r="557" spans="1:31" ht="15.75" customHeight="1" x14ac:dyDescent="0.2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  <c r="AB557" s="125"/>
      <c r="AC557" s="122"/>
      <c r="AD557" s="125"/>
      <c r="AE557" s="125"/>
    </row>
    <row r="558" spans="1:31" ht="15.75" customHeight="1" x14ac:dyDescent="0.2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  <c r="AB558" s="125"/>
      <c r="AC558" s="122"/>
      <c r="AD558" s="125"/>
      <c r="AE558" s="125"/>
    </row>
    <row r="559" spans="1:31" ht="15.75" customHeight="1" x14ac:dyDescent="0.2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  <c r="AB559" s="125"/>
      <c r="AC559" s="122"/>
      <c r="AD559" s="125"/>
      <c r="AE559" s="125"/>
    </row>
    <row r="560" spans="1:31" ht="15.75" customHeight="1" x14ac:dyDescent="0.2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  <c r="AB560" s="125"/>
      <c r="AC560" s="122"/>
      <c r="AD560" s="125"/>
      <c r="AE560" s="125"/>
    </row>
    <row r="561" spans="1:31" ht="15.75" customHeight="1" x14ac:dyDescent="0.2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  <c r="AB561" s="125"/>
      <c r="AC561" s="122"/>
      <c r="AD561" s="125"/>
      <c r="AE561" s="125"/>
    </row>
    <row r="562" spans="1:31" ht="15.75" customHeight="1" x14ac:dyDescent="0.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  <c r="AB562" s="125"/>
      <c r="AC562" s="122"/>
      <c r="AD562" s="125"/>
      <c r="AE562" s="125"/>
    </row>
    <row r="563" spans="1:31" ht="15.75" customHeight="1" x14ac:dyDescent="0.2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  <c r="AB563" s="125"/>
      <c r="AC563" s="122"/>
      <c r="AD563" s="125"/>
      <c r="AE563" s="125"/>
    </row>
    <row r="564" spans="1:31" ht="15.75" customHeight="1" x14ac:dyDescent="0.2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  <c r="AB564" s="125"/>
      <c r="AC564" s="122"/>
      <c r="AD564" s="125"/>
      <c r="AE564" s="125"/>
    </row>
    <row r="565" spans="1:31" ht="15.75" customHeight="1" x14ac:dyDescent="0.2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  <c r="AB565" s="125"/>
      <c r="AC565" s="122"/>
      <c r="AD565" s="125"/>
      <c r="AE565" s="125"/>
    </row>
    <row r="566" spans="1:31" ht="15.75" customHeight="1" x14ac:dyDescent="0.2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  <c r="AB566" s="125"/>
      <c r="AC566" s="122"/>
      <c r="AD566" s="125"/>
      <c r="AE566" s="125"/>
    </row>
    <row r="567" spans="1:31" ht="15.75" customHeight="1" x14ac:dyDescent="0.2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  <c r="AB567" s="125"/>
      <c r="AC567" s="122"/>
      <c r="AD567" s="125"/>
      <c r="AE567" s="125"/>
    </row>
    <row r="568" spans="1:31" ht="15.75" customHeight="1" x14ac:dyDescent="0.2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  <c r="AB568" s="125"/>
      <c r="AC568" s="122"/>
      <c r="AD568" s="125"/>
      <c r="AE568" s="125"/>
    </row>
    <row r="569" spans="1:31" ht="15.75" customHeight="1" x14ac:dyDescent="0.2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  <c r="AB569" s="125"/>
      <c r="AC569" s="122"/>
      <c r="AD569" s="125"/>
      <c r="AE569" s="125"/>
    </row>
    <row r="570" spans="1:31" ht="15.75" customHeight="1" x14ac:dyDescent="0.2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  <c r="AB570" s="125"/>
      <c r="AC570" s="122"/>
      <c r="AD570" s="125"/>
      <c r="AE570" s="125"/>
    </row>
    <row r="571" spans="1:31" ht="15.75" customHeight="1" x14ac:dyDescent="0.2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  <c r="AB571" s="125"/>
      <c r="AC571" s="122"/>
      <c r="AD571" s="125"/>
      <c r="AE571" s="125"/>
    </row>
    <row r="572" spans="1:31" ht="15.75" customHeight="1" x14ac:dyDescent="0.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  <c r="AB572" s="125"/>
      <c r="AC572" s="122"/>
      <c r="AD572" s="125"/>
      <c r="AE572" s="125"/>
    </row>
    <row r="573" spans="1:31" ht="15.75" customHeight="1" x14ac:dyDescent="0.2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  <c r="AB573" s="125"/>
      <c r="AC573" s="122"/>
      <c r="AD573" s="125"/>
      <c r="AE573" s="125"/>
    </row>
    <row r="574" spans="1:31" ht="15.75" customHeight="1" x14ac:dyDescent="0.2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  <c r="AB574" s="125"/>
      <c r="AC574" s="122"/>
      <c r="AD574" s="125"/>
      <c r="AE574" s="125"/>
    </row>
    <row r="575" spans="1:31" ht="15.75" customHeight="1" x14ac:dyDescent="0.2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  <c r="AB575" s="125"/>
      <c r="AC575" s="122"/>
      <c r="AD575" s="125"/>
      <c r="AE575" s="125"/>
    </row>
    <row r="576" spans="1:31" ht="15.75" customHeight="1" x14ac:dyDescent="0.2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  <c r="AB576" s="125"/>
      <c r="AC576" s="122"/>
      <c r="AD576" s="125"/>
      <c r="AE576" s="125"/>
    </row>
    <row r="577" spans="1:31" ht="15.75" customHeight="1" x14ac:dyDescent="0.2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  <c r="AB577" s="125"/>
      <c r="AC577" s="122"/>
      <c r="AD577" s="125"/>
      <c r="AE577" s="125"/>
    </row>
    <row r="578" spans="1:31" ht="15.75" customHeight="1" x14ac:dyDescent="0.2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  <c r="AB578" s="125"/>
      <c r="AC578" s="122"/>
      <c r="AD578" s="125"/>
      <c r="AE578" s="125"/>
    </row>
    <row r="579" spans="1:31" ht="15.75" customHeight="1" x14ac:dyDescent="0.2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  <c r="AB579" s="125"/>
      <c r="AC579" s="122"/>
      <c r="AD579" s="125"/>
      <c r="AE579" s="125"/>
    </row>
    <row r="580" spans="1:31" ht="15.75" customHeight="1" x14ac:dyDescent="0.2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  <c r="AB580" s="125"/>
      <c r="AC580" s="122"/>
      <c r="AD580" s="125"/>
      <c r="AE580" s="125"/>
    </row>
    <row r="581" spans="1:31" ht="15.75" customHeight="1" x14ac:dyDescent="0.2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  <c r="AB581" s="125"/>
      <c r="AC581" s="122"/>
      <c r="AD581" s="125"/>
      <c r="AE581" s="125"/>
    </row>
    <row r="582" spans="1:31" ht="15.75" customHeight="1" x14ac:dyDescent="0.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  <c r="AB582" s="125"/>
      <c r="AC582" s="122"/>
      <c r="AD582" s="125"/>
      <c r="AE582" s="125"/>
    </row>
    <row r="583" spans="1:31" ht="15.75" customHeight="1" x14ac:dyDescent="0.2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  <c r="AB583" s="125"/>
      <c r="AC583" s="122"/>
      <c r="AD583" s="125"/>
      <c r="AE583" s="125"/>
    </row>
    <row r="584" spans="1:31" ht="15.75" customHeight="1" x14ac:dyDescent="0.2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  <c r="AB584" s="125"/>
      <c r="AC584" s="122"/>
      <c r="AD584" s="125"/>
      <c r="AE584" s="125"/>
    </row>
    <row r="585" spans="1:31" ht="15.75" customHeight="1" x14ac:dyDescent="0.2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  <c r="AB585" s="125"/>
      <c r="AC585" s="122"/>
      <c r="AD585" s="125"/>
      <c r="AE585" s="125"/>
    </row>
    <row r="586" spans="1:31" ht="15.75" customHeight="1" x14ac:dyDescent="0.2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  <c r="AB586" s="125"/>
      <c r="AC586" s="122"/>
      <c r="AD586" s="125"/>
      <c r="AE586" s="125"/>
    </row>
    <row r="587" spans="1:31" ht="15.75" customHeight="1" x14ac:dyDescent="0.2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  <c r="AB587" s="125"/>
      <c r="AC587" s="122"/>
      <c r="AD587" s="125"/>
      <c r="AE587" s="125"/>
    </row>
    <row r="588" spans="1:31" ht="15.75" customHeight="1" x14ac:dyDescent="0.2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  <c r="AB588" s="125"/>
      <c r="AC588" s="122"/>
      <c r="AD588" s="125"/>
      <c r="AE588" s="125"/>
    </row>
    <row r="589" spans="1:31" ht="15.75" customHeight="1" x14ac:dyDescent="0.2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  <c r="AB589" s="125"/>
      <c r="AC589" s="122"/>
      <c r="AD589" s="125"/>
      <c r="AE589" s="125"/>
    </row>
    <row r="590" spans="1:31" ht="15.75" customHeight="1" x14ac:dyDescent="0.2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  <c r="AB590" s="125"/>
      <c r="AC590" s="122"/>
      <c r="AD590" s="125"/>
      <c r="AE590" s="125"/>
    </row>
    <row r="591" spans="1:31" ht="15.75" customHeight="1" x14ac:dyDescent="0.2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  <c r="AB591" s="125"/>
      <c r="AC591" s="122"/>
      <c r="AD591" s="125"/>
      <c r="AE591" s="125"/>
    </row>
    <row r="592" spans="1:31" ht="15.75" customHeight="1" x14ac:dyDescent="0.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  <c r="AB592" s="125"/>
      <c r="AC592" s="122"/>
      <c r="AD592" s="125"/>
      <c r="AE592" s="125"/>
    </row>
    <row r="593" spans="1:31" ht="15.75" customHeight="1" x14ac:dyDescent="0.2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  <c r="AB593" s="125"/>
      <c r="AC593" s="122"/>
      <c r="AD593" s="125"/>
      <c r="AE593" s="125"/>
    </row>
    <row r="594" spans="1:31" ht="15.75" customHeight="1" x14ac:dyDescent="0.2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  <c r="AB594" s="125"/>
      <c r="AC594" s="122"/>
      <c r="AD594" s="125"/>
      <c r="AE594" s="125"/>
    </row>
    <row r="595" spans="1:31" ht="15.75" customHeight="1" x14ac:dyDescent="0.2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  <c r="AB595" s="125"/>
      <c r="AC595" s="122"/>
      <c r="AD595" s="125"/>
      <c r="AE595" s="125"/>
    </row>
    <row r="596" spans="1:31" ht="15.75" customHeight="1" x14ac:dyDescent="0.2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  <c r="AB596" s="125"/>
      <c r="AC596" s="122"/>
      <c r="AD596" s="125"/>
      <c r="AE596" s="125"/>
    </row>
    <row r="597" spans="1:31" ht="15.75" customHeight="1" x14ac:dyDescent="0.2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  <c r="AB597" s="125"/>
      <c r="AC597" s="122"/>
      <c r="AD597" s="125"/>
      <c r="AE597" s="125"/>
    </row>
    <row r="598" spans="1:31" ht="15.75" customHeight="1" x14ac:dyDescent="0.2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  <c r="AB598" s="125"/>
      <c r="AC598" s="122"/>
      <c r="AD598" s="125"/>
      <c r="AE598" s="125"/>
    </row>
    <row r="599" spans="1:31" ht="15.75" customHeight="1" x14ac:dyDescent="0.2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  <c r="AB599" s="125"/>
      <c r="AC599" s="122"/>
      <c r="AD599" s="125"/>
      <c r="AE599" s="125"/>
    </row>
    <row r="600" spans="1:31" ht="15.75" customHeight="1" x14ac:dyDescent="0.2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  <c r="AB600" s="125"/>
      <c r="AC600" s="122"/>
      <c r="AD600" s="125"/>
      <c r="AE600" s="125"/>
    </row>
    <row r="601" spans="1:31" ht="15.75" customHeight="1" x14ac:dyDescent="0.2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  <c r="AB601" s="125"/>
      <c r="AC601" s="122"/>
      <c r="AD601" s="125"/>
      <c r="AE601" s="125"/>
    </row>
    <row r="602" spans="1:31" ht="15.75" customHeight="1" x14ac:dyDescent="0.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  <c r="AB602" s="125"/>
      <c r="AC602" s="122"/>
      <c r="AD602" s="125"/>
      <c r="AE602" s="125"/>
    </row>
    <row r="603" spans="1:31" ht="15.75" customHeight="1" x14ac:dyDescent="0.2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  <c r="AB603" s="125"/>
      <c r="AC603" s="122"/>
      <c r="AD603" s="125"/>
      <c r="AE603" s="125"/>
    </row>
    <row r="604" spans="1:31" ht="15.75" customHeight="1" x14ac:dyDescent="0.2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  <c r="AB604" s="125"/>
      <c r="AC604" s="122"/>
      <c r="AD604" s="125"/>
      <c r="AE604" s="125"/>
    </row>
    <row r="605" spans="1:31" ht="15.75" customHeight="1" x14ac:dyDescent="0.2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  <c r="AB605" s="125"/>
      <c r="AC605" s="122"/>
      <c r="AD605" s="125"/>
      <c r="AE605" s="125"/>
    </row>
    <row r="606" spans="1:31" ht="15.75" customHeight="1" x14ac:dyDescent="0.2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  <c r="AB606" s="125"/>
      <c r="AC606" s="122"/>
      <c r="AD606" s="125"/>
      <c r="AE606" s="125"/>
    </row>
    <row r="607" spans="1:31" ht="15.75" customHeight="1" x14ac:dyDescent="0.2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  <c r="AB607" s="125"/>
      <c r="AC607" s="122"/>
      <c r="AD607" s="125"/>
      <c r="AE607" s="125"/>
    </row>
    <row r="608" spans="1:31" ht="15.75" customHeight="1" x14ac:dyDescent="0.2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  <c r="AB608" s="125"/>
      <c r="AC608" s="122"/>
      <c r="AD608" s="125"/>
      <c r="AE608" s="125"/>
    </row>
    <row r="609" spans="1:31" ht="15.75" customHeight="1" x14ac:dyDescent="0.2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  <c r="AB609" s="125"/>
      <c r="AC609" s="122"/>
      <c r="AD609" s="125"/>
      <c r="AE609" s="125"/>
    </row>
    <row r="610" spans="1:31" ht="15.75" customHeight="1" x14ac:dyDescent="0.2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  <c r="AB610" s="125"/>
      <c r="AC610" s="122"/>
      <c r="AD610" s="125"/>
      <c r="AE610" s="125"/>
    </row>
    <row r="611" spans="1:31" ht="15.75" customHeight="1" x14ac:dyDescent="0.2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  <c r="AB611" s="125"/>
      <c r="AC611" s="122"/>
      <c r="AD611" s="125"/>
      <c r="AE611" s="125"/>
    </row>
    <row r="612" spans="1:31" ht="15.75" customHeight="1" x14ac:dyDescent="0.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  <c r="AB612" s="125"/>
      <c r="AC612" s="122"/>
      <c r="AD612" s="125"/>
      <c r="AE612" s="125"/>
    </row>
    <row r="613" spans="1:31" ht="15.75" customHeight="1" x14ac:dyDescent="0.2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  <c r="AB613" s="125"/>
      <c r="AC613" s="122"/>
      <c r="AD613" s="125"/>
      <c r="AE613" s="125"/>
    </row>
    <row r="614" spans="1:31" ht="15.75" customHeight="1" x14ac:dyDescent="0.2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  <c r="AB614" s="125"/>
      <c r="AC614" s="122"/>
      <c r="AD614" s="125"/>
      <c r="AE614" s="125"/>
    </row>
    <row r="615" spans="1:31" ht="15.75" customHeight="1" x14ac:dyDescent="0.2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  <c r="AB615" s="125"/>
      <c r="AC615" s="122"/>
      <c r="AD615" s="125"/>
      <c r="AE615" s="125"/>
    </row>
    <row r="616" spans="1:31" ht="15.75" customHeight="1" x14ac:dyDescent="0.2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  <c r="AB616" s="125"/>
      <c r="AC616" s="122"/>
      <c r="AD616" s="125"/>
      <c r="AE616" s="125"/>
    </row>
    <row r="617" spans="1:31" ht="15.75" customHeight="1" x14ac:dyDescent="0.2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5"/>
      <c r="AC617" s="122"/>
      <c r="AD617" s="125"/>
      <c r="AE617" s="125"/>
    </row>
    <row r="618" spans="1:31" ht="15.75" customHeight="1" x14ac:dyDescent="0.2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  <c r="AB618" s="125"/>
      <c r="AC618" s="122"/>
      <c r="AD618" s="125"/>
      <c r="AE618" s="125"/>
    </row>
    <row r="619" spans="1:31" ht="15.75" customHeight="1" x14ac:dyDescent="0.2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  <c r="AB619" s="125"/>
      <c r="AC619" s="122"/>
      <c r="AD619" s="125"/>
      <c r="AE619" s="125"/>
    </row>
    <row r="620" spans="1:31" ht="15.75" customHeight="1" x14ac:dyDescent="0.2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5"/>
      <c r="AC620" s="122"/>
      <c r="AD620" s="125"/>
      <c r="AE620" s="125"/>
    </row>
    <row r="621" spans="1:31" ht="15.75" customHeight="1" x14ac:dyDescent="0.2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5"/>
      <c r="AC621" s="122"/>
      <c r="AD621" s="125"/>
      <c r="AE621" s="125"/>
    </row>
    <row r="622" spans="1:31" ht="15.75" customHeight="1" x14ac:dyDescent="0.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  <c r="AB622" s="125"/>
      <c r="AC622" s="122"/>
      <c r="AD622" s="125"/>
      <c r="AE622" s="125"/>
    </row>
    <row r="623" spans="1:31" ht="15.75" customHeight="1" x14ac:dyDescent="0.2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  <c r="AB623" s="125"/>
      <c r="AC623" s="122"/>
      <c r="AD623" s="125"/>
      <c r="AE623" s="125"/>
    </row>
    <row r="624" spans="1:31" ht="15.75" customHeight="1" x14ac:dyDescent="0.2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  <c r="AB624" s="125"/>
      <c r="AC624" s="122"/>
      <c r="AD624" s="125"/>
      <c r="AE624" s="125"/>
    </row>
    <row r="625" spans="1:31" ht="15.75" customHeight="1" x14ac:dyDescent="0.2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5"/>
      <c r="AC625" s="122"/>
      <c r="AD625" s="125"/>
      <c r="AE625" s="125"/>
    </row>
    <row r="626" spans="1:31" ht="15.75" customHeight="1" x14ac:dyDescent="0.2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  <c r="AB626" s="125"/>
      <c r="AC626" s="122"/>
      <c r="AD626" s="125"/>
      <c r="AE626" s="125"/>
    </row>
    <row r="627" spans="1:31" ht="15.75" customHeight="1" x14ac:dyDescent="0.2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  <c r="AB627" s="125"/>
      <c r="AC627" s="122"/>
      <c r="AD627" s="125"/>
      <c r="AE627" s="125"/>
    </row>
    <row r="628" spans="1:31" ht="15.75" customHeight="1" x14ac:dyDescent="0.2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  <c r="AB628" s="125"/>
      <c r="AC628" s="122"/>
      <c r="AD628" s="125"/>
      <c r="AE628" s="125"/>
    </row>
    <row r="629" spans="1:31" ht="15.75" customHeight="1" x14ac:dyDescent="0.2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  <c r="AB629" s="125"/>
      <c r="AC629" s="122"/>
      <c r="AD629" s="125"/>
      <c r="AE629" s="125"/>
    </row>
    <row r="630" spans="1:31" ht="15.75" customHeight="1" x14ac:dyDescent="0.2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125"/>
      <c r="AC630" s="122"/>
      <c r="AD630" s="125"/>
      <c r="AE630" s="125"/>
    </row>
    <row r="631" spans="1:31" ht="15.75" customHeight="1" x14ac:dyDescent="0.2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5"/>
      <c r="AC631" s="122"/>
      <c r="AD631" s="125"/>
      <c r="AE631" s="125"/>
    </row>
    <row r="632" spans="1:31" ht="15.75" customHeight="1" x14ac:dyDescent="0.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125"/>
      <c r="AC632" s="122"/>
      <c r="AD632" s="125"/>
      <c r="AE632" s="125"/>
    </row>
    <row r="633" spans="1:31" ht="15.75" customHeight="1" x14ac:dyDescent="0.2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  <c r="AB633" s="125"/>
      <c r="AC633" s="122"/>
      <c r="AD633" s="125"/>
      <c r="AE633" s="125"/>
    </row>
    <row r="634" spans="1:31" ht="15.75" customHeight="1" x14ac:dyDescent="0.2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  <c r="AB634" s="125"/>
      <c r="AC634" s="122"/>
      <c r="AD634" s="125"/>
      <c r="AE634" s="125"/>
    </row>
    <row r="635" spans="1:31" ht="15.75" customHeight="1" x14ac:dyDescent="0.2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  <c r="AB635" s="125"/>
      <c r="AC635" s="122"/>
      <c r="AD635" s="125"/>
      <c r="AE635" s="125"/>
    </row>
    <row r="636" spans="1:31" ht="15.75" customHeight="1" x14ac:dyDescent="0.2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  <c r="AB636" s="125"/>
      <c r="AC636" s="122"/>
      <c r="AD636" s="125"/>
      <c r="AE636" s="125"/>
    </row>
    <row r="637" spans="1:31" ht="15.75" customHeight="1" x14ac:dyDescent="0.2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  <c r="AB637" s="125"/>
      <c r="AC637" s="122"/>
      <c r="AD637" s="125"/>
      <c r="AE637" s="125"/>
    </row>
    <row r="638" spans="1:31" ht="15.75" customHeight="1" x14ac:dyDescent="0.2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125"/>
      <c r="AC638" s="122"/>
      <c r="AD638" s="125"/>
      <c r="AE638" s="125"/>
    </row>
    <row r="639" spans="1:31" ht="15.75" customHeight="1" x14ac:dyDescent="0.2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B639" s="125"/>
      <c r="AC639" s="122"/>
      <c r="AD639" s="125"/>
      <c r="AE639" s="125"/>
    </row>
    <row r="640" spans="1:31" ht="15.75" customHeight="1" x14ac:dyDescent="0.2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2"/>
      <c r="AD640" s="125"/>
      <c r="AE640" s="125"/>
    </row>
    <row r="641" spans="1:31" ht="15.75" customHeight="1" x14ac:dyDescent="0.2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2"/>
      <c r="AD641" s="125"/>
      <c r="AE641" s="125"/>
    </row>
    <row r="642" spans="1:31" ht="15.75" customHeight="1" x14ac:dyDescent="0.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2"/>
      <c r="AD642" s="125"/>
      <c r="AE642" s="125"/>
    </row>
    <row r="643" spans="1:31" ht="15.75" customHeight="1" x14ac:dyDescent="0.2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2"/>
      <c r="AD643" s="125"/>
      <c r="AE643" s="125"/>
    </row>
    <row r="644" spans="1:31" ht="15.75" customHeight="1" x14ac:dyDescent="0.2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2"/>
      <c r="AD644" s="125"/>
      <c r="AE644" s="125"/>
    </row>
    <row r="645" spans="1:31" ht="15.75" customHeight="1" x14ac:dyDescent="0.2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2"/>
      <c r="AD645" s="125"/>
      <c r="AE645" s="125"/>
    </row>
    <row r="646" spans="1:31" ht="15.75" customHeight="1" x14ac:dyDescent="0.2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2"/>
      <c r="AD646" s="125"/>
      <c r="AE646" s="125"/>
    </row>
    <row r="647" spans="1:31" ht="15.75" customHeight="1" x14ac:dyDescent="0.2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2"/>
      <c r="AD647" s="125"/>
      <c r="AE647" s="125"/>
    </row>
    <row r="648" spans="1:31" ht="15.75" customHeight="1" x14ac:dyDescent="0.2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2"/>
      <c r="AD648" s="125"/>
      <c r="AE648" s="125"/>
    </row>
    <row r="649" spans="1:31" ht="15.75" customHeight="1" x14ac:dyDescent="0.2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2"/>
      <c r="AD649" s="125"/>
      <c r="AE649" s="125"/>
    </row>
    <row r="650" spans="1:31" ht="15.75" customHeight="1" x14ac:dyDescent="0.2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2"/>
      <c r="AD650" s="125"/>
      <c r="AE650" s="125"/>
    </row>
    <row r="651" spans="1:31" ht="15.75" customHeight="1" x14ac:dyDescent="0.2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2"/>
      <c r="AD651" s="125"/>
      <c r="AE651" s="125"/>
    </row>
    <row r="652" spans="1:31" ht="15.75" customHeight="1" x14ac:dyDescent="0.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2"/>
      <c r="AD652" s="125"/>
      <c r="AE652" s="125"/>
    </row>
    <row r="653" spans="1:31" ht="15.75" customHeight="1" x14ac:dyDescent="0.2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2"/>
      <c r="AD653" s="125"/>
      <c r="AE653" s="125"/>
    </row>
    <row r="654" spans="1:31" ht="15.75" customHeight="1" x14ac:dyDescent="0.2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2"/>
      <c r="AD654" s="125"/>
      <c r="AE654" s="125"/>
    </row>
    <row r="655" spans="1:31" ht="15.75" customHeight="1" x14ac:dyDescent="0.2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2"/>
      <c r="AD655" s="125"/>
      <c r="AE655" s="125"/>
    </row>
    <row r="656" spans="1:31" ht="15.75" customHeight="1" x14ac:dyDescent="0.2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2"/>
      <c r="AD656" s="125"/>
      <c r="AE656" s="125"/>
    </row>
    <row r="657" spans="1:31" ht="15.75" customHeight="1" x14ac:dyDescent="0.2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2"/>
      <c r="AD657" s="125"/>
      <c r="AE657" s="125"/>
    </row>
    <row r="658" spans="1:31" ht="15.75" customHeight="1" x14ac:dyDescent="0.2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2"/>
      <c r="AD658" s="125"/>
      <c r="AE658" s="125"/>
    </row>
    <row r="659" spans="1:31" ht="15.75" customHeight="1" x14ac:dyDescent="0.2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2"/>
      <c r="AD659" s="125"/>
      <c r="AE659" s="125"/>
    </row>
    <row r="660" spans="1:31" ht="15.75" customHeight="1" x14ac:dyDescent="0.2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2"/>
      <c r="AD660" s="125"/>
      <c r="AE660" s="125"/>
    </row>
    <row r="661" spans="1:31" ht="15.75" customHeight="1" x14ac:dyDescent="0.2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2"/>
      <c r="AD661" s="125"/>
      <c r="AE661" s="125"/>
    </row>
    <row r="662" spans="1:31" ht="15.75" customHeight="1" x14ac:dyDescent="0.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2"/>
      <c r="AD662" s="125"/>
      <c r="AE662" s="125"/>
    </row>
    <row r="663" spans="1:31" ht="15.75" customHeight="1" x14ac:dyDescent="0.2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2"/>
      <c r="AD663" s="125"/>
      <c r="AE663" s="125"/>
    </row>
    <row r="664" spans="1:31" ht="15.75" customHeight="1" x14ac:dyDescent="0.2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2"/>
      <c r="AD664" s="125"/>
      <c r="AE664" s="125"/>
    </row>
    <row r="665" spans="1:31" ht="15.75" customHeight="1" x14ac:dyDescent="0.2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2"/>
      <c r="AD665" s="125"/>
      <c r="AE665" s="125"/>
    </row>
    <row r="666" spans="1:31" ht="15.75" customHeight="1" x14ac:dyDescent="0.2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2"/>
      <c r="AD666" s="125"/>
      <c r="AE666" s="125"/>
    </row>
    <row r="667" spans="1:31" ht="15.75" customHeight="1" x14ac:dyDescent="0.2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2"/>
      <c r="AD667" s="125"/>
      <c r="AE667" s="125"/>
    </row>
    <row r="668" spans="1:31" ht="15.75" customHeight="1" x14ac:dyDescent="0.2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2"/>
      <c r="AD668" s="125"/>
      <c r="AE668" s="125"/>
    </row>
    <row r="669" spans="1:31" ht="15.75" customHeight="1" x14ac:dyDescent="0.2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2"/>
      <c r="AD669" s="125"/>
      <c r="AE669" s="125"/>
    </row>
    <row r="670" spans="1:31" ht="15.75" customHeight="1" x14ac:dyDescent="0.2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2"/>
      <c r="AD670" s="125"/>
      <c r="AE670" s="125"/>
    </row>
    <row r="671" spans="1:31" ht="15.75" customHeight="1" x14ac:dyDescent="0.2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2"/>
      <c r="AD671" s="125"/>
      <c r="AE671" s="125"/>
    </row>
    <row r="672" spans="1:31" ht="15.75" customHeight="1" x14ac:dyDescent="0.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2"/>
      <c r="AD672" s="125"/>
      <c r="AE672" s="125"/>
    </row>
    <row r="673" spans="1:31" ht="15.75" customHeight="1" x14ac:dyDescent="0.2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2"/>
      <c r="AD673" s="125"/>
      <c r="AE673" s="125"/>
    </row>
    <row r="674" spans="1:31" ht="15.75" customHeight="1" x14ac:dyDescent="0.2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2"/>
      <c r="AD674" s="125"/>
      <c r="AE674" s="125"/>
    </row>
    <row r="675" spans="1:31" ht="15.75" customHeight="1" x14ac:dyDescent="0.2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2"/>
      <c r="AD675" s="125"/>
      <c r="AE675" s="125"/>
    </row>
    <row r="676" spans="1:31" ht="15.75" customHeight="1" x14ac:dyDescent="0.2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2"/>
      <c r="AD676" s="125"/>
      <c r="AE676" s="125"/>
    </row>
    <row r="677" spans="1:31" ht="15.75" customHeight="1" x14ac:dyDescent="0.2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2"/>
      <c r="AD677" s="125"/>
      <c r="AE677" s="125"/>
    </row>
    <row r="678" spans="1:31" ht="15.75" customHeight="1" x14ac:dyDescent="0.2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2"/>
      <c r="AD678" s="125"/>
      <c r="AE678" s="125"/>
    </row>
    <row r="679" spans="1:31" ht="15.75" customHeight="1" x14ac:dyDescent="0.2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2"/>
      <c r="AD679" s="125"/>
      <c r="AE679" s="125"/>
    </row>
    <row r="680" spans="1:31" ht="15.75" customHeight="1" x14ac:dyDescent="0.2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2"/>
      <c r="AD680" s="125"/>
      <c r="AE680" s="125"/>
    </row>
    <row r="681" spans="1:31" ht="15.75" customHeight="1" x14ac:dyDescent="0.2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2"/>
      <c r="AD681" s="125"/>
      <c r="AE681" s="125"/>
    </row>
    <row r="682" spans="1:31" ht="15.75" customHeight="1" x14ac:dyDescent="0.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2"/>
      <c r="AD682" s="125"/>
      <c r="AE682" s="125"/>
    </row>
    <row r="683" spans="1:31" ht="15.75" customHeight="1" x14ac:dyDescent="0.2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2"/>
      <c r="AD683" s="125"/>
      <c r="AE683" s="125"/>
    </row>
    <row r="684" spans="1:31" ht="15.75" customHeight="1" x14ac:dyDescent="0.2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2"/>
      <c r="AD684" s="125"/>
      <c r="AE684" s="125"/>
    </row>
    <row r="685" spans="1:31" ht="15.75" customHeight="1" x14ac:dyDescent="0.2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2"/>
      <c r="AD685" s="125"/>
      <c r="AE685" s="125"/>
    </row>
    <row r="686" spans="1:31" ht="15.75" customHeight="1" x14ac:dyDescent="0.2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2"/>
      <c r="AD686" s="125"/>
      <c r="AE686" s="125"/>
    </row>
    <row r="687" spans="1:31" ht="15.75" customHeight="1" x14ac:dyDescent="0.2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2"/>
      <c r="AD687" s="125"/>
      <c r="AE687" s="125"/>
    </row>
    <row r="688" spans="1:31" ht="15.75" customHeight="1" x14ac:dyDescent="0.2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2"/>
      <c r="AD688" s="125"/>
      <c r="AE688" s="125"/>
    </row>
    <row r="689" spans="1:31" ht="15.75" customHeight="1" x14ac:dyDescent="0.2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2"/>
      <c r="AD689" s="125"/>
      <c r="AE689" s="125"/>
    </row>
    <row r="690" spans="1:31" ht="15.75" customHeight="1" x14ac:dyDescent="0.2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2"/>
      <c r="AD690" s="125"/>
      <c r="AE690" s="125"/>
    </row>
    <row r="691" spans="1:31" ht="15.75" customHeight="1" x14ac:dyDescent="0.2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2"/>
      <c r="AD691" s="125"/>
      <c r="AE691" s="125"/>
    </row>
    <row r="692" spans="1:31" ht="15.75" customHeight="1" x14ac:dyDescent="0.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2"/>
      <c r="AD692" s="125"/>
      <c r="AE692" s="125"/>
    </row>
    <row r="693" spans="1:31" ht="15.75" customHeight="1" x14ac:dyDescent="0.2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2"/>
      <c r="AD693" s="125"/>
      <c r="AE693" s="125"/>
    </row>
    <row r="694" spans="1:31" ht="15.75" customHeight="1" x14ac:dyDescent="0.2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2"/>
      <c r="AD694" s="125"/>
      <c r="AE694" s="125"/>
    </row>
    <row r="695" spans="1:31" ht="15.75" customHeight="1" x14ac:dyDescent="0.2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2"/>
      <c r="AD695" s="125"/>
      <c r="AE695" s="125"/>
    </row>
    <row r="696" spans="1:31" ht="15.75" customHeight="1" x14ac:dyDescent="0.2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2"/>
      <c r="AD696" s="125"/>
      <c r="AE696" s="125"/>
    </row>
    <row r="697" spans="1:31" ht="15.75" customHeight="1" x14ac:dyDescent="0.2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2"/>
      <c r="AD697" s="125"/>
      <c r="AE697" s="125"/>
    </row>
    <row r="698" spans="1:31" ht="15.75" customHeight="1" x14ac:dyDescent="0.2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2"/>
      <c r="AD698" s="125"/>
      <c r="AE698" s="125"/>
    </row>
    <row r="699" spans="1:31" ht="15.75" customHeight="1" x14ac:dyDescent="0.2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2"/>
      <c r="AD699" s="125"/>
      <c r="AE699" s="125"/>
    </row>
    <row r="700" spans="1:31" ht="15.75" customHeight="1" x14ac:dyDescent="0.2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2"/>
      <c r="AD700" s="125"/>
      <c r="AE700" s="125"/>
    </row>
    <row r="701" spans="1:31" ht="15.75" customHeight="1" x14ac:dyDescent="0.2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2"/>
      <c r="AD701" s="125"/>
      <c r="AE701" s="125"/>
    </row>
    <row r="702" spans="1:31" ht="15.75" customHeight="1" x14ac:dyDescent="0.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2"/>
      <c r="AD702" s="125"/>
      <c r="AE702" s="125"/>
    </row>
    <row r="703" spans="1:31" ht="15.75" customHeight="1" x14ac:dyDescent="0.2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2"/>
      <c r="AD703" s="125"/>
      <c r="AE703" s="125"/>
    </row>
    <row r="704" spans="1:31" ht="15.75" customHeight="1" x14ac:dyDescent="0.2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2"/>
      <c r="AD704" s="125"/>
      <c r="AE704" s="125"/>
    </row>
    <row r="705" spans="1:31" ht="15.75" customHeight="1" x14ac:dyDescent="0.2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2"/>
      <c r="AD705" s="125"/>
      <c r="AE705" s="125"/>
    </row>
    <row r="706" spans="1:31" ht="15.75" customHeight="1" x14ac:dyDescent="0.2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2"/>
      <c r="AD706" s="125"/>
      <c r="AE706" s="125"/>
    </row>
    <row r="707" spans="1:31" ht="15.75" customHeight="1" x14ac:dyDescent="0.2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2"/>
      <c r="AD707" s="125"/>
      <c r="AE707" s="125"/>
    </row>
    <row r="708" spans="1:31" ht="15.75" customHeight="1" x14ac:dyDescent="0.2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2"/>
      <c r="AD708" s="125"/>
      <c r="AE708" s="125"/>
    </row>
    <row r="709" spans="1:31" ht="15.75" customHeight="1" x14ac:dyDescent="0.2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2"/>
      <c r="AD709" s="125"/>
      <c r="AE709" s="125"/>
    </row>
    <row r="710" spans="1:31" ht="15.75" customHeight="1" x14ac:dyDescent="0.2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2"/>
      <c r="AD710" s="125"/>
      <c r="AE710" s="125"/>
    </row>
    <row r="711" spans="1:31" ht="15.75" customHeight="1" x14ac:dyDescent="0.2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2"/>
      <c r="AD711" s="125"/>
      <c r="AE711" s="125"/>
    </row>
    <row r="712" spans="1:31" ht="15.75" customHeight="1" x14ac:dyDescent="0.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2"/>
      <c r="AD712" s="125"/>
      <c r="AE712" s="125"/>
    </row>
    <row r="713" spans="1:31" ht="15.75" customHeight="1" x14ac:dyDescent="0.2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2"/>
      <c r="AD713" s="125"/>
      <c r="AE713" s="125"/>
    </row>
    <row r="714" spans="1:31" ht="15.75" customHeight="1" x14ac:dyDescent="0.2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2"/>
      <c r="AD714" s="125"/>
      <c r="AE714" s="125"/>
    </row>
    <row r="715" spans="1:31" ht="15.75" customHeight="1" x14ac:dyDescent="0.2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2"/>
      <c r="AD715" s="125"/>
      <c r="AE715" s="125"/>
    </row>
    <row r="716" spans="1:31" ht="15.75" customHeight="1" x14ac:dyDescent="0.2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2"/>
      <c r="AD716" s="125"/>
      <c r="AE716" s="125"/>
    </row>
    <row r="717" spans="1:31" ht="15.75" customHeight="1" x14ac:dyDescent="0.2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2"/>
      <c r="AD717" s="125"/>
      <c r="AE717" s="125"/>
    </row>
    <row r="718" spans="1:31" ht="15.75" customHeight="1" x14ac:dyDescent="0.2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2"/>
      <c r="AD718" s="125"/>
      <c r="AE718" s="125"/>
    </row>
    <row r="719" spans="1:31" ht="15.75" customHeight="1" x14ac:dyDescent="0.2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2"/>
      <c r="AD719" s="125"/>
      <c r="AE719" s="125"/>
    </row>
    <row r="720" spans="1:31" ht="15.75" customHeight="1" x14ac:dyDescent="0.2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2"/>
      <c r="AD720" s="125"/>
      <c r="AE720" s="125"/>
    </row>
    <row r="721" spans="1:31" ht="15.75" customHeight="1" x14ac:dyDescent="0.2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2"/>
      <c r="AD721" s="125"/>
      <c r="AE721" s="125"/>
    </row>
    <row r="722" spans="1:31" ht="15.75" customHeight="1" x14ac:dyDescent="0.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2"/>
      <c r="AD722" s="125"/>
      <c r="AE722" s="125"/>
    </row>
    <row r="723" spans="1:31" ht="15.75" customHeight="1" x14ac:dyDescent="0.2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2"/>
      <c r="AD723" s="125"/>
      <c r="AE723" s="125"/>
    </row>
    <row r="724" spans="1:31" ht="15.75" customHeight="1" x14ac:dyDescent="0.2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2"/>
      <c r="AD724" s="125"/>
      <c r="AE724" s="125"/>
    </row>
    <row r="725" spans="1:31" ht="15.75" customHeight="1" x14ac:dyDescent="0.2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2"/>
      <c r="AD725" s="125"/>
      <c r="AE725" s="125"/>
    </row>
    <row r="726" spans="1:31" ht="15.75" customHeight="1" x14ac:dyDescent="0.2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2"/>
      <c r="AD726" s="125"/>
      <c r="AE726" s="125"/>
    </row>
    <row r="727" spans="1:31" ht="15.75" customHeight="1" x14ac:dyDescent="0.2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2"/>
      <c r="AD727" s="125"/>
      <c r="AE727" s="125"/>
    </row>
    <row r="728" spans="1:31" ht="15.75" customHeight="1" x14ac:dyDescent="0.2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2"/>
      <c r="AD728" s="125"/>
      <c r="AE728" s="125"/>
    </row>
    <row r="729" spans="1:31" ht="15.75" customHeight="1" x14ac:dyDescent="0.2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2"/>
      <c r="AD729" s="125"/>
      <c r="AE729" s="125"/>
    </row>
    <row r="730" spans="1:31" ht="15.75" customHeight="1" x14ac:dyDescent="0.2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2"/>
      <c r="AD730" s="125"/>
      <c r="AE730" s="125"/>
    </row>
    <row r="731" spans="1:31" ht="15.75" customHeight="1" x14ac:dyDescent="0.2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2"/>
      <c r="AD731" s="125"/>
      <c r="AE731" s="125"/>
    </row>
    <row r="732" spans="1:31" ht="15.75" customHeight="1" x14ac:dyDescent="0.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2"/>
      <c r="AD732" s="125"/>
      <c r="AE732" s="125"/>
    </row>
    <row r="733" spans="1:31" ht="15.75" customHeight="1" x14ac:dyDescent="0.2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2"/>
      <c r="AD733" s="125"/>
      <c r="AE733" s="125"/>
    </row>
    <row r="734" spans="1:31" ht="15.75" customHeight="1" x14ac:dyDescent="0.2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2"/>
      <c r="AD734" s="125"/>
      <c r="AE734" s="125"/>
    </row>
    <row r="735" spans="1:31" ht="15.75" customHeight="1" x14ac:dyDescent="0.2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2"/>
      <c r="AD735" s="125"/>
      <c r="AE735" s="125"/>
    </row>
    <row r="736" spans="1:31" ht="15.75" customHeight="1" x14ac:dyDescent="0.2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2"/>
      <c r="AD736" s="125"/>
      <c r="AE736" s="125"/>
    </row>
    <row r="737" spans="1:31" ht="15.75" customHeight="1" x14ac:dyDescent="0.2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2"/>
      <c r="AD737" s="125"/>
      <c r="AE737" s="125"/>
    </row>
    <row r="738" spans="1:31" ht="15.75" customHeight="1" x14ac:dyDescent="0.2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2"/>
      <c r="AD738" s="125"/>
      <c r="AE738" s="125"/>
    </row>
    <row r="739" spans="1:31" ht="15.75" customHeight="1" x14ac:dyDescent="0.2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2"/>
      <c r="AD739" s="125"/>
      <c r="AE739" s="125"/>
    </row>
    <row r="740" spans="1:31" ht="15.75" customHeight="1" x14ac:dyDescent="0.2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  <c r="AB740" s="125"/>
      <c r="AC740" s="122"/>
      <c r="AD740" s="125"/>
      <c r="AE740" s="125"/>
    </row>
    <row r="741" spans="1:31" ht="15.75" customHeight="1" x14ac:dyDescent="0.2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  <c r="AB741" s="125"/>
      <c r="AC741" s="122"/>
      <c r="AD741" s="125"/>
      <c r="AE741" s="125"/>
    </row>
    <row r="742" spans="1:31" ht="15.75" customHeight="1" x14ac:dyDescent="0.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  <c r="AB742" s="125"/>
      <c r="AC742" s="122"/>
      <c r="AD742" s="125"/>
      <c r="AE742" s="125"/>
    </row>
    <row r="743" spans="1:31" ht="15.75" customHeight="1" x14ac:dyDescent="0.2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  <c r="AB743" s="125"/>
      <c r="AC743" s="122"/>
      <c r="AD743" s="125"/>
      <c r="AE743" s="125"/>
    </row>
    <row r="744" spans="1:31" ht="15.75" customHeight="1" x14ac:dyDescent="0.2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  <c r="AB744" s="125"/>
      <c r="AC744" s="122"/>
      <c r="AD744" s="125"/>
      <c r="AE744" s="125"/>
    </row>
    <row r="745" spans="1:31" ht="15.75" customHeight="1" x14ac:dyDescent="0.2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  <c r="AB745" s="125"/>
      <c r="AC745" s="122"/>
      <c r="AD745" s="125"/>
      <c r="AE745" s="125"/>
    </row>
    <row r="746" spans="1:31" ht="15.75" customHeight="1" x14ac:dyDescent="0.2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  <c r="AB746" s="125"/>
      <c r="AC746" s="122"/>
      <c r="AD746" s="125"/>
      <c r="AE746" s="125"/>
    </row>
    <row r="747" spans="1:31" ht="15.75" customHeight="1" x14ac:dyDescent="0.2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  <c r="AB747" s="125"/>
      <c r="AC747" s="122"/>
      <c r="AD747" s="125"/>
      <c r="AE747" s="125"/>
    </row>
    <row r="748" spans="1:31" ht="15.75" customHeight="1" x14ac:dyDescent="0.2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  <c r="AB748" s="125"/>
      <c r="AC748" s="122"/>
      <c r="AD748" s="125"/>
      <c r="AE748" s="125"/>
    </row>
    <row r="749" spans="1:31" ht="15.75" customHeight="1" x14ac:dyDescent="0.2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  <c r="AB749" s="125"/>
      <c r="AC749" s="122"/>
      <c r="AD749" s="125"/>
      <c r="AE749" s="125"/>
    </row>
    <row r="750" spans="1:31" ht="15.75" customHeight="1" x14ac:dyDescent="0.2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  <c r="AB750" s="125"/>
      <c r="AC750" s="122"/>
      <c r="AD750" s="125"/>
      <c r="AE750" s="125"/>
    </row>
    <row r="751" spans="1:31" ht="15.75" customHeight="1" x14ac:dyDescent="0.2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  <c r="AB751" s="125"/>
      <c r="AC751" s="122"/>
      <c r="AD751" s="125"/>
      <c r="AE751" s="125"/>
    </row>
    <row r="752" spans="1:31" ht="15.75" customHeight="1" x14ac:dyDescent="0.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  <c r="AB752" s="125"/>
      <c r="AC752" s="122"/>
      <c r="AD752" s="125"/>
      <c r="AE752" s="125"/>
    </row>
    <row r="753" spans="1:31" ht="15.75" customHeight="1" x14ac:dyDescent="0.2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  <c r="AB753" s="125"/>
      <c r="AC753" s="122"/>
      <c r="AD753" s="125"/>
      <c r="AE753" s="125"/>
    </row>
    <row r="754" spans="1:31" ht="15.75" customHeight="1" x14ac:dyDescent="0.2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  <c r="AB754" s="125"/>
      <c r="AC754" s="122"/>
      <c r="AD754" s="125"/>
      <c r="AE754" s="125"/>
    </row>
    <row r="755" spans="1:31" ht="15.75" customHeight="1" x14ac:dyDescent="0.2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  <c r="AB755" s="125"/>
      <c r="AC755" s="122"/>
      <c r="AD755" s="125"/>
      <c r="AE755" s="125"/>
    </row>
    <row r="756" spans="1:31" ht="15.75" customHeight="1" x14ac:dyDescent="0.2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  <c r="AB756" s="125"/>
      <c r="AC756" s="122"/>
      <c r="AD756" s="125"/>
      <c r="AE756" s="125"/>
    </row>
    <row r="757" spans="1:31" ht="15.75" customHeight="1" x14ac:dyDescent="0.2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  <c r="AB757" s="125"/>
      <c r="AC757" s="122"/>
      <c r="AD757" s="125"/>
      <c r="AE757" s="125"/>
    </row>
    <row r="758" spans="1:31" ht="15.75" customHeight="1" x14ac:dyDescent="0.2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  <c r="AB758" s="125"/>
      <c r="AC758" s="122"/>
      <c r="AD758" s="125"/>
      <c r="AE758" s="125"/>
    </row>
    <row r="759" spans="1:31" ht="15.75" customHeight="1" x14ac:dyDescent="0.2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  <c r="AB759" s="125"/>
      <c r="AC759" s="122"/>
      <c r="AD759" s="125"/>
      <c r="AE759" s="125"/>
    </row>
    <row r="760" spans="1:31" ht="15.75" customHeight="1" x14ac:dyDescent="0.2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  <c r="AB760" s="125"/>
      <c r="AC760" s="122"/>
      <c r="AD760" s="125"/>
      <c r="AE760" s="125"/>
    </row>
    <row r="761" spans="1:31" ht="15.75" customHeight="1" x14ac:dyDescent="0.2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  <c r="AB761" s="125"/>
      <c r="AC761" s="122"/>
      <c r="AD761" s="125"/>
      <c r="AE761" s="125"/>
    </row>
    <row r="762" spans="1:31" ht="15.75" customHeight="1" x14ac:dyDescent="0.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  <c r="AB762" s="125"/>
      <c r="AC762" s="122"/>
      <c r="AD762" s="125"/>
      <c r="AE762" s="125"/>
    </row>
    <row r="763" spans="1:31" ht="15.75" customHeight="1" x14ac:dyDescent="0.2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  <c r="AB763" s="125"/>
      <c r="AC763" s="122"/>
      <c r="AD763" s="125"/>
      <c r="AE763" s="125"/>
    </row>
    <row r="764" spans="1:31" ht="15.75" customHeight="1" x14ac:dyDescent="0.2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  <c r="AB764" s="125"/>
      <c r="AC764" s="122"/>
      <c r="AD764" s="125"/>
      <c r="AE764" s="125"/>
    </row>
    <row r="765" spans="1:31" ht="15.75" customHeight="1" x14ac:dyDescent="0.2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  <c r="AB765" s="125"/>
      <c r="AC765" s="122"/>
      <c r="AD765" s="125"/>
      <c r="AE765" s="125"/>
    </row>
    <row r="766" spans="1:31" ht="15.75" customHeight="1" x14ac:dyDescent="0.2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  <c r="AB766" s="125"/>
      <c r="AC766" s="122"/>
      <c r="AD766" s="125"/>
      <c r="AE766" s="125"/>
    </row>
    <row r="767" spans="1:31" ht="15.75" customHeight="1" x14ac:dyDescent="0.2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  <c r="AB767" s="125"/>
      <c r="AC767" s="122"/>
      <c r="AD767" s="125"/>
      <c r="AE767" s="125"/>
    </row>
    <row r="768" spans="1:31" ht="15.75" customHeight="1" x14ac:dyDescent="0.2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  <c r="AB768" s="125"/>
      <c r="AC768" s="122"/>
      <c r="AD768" s="125"/>
      <c r="AE768" s="125"/>
    </row>
    <row r="769" spans="1:31" ht="15.75" customHeight="1" x14ac:dyDescent="0.2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  <c r="AB769" s="125"/>
      <c r="AC769" s="122"/>
      <c r="AD769" s="125"/>
      <c r="AE769" s="125"/>
    </row>
    <row r="770" spans="1:31" ht="15.75" customHeight="1" x14ac:dyDescent="0.2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  <c r="AB770" s="125"/>
      <c r="AC770" s="122"/>
      <c r="AD770" s="125"/>
      <c r="AE770" s="125"/>
    </row>
    <row r="771" spans="1:31" ht="15.75" customHeight="1" x14ac:dyDescent="0.2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  <c r="AB771" s="125"/>
      <c r="AC771" s="122"/>
      <c r="AD771" s="125"/>
      <c r="AE771" s="125"/>
    </row>
    <row r="772" spans="1:31" ht="15.75" customHeight="1" x14ac:dyDescent="0.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  <c r="AB772" s="125"/>
      <c r="AC772" s="122"/>
      <c r="AD772" s="125"/>
      <c r="AE772" s="125"/>
    </row>
    <row r="773" spans="1:31" ht="15.75" customHeight="1" x14ac:dyDescent="0.2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  <c r="AB773" s="125"/>
      <c r="AC773" s="122"/>
      <c r="AD773" s="125"/>
      <c r="AE773" s="125"/>
    </row>
    <row r="774" spans="1:31" ht="15.75" customHeight="1" x14ac:dyDescent="0.2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  <c r="AB774" s="125"/>
      <c r="AC774" s="122"/>
      <c r="AD774" s="125"/>
      <c r="AE774" s="125"/>
    </row>
    <row r="775" spans="1:31" ht="15.75" customHeight="1" x14ac:dyDescent="0.2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  <c r="AB775" s="125"/>
      <c r="AC775" s="122"/>
      <c r="AD775" s="125"/>
      <c r="AE775" s="125"/>
    </row>
    <row r="776" spans="1:31" ht="15.75" customHeight="1" x14ac:dyDescent="0.2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  <c r="AB776" s="125"/>
      <c r="AC776" s="122"/>
      <c r="AD776" s="125"/>
      <c r="AE776" s="125"/>
    </row>
    <row r="777" spans="1:31" ht="15.75" customHeight="1" x14ac:dyDescent="0.2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  <c r="AB777" s="125"/>
      <c r="AC777" s="122"/>
      <c r="AD777" s="125"/>
      <c r="AE777" s="125"/>
    </row>
    <row r="778" spans="1:31" ht="15.75" customHeight="1" x14ac:dyDescent="0.2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  <c r="AB778" s="125"/>
      <c r="AC778" s="122"/>
      <c r="AD778" s="125"/>
      <c r="AE778" s="125"/>
    </row>
    <row r="779" spans="1:31" ht="15.75" customHeight="1" x14ac:dyDescent="0.2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  <c r="AB779" s="125"/>
      <c r="AC779" s="122"/>
      <c r="AD779" s="125"/>
      <c r="AE779" s="125"/>
    </row>
    <row r="780" spans="1:31" ht="15.75" customHeight="1" x14ac:dyDescent="0.2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  <c r="AB780" s="125"/>
      <c r="AC780" s="122"/>
      <c r="AD780" s="125"/>
      <c r="AE780" s="125"/>
    </row>
    <row r="781" spans="1:31" ht="15.75" customHeight="1" x14ac:dyDescent="0.2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  <c r="AB781" s="125"/>
      <c r="AC781" s="122"/>
      <c r="AD781" s="125"/>
      <c r="AE781" s="125"/>
    </row>
    <row r="782" spans="1:31" ht="15.75" customHeight="1" x14ac:dyDescent="0.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  <c r="AB782" s="125"/>
      <c r="AC782" s="122"/>
      <c r="AD782" s="125"/>
      <c r="AE782" s="125"/>
    </row>
    <row r="783" spans="1:31" ht="15.75" customHeight="1" x14ac:dyDescent="0.2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  <c r="AB783" s="125"/>
      <c r="AC783" s="122"/>
      <c r="AD783" s="125"/>
      <c r="AE783" s="125"/>
    </row>
    <row r="784" spans="1:31" ht="15.75" customHeight="1" x14ac:dyDescent="0.2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  <c r="AB784" s="125"/>
      <c r="AC784" s="122"/>
      <c r="AD784" s="125"/>
      <c r="AE784" s="125"/>
    </row>
    <row r="785" spans="1:31" ht="15.75" customHeight="1" x14ac:dyDescent="0.2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  <c r="AB785" s="125"/>
      <c r="AC785" s="122"/>
      <c r="AD785" s="125"/>
      <c r="AE785" s="125"/>
    </row>
    <row r="786" spans="1:31" ht="15.75" customHeight="1" x14ac:dyDescent="0.2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  <c r="AB786" s="125"/>
      <c r="AC786" s="122"/>
      <c r="AD786" s="125"/>
      <c r="AE786" s="125"/>
    </row>
    <row r="787" spans="1:31" ht="15.75" customHeight="1" x14ac:dyDescent="0.2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  <c r="AB787" s="125"/>
      <c r="AC787" s="122"/>
      <c r="AD787" s="125"/>
      <c r="AE787" s="125"/>
    </row>
    <row r="788" spans="1:31" ht="15.75" customHeight="1" x14ac:dyDescent="0.2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  <c r="AB788" s="125"/>
      <c r="AC788" s="122"/>
      <c r="AD788" s="125"/>
      <c r="AE788" s="125"/>
    </row>
    <row r="789" spans="1:31" ht="15.75" customHeight="1" x14ac:dyDescent="0.2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  <c r="AB789" s="125"/>
      <c r="AC789" s="122"/>
      <c r="AD789" s="125"/>
      <c r="AE789" s="125"/>
    </row>
    <row r="790" spans="1:31" ht="15.75" customHeight="1" x14ac:dyDescent="0.2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  <c r="AB790" s="125"/>
      <c r="AC790" s="122"/>
      <c r="AD790" s="125"/>
      <c r="AE790" s="125"/>
    </row>
    <row r="791" spans="1:31" ht="15.75" customHeight="1" x14ac:dyDescent="0.2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  <c r="AB791" s="125"/>
      <c r="AC791" s="122"/>
      <c r="AD791" s="125"/>
      <c r="AE791" s="125"/>
    </row>
    <row r="792" spans="1:31" ht="15.75" customHeight="1" x14ac:dyDescent="0.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  <c r="AB792" s="125"/>
      <c r="AC792" s="122"/>
      <c r="AD792" s="125"/>
      <c r="AE792" s="125"/>
    </row>
    <row r="793" spans="1:31" ht="15.75" customHeight="1" x14ac:dyDescent="0.2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  <c r="AB793" s="125"/>
      <c r="AC793" s="122"/>
      <c r="AD793" s="125"/>
      <c r="AE793" s="125"/>
    </row>
    <row r="794" spans="1:31" ht="15.75" customHeight="1" x14ac:dyDescent="0.2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  <c r="AB794" s="125"/>
      <c r="AC794" s="122"/>
      <c r="AD794" s="125"/>
      <c r="AE794" s="125"/>
    </row>
    <row r="795" spans="1:31" ht="15.75" customHeight="1" x14ac:dyDescent="0.2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  <c r="AB795" s="125"/>
      <c r="AC795" s="122"/>
      <c r="AD795" s="125"/>
      <c r="AE795" s="125"/>
    </row>
    <row r="796" spans="1:31" ht="15.75" customHeight="1" x14ac:dyDescent="0.2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  <c r="AB796" s="125"/>
      <c r="AC796" s="122"/>
      <c r="AD796" s="125"/>
      <c r="AE796" s="125"/>
    </row>
    <row r="797" spans="1:31" ht="15.75" customHeight="1" x14ac:dyDescent="0.2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  <c r="AB797" s="125"/>
      <c r="AC797" s="122"/>
      <c r="AD797" s="125"/>
      <c r="AE797" s="125"/>
    </row>
    <row r="798" spans="1:31" ht="15.75" customHeight="1" x14ac:dyDescent="0.2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  <c r="AB798" s="125"/>
      <c r="AC798" s="122"/>
      <c r="AD798" s="125"/>
      <c r="AE798" s="125"/>
    </row>
    <row r="799" spans="1:31" ht="15.75" customHeight="1" x14ac:dyDescent="0.2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  <c r="AB799" s="125"/>
      <c r="AC799" s="122"/>
      <c r="AD799" s="125"/>
      <c r="AE799" s="125"/>
    </row>
    <row r="800" spans="1:31" ht="15.75" customHeight="1" x14ac:dyDescent="0.2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  <c r="AB800" s="125"/>
      <c r="AC800" s="122"/>
      <c r="AD800" s="125"/>
      <c r="AE800" s="125"/>
    </row>
    <row r="801" spans="1:31" ht="15.75" customHeight="1" x14ac:dyDescent="0.2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  <c r="AB801" s="125"/>
      <c r="AC801" s="122"/>
      <c r="AD801" s="125"/>
      <c r="AE801" s="125"/>
    </row>
    <row r="802" spans="1:31" ht="15.75" customHeight="1" x14ac:dyDescent="0.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  <c r="AB802" s="125"/>
      <c r="AC802" s="122"/>
      <c r="AD802" s="125"/>
      <c r="AE802" s="125"/>
    </row>
    <row r="803" spans="1:31" ht="15.75" customHeight="1" x14ac:dyDescent="0.2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  <c r="AB803" s="125"/>
      <c r="AC803" s="122"/>
      <c r="AD803" s="125"/>
      <c r="AE803" s="125"/>
    </row>
    <row r="804" spans="1:31" ht="15.75" customHeight="1" x14ac:dyDescent="0.2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  <c r="AB804" s="125"/>
      <c r="AC804" s="122"/>
      <c r="AD804" s="125"/>
      <c r="AE804" s="125"/>
    </row>
    <row r="805" spans="1:31" ht="15.75" customHeight="1" x14ac:dyDescent="0.2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  <c r="AB805" s="125"/>
      <c r="AC805" s="122"/>
      <c r="AD805" s="125"/>
      <c r="AE805" s="125"/>
    </row>
    <row r="806" spans="1:31" ht="15.75" customHeight="1" x14ac:dyDescent="0.2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  <c r="AB806" s="125"/>
      <c r="AC806" s="122"/>
      <c r="AD806" s="125"/>
      <c r="AE806" s="125"/>
    </row>
    <row r="807" spans="1:31" ht="15.75" customHeight="1" x14ac:dyDescent="0.2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  <c r="AB807" s="125"/>
      <c r="AC807" s="122"/>
      <c r="AD807" s="125"/>
      <c r="AE807" s="125"/>
    </row>
    <row r="808" spans="1:31" ht="15.75" customHeight="1" x14ac:dyDescent="0.2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  <c r="AB808" s="125"/>
      <c r="AC808" s="122"/>
      <c r="AD808" s="125"/>
      <c r="AE808" s="125"/>
    </row>
    <row r="809" spans="1:31" ht="15.75" customHeight="1" x14ac:dyDescent="0.2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  <c r="AB809" s="125"/>
      <c r="AC809" s="122"/>
      <c r="AD809" s="125"/>
      <c r="AE809" s="125"/>
    </row>
    <row r="810" spans="1:31" ht="15.75" customHeight="1" x14ac:dyDescent="0.2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  <c r="AB810" s="125"/>
      <c r="AC810" s="122"/>
      <c r="AD810" s="125"/>
      <c r="AE810" s="125"/>
    </row>
    <row r="811" spans="1:31" ht="15.75" customHeight="1" x14ac:dyDescent="0.2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  <c r="AB811" s="125"/>
      <c r="AC811" s="122"/>
      <c r="AD811" s="125"/>
      <c r="AE811" s="125"/>
    </row>
    <row r="812" spans="1:31" ht="15.75" customHeight="1" x14ac:dyDescent="0.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  <c r="AB812" s="125"/>
      <c r="AC812" s="122"/>
      <c r="AD812" s="125"/>
      <c r="AE812" s="125"/>
    </row>
    <row r="813" spans="1:31" ht="15.75" customHeight="1" x14ac:dyDescent="0.2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  <c r="AB813" s="125"/>
      <c r="AC813" s="122"/>
      <c r="AD813" s="125"/>
      <c r="AE813" s="125"/>
    </row>
    <row r="814" spans="1:31" ht="15.75" customHeight="1" x14ac:dyDescent="0.2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  <c r="AB814" s="125"/>
      <c r="AC814" s="122"/>
      <c r="AD814" s="125"/>
      <c r="AE814" s="125"/>
    </row>
    <row r="815" spans="1:31" ht="15.75" customHeight="1" x14ac:dyDescent="0.2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  <c r="AB815" s="125"/>
      <c r="AC815" s="122"/>
      <c r="AD815" s="125"/>
      <c r="AE815" s="125"/>
    </row>
    <row r="816" spans="1:31" ht="15.75" customHeight="1" x14ac:dyDescent="0.2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  <c r="AB816" s="125"/>
      <c r="AC816" s="122"/>
      <c r="AD816" s="125"/>
      <c r="AE816" s="125"/>
    </row>
    <row r="817" spans="1:31" ht="15.75" customHeight="1" x14ac:dyDescent="0.2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  <c r="AB817" s="125"/>
      <c r="AC817" s="122"/>
      <c r="AD817" s="125"/>
      <c r="AE817" s="125"/>
    </row>
    <row r="818" spans="1:31" ht="15.75" customHeight="1" x14ac:dyDescent="0.2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  <c r="AB818" s="125"/>
      <c r="AC818" s="122"/>
      <c r="AD818" s="125"/>
      <c r="AE818" s="125"/>
    </row>
    <row r="819" spans="1:31" ht="15.75" customHeight="1" x14ac:dyDescent="0.2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  <c r="AB819" s="125"/>
      <c r="AC819" s="122"/>
      <c r="AD819" s="125"/>
      <c r="AE819" s="125"/>
    </row>
    <row r="820" spans="1:31" ht="15.75" customHeight="1" x14ac:dyDescent="0.2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  <c r="AB820" s="125"/>
      <c r="AC820" s="122"/>
      <c r="AD820" s="125"/>
      <c r="AE820" s="125"/>
    </row>
    <row r="821" spans="1:31" ht="15.75" customHeight="1" x14ac:dyDescent="0.2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  <c r="AB821" s="125"/>
      <c r="AC821" s="122"/>
      <c r="AD821" s="125"/>
      <c r="AE821" s="125"/>
    </row>
    <row r="822" spans="1:31" ht="15.75" customHeight="1" x14ac:dyDescent="0.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  <c r="AB822" s="125"/>
      <c r="AC822" s="122"/>
      <c r="AD822" s="125"/>
      <c r="AE822" s="125"/>
    </row>
    <row r="823" spans="1:31" ht="15.75" customHeight="1" x14ac:dyDescent="0.2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  <c r="AB823" s="125"/>
      <c r="AC823" s="122"/>
      <c r="AD823" s="125"/>
      <c r="AE823" s="125"/>
    </row>
    <row r="824" spans="1:31" ht="15.75" customHeight="1" x14ac:dyDescent="0.2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  <c r="AB824" s="125"/>
      <c r="AC824" s="122"/>
      <c r="AD824" s="125"/>
      <c r="AE824" s="125"/>
    </row>
    <row r="825" spans="1:31" ht="15.75" customHeight="1" x14ac:dyDescent="0.2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  <c r="AB825" s="125"/>
      <c r="AC825" s="122"/>
      <c r="AD825" s="125"/>
      <c r="AE825" s="125"/>
    </row>
    <row r="826" spans="1:31" ht="15.75" customHeight="1" x14ac:dyDescent="0.2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  <c r="AB826" s="125"/>
      <c r="AC826" s="122"/>
      <c r="AD826" s="125"/>
      <c r="AE826" s="125"/>
    </row>
    <row r="827" spans="1:31" ht="15.75" customHeight="1" x14ac:dyDescent="0.2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  <c r="AB827" s="125"/>
      <c r="AC827" s="122"/>
      <c r="AD827" s="125"/>
      <c r="AE827" s="125"/>
    </row>
    <row r="828" spans="1:31" ht="15.75" customHeight="1" x14ac:dyDescent="0.2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  <c r="AB828" s="125"/>
      <c r="AC828" s="122"/>
      <c r="AD828" s="125"/>
      <c r="AE828" s="125"/>
    </row>
    <row r="829" spans="1:31" ht="15.75" customHeight="1" x14ac:dyDescent="0.2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  <c r="AB829" s="125"/>
      <c r="AC829" s="122"/>
      <c r="AD829" s="125"/>
      <c r="AE829" s="125"/>
    </row>
    <row r="830" spans="1:31" ht="15.75" customHeight="1" x14ac:dyDescent="0.2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  <c r="AB830" s="125"/>
      <c r="AC830" s="122"/>
      <c r="AD830" s="125"/>
      <c r="AE830" s="125"/>
    </row>
    <row r="831" spans="1:31" ht="15.75" customHeight="1" x14ac:dyDescent="0.2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  <c r="AB831" s="125"/>
      <c r="AC831" s="122"/>
      <c r="AD831" s="125"/>
      <c r="AE831" s="125"/>
    </row>
    <row r="832" spans="1:31" ht="15.75" customHeight="1" x14ac:dyDescent="0.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  <c r="AB832" s="125"/>
      <c r="AC832" s="122"/>
      <c r="AD832" s="125"/>
      <c r="AE832" s="125"/>
    </row>
    <row r="833" spans="1:31" ht="15.75" customHeight="1" x14ac:dyDescent="0.2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  <c r="AB833" s="125"/>
      <c r="AC833" s="122"/>
      <c r="AD833" s="125"/>
      <c r="AE833" s="125"/>
    </row>
    <row r="834" spans="1:31" ht="15.75" customHeight="1" x14ac:dyDescent="0.2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  <c r="AB834" s="125"/>
      <c r="AC834" s="122"/>
      <c r="AD834" s="125"/>
      <c r="AE834" s="125"/>
    </row>
    <row r="835" spans="1:31" ht="15.75" customHeight="1" x14ac:dyDescent="0.2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  <c r="AB835" s="125"/>
      <c r="AC835" s="122"/>
      <c r="AD835" s="125"/>
      <c r="AE835" s="125"/>
    </row>
    <row r="836" spans="1:31" ht="15.75" customHeight="1" x14ac:dyDescent="0.2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  <c r="AB836" s="125"/>
      <c r="AC836" s="122"/>
      <c r="AD836" s="125"/>
      <c r="AE836" s="125"/>
    </row>
    <row r="837" spans="1:31" ht="15.75" customHeight="1" x14ac:dyDescent="0.2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  <c r="AB837" s="125"/>
      <c r="AC837" s="122"/>
      <c r="AD837" s="125"/>
      <c r="AE837" s="125"/>
    </row>
    <row r="838" spans="1:31" ht="15.75" customHeight="1" x14ac:dyDescent="0.2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  <c r="AB838" s="125"/>
      <c r="AC838" s="122"/>
      <c r="AD838" s="125"/>
      <c r="AE838" s="125"/>
    </row>
    <row r="839" spans="1:31" ht="15.75" customHeight="1" x14ac:dyDescent="0.2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  <c r="AB839" s="125"/>
      <c r="AC839" s="122"/>
      <c r="AD839" s="125"/>
      <c r="AE839" s="125"/>
    </row>
    <row r="840" spans="1:31" ht="15.75" customHeight="1" x14ac:dyDescent="0.2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  <c r="AB840" s="125"/>
      <c r="AC840" s="122"/>
      <c r="AD840" s="125"/>
      <c r="AE840" s="125"/>
    </row>
    <row r="841" spans="1:31" ht="15.75" customHeight="1" x14ac:dyDescent="0.2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  <c r="AB841" s="125"/>
      <c r="AC841" s="122"/>
      <c r="AD841" s="125"/>
      <c r="AE841" s="125"/>
    </row>
    <row r="842" spans="1:31" ht="15.75" customHeight="1" x14ac:dyDescent="0.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  <c r="AB842" s="125"/>
      <c r="AC842" s="122"/>
      <c r="AD842" s="125"/>
      <c r="AE842" s="125"/>
    </row>
    <row r="843" spans="1:31" ht="15.75" customHeight="1" x14ac:dyDescent="0.2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  <c r="AB843" s="125"/>
      <c r="AC843" s="122"/>
      <c r="AD843" s="125"/>
      <c r="AE843" s="125"/>
    </row>
    <row r="844" spans="1:31" ht="15.75" customHeight="1" x14ac:dyDescent="0.2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  <c r="AB844" s="125"/>
      <c r="AC844" s="122"/>
      <c r="AD844" s="125"/>
      <c r="AE844" s="125"/>
    </row>
    <row r="845" spans="1:31" ht="15.75" customHeight="1" x14ac:dyDescent="0.2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  <c r="AB845" s="125"/>
      <c r="AC845" s="122"/>
      <c r="AD845" s="125"/>
      <c r="AE845" s="125"/>
    </row>
    <row r="846" spans="1:31" ht="15.75" customHeight="1" x14ac:dyDescent="0.2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  <c r="AB846" s="125"/>
      <c r="AC846" s="122"/>
      <c r="AD846" s="125"/>
      <c r="AE846" s="125"/>
    </row>
    <row r="847" spans="1:31" ht="15.75" customHeight="1" x14ac:dyDescent="0.2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  <c r="AB847" s="125"/>
      <c r="AC847" s="122"/>
      <c r="AD847" s="125"/>
      <c r="AE847" s="125"/>
    </row>
    <row r="848" spans="1:31" ht="15.75" customHeight="1" x14ac:dyDescent="0.2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  <c r="AB848" s="125"/>
      <c r="AC848" s="122"/>
      <c r="AD848" s="125"/>
      <c r="AE848" s="125"/>
    </row>
    <row r="849" spans="1:31" ht="15.75" customHeight="1" x14ac:dyDescent="0.2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  <c r="AB849" s="125"/>
      <c r="AC849" s="122"/>
      <c r="AD849" s="125"/>
      <c r="AE849" s="125"/>
    </row>
    <row r="850" spans="1:31" ht="15.75" customHeight="1" x14ac:dyDescent="0.2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  <c r="AB850" s="125"/>
      <c r="AC850" s="122"/>
      <c r="AD850" s="125"/>
      <c r="AE850" s="125"/>
    </row>
    <row r="851" spans="1:31" ht="15.75" customHeight="1" x14ac:dyDescent="0.2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  <c r="AB851" s="125"/>
      <c r="AC851" s="122"/>
      <c r="AD851" s="125"/>
      <c r="AE851" s="125"/>
    </row>
    <row r="852" spans="1:31" ht="15.75" customHeight="1" x14ac:dyDescent="0.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  <c r="AB852" s="125"/>
      <c r="AC852" s="122"/>
      <c r="AD852" s="125"/>
      <c r="AE852" s="125"/>
    </row>
    <row r="853" spans="1:31" ht="15.75" customHeight="1" x14ac:dyDescent="0.2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  <c r="AB853" s="125"/>
      <c r="AC853" s="122"/>
      <c r="AD853" s="125"/>
      <c r="AE853" s="125"/>
    </row>
    <row r="854" spans="1:31" ht="15.75" customHeight="1" x14ac:dyDescent="0.2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  <c r="AB854" s="125"/>
      <c r="AC854" s="122"/>
      <c r="AD854" s="125"/>
      <c r="AE854" s="125"/>
    </row>
    <row r="855" spans="1:31" ht="15.75" customHeight="1" x14ac:dyDescent="0.2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  <c r="AB855" s="125"/>
      <c r="AC855" s="122"/>
      <c r="AD855" s="125"/>
      <c r="AE855" s="125"/>
    </row>
    <row r="856" spans="1:31" ht="15.75" customHeight="1" x14ac:dyDescent="0.2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  <c r="AB856" s="125"/>
      <c r="AC856" s="122"/>
      <c r="AD856" s="125"/>
      <c r="AE856" s="125"/>
    </row>
    <row r="857" spans="1:31" ht="15.75" customHeight="1" x14ac:dyDescent="0.2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  <c r="AB857" s="125"/>
      <c r="AC857" s="122"/>
      <c r="AD857" s="125"/>
      <c r="AE857" s="125"/>
    </row>
    <row r="858" spans="1:31" ht="15.75" customHeight="1" x14ac:dyDescent="0.2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  <c r="AB858" s="125"/>
      <c r="AC858" s="122"/>
      <c r="AD858" s="125"/>
      <c r="AE858" s="125"/>
    </row>
    <row r="859" spans="1:31" ht="15.75" customHeight="1" x14ac:dyDescent="0.2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  <c r="AB859" s="125"/>
      <c r="AC859" s="122"/>
      <c r="AD859" s="125"/>
      <c r="AE859" s="125"/>
    </row>
    <row r="860" spans="1:31" ht="15.75" customHeight="1" x14ac:dyDescent="0.2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  <c r="AB860" s="125"/>
      <c r="AC860" s="122"/>
      <c r="AD860" s="125"/>
      <c r="AE860" s="125"/>
    </row>
    <row r="861" spans="1:31" ht="15.75" customHeight="1" x14ac:dyDescent="0.2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  <c r="AB861" s="125"/>
      <c r="AC861" s="122"/>
      <c r="AD861" s="125"/>
      <c r="AE861" s="125"/>
    </row>
    <row r="862" spans="1:31" ht="15.75" customHeight="1" x14ac:dyDescent="0.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  <c r="AB862" s="125"/>
      <c r="AC862" s="122"/>
      <c r="AD862" s="125"/>
      <c r="AE862" s="125"/>
    </row>
    <row r="863" spans="1:31" ht="15.75" customHeight="1" x14ac:dyDescent="0.2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  <c r="AB863" s="125"/>
      <c r="AC863" s="122"/>
      <c r="AD863" s="125"/>
      <c r="AE863" s="125"/>
    </row>
    <row r="864" spans="1:31" ht="15.75" customHeight="1" x14ac:dyDescent="0.2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  <c r="AB864" s="125"/>
      <c r="AC864" s="122"/>
      <c r="AD864" s="125"/>
      <c r="AE864" s="125"/>
    </row>
    <row r="865" spans="1:31" ht="15.75" customHeight="1" x14ac:dyDescent="0.2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  <c r="AB865" s="125"/>
      <c r="AC865" s="122"/>
      <c r="AD865" s="125"/>
      <c r="AE865" s="125"/>
    </row>
    <row r="866" spans="1:31" ht="15.75" customHeight="1" x14ac:dyDescent="0.2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  <c r="AB866" s="125"/>
      <c r="AC866" s="122"/>
      <c r="AD866" s="125"/>
      <c r="AE866" s="125"/>
    </row>
    <row r="867" spans="1:31" ht="15.75" customHeight="1" x14ac:dyDescent="0.2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  <c r="AB867" s="125"/>
      <c r="AC867" s="122"/>
      <c r="AD867" s="125"/>
      <c r="AE867" s="125"/>
    </row>
    <row r="868" spans="1:31" ht="15.75" customHeight="1" x14ac:dyDescent="0.2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  <c r="AB868" s="125"/>
      <c r="AC868" s="122"/>
      <c r="AD868" s="125"/>
      <c r="AE868" s="125"/>
    </row>
    <row r="869" spans="1:31" ht="15.75" customHeight="1" x14ac:dyDescent="0.2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  <c r="AB869" s="125"/>
      <c r="AC869" s="122"/>
      <c r="AD869" s="125"/>
      <c r="AE869" s="125"/>
    </row>
    <row r="870" spans="1:31" ht="15.75" customHeight="1" x14ac:dyDescent="0.2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  <c r="AB870" s="125"/>
      <c r="AC870" s="122"/>
      <c r="AD870" s="125"/>
      <c r="AE870" s="125"/>
    </row>
    <row r="871" spans="1:31" ht="15.75" customHeight="1" x14ac:dyDescent="0.2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  <c r="AB871" s="125"/>
      <c r="AC871" s="122"/>
      <c r="AD871" s="125"/>
      <c r="AE871" s="125"/>
    </row>
    <row r="872" spans="1:31" ht="15.75" customHeight="1" x14ac:dyDescent="0.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  <c r="AB872" s="125"/>
      <c r="AC872" s="122"/>
      <c r="AD872" s="125"/>
      <c r="AE872" s="125"/>
    </row>
    <row r="873" spans="1:31" ht="15.75" customHeight="1" x14ac:dyDescent="0.2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  <c r="AB873" s="125"/>
      <c r="AC873" s="122"/>
      <c r="AD873" s="125"/>
      <c r="AE873" s="125"/>
    </row>
    <row r="874" spans="1:31" ht="15.75" customHeight="1" x14ac:dyDescent="0.2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  <c r="AB874" s="125"/>
      <c r="AC874" s="122"/>
      <c r="AD874" s="125"/>
      <c r="AE874" s="125"/>
    </row>
    <row r="875" spans="1:31" ht="15.75" customHeight="1" x14ac:dyDescent="0.2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  <c r="AB875" s="125"/>
      <c r="AC875" s="122"/>
      <c r="AD875" s="125"/>
      <c r="AE875" s="125"/>
    </row>
    <row r="876" spans="1:31" ht="15.75" customHeight="1" x14ac:dyDescent="0.2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  <c r="AB876" s="125"/>
      <c r="AC876" s="122"/>
      <c r="AD876" s="125"/>
      <c r="AE876" s="125"/>
    </row>
    <row r="877" spans="1:31" ht="15.75" customHeight="1" x14ac:dyDescent="0.2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  <c r="AB877" s="125"/>
      <c r="AC877" s="122"/>
      <c r="AD877" s="125"/>
      <c r="AE877" s="125"/>
    </row>
    <row r="878" spans="1:31" ht="15.75" customHeight="1" x14ac:dyDescent="0.2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  <c r="AB878" s="125"/>
      <c r="AC878" s="122"/>
      <c r="AD878" s="125"/>
      <c r="AE878" s="125"/>
    </row>
    <row r="879" spans="1:31" ht="15.75" customHeight="1" x14ac:dyDescent="0.2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  <c r="AB879" s="125"/>
      <c r="AC879" s="122"/>
      <c r="AD879" s="125"/>
      <c r="AE879" s="125"/>
    </row>
    <row r="880" spans="1:31" ht="15.75" customHeight="1" x14ac:dyDescent="0.2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  <c r="AB880" s="125"/>
      <c r="AC880" s="122"/>
      <c r="AD880" s="125"/>
      <c r="AE880" s="125"/>
    </row>
    <row r="881" spans="1:31" ht="15.75" customHeight="1" x14ac:dyDescent="0.2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  <c r="AB881" s="125"/>
      <c r="AC881" s="122"/>
      <c r="AD881" s="125"/>
      <c r="AE881" s="125"/>
    </row>
    <row r="882" spans="1:31" ht="15.75" customHeight="1" x14ac:dyDescent="0.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  <c r="AB882" s="125"/>
      <c r="AC882" s="122"/>
      <c r="AD882" s="125"/>
      <c r="AE882" s="125"/>
    </row>
    <row r="883" spans="1:31" ht="15.75" customHeight="1" x14ac:dyDescent="0.2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  <c r="AB883" s="125"/>
      <c r="AC883" s="122"/>
      <c r="AD883" s="125"/>
      <c r="AE883" s="125"/>
    </row>
    <row r="884" spans="1:31" ht="15.75" customHeight="1" x14ac:dyDescent="0.2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  <c r="AB884" s="125"/>
      <c r="AC884" s="122"/>
      <c r="AD884" s="125"/>
      <c r="AE884" s="125"/>
    </row>
    <row r="885" spans="1:31" ht="15.75" customHeight="1" x14ac:dyDescent="0.2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  <c r="AB885" s="125"/>
      <c r="AC885" s="122"/>
      <c r="AD885" s="125"/>
      <c r="AE885" s="125"/>
    </row>
    <row r="886" spans="1:31" ht="15.75" customHeight="1" x14ac:dyDescent="0.2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  <c r="AB886" s="125"/>
      <c r="AC886" s="122"/>
      <c r="AD886" s="125"/>
      <c r="AE886" s="125"/>
    </row>
    <row r="887" spans="1:31" ht="15.75" customHeight="1" x14ac:dyDescent="0.2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  <c r="AB887" s="125"/>
      <c r="AC887" s="122"/>
      <c r="AD887" s="125"/>
      <c r="AE887" s="125"/>
    </row>
    <row r="888" spans="1:31" ht="15.75" customHeight="1" x14ac:dyDescent="0.2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  <c r="AB888" s="125"/>
      <c r="AC888" s="122"/>
      <c r="AD888" s="125"/>
      <c r="AE888" s="125"/>
    </row>
    <row r="889" spans="1:31" ht="15.75" customHeight="1" x14ac:dyDescent="0.2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  <c r="AB889" s="125"/>
      <c r="AC889" s="122"/>
      <c r="AD889" s="125"/>
      <c r="AE889" s="125"/>
    </row>
    <row r="890" spans="1:31" ht="15.75" customHeight="1" x14ac:dyDescent="0.2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  <c r="AB890" s="125"/>
      <c r="AC890" s="122"/>
      <c r="AD890" s="125"/>
      <c r="AE890" s="125"/>
    </row>
    <row r="891" spans="1:31" ht="15.75" customHeight="1" x14ac:dyDescent="0.2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  <c r="AB891" s="125"/>
      <c r="AC891" s="122"/>
      <c r="AD891" s="125"/>
      <c r="AE891" s="125"/>
    </row>
    <row r="892" spans="1:31" ht="15.75" customHeight="1" x14ac:dyDescent="0.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  <c r="AB892" s="125"/>
      <c r="AC892" s="122"/>
      <c r="AD892" s="125"/>
      <c r="AE892" s="125"/>
    </row>
    <row r="893" spans="1:31" ht="15.75" customHeight="1" x14ac:dyDescent="0.2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  <c r="AB893" s="125"/>
      <c r="AC893" s="122"/>
      <c r="AD893" s="125"/>
      <c r="AE893" s="125"/>
    </row>
    <row r="894" spans="1:31" ht="15.75" customHeight="1" x14ac:dyDescent="0.2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  <c r="AB894" s="125"/>
      <c r="AC894" s="122"/>
      <c r="AD894" s="125"/>
      <c r="AE894" s="125"/>
    </row>
    <row r="895" spans="1:31" ht="15.75" customHeight="1" x14ac:dyDescent="0.2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  <c r="AB895" s="125"/>
      <c r="AC895" s="122"/>
      <c r="AD895" s="125"/>
      <c r="AE895" s="125"/>
    </row>
    <row r="896" spans="1:31" ht="15.75" customHeight="1" x14ac:dyDescent="0.2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  <c r="AB896" s="125"/>
      <c r="AC896" s="122"/>
      <c r="AD896" s="125"/>
      <c r="AE896" s="125"/>
    </row>
    <row r="897" spans="1:31" ht="15.75" customHeight="1" x14ac:dyDescent="0.2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  <c r="AB897" s="125"/>
      <c r="AC897" s="122"/>
      <c r="AD897" s="125"/>
      <c r="AE897" s="125"/>
    </row>
    <row r="898" spans="1:31" ht="15.75" customHeight="1" x14ac:dyDescent="0.2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  <c r="AB898" s="125"/>
      <c r="AC898" s="122"/>
      <c r="AD898" s="125"/>
      <c r="AE898" s="125"/>
    </row>
    <row r="899" spans="1:31" ht="15.75" customHeight="1" x14ac:dyDescent="0.2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  <c r="AB899" s="125"/>
      <c r="AC899" s="122"/>
      <c r="AD899" s="125"/>
      <c r="AE899" s="125"/>
    </row>
    <row r="900" spans="1:31" ht="15.75" customHeight="1" x14ac:dyDescent="0.2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  <c r="AB900" s="125"/>
      <c r="AC900" s="122"/>
      <c r="AD900" s="125"/>
      <c r="AE900" s="125"/>
    </row>
    <row r="901" spans="1:31" ht="15.75" customHeight="1" x14ac:dyDescent="0.2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  <c r="AB901" s="125"/>
      <c r="AC901" s="122"/>
      <c r="AD901" s="125"/>
      <c r="AE901" s="125"/>
    </row>
    <row r="902" spans="1:31" ht="15.75" customHeight="1" x14ac:dyDescent="0.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  <c r="AB902" s="125"/>
      <c r="AC902" s="122"/>
      <c r="AD902" s="125"/>
      <c r="AE902" s="125"/>
    </row>
    <row r="903" spans="1:31" ht="15.75" customHeight="1" x14ac:dyDescent="0.2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  <c r="AB903" s="125"/>
      <c r="AC903" s="122"/>
      <c r="AD903" s="125"/>
      <c r="AE903" s="125"/>
    </row>
    <row r="904" spans="1:31" ht="15.75" customHeight="1" x14ac:dyDescent="0.2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  <c r="AB904" s="125"/>
      <c r="AC904" s="122"/>
      <c r="AD904" s="125"/>
      <c r="AE904" s="125"/>
    </row>
    <row r="905" spans="1:31" ht="15.75" customHeight="1" x14ac:dyDescent="0.2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  <c r="AB905" s="125"/>
      <c r="AC905" s="122"/>
      <c r="AD905" s="125"/>
      <c r="AE905" s="125"/>
    </row>
    <row r="906" spans="1:31" ht="15.75" customHeight="1" x14ac:dyDescent="0.2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  <c r="AB906" s="125"/>
      <c r="AC906" s="122"/>
      <c r="AD906" s="125"/>
      <c r="AE906" s="125"/>
    </row>
    <row r="907" spans="1:31" ht="15.75" customHeight="1" x14ac:dyDescent="0.2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  <c r="AB907" s="125"/>
      <c r="AC907" s="122"/>
      <c r="AD907" s="125"/>
      <c r="AE907" s="125"/>
    </row>
    <row r="908" spans="1:31" ht="15.75" customHeight="1" x14ac:dyDescent="0.2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  <c r="AB908" s="125"/>
      <c r="AC908" s="122"/>
      <c r="AD908" s="125"/>
      <c r="AE908" s="125"/>
    </row>
    <row r="909" spans="1:31" ht="15.75" customHeight="1" x14ac:dyDescent="0.2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  <c r="AB909" s="125"/>
      <c r="AC909" s="122"/>
      <c r="AD909" s="125"/>
      <c r="AE909" s="125"/>
    </row>
    <row r="910" spans="1:31" ht="15.75" customHeight="1" x14ac:dyDescent="0.2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  <c r="AB910" s="125"/>
      <c r="AC910" s="122"/>
      <c r="AD910" s="125"/>
      <c r="AE910" s="125"/>
    </row>
    <row r="911" spans="1:31" ht="15.75" customHeight="1" x14ac:dyDescent="0.2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  <c r="AB911" s="125"/>
      <c r="AC911" s="122"/>
      <c r="AD911" s="125"/>
      <c r="AE911" s="125"/>
    </row>
    <row r="912" spans="1:31" ht="15.75" customHeight="1" x14ac:dyDescent="0.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  <c r="AB912" s="125"/>
      <c r="AC912" s="122"/>
      <c r="AD912" s="125"/>
      <c r="AE912" s="125"/>
    </row>
    <row r="913" spans="1:31" ht="15.75" customHeight="1" x14ac:dyDescent="0.2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  <c r="AB913" s="125"/>
      <c r="AC913" s="122"/>
      <c r="AD913" s="125"/>
      <c r="AE913" s="125"/>
    </row>
    <row r="914" spans="1:31" ht="15.75" customHeight="1" x14ac:dyDescent="0.2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  <c r="AB914" s="125"/>
      <c r="AC914" s="122"/>
      <c r="AD914" s="125"/>
      <c r="AE914" s="125"/>
    </row>
    <row r="915" spans="1:31" ht="15.75" customHeight="1" x14ac:dyDescent="0.2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  <c r="AB915" s="125"/>
      <c r="AC915" s="122"/>
      <c r="AD915" s="125"/>
      <c r="AE915" s="125"/>
    </row>
    <row r="916" spans="1:31" ht="15.75" customHeight="1" x14ac:dyDescent="0.2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  <c r="AB916" s="125"/>
      <c r="AC916" s="122"/>
      <c r="AD916" s="125"/>
      <c r="AE916" s="125"/>
    </row>
    <row r="917" spans="1:31" ht="15.75" customHeight="1" x14ac:dyDescent="0.2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  <c r="AB917" s="125"/>
      <c r="AC917" s="122"/>
      <c r="AD917" s="125"/>
      <c r="AE917" s="125"/>
    </row>
    <row r="918" spans="1:31" ht="15.75" customHeight="1" x14ac:dyDescent="0.2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  <c r="AB918" s="125"/>
      <c r="AC918" s="122"/>
      <c r="AD918" s="125"/>
      <c r="AE918" s="125"/>
    </row>
    <row r="919" spans="1:31" ht="15.75" customHeight="1" x14ac:dyDescent="0.2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  <c r="AB919" s="125"/>
      <c r="AC919" s="122"/>
      <c r="AD919" s="125"/>
      <c r="AE919" s="125"/>
    </row>
    <row r="920" spans="1:31" ht="15.75" customHeight="1" x14ac:dyDescent="0.2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  <c r="AB920" s="125"/>
      <c r="AC920" s="122"/>
      <c r="AD920" s="125"/>
      <c r="AE920" s="125"/>
    </row>
    <row r="921" spans="1:31" ht="15.75" customHeight="1" x14ac:dyDescent="0.2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  <c r="AB921" s="125"/>
      <c r="AC921" s="122"/>
      <c r="AD921" s="125"/>
      <c r="AE921" s="125"/>
    </row>
    <row r="922" spans="1:31" ht="15.75" customHeight="1" x14ac:dyDescent="0.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  <c r="AB922" s="125"/>
      <c r="AC922" s="122"/>
      <c r="AD922" s="125"/>
      <c r="AE922" s="125"/>
    </row>
    <row r="923" spans="1:31" ht="15.75" customHeight="1" x14ac:dyDescent="0.2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  <c r="AB923" s="125"/>
      <c r="AC923" s="122"/>
      <c r="AD923" s="125"/>
      <c r="AE923" s="125"/>
    </row>
    <row r="924" spans="1:31" ht="15.75" customHeight="1" x14ac:dyDescent="0.2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  <c r="AB924" s="125"/>
      <c r="AC924" s="122"/>
      <c r="AD924" s="125"/>
      <c r="AE924" s="125"/>
    </row>
    <row r="925" spans="1:31" ht="15.75" customHeight="1" x14ac:dyDescent="0.2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  <c r="AB925" s="125"/>
      <c r="AC925" s="122"/>
      <c r="AD925" s="125"/>
      <c r="AE925" s="125"/>
    </row>
    <row r="926" spans="1:31" ht="15.75" customHeight="1" x14ac:dyDescent="0.2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  <c r="AB926" s="125"/>
      <c r="AC926" s="122"/>
      <c r="AD926" s="125"/>
      <c r="AE926" s="125"/>
    </row>
    <row r="927" spans="1:31" ht="15.75" customHeight="1" x14ac:dyDescent="0.2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  <c r="AB927" s="125"/>
      <c r="AC927" s="122"/>
      <c r="AD927" s="125"/>
      <c r="AE927" s="125"/>
    </row>
    <row r="928" spans="1:31" ht="15.75" customHeight="1" x14ac:dyDescent="0.2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  <c r="AB928" s="125"/>
      <c r="AC928" s="122"/>
      <c r="AD928" s="125"/>
      <c r="AE928" s="125"/>
    </row>
    <row r="929" spans="1:31" ht="15.75" customHeight="1" x14ac:dyDescent="0.2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  <c r="AB929" s="125"/>
      <c r="AC929" s="122"/>
      <c r="AD929" s="125"/>
      <c r="AE929" s="125"/>
    </row>
    <row r="930" spans="1:31" ht="15.75" customHeight="1" x14ac:dyDescent="0.2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  <c r="AB930" s="125"/>
      <c r="AC930" s="122"/>
      <c r="AD930" s="125"/>
      <c r="AE930" s="125"/>
    </row>
    <row r="931" spans="1:31" ht="15.75" customHeight="1" x14ac:dyDescent="0.2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  <c r="AB931" s="125"/>
      <c r="AC931" s="122"/>
      <c r="AD931" s="125"/>
      <c r="AE931" s="125"/>
    </row>
    <row r="932" spans="1:31" ht="15.75" customHeight="1" x14ac:dyDescent="0.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  <c r="AB932" s="125"/>
      <c r="AC932" s="122"/>
      <c r="AD932" s="125"/>
      <c r="AE932" s="125"/>
    </row>
    <row r="933" spans="1:31" ht="15.75" customHeight="1" x14ac:dyDescent="0.2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  <c r="AB933" s="125"/>
      <c r="AC933" s="122"/>
      <c r="AD933" s="125"/>
      <c r="AE933" s="125"/>
    </row>
    <row r="934" spans="1:31" ht="15.75" customHeight="1" x14ac:dyDescent="0.2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  <c r="AB934" s="125"/>
      <c r="AC934" s="122"/>
      <c r="AD934" s="125"/>
      <c r="AE934" s="125"/>
    </row>
    <row r="935" spans="1:31" ht="15.75" customHeight="1" x14ac:dyDescent="0.2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  <c r="AB935" s="125"/>
      <c r="AC935" s="122"/>
      <c r="AD935" s="125"/>
      <c r="AE935" s="125"/>
    </row>
    <row r="936" spans="1:31" ht="15.75" customHeight="1" x14ac:dyDescent="0.2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  <c r="AB936" s="125"/>
      <c r="AC936" s="122"/>
      <c r="AD936" s="125"/>
      <c r="AE936" s="125"/>
    </row>
    <row r="937" spans="1:31" ht="15.75" customHeight="1" x14ac:dyDescent="0.2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  <c r="AB937" s="125"/>
      <c r="AC937" s="122"/>
      <c r="AD937" s="125"/>
      <c r="AE937" s="125"/>
    </row>
    <row r="938" spans="1:31" ht="15.75" customHeight="1" x14ac:dyDescent="0.2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  <c r="AB938" s="125"/>
      <c r="AC938" s="122"/>
      <c r="AD938" s="125"/>
      <c r="AE938" s="125"/>
    </row>
    <row r="939" spans="1:31" ht="15.75" customHeight="1" x14ac:dyDescent="0.2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  <c r="AB939" s="125"/>
      <c r="AC939" s="122"/>
      <c r="AD939" s="125"/>
      <c r="AE939" s="125"/>
    </row>
    <row r="940" spans="1:31" ht="15.75" customHeight="1" x14ac:dyDescent="0.2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  <c r="AB940" s="125"/>
      <c r="AC940" s="122"/>
      <c r="AD940" s="125"/>
      <c r="AE940" s="125"/>
    </row>
    <row r="941" spans="1:31" ht="15.75" customHeight="1" x14ac:dyDescent="0.2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  <c r="AB941" s="125"/>
      <c r="AC941" s="122"/>
      <c r="AD941" s="125"/>
      <c r="AE941" s="125"/>
    </row>
    <row r="942" spans="1:31" ht="15.75" customHeight="1" x14ac:dyDescent="0.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  <c r="AB942" s="125"/>
      <c r="AC942" s="122"/>
      <c r="AD942" s="125"/>
      <c r="AE942" s="125"/>
    </row>
    <row r="943" spans="1:31" ht="15.75" customHeight="1" x14ac:dyDescent="0.2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  <c r="AB943" s="125"/>
      <c r="AC943" s="122"/>
      <c r="AD943" s="125"/>
      <c r="AE943" s="125"/>
    </row>
    <row r="944" spans="1:31" ht="15.75" customHeight="1" x14ac:dyDescent="0.2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  <c r="AB944" s="125"/>
      <c r="AC944" s="122"/>
      <c r="AD944" s="125"/>
      <c r="AE944" s="125"/>
    </row>
    <row r="945" spans="1:31" ht="15.75" customHeight="1" x14ac:dyDescent="0.2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  <c r="AB945" s="125"/>
      <c r="AC945" s="122"/>
      <c r="AD945" s="125"/>
      <c r="AE945" s="125"/>
    </row>
    <row r="946" spans="1:31" ht="15.75" customHeight="1" x14ac:dyDescent="0.2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  <c r="AB946" s="125"/>
      <c r="AC946" s="122"/>
      <c r="AD946" s="125"/>
      <c r="AE946" s="125"/>
    </row>
    <row r="947" spans="1:31" ht="15.75" customHeight="1" x14ac:dyDescent="0.2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  <c r="AB947" s="125"/>
      <c r="AC947" s="122"/>
      <c r="AD947" s="125"/>
      <c r="AE947" s="125"/>
    </row>
    <row r="948" spans="1:31" ht="15.75" customHeight="1" x14ac:dyDescent="0.2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  <c r="AB948" s="125"/>
      <c r="AC948" s="122"/>
      <c r="AD948" s="125"/>
      <c r="AE948" s="125"/>
    </row>
    <row r="949" spans="1:31" ht="15.75" customHeight="1" x14ac:dyDescent="0.2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  <c r="AB949" s="125"/>
      <c r="AC949" s="122"/>
      <c r="AD949" s="125"/>
      <c r="AE949" s="125"/>
    </row>
    <row r="950" spans="1:31" ht="15.75" customHeight="1" x14ac:dyDescent="0.2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  <c r="AB950" s="125"/>
      <c r="AC950" s="122"/>
      <c r="AD950" s="125"/>
      <c r="AE950" s="125"/>
    </row>
    <row r="951" spans="1:31" ht="15.75" customHeight="1" x14ac:dyDescent="0.2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  <c r="AB951" s="125"/>
      <c r="AC951" s="122"/>
      <c r="AD951" s="125"/>
      <c r="AE951" s="125"/>
    </row>
    <row r="952" spans="1:31" ht="15.75" customHeight="1" x14ac:dyDescent="0.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  <c r="AB952" s="125"/>
      <c r="AC952" s="122"/>
      <c r="AD952" s="125"/>
      <c r="AE952" s="125"/>
    </row>
    <row r="953" spans="1:31" ht="15.75" customHeight="1" x14ac:dyDescent="0.2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  <c r="AB953" s="125"/>
      <c r="AC953" s="122"/>
      <c r="AD953" s="125"/>
      <c r="AE953" s="125"/>
    </row>
    <row r="954" spans="1:31" ht="15.75" customHeight="1" x14ac:dyDescent="0.2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  <c r="AB954" s="125"/>
      <c r="AC954" s="122"/>
      <c r="AD954" s="125"/>
      <c r="AE954" s="125"/>
    </row>
    <row r="955" spans="1:31" ht="15.75" customHeight="1" x14ac:dyDescent="0.2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  <c r="AB955" s="125"/>
      <c r="AC955" s="122"/>
      <c r="AD955" s="125"/>
      <c r="AE955" s="125"/>
    </row>
    <row r="956" spans="1:31" ht="15.75" customHeight="1" x14ac:dyDescent="0.2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  <c r="AB956" s="125"/>
      <c r="AC956" s="122"/>
      <c r="AD956" s="125"/>
      <c r="AE956" s="125"/>
    </row>
    <row r="957" spans="1:31" ht="15.75" customHeight="1" x14ac:dyDescent="0.2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  <c r="AB957" s="125"/>
      <c r="AC957" s="122"/>
      <c r="AD957" s="125"/>
      <c r="AE957" s="125"/>
    </row>
    <row r="958" spans="1:31" ht="15.75" customHeight="1" x14ac:dyDescent="0.2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  <c r="AB958" s="125"/>
      <c r="AC958" s="122"/>
      <c r="AD958" s="125"/>
      <c r="AE958" s="125"/>
    </row>
    <row r="959" spans="1:31" ht="15.75" customHeight="1" x14ac:dyDescent="0.2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  <c r="AB959" s="125"/>
      <c r="AC959" s="122"/>
      <c r="AD959" s="125"/>
      <c r="AE959" s="125"/>
    </row>
    <row r="960" spans="1:31" ht="15.75" customHeight="1" x14ac:dyDescent="0.2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  <c r="AB960" s="125"/>
      <c r="AC960" s="122"/>
      <c r="AD960" s="125"/>
      <c r="AE960" s="125"/>
    </row>
    <row r="961" spans="1:31" ht="15.75" customHeight="1" x14ac:dyDescent="0.2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  <c r="AB961" s="125"/>
      <c r="AC961" s="122"/>
      <c r="AD961" s="125"/>
      <c r="AE961" s="125"/>
    </row>
    <row r="962" spans="1:31" ht="15.75" customHeight="1" x14ac:dyDescent="0.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  <c r="AB962" s="125"/>
      <c r="AC962" s="122"/>
      <c r="AD962" s="125"/>
      <c r="AE962" s="125"/>
    </row>
    <row r="963" spans="1:31" ht="15.75" customHeight="1" x14ac:dyDescent="0.2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  <c r="AB963" s="125"/>
      <c r="AC963" s="122"/>
      <c r="AD963" s="125"/>
      <c r="AE963" s="125"/>
    </row>
    <row r="964" spans="1:31" ht="15.75" customHeight="1" x14ac:dyDescent="0.2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  <c r="AB964" s="125"/>
      <c r="AC964" s="122"/>
      <c r="AD964" s="125"/>
      <c r="AE964" s="125"/>
    </row>
    <row r="965" spans="1:31" ht="15.75" customHeight="1" x14ac:dyDescent="0.2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  <c r="AB965" s="125"/>
      <c r="AC965" s="122"/>
      <c r="AD965" s="125"/>
      <c r="AE965" s="125"/>
    </row>
    <row r="966" spans="1:31" ht="15.75" customHeight="1" x14ac:dyDescent="0.2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  <c r="AB966" s="125"/>
      <c r="AC966" s="122"/>
      <c r="AD966" s="125"/>
      <c r="AE966" s="125"/>
    </row>
    <row r="967" spans="1:31" ht="15.75" customHeight="1" x14ac:dyDescent="0.2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  <c r="AB967" s="125"/>
      <c r="AC967" s="122"/>
      <c r="AD967" s="125"/>
      <c r="AE967" s="125"/>
    </row>
    <row r="968" spans="1:31" ht="15.75" customHeight="1" x14ac:dyDescent="0.2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  <c r="AB968" s="125"/>
      <c r="AC968" s="122"/>
      <c r="AD968" s="125"/>
      <c r="AE968" s="125"/>
    </row>
    <row r="969" spans="1:31" ht="15.75" customHeight="1" x14ac:dyDescent="0.2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  <c r="AB969" s="125"/>
      <c r="AC969" s="122"/>
      <c r="AD969" s="125"/>
      <c r="AE969" s="125"/>
    </row>
    <row r="970" spans="1:31" ht="15.75" customHeight="1" x14ac:dyDescent="0.2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  <c r="AB970" s="125"/>
      <c r="AC970" s="122"/>
      <c r="AD970" s="125"/>
      <c r="AE970" s="125"/>
    </row>
    <row r="971" spans="1:31" ht="15.75" customHeight="1" x14ac:dyDescent="0.2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  <c r="AB971" s="125"/>
      <c r="AC971" s="122"/>
      <c r="AD971" s="125"/>
      <c r="AE971" s="125"/>
    </row>
    <row r="972" spans="1:31" ht="15.75" customHeight="1" x14ac:dyDescent="0.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  <c r="AB972" s="125"/>
      <c r="AC972" s="122"/>
      <c r="AD972" s="125"/>
      <c r="AE972" s="125"/>
    </row>
    <row r="973" spans="1:31" ht="15.75" customHeight="1" x14ac:dyDescent="0.2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  <c r="AB973" s="125"/>
      <c r="AC973" s="122"/>
      <c r="AD973" s="125"/>
      <c r="AE973" s="125"/>
    </row>
    <row r="974" spans="1:31" ht="15.75" customHeight="1" x14ac:dyDescent="0.2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  <c r="AB974" s="125"/>
      <c r="AC974" s="122"/>
      <c r="AD974" s="125"/>
      <c r="AE974" s="125"/>
    </row>
    <row r="975" spans="1:31" ht="15.75" customHeight="1" x14ac:dyDescent="0.2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  <c r="AB975" s="125"/>
      <c r="AC975" s="122"/>
      <c r="AD975" s="125"/>
      <c r="AE975" s="125"/>
    </row>
    <row r="976" spans="1:31" ht="15.75" customHeight="1" x14ac:dyDescent="0.2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  <c r="AB976" s="125"/>
      <c r="AC976" s="122"/>
      <c r="AD976" s="125"/>
      <c r="AE976" s="125"/>
    </row>
    <row r="977" spans="1:31" ht="15.75" customHeight="1" x14ac:dyDescent="0.2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  <c r="AB977" s="125"/>
      <c r="AC977" s="122"/>
      <c r="AD977" s="125"/>
      <c r="AE977" s="125"/>
    </row>
    <row r="978" spans="1:31" ht="15.75" customHeight="1" x14ac:dyDescent="0.2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  <c r="AB978" s="125"/>
      <c r="AC978" s="122"/>
      <c r="AD978" s="125"/>
      <c r="AE978" s="125"/>
    </row>
    <row r="979" spans="1:31" ht="15.75" customHeight="1" x14ac:dyDescent="0.2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  <c r="AB979" s="125"/>
      <c r="AC979" s="122"/>
      <c r="AD979" s="125"/>
      <c r="AE979" s="125"/>
    </row>
    <row r="980" spans="1:31" ht="15.75" customHeight="1" x14ac:dyDescent="0.2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  <c r="AB980" s="125"/>
      <c r="AC980" s="122"/>
      <c r="AD980" s="125"/>
      <c r="AE980" s="125"/>
    </row>
    <row r="981" spans="1:31" ht="15.75" customHeight="1" x14ac:dyDescent="0.2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  <c r="AB981" s="125"/>
      <c r="AC981" s="122"/>
      <c r="AD981" s="125"/>
      <c r="AE981" s="125"/>
    </row>
    <row r="982" spans="1:31" ht="15.75" customHeight="1" x14ac:dyDescent="0.2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  <c r="AB982" s="125"/>
      <c r="AC982" s="122"/>
      <c r="AD982" s="125"/>
      <c r="AE982" s="125"/>
    </row>
    <row r="983" spans="1:31" ht="15.75" customHeight="1" x14ac:dyDescent="0.2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  <c r="AB983" s="125"/>
      <c r="AC983" s="122"/>
      <c r="AD983" s="125"/>
      <c r="AE983" s="125"/>
    </row>
    <row r="984" spans="1:31" ht="15.75" customHeight="1" x14ac:dyDescent="0.2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  <c r="AB984" s="125"/>
      <c r="AC984" s="122"/>
      <c r="AD984" s="125"/>
      <c r="AE984" s="125"/>
    </row>
    <row r="985" spans="1:31" ht="15.75" customHeight="1" x14ac:dyDescent="0.2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  <c r="AB985" s="125"/>
      <c r="AC985" s="122"/>
      <c r="AD985" s="125"/>
      <c r="AE985" s="125"/>
    </row>
    <row r="986" spans="1:31" ht="15.75" customHeight="1" x14ac:dyDescent="0.2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  <c r="AB986" s="125"/>
      <c r="AC986" s="122"/>
      <c r="AD986" s="125"/>
      <c r="AE986" s="125"/>
    </row>
    <row r="987" spans="1:31" ht="15.75" customHeight="1" x14ac:dyDescent="0.2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  <c r="AB987" s="125"/>
      <c r="AC987" s="122"/>
      <c r="AD987" s="125"/>
      <c r="AE987" s="125"/>
    </row>
    <row r="988" spans="1:31" ht="15.75" customHeight="1" x14ac:dyDescent="0.2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  <c r="AB988" s="125"/>
      <c r="AC988" s="122"/>
      <c r="AD988" s="125"/>
      <c r="AE988" s="125"/>
    </row>
    <row r="989" spans="1:31" ht="15.75" customHeight="1" x14ac:dyDescent="0.2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  <c r="AB989" s="125"/>
      <c r="AC989" s="122"/>
      <c r="AD989" s="125"/>
      <c r="AE989" s="125"/>
    </row>
    <row r="990" spans="1:31" ht="15.75" customHeight="1" x14ac:dyDescent="0.2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  <c r="AB990" s="125"/>
      <c r="AC990" s="122"/>
      <c r="AD990" s="125"/>
      <c r="AE990" s="125"/>
    </row>
    <row r="991" spans="1:31" ht="15.75" customHeight="1" x14ac:dyDescent="0.2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  <c r="AB991" s="125"/>
      <c r="AC991" s="122"/>
      <c r="AD991" s="125"/>
      <c r="AE991" s="125"/>
    </row>
    <row r="992" spans="1:31" ht="15.75" customHeight="1" x14ac:dyDescent="0.2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  <c r="AB992" s="125"/>
      <c r="AC992" s="122"/>
      <c r="AD992" s="125"/>
      <c r="AE992" s="125"/>
    </row>
    <row r="993" spans="1:31" ht="15.75" customHeight="1" x14ac:dyDescent="0.2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  <c r="AB993" s="125"/>
      <c r="AC993" s="122"/>
      <c r="AD993" s="125"/>
      <c r="AE993" s="125"/>
    </row>
    <row r="994" spans="1:31" ht="15.75" customHeight="1" x14ac:dyDescent="0.2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  <c r="AB994" s="125"/>
      <c r="AC994" s="122"/>
      <c r="AD994" s="125"/>
      <c r="AE994" s="125"/>
    </row>
    <row r="995" spans="1:31" ht="15.75" customHeight="1" x14ac:dyDescent="0.2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  <c r="AB995" s="125"/>
      <c r="AC995" s="122"/>
      <c r="AD995" s="125"/>
      <c r="AE995" s="125"/>
    </row>
    <row r="996" spans="1:31" ht="15.75" customHeight="1" x14ac:dyDescent="0.2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  <c r="AB996" s="125"/>
      <c r="AC996" s="122"/>
      <c r="AD996" s="125"/>
      <c r="AE996" s="125"/>
    </row>
    <row r="997" spans="1:31" ht="15.75" customHeight="1" x14ac:dyDescent="0.2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  <c r="AB997" s="125"/>
      <c r="AC997" s="122"/>
      <c r="AD997" s="125"/>
      <c r="AE997" s="125"/>
    </row>
    <row r="998" spans="1:31" ht="15.75" customHeight="1" x14ac:dyDescent="0.2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  <c r="AB998" s="125"/>
      <c r="AC998" s="122"/>
      <c r="AD998" s="125"/>
      <c r="AE998" s="125"/>
    </row>
    <row r="999" spans="1:31" ht="15.75" customHeight="1" x14ac:dyDescent="0.2">
      <c r="A999" s="125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  <c r="AA999" s="125"/>
      <c r="AB999" s="125"/>
      <c r="AC999" s="122"/>
      <c r="AD999" s="125"/>
      <c r="AE999" s="125"/>
    </row>
    <row r="1000" spans="1:31" ht="15.75" customHeight="1" x14ac:dyDescent="0.2">
      <c r="A1000" s="125"/>
      <c r="B1000" s="125"/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  <c r="AA1000" s="125"/>
      <c r="AB1000" s="125"/>
      <c r="AC1000" s="122"/>
      <c r="AD1000" s="125"/>
      <c r="AE1000" s="125"/>
    </row>
    <row r="1001" spans="1:31" ht="15.75" customHeight="1" x14ac:dyDescent="0.2">
      <c r="A1001" s="125"/>
      <c r="B1001" s="125"/>
      <c r="C1001" s="125"/>
      <c r="D1001" s="125"/>
      <c r="E1001" s="125"/>
      <c r="F1001" s="125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125"/>
      <c r="V1001" s="125"/>
      <c r="W1001" s="125"/>
      <c r="X1001" s="125"/>
      <c r="Y1001" s="125"/>
      <c r="Z1001" s="125"/>
      <c r="AA1001" s="125"/>
      <c r="AB1001" s="125"/>
      <c r="AC1001" s="122"/>
      <c r="AD1001" s="125"/>
      <c r="AE1001" s="125"/>
    </row>
  </sheetData>
  <pageMargins left="0.7" right="0.7" top="0.75" bottom="0.75" header="0" footer="0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8231-283D-4D8F-AB57-9D50E19114FE}">
  <dimension ref="B2:AA1002"/>
  <sheetViews>
    <sheetView showGridLines="0" workbookViewId="0">
      <pane xSplit="3" ySplit="3" topLeftCell="J4" activePane="bottomRight" state="frozen"/>
      <selection activeCell="D2" sqref="D2:AA3"/>
      <selection pane="topRight" activeCell="D2" sqref="D2:AA3"/>
      <selection pane="bottomLeft" activeCell="D2" sqref="D2:AA3"/>
      <selection pane="bottomRight" activeCell="D2" sqref="D2:AA3"/>
    </sheetView>
  </sheetViews>
  <sheetFormatPr baseColWidth="10" defaultColWidth="12.59765625" defaultRowHeight="15" customHeight="1" x14ac:dyDescent="0.25"/>
  <cols>
    <col min="1" max="1" width="2.59765625" style="38" customWidth="1"/>
    <col min="2" max="2" width="10.69921875" style="38" customWidth="1"/>
    <col min="3" max="3" width="12.8984375" style="38" customWidth="1"/>
    <col min="4" max="27" width="11" style="38" customWidth="1"/>
    <col min="28" max="16384" width="12.59765625" style="38"/>
  </cols>
  <sheetData>
    <row r="2" spans="2:27" ht="12.75" customHeight="1" x14ac:dyDescent="0.25">
      <c r="B2" s="37"/>
      <c r="C2" s="37"/>
      <c r="D2" s="56" t="s">
        <v>381</v>
      </c>
      <c r="E2" s="55" t="s">
        <v>382</v>
      </c>
      <c r="F2" s="56" t="s">
        <v>381</v>
      </c>
      <c r="G2" s="55" t="s">
        <v>382</v>
      </c>
      <c r="H2" s="56" t="s">
        <v>381</v>
      </c>
      <c r="I2" s="55" t="s">
        <v>382</v>
      </c>
      <c r="J2" s="56" t="s">
        <v>381</v>
      </c>
      <c r="K2" s="55" t="s">
        <v>382</v>
      </c>
      <c r="L2" s="56" t="s">
        <v>381</v>
      </c>
      <c r="M2" s="55" t="s">
        <v>382</v>
      </c>
      <c r="N2" s="56" t="s">
        <v>381</v>
      </c>
      <c r="O2" s="55" t="s">
        <v>382</v>
      </c>
      <c r="P2" s="56" t="s">
        <v>381</v>
      </c>
      <c r="Q2" s="55" t="s">
        <v>382</v>
      </c>
      <c r="R2" s="56" t="s">
        <v>381</v>
      </c>
      <c r="S2" s="55" t="s">
        <v>382</v>
      </c>
      <c r="T2" s="56" t="s">
        <v>381</v>
      </c>
      <c r="U2" s="55" t="s">
        <v>382</v>
      </c>
      <c r="V2" s="56" t="s">
        <v>381</v>
      </c>
      <c r="W2" s="55" t="s">
        <v>382</v>
      </c>
      <c r="X2" s="56" t="s">
        <v>381</v>
      </c>
      <c r="Y2" s="55" t="s">
        <v>382</v>
      </c>
      <c r="Z2" s="56" t="s">
        <v>381</v>
      </c>
      <c r="AA2" s="55" t="s">
        <v>382</v>
      </c>
    </row>
    <row r="3" spans="2:27" ht="12.75" customHeight="1" x14ac:dyDescent="0.25">
      <c r="B3" s="39" t="s">
        <v>333</v>
      </c>
      <c r="C3" s="39" t="s">
        <v>334</v>
      </c>
      <c r="D3" s="57" t="s">
        <v>335</v>
      </c>
      <c r="E3" s="39" t="s">
        <v>335</v>
      </c>
      <c r="F3" s="57" t="s">
        <v>336</v>
      </c>
      <c r="G3" s="39" t="s">
        <v>336</v>
      </c>
      <c r="H3" s="57" t="s">
        <v>337</v>
      </c>
      <c r="I3" s="39" t="s">
        <v>337</v>
      </c>
      <c r="J3" s="57" t="s">
        <v>338</v>
      </c>
      <c r="K3" s="39" t="s">
        <v>338</v>
      </c>
      <c r="L3" s="57" t="s">
        <v>339</v>
      </c>
      <c r="M3" s="39" t="s">
        <v>339</v>
      </c>
      <c r="N3" s="57" t="s">
        <v>340</v>
      </c>
      <c r="O3" s="39" t="s">
        <v>340</v>
      </c>
      <c r="P3" s="57" t="s">
        <v>341</v>
      </c>
      <c r="Q3" s="39" t="s">
        <v>341</v>
      </c>
      <c r="R3" s="57" t="s">
        <v>342</v>
      </c>
      <c r="S3" s="39" t="s">
        <v>342</v>
      </c>
      <c r="T3" s="57" t="s">
        <v>343</v>
      </c>
      <c r="U3" s="39" t="s">
        <v>343</v>
      </c>
      <c r="V3" s="57" t="s">
        <v>344</v>
      </c>
      <c r="W3" s="39" t="s">
        <v>344</v>
      </c>
      <c r="X3" s="57" t="s">
        <v>345</v>
      </c>
      <c r="Y3" s="40" t="s">
        <v>345</v>
      </c>
      <c r="Z3" s="57" t="s">
        <v>346</v>
      </c>
      <c r="AA3" s="51" t="s">
        <v>346</v>
      </c>
    </row>
    <row r="4" spans="2:27" ht="12.75" customHeight="1" x14ac:dyDescent="0.25">
      <c r="B4" s="41" t="s">
        <v>348</v>
      </c>
      <c r="C4" s="42" t="s">
        <v>83</v>
      </c>
      <c r="D4" s="43">
        <f>SUMIF(DN!$B:$B,PPvsREal!$C$4,DN!D:D)</f>
        <v>686830.87493939395</v>
      </c>
      <c r="E4" s="43">
        <f>SUMIF(DN!$B:$B,PPvsREal!$C$4,DN!E:E)</f>
        <v>796918.15999999992</v>
      </c>
      <c r="F4" s="43">
        <f>SUMIF(DN!$B:$B,PPvsREal!$C$4,DN!F:F)</f>
        <v>703360.04827272729</v>
      </c>
      <c r="G4" s="43">
        <f>SUMIF(DN!$B:$B,PPvsREal!$C$4,DN!G:G)</f>
        <v>827529.91999999993</v>
      </c>
      <c r="H4" s="43">
        <f>SUMIF(DN!$B:$B,PPvsREal!$C$4,DN!H:H)</f>
        <v>734319.71327272721</v>
      </c>
      <c r="I4" s="43">
        <f>SUMIF(DN!$B:$B,PPvsREal!$C$4,DN!I:I)</f>
        <v>835486.42999999993</v>
      </c>
      <c r="J4" s="43">
        <f>SUMIF(DN!$B:$B,PPvsREal!$C$4,DN!J:J)</f>
        <v>755012.54660606058</v>
      </c>
      <c r="K4" s="43">
        <f>SUMIF(DN!$B:$B,PPvsREal!$C$4,DN!K:K)</f>
        <v>828972.86</v>
      </c>
      <c r="L4" s="43">
        <f>SUMIF(DN!$B:$B,PPvsREal!$C$4,DN!L:L)</f>
        <v>771556.29660606058</v>
      </c>
      <c r="M4" s="43">
        <f>SUMIF(DN!$B:$B,PPvsREal!$C$4,DN!M:M)</f>
        <v>833351.22</v>
      </c>
      <c r="N4" s="43">
        <f>SUMIF(DN!$B:$B,PPvsREal!$C$4,DN!N:N)</f>
        <v>790687.54727272713</v>
      </c>
      <c r="O4" s="43">
        <f>SUMIF(DN!$B:$B,PPvsREal!$C$4,DN!O:O)</f>
        <v>852797.1100000001</v>
      </c>
      <c r="P4" s="43">
        <f>SUMIF(DN!$B:$B,PPvsREal!$C$4,DN!P:P)</f>
        <v>821041.46393939387</v>
      </c>
      <c r="Q4" s="43">
        <f>SUMIF(DN!$B:$B,PPvsREal!$C$4,DN!Q:Q)</f>
        <v>838071.52</v>
      </c>
      <c r="R4" s="43">
        <f>SUMIF(DN!$B:$B,PPvsREal!$C$4,DN!R:R)</f>
        <v>842496.91727272724</v>
      </c>
      <c r="S4" s="43">
        <f>SUMIF(DN!$B:$B,PPvsREal!$C$4,DN!S:S)</f>
        <v>0</v>
      </c>
      <c r="T4" s="43">
        <f>SUMIF(DN!$B:$B,PPvsREal!$C$4,DN!T:T)</f>
        <v>880129.50060606049</v>
      </c>
      <c r="U4" s="43">
        <f>SUMIF(DN!$B:$B,PPvsREal!$C$4,DN!U:U)</f>
        <v>0</v>
      </c>
      <c r="V4" s="43">
        <f>SUMIF(DN!$B:$B,PPvsREal!$C$4,DN!V:V)</f>
        <v>925545.41727272712</v>
      </c>
      <c r="W4" s="43">
        <f>SUMIF(DN!$B:$B,PPvsREal!$C$4,DN!W:W)</f>
        <v>0</v>
      </c>
      <c r="X4" s="43">
        <f>SUMIF(DN!$B:$B,PPvsREal!$C$4,DN!X:X)</f>
        <v>1032212.0839393937</v>
      </c>
      <c r="Y4" s="43">
        <f>SUMIF(DN!$B:$B,PPvsREal!$C$4,DN!Y:Y)</f>
        <v>0</v>
      </c>
      <c r="Z4" s="43">
        <f>SUMIF(DN!$B:$B,PPvsREal!$C$4,DN!Z:Z)</f>
        <v>1108896.6666666665</v>
      </c>
      <c r="AA4" s="52">
        <f>SUMIF(DN!$B:$B,PPvsREal!$C$4,DN!AA:AA)</f>
        <v>0</v>
      </c>
    </row>
    <row r="5" spans="2:27" ht="12.75" customHeight="1" x14ac:dyDescent="0.25">
      <c r="B5" s="44" t="s">
        <v>348</v>
      </c>
      <c r="C5" s="37" t="s">
        <v>88</v>
      </c>
      <c r="D5" s="45">
        <f>SUMIF(DN!$B:$B,PPvsREal!$C$5,DN!D:D)</f>
        <v>54000</v>
      </c>
      <c r="E5" s="45">
        <f>SUMIF(DN!$B:$B,PPvsREal!$C$5,DN!E:E)</f>
        <v>37200</v>
      </c>
      <c r="F5" s="45">
        <f>SUMIF(DN!$B:$B,PPvsREal!$C$5,DN!F:F)</f>
        <v>65000</v>
      </c>
      <c r="G5" s="45">
        <f>SUMIF(DN!$B:$B,PPvsREal!$C$5,DN!G:G)</f>
        <v>65500</v>
      </c>
      <c r="H5" s="45">
        <f>SUMIF(DN!$B:$B,PPvsREal!$C$5,DN!H:H)</f>
        <v>72500</v>
      </c>
      <c r="I5" s="45">
        <f>SUMIF(DN!$B:$B,PPvsREal!$C$5,DN!I:I)</f>
        <v>22500</v>
      </c>
      <c r="J5" s="45">
        <f>SUMIF(DN!$B:$B,PPvsREal!$C$5,DN!J:J)</f>
        <v>82000</v>
      </c>
      <c r="K5" s="45">
        <f>SUMIF(DN!$B:$B,PPvsREal!$C$5,DN!K:K)</f>
        <v>24500</v>
      </c>
      <c r="L5" s="45">
        <f>SUMIF(DN!$B:$B,PPvsREal!$C$5,DN!L:L)</f>
        <v>89500</v>
      </c>
      <c r="M5" s="45">
        <f>SUMIF(DN!$B:$B,PPvsREal!$C$5,DN!M:M)</f>
        <v>0</v>
      </c>
      <c r="N5" s="45">
        <f>SUMIF(DN!$B:$B,PPvsREal!$C$5,DN!N:N)</f>
        <v>65000</v>
      </c>
      <c r="O5" s="45">
        <f>SUMIF(DN!$B:$B,PPvsREal!$C$5,DN!O:O)</f>
        <v>29500</v>
      </c>
      <c r="P5" s="45">
        <f>SUMIF(DN!$B:$B,PPvsREal!$C$5,DN!P:P)</f>
        <v>78500</v>
      </c>
      <c r="Q5" s="45">
        <f>SUMIF(DN!$B:$B,PPvsREal!$C$5,DN!Q:Q)</f>
        <v>29500</v>
      </c>
      <c r="R5" s="45">
        <f>SUMIF(DN!$B:$B,PPvsREal!$C$5,DN!R:R)</f>
        <v>100500</v>
      </c>
      <c r="S5" s="45">
        <f>SUMIF(DN!$B:$B,PPvsREal!$C$5,DN!S:S)</f>
        <v>0</v>
      </c>
      <c r="T5" s="45">
        <f>SUMIF(DN!$B:$B,PPvsREal!$C$5,DN!T:T)</f>
        <v>54000</v>
      </c>
      <c r="U5" s="45">
        <f>SUMIF(DN!$B:$B,PPvsREal!$C$5,DN!U:U)</f>
        <v>0</v>
      </c>
      <c r="V5" s="45">
        <f>SUMIF(DN!$B:$B,PPvsREal!$C$5,DN!V:V)</f>
        <v>60000</v>
      </c>
      <c r="W5" s="45">
        <f>SUMIF(DN!$B:$B,PPvsREal!$C$5,DN!W:W)</f>
        <v>0</v>
      </c>
      <c r="X5" s="45">
        <f>SUMIF(DN!$B:$B,PPvsREal!$C$5,DN!X:X)</f>
        <v>71000</v>
      </c>
      <c r="Y5" s="45">
        <f>SUMIF(DN!$B:$B,PPvsREal!$C$5,DN!Y:Y)</f>
        <v>0</v>
      </c>
      <c r="Z5" s="45">
        <f>SUMIF(DN!$B:$B,PPvsREal!$C$5,DN!Z:Z)</f>
        <v>65000</v>
      </c>
      <c r="AA5" s="53">
        <f>SUMIF(DN!$B:$B,PPvsREal!$C$5,DN!AA:AA)</f>
        <v>0</v>
      </c>
    </row>
    <row r="6" spans="2:27" ht="12.75" customHeight="1" x14ac:dyDescent="0.25">
      <c r="B6" s="44" t="s">
        <v>348</v>
      </c>
      <c r="C6" s="37" t="s">
        <v>92</v>
      </c>
      <c r="D6" s="45">
        <f>SUMIF(DN!$B:$B,PPvsREal!$C$6,DN!D:D)</f>
        <v>0</v>
      </c>
      <c r="E6" s="45">
        <f>SUMIF(DN!$B:$B,PPvsREal!$C$6,DN!E:E)</f>
        <v>0</v>
      </c>
      <c r="F6" s="45">
        <f>SUMIF(DN!$B:$B,PPvsREal!$C$6,DN!F:F)</f>
        <v>0</v>
      </c>
      <c r="G6" s="45">
        <f>SUMIF(DN!$B:$B,PPvsREal!$C$6,DN!G:G)</f>
        <v>0</v>
      </c>
      <c r="H6" s="45">
        <f>SUMIF(DN!$B:$B,PPvsREal!$C$6,DN!H:H)</f>
        <v>0</v>
      </c>
      <c r="I6" s="45">
        <f>SUMIF(DN!$B:$B,PPvsREal!$C$6,DN!I:I)</f>
        <v>0</v>
      </c>
      <c r="J6" s="45">
        <f>SUMIF(DN!$B:$B,PPvsREal!$C$6,DN!J:J)</f>
        <v>0</v>
      </c>
      <c r="K6" s="45">
        <f>SUMIF(DN!$B:$B,PPvsREal!$C$6,DN!K:K)</f>
        <v>0</v>
      </c>
      <c r="L6" s="45">
        <f>SUMIF(DN!$B:$B,PPvsREal!$C$6,DN!L:L)</f>
        <v>0</v>
      </c>
      <c r="M6" s="45">
        <f>SUMIF(DN!$B:$B,PPvsREal!$C$6,DN!M:M)</f>
        <v>0</v>
      </c>
      <c r="N6" s="45">
        <f>SUMIF(DN!$B:$B,PPvsREal!$C$6,DN!N:N)</f>
        <v>0</v>
      </c>
      <c r="O6" s="45">
        <f>SUMIF(DN!$B:$B,PPvsREal!$C$6,DN!O:O)</f>
        <v>0</v>
      </c>
      <c r="P6" s="45">
        <f>SUMIF(DN!$B:$B,PPvsREal!$C$6,DN!P:P)</f>
        <v>0</v>
      </c>
      <c r="Q6" s="45">
        <f>SUMIF(DN!$B:$B,PPvsREal!$C$6,DN!Q:Q)</f>
        <v>0</v>
      </c>
      <c r="R6" s="45">
        <f>SUMIF(DN!$B:$B,PPvsREal!$C$6,DN!R:R)</f>
        <v>0</v>
      </c>
      <c r="S6" s="45">
        <f>SUMIF(DN!$B:$B,PPvsREal!$C$6,DN!S:S)</f>
        <v>0</v>
      </c>
      <c r="T6" s="45">
        <f>SUMIF(DN!$B:$B,PPvsREal!$C$6,DN!T:T)</f>
        <v>0</v>
      </c>
      <c r="U6" s="45">
        <f>SUMIF(DN!$B:$B,PPvsREal!$C$6,DN!U:U)</f>
        <v>0</v>
      </c>
      <c r="V6" s="45">
        <f>SUMIF(DN!$B:$B,PPvsREal!$C$6,DN!V:V)</f>
        <v>0</v>
      </c>
      <c r="W6" s="45">
        <f>SUMIF(DN!$B:$B,PPvsREal!$C$6,DN!W:W)</f>
        <v>0</v>
      </c>
      <c r="X6" s="45">
        <f>SUMIF(DN!$B:$B,PPvsREal!$C$6,DN!X:X)</f>
        <v>0</v>
      </c>
      <c r="Y6" s="45">
        <f>SUMIF(DN!$B:$B,PPvsREal!$C$6,DN!Y:Y)</f>
        <v>0</v>
      </c>
      <c r="Z6" s="45">
        <f>SUMIF(DN!$B:$B,PPvsREal!$C$6,DN!Z:Z)</f>
        <v>0</v>
      </c>
      <c r="AA6" s="53">
        <f>SUMIF(DN!$B:$B,PPvsREal!$C$6,DN!AA:AA)</f>
        <v>0</v>
      </c>
    </row>
    <row r="7" spans="2:27" ht="12.75" customHeight="1" x14ac:dyDescent="0.25">
      <c r="B7" s="44" t="s">
        <v>348</v>
      </c>
      <c r="C7" s="37" t="s">
        <v>94</v>
      </c>
      <c r="D7" s="45">
        <f>SUMIF(DN!$B:$B,PPvsREal!$C$7,DN!D:D)</f>
        <v>46322.55</v>
      </c>
      <c r="E7" s="45">
        <f>SUMIF(DN!$B:$B,PPvsREal!$C$7,DN!E:E)</f>
        <v>3000</v>
      </c>
      <c r="F7" s="45">
        <f>SUMIF(DN!$B:$B,PPvsREal!$C$7,DN!F:F)</f>
        <v>46322.55</v>
      </c>
      <c r="G7" s="45">
        <f>SUMIF(DN!$B:$B,PPvsREal!$C$7,DN!G:G)</f>
        <v>66863</v>
      </c>
      <c r="H7" s="45">
        <f>SUMIF(DN!$B:$B,PPvsREal!$C$7,DN!H:H)</f>
        <v>46322.55</v>
      </c>
      <c r="I7" s="45">
        <f>SUMIF(DN!$B:$B,PPvsREal!$C$7,DN!I:I)</f>
        <v>41841</v>
      </c>
      <c r="J7" s="45">
        <f>SUMIF(DN!$B:$B,PPvsREal!$C$7,DN!J:J)</f>
        <v>46322.55</v>
      </c>
      <c r="K7" s="45">
        <f>SUMIF(DN!$B:$B,PPvsREal!$C$7,DN!K:K)</f>
        <v>13745</v>
      </c>
      <c r="L7" s="45">
        <f>SUMIF(DN!$B:$B,PPvsREal!$C$7,DN!L:L)</f>
        <v>46322.55</v>
      </c>
      <c r="M7" s="45">
        <f>SUMIF(DN!$B:$B,PPvsREal!$C$7,DN!M:M)</f>
        <v>36975</v>
      </c>
      <c r="N7" s="45">
        <f>SUMIF(DN!$B:$B,PPvsREal!$C$7,DN!N:N)</f>
        <v>46322.55</v>
      </c>
      <c r="O7" s="45">
        <f>SUMIF(DN!$B:$B,PPvsREal!$C$7,DN!O:O)</f>
        <v>5400</v>
      </c>
      <c r="P7" s="45">
        <f>SUMIF(DN!$B:$B,PPvsREal!$C$7,DN!P:P)</f>
        <v>46322.55</v>
      </c>
      <c r="Q7" s="45">
        <f>SUMIF(DN!$B:$B,PPvsREal!$C$7,DN!Q:Q)</f>
        <v>85650</v>
      </c>
      <c r="R7" s="45">
        <f>SUMIF(DN!$B:$B,PPvsREal!$C$7,DN!R:R)</f>
        <v>46322.55</v>
      </c>
      <c r="S7" s="45">
        <f>SUMIF(DN!$B:$B,PPvsREal!$C$7,DN!S:S)</f>
        <v>0</v>
      </c>
      <c r="T7" s="45">
        <f>SUMIF(DN!$B:$B,PPvsREal!$C$7,DN!T:T)</f>
        <v>46322.55</v>
      </c>
      <c r="U7" s="45">
        <f>SUMIF(DN!$B:$B,PPvsREal!$C$7,DN!U:U)</f>
        <v>0</v>
      </c>
      <c r="V7" s="45">
        <f>SUMIF(DN!$B:$B,PPvsREal!$C$7,DN!V:V)</f>
        <v>46322.55</v>
      </c>
      <c r="W7" s="45">
        <f>SUMIF(DN!$B:$B,PPvsREal!$C$7,DN!W:W)</f>
        <v>0</v>
      </c>
      <c r="X7" s="45">
        <f>SUMIF(DN!$B:$B,PPvsREal!$C$7,DN!X:X)</f>
        <v>46322.55</v>
      </c>
      <c r="Y7" s="45">
        <f>SUMIF(DN!$B:$B,PPvsREal!$C$7,DN!Y:Y)</f>
        <v>0</v>
      </c>
      <c r="Z7" s="45">
        <f>SUMIF(DN!$B:$B,PPvsREal!$C$7,DN!Z:Z)</f>
        <v>46322.55</v>
      </c>
      <c r="AA7" s="53">
        <f>SUMIF(DN!$B:$B,PPvsREal!$C$7,DN!AA:AA)</f>
        <v>0</v>
      </c>
    </row>
    <row r="8" spans="2:27" ht="12.75" customHeight="1" x14ac:dyDescent="0.25">
      <c r="B8" s="44" t="s">
        <v>348</v>
      </c>
      <c r="C8" s="37" t="s">
        <v>96</v>
      </c>
      <c r="D8" s="45">
        <f>SUMIF(DN!$B:$B,PPvsREal!$C$8,DN!D:D)</f>
        <v>20000</v>
      </c>
      <c r="E8" s="45">
        <f>SUMIF(DN!$B:$B,PPvsREal!$C$8,DN!E:E)</f>
        <v>1563.21</v>
      </c>
      <c r="F8" s="45">
        <f>SUMIF(DN!$B:$B,PPvsREal!$C$8,DN!F:F)</f>
        <v>0</v>
      </c>
      <c r="G8" s="45">
        <f>SUMIF(DN!$B:$B,PPvsREal!$C$8,DN!G:G)</f>
        <v>1815.06</v>
      </c>
      <c r="H8" s="45">
        <f>SUMIF(DN!$B:$B,PPvsREal!$C$8,DN!H:H)</f>
        <v>20000</v>
      </c>
      <c r="I8" s="45">
        <f>SUMIF(DN!$B:$B,PPvsREal!$C$8,DN!I:I)</f>
        <v>0</v>
      </c>
      <c r="J8" s="45">
        <f>SUMIF(DN!$B:$B,PPvsREal!$C$8,DN!J:J)</f>
        <v>0</v>
      </c>
      <c r="K8" s="45">
        <f>SUMIF(DN!$B:$B,PPvsREal!$C$8,DN!K:K)</f>
        <v>811.35</v>
      </c>
      <c r="L8" s="45">
        <f>SUMIF(DN!$B:$B,PPvsREal!$C$8,DN!L:L)</f>
        <v>20000</v>
      </c>
      <c r="M8" s="45">
        <f>SUMIF(DN!$B:$B,PPvsREal!$C$8,DN!M:M)</f>
        <v>0</v>
      </c>
      <c r="N8" s="45">
        <f>SUMIF(DN!$B:$B,PPvsREal!$C$8,DN!N:N)</f>
        <v>0</v>
      </c>
      <c r="O8" s="45">
        <f>SUMIF(DN!$B:$B,PPvsREal!$C$8,DN!O:O)</f>
        <v>3904.95</v>
      </c>
      <c r="P8" s="45">
        <f>SUMIF(DN!$B:$B,PPvsREal!$C$8,DN!P:P)</f>
        <v>20000</v>
      </c>
      <c r="Q8" s="45">
        <f>SUMIF(DN!$B:$B,PPvsREal!$C$8,DN!Q:Q)</f>
        <v>0</v>
      </c>
      <c r="R8" s="45">
        <f>SUMIF(DN!$B:$B,PPvsREal!$C$8,DN!R:R)</f>
        <v>0</v>
      </c>
      <c r="S8" s="45">
        <f>SUMIF(DN!$B:$B,PPvsREal!$C$8,DN!S:S)</f>
        <v>0</v>
      </c>
      <c r="T8" s="45">
        <f>SUMIF(DN!$B:$B,PPvsREal!$C$8,DN!T:T)</f>
        <v>20000</v>
      </c>
      <c r="U8" s="45">
        <f>SUMIF(DN!$B:$B,PPvsREal!$C$8,DN!U:U)</f>
        <v>0</v>
      </c>
      <c r="V8" s="45">
        <f>SUMIF(DN!$B:$B,PPvsREal!$C$8,DN!V:V)</f>
        <v>0</v>
      </c>
      <c r="W8" s="45">
        <f>SUMIF(DN!$B:$B,PPvsREal!$C$8,DN!W:W)</f>
        <v>0</v>
      </c>
      <c r="X8" s="45">
        <f>SUMIF(DN!$B:$B,PPvsREal!$C$8,DN!X:X)</f>
        <v>20000</v>
      </c>
      <c r="Y8" s="45">
        <f>SUMIF(DN!$B:$B,PPvsREal!$C$8,DN!Y:Y)</f>
        <v>0</v>
      </c>
      <c r="Z8" s="45">
        <f>SUMIF(DN!$B:$B,PPvsREal!$C$8,DN!Z:Z)</f>
        <v>0</v>
      </c>
      <c r="AA8" s="53">
        <f>SUMIF(DN!$B:$B,PPvsREal!$C$8,DN!AA:AA)</f>
        <v>0</v>
      </c>
    </row>
    <row r="9" spans="2:27" ht="12.75" customHeight="1" x14ac:dyDescent="0.25">
      <c r="B9" s="41" t="s">
        <v>349</v>
      </c>
      <c r="C9" s="42" t="s">
        <v>102</v>
      </c>
      <c r="D9" s="43">
        <f>SUMIF(Comités!$B:$B,PPvsREal!$C$9,Comités!D:D)</f>
        <v>0</v>
      </c>
      <c r="E9" s="43">
        <f>SUMIF(Comités!$B:$B,PPvsREal!$C$9,Comités!E:E)</f>
        <v>0</v>
      </c>
      <c r="F9" s="43">
        <f>SUMIF(Comités!$B:$B,PPvsREal!$C$9,Comités!F:F)</f>
        <v>8400</v>
      </c>
      <c r="G9" s="43">
        <f>SUMIF(Comités!$B:$B,PPvsREal!$C$9,Comités!G:G)</f>
        <v>0</v>
      </c>
      <c r="H9" s="43">
        <f>SUMIF(Comités!$B:$B,PPvsREal!$C$9,Comités!H:H)</f>
        <v>0</v>
      </c>
      <c r="I9" s="43">
        <f>SUMIF(Comités!$B:$B,PPvsREal!$C$9,Comités!I:I)</f>
        <v>0</v>
      </c>
      <c r="J9" s="43">
        <f>SUMIF(Comités!$B:$B,PPvsREal!$C$9,Comités!J:J)</f>
        <v>8400</v>
      </c>
      <c r="K9" s="43">
        <f>SUMIF(Comités!$B:$B,PPvsREal!$C$9,Comités!K:K)</f>
        <v>0</v>
      </c>
      <c r="L9" s="43">
        <f>SUMIF(Comités!$B:$B,PPvsREal!$C$9,Comités!L:L)</f>
        <v>0</v>
      </c>
      <c r="M9" s="43">
        <f>SUMIF(Comités!$B:$B,PPvsREal!$C$9,Comités!M:M)</f>
        <v>0</v>
      </c>
      <c r="N9" s="43">
        <f>SUMIF(Comités!$B:$B,PPvsREal!$C$9,Comités!N:N)</f>
        <v>8400</v>
      </c>
      <c r="O9" s="43">
        <f>SUMIF(Comités!$B:$B,PPvsREal!$C$9,Comités!O:O)</f>
        <v>1120.7</v>
      </c>
      <c r="P9" s="43">
        <f>SUMIF(Comités!$B:$B,PPvsREal!$C$9,Comités!P:P)</f>
        <v>0</v>
      </c>
      <c r="Q9" s="43">
        <f>SUMIF(Comités!$B:$B,PPvsREal!$C$9,Comités!Q:Q)</f>
        <v>9525.9500000000007</v>
      </c>
      <c r="R9" s="43">
        <f>SUMIF(Comités!$B:$B,PPvsREal!$C$9,Comités!R:R)</f>
        <v>8400</v>
      </c>
      <c r="S9" s="43">
        <f>SUMIF(Comités!$B:$B,PPvsREal!$C$9,Comités!S:S)</f>
        <v>0</v>
      </c>
      <c r="T9" s="43">
        <f>SUMIF(Comités!$B:$B,PPvsREal!$C$9,Comités!T:T)</f>
        <v>0</v>
      </c>
      <c r="U9" s="43">
        <f>SUMIF(Comités!$B:$B,PPvsREal!$C$9,Comités!U:U)</f>
        <v>0</v>
      </c>
      <c r="V9" s="43">
        <f>SUMIF(Comités!$B:$B,PPvsREal!$C$9,Comités!V:V)</f>
        <v>8400</v>
      </c>
      <c r="W9" s="43">
        <f>SUMIF(Comités!$B:$B,PPvsREal!$C$9,Comités!W:W)</f>
        <v>0</v>
      </c>
      <c r="X9" s="43">
        <f>SUMIF(Comités!$B:$B,PPvsREal!$C$9,Comités!X:X)</f>
        <v>0</v>
      </c>
      <c r="Y9" s="43">
        <f>SUMIF(Comités!$B:$B,PPvsREal!$C$9,Comités!Y:Y)</f>
        <v>0</v>
      </c>
      <c r="Z9" s="43">
        <f>SUMIF(Comités!$B:$B,PPvsREal!$C$9,Comités!Z:Z)</f>
        <v>8400</v>
      </c>
      <c r="AA9" s="52">
        <f>SUMIF(Comités!$B:$B,PPvsREal!$C$9,Comités!AA:AA)</f>
        <v>0</v>
      </c>
    </row>
    <row r="10" spans="2:27" ht="12.75" customHeight="1" x14ac:dyDescent="0.25">
      <c r="B10" s="44" t="s">
        <v>349</v>
      </c>
      <c r="C10" s="37" t="s">
        <v>104</v>
      </c>
      <c r="D10" s="45">
        <f>SUMIF(Comités!$B:$B,PPvsREal!$C$10,Comités!D:D)</f>
        <v>11200</v>
      </c>
      <c r="E10" s="45">
        <f>SUMIF(Comités!$B:$B,PPvsREal!$C$10,Comités!E:E)</f>
        <v>0</v>
      </c>
      <c r="F10" s="45">
        <f>SUMIF(Comités!$B:$B,PPvsREal!$C$10,Comités!F:F)</f>
        <v>11200</v>
      </c>
      <c r="G10" s="45">
        <f>SUMIF(Comités!$B:$B,PPvsREal!$C$10,Comités!G:G)</f>
        <v>0</v>
      </c>
      <c r="H10" s="45">
        <f>SUMIF(Comités!$B:$B,PPvsREal!$C$10,Comités!H:H)</f>
        <v>11200</v>
      </c>
      <c r="I10" s="45">
        <f>SUMIF(Comités!$B:$B,PPvsREal!$C$10,Comités!I:I)</f>
        <v>0</v>
      </c>
      <c r="J10" s="45">
        <f>SUMIF(Comités!$B:$B,PPvsREal!$C$10,Comités!J:J)</f>
        <v>11200</v>
      </c>
      <c r="K10" s="45">
        <f>SUMIF(Comités!$B:$B,PPvsREal!$C$10,Comités!K:K)</f>
        <v>0</v>
      </c>
      <c r="L10" s="45">
        <f>SUMIF(Comités!$B:$B,PPvsREal!$C$10,Comités!L:L)</f>
        <v>11200</v>
      </c>
      <c r="M10" s="45">
        <f>SUMIF(Comités!$B:$B,PPvsREal!$C$10,Comités!M:M)</f>
        <v>12006.98</v>
      </c>
      <c r="N10" s="45">
        <f>SUMIF(Comités!$B:$B,PPvsREal!$C$10,Comités!N:N)</f>
        <v>11200</v>
      </c>
      <c r="O10" s="45">
        <f>SUMIF(Comités!$B:$B,PPvsREal!$C$10,Comités!O:O)</f>
        <v>1120.7</v>
      </c>
      <c r="P10" s="45">
        <f>SUMIF(Comités!$B:$B,PPvsREal!$C$10,Comités!P:P)</f>
        <v>11200</v>
      </c>
      <c r="Q10" s="45">
        <f>SUMIF(Comités!$B:$B,PPvsREal!$C$10,Comités!Q:Q)</f>
        <v>0</v>
      </c>
      <c r="R10" s="45">
        <f>SUMIF(Comités!$B:$B,PPvsREal!$C$10,Comités!R:R)</f>
        <v>11200</v>
      </c>
      <c r="S10" s="45">
        <f>SUMIF(Comités!$B:$B,PPvsREal!$C$10,Comités!S:S)</f>
        <v>0</v>
      </c>
      <c r="T10" s="45">
        <f>SUMIF(Comités!$B:$B,PPvsREal!$C$10,Comités!T:T)</f>
        <v>11200</v>
      </c>
      <c r="U10" s="45">
        <f>SUMIF(Comités!$B:$B,PPvsREal!$C$10,Comités!U:U)</f>
        <v>0</v>
      </c>
      <c r="V10" s="45">
        <f>SUMIF(Comités!$B:$B,PPvsREal!$C$10,Comités!V:V)</f>
        <v>11200</v>
      </c>
      <c r="W10" s="45">
        <f>SUMIF(Comités!$B:$B,PPvsREal!$C$10,Comités!W:W)</f>
        <v>0</v>
      </c>
      <c r="X10" s="45">
        <f>SUMIF(Comités!$B:$B,PPvsREal!$C$10,Comités!X:X)</f>
        <v>11200</v>
      </c>
      <c r="Y10" s="45">
        <f>SUMIF(Comités!$B:$B,PPvsREal!$C$10,Comités!Y:Y)</f>
        <v>0</v>
      </c>
      <c r="Z10" s="45">
        <f>SUMIF(Comités!$B:$B,PPvsREal!$C$10,Comités!Z:Z)</f>
        <v>11200</v>
      </c>
      <c r="AA10" s="53">
        <f>SUMIF(Comités!$B:$B,PPvsREal!$C$10,Comités!AA:AA)</f>
        <v>0</v>
      </c>
    </row>
    <row r="11" spans="2:27" ht="12.75" customHeight="1" x14ac:dyDescent="0.25">
      <c r="B11" s="44" t="s">
        <v>349</v>
      </c>
      <c r="C11" s="37" t="s">
        <v>106</v>
      </c>
      <c r="D11" s="45">
        <f>SUMIF(Comités!$B:$B,PPvsREal!$C$11,Comités!D:D)</f>
        <v>19600</v>
      </c>
      <c r="E11" s="45">
        <f>SUMIF(Comités!$B:$B,PPvsREal!$C$11,Comités!E:E)</f>
        <v>0</v>
      </c>
      <c r="F11" s="45">
        <f>SUMIF(Comités!$B:$B,PPvsREal!$C$11,Comités!F:F)</f>
        <v>19600</v>
      </c>
      <c r="G11" s="45">
        <f>SUMIF(Comités!$B:$B,PPvsREal!$C$11,Comités!G:G)</f>
        <v>0</v>
      </c>
      <c r="H11" s="45">
        <f>SUMIF(Comités!$B:$B,PPvsREal!$C$11,Comités!H:H)</f>
        <v>19600</v>
      </c>
      <c r="I11" s="45">
        <f>SUMIF(Comités!$B:$B,PPvsREal!$C$11,Comités!I:I)</f>
        <v>0</v>
      </c>
      <c r="J11" s="45">
        <f>SUMIF(Comités!$B:$B,PPvsREal!$C$11,Comités!J:J)</f>
        <v>19600</v>
      </c>
      <c r="K11" s="45">
        <f>SUMIF(Comités!$B:$B,PPvsREal!$C$11,Comités!K:K)</f>
        <v>0</v>
      </c>
      <c r="L11" s="45">
        <f>SUMIF(Comités!$B:$B,PPvsREal!$C$11,Comités!L:L)</f>
        <v>19600</v>
      </c>
      <c r="M11" s="45">
        <f>SUMIF(Comités!$B:$B,PPvsREal!$C$11,Comités!M:M)</f>
        <v>5603.5</v>
      </c>
      <c r="N11" s="45">
        <f>SUMIF(Comités!$B:$B,PPvsREal!$C$11,Comités!N:N)</f>
        <v>19600</v>
      </c>
      <c r="O11" s="45">
        <f>SUMIF(Comités!$B:$B,PPvsREal!$C$11,Comités!O:O)</f>
        <v>12327.7</v>
      </c>
      <c r="P11" s="45">
        <f>SUMIF(Comités!$B:$B,PPvsREal!$C$11,Comités!P:P)</f>
        <v>19600</v>
      </c>
      <c r="Q11" s="45">
        <f>SUMIF(Comités!$B:$B,PPvsREal!$C$11,Comités!Q:Q)</f>
        <v>3922.45</v>
      </c>
      <c r="R11" s="45">
        <f>SUMIF(Comités!$B:$B,PPvsREal!$C$11,Comités!R:R)</f>
        <v>19600</v>
      </c>
      <c r="S11" s="45">
        <f>SUMIF(Comités!$B:$B,PPvsREal!$C$11,Comités!S:S)</f>
        <v>0</v>
      </c>
      <c r="T11" s="45">
        <f>SUMIF(Comités!$B:$B,PPvsREal!$C$11,Comités!T:T)</f>
        <v>19600</v>
      </c>
      <c r="U11" s="45">
        <f>SUMIF(Comités!$B:$B,PPvsREal!$C$11,Comités!U:U)</f>
        <v>0</v>
      </c>
      <c r="V11" s="45">
        <f>SUMIF(Comités!$B:$B,PPvsREal!$C$11,Comités!V:V)</f>
        <v>19600</v>
      </c>
      <c r="W11" s="45">
        <f>SUMIF(Comités!$B:$B,PPvsREal!$C$11,Comités!W:W)</f>
        <v>0</v>
      </c>
      <c r="X11" s="45">
        <f>SUMIF(Comités!$B:$B,PPvsREal!$C$11,Comités!X:X)</f>
        <v>19600</v>
      </c>
      <c r="Y11" s="45">
        <f>SUMIF(Comités!$B:$B,PPvsREal!$C$11,Comités!Y:Y)</f>
        <v>0</v>
      </c>
      <c r="Z11" s="45">
        <f>SUMIF(Comités!$B:$B,PPvsREal!$C$11,Comités!Z:Z)</f>
        <v>19600</v>
      </c>
      <c r="AA11" s="53">
        <f>SUMIF(Comités!$B:$B,PPvsREal!$C$11,Comités!AA:AA)</f>
        <v>0</v>
      </c>
    </row>
    <row r="12" spans="2:27" ht="12.75" customHeight="1" x14ac:dyDescent="0.25">
      <c r="B12" s="44" t="s">
        <v>349</v>
      </c>
      <c r="C12" s="37" t="s">
        <v>108</v>
      </c>
      <c r="D12" s="45">
        <f>SUMIF(Comités!$B:$B,PPvsREal!$C$12,Comités!D:D)</f>
        <v>8400</v>
      </c>
      <c r="E12" s="45">
        <f>SUMIF(Comités!$B:$B,PPvsREal!$C$12,Comités!E:E)</f>
        <v>0</v>
      </c>
      <c r="F12" s="45">
        <f>SUMIF(Comités!$B:$B,PPvsREal!$C$12,Comités!F:F)</f>
        <v>8400</v>
      </c>
      <c r="G12" s="45">
        <f>SUMIF(Comités!$B:$B,PPvsREal!$C$12,Comités!G:G)</f>
        <v>0</v>
      </c>
      <c r="H12" s="45">
        <f>SUMIF(Comités!$B:$B,PPvsREal!$C$12,Comités!H:H)</f>
        <v>8400</v>
      </c>
      <c r="I12" s="45">
        <f>SUMIF(Comités!$B:$B,PPvsREal!$C$12,Comités!I:I)</f>
        <v>0</v>
      </c>
      <c r="J12" s="45">
        <f>SUMIF(Comités!$B:$B,PPvsREal!$C$12,Comités!J:J)</f>
        <v>8400</v>
      </c>
      <c r="K12" s="45">
        <f>SUMIF(Comités!$B:$B,PPvsREal!$C$12,Comités!K:K)</f>
        <v>0</v>
      </c>
      <c r="L12" s="45">
        <f>SUMIF(Comités!$B:$B,PPvsREal!$C$12,Comités!L:L)</f>
        <v>8400</v>
      </c>
      <c r="M12" s="45">
        <f>SUMIF(Comités!$B:$B,PPvsREal!$C$12,Comités!M:M)</f>
        <v>6724.2</v>
      </c>
      <c r="N12" s="45">
        <f>SUMIF(Comités!$B:$B,PPvsREal!$C$12,Comités!N:N)</f>
        <v>8400</v>
      </c>
      <c r="O12" s="45">
        <f>SUMIF(Comités!$B:$B,PPvsREal!$C$12,Comités!O:O)</f>
        <v>1120.7</v>
      </c>
      <c r="P12" s="45">
        <f>SUMIF(Comités!$B:$B,PPvsREal!$C$12,Comités!P:P)</f>
        <v>8400</v>
      </c>
      <c r="Q12" s="45">
        <f>SUMIF(Comités!$B:$B,PPvsREal!$C$12,Comités!Q:Q)</f>
        <v>2241.4</v>
      </c>
      <c r="R12" s="45">
        <f>SUMIF(Comités!$B:$B,PPvsREal!$C$12,Comités!R:R)</f>
        <v>8400</v>
      </c>
      <c r="S12" s="45">
        <f>SUMIF(Comités!$B:$B,PPvsREal!$C$12,Comités!S:S)</f>
        <v>0</v>
      </c>
      <c r="T12" s="45">
        <f>SUMIF(Comités!$B:$B,PPvsREal!$C$12,Comités!T:T)</f>
        <v>8400</v>
      </c>
      <c r="U12" s="45">
        <f>SUMIF(Comités!$B:$B,PPvsREal!$C$12,Comités!U:U)</f>
        <v>0</v>
      </c>
      <c r="V12" s="45">
        <f>SUMIF(Comités!$B:$B,PPvsREal!$C$12,Comités!V:V)</f>
        <v>8400</v>
      </c>
      <c r="W12" s="45">
        <f>SUMIF(Comités!$B:$B,PPvsREal!$C$12,Comités!W:W)</f>
        <v>0</v>
      </c>
      <c r="X12" s="45">
        <f>SUMIF(Comités!$B:$B,PPvsREal!$C$12,Comités!X:X)</f>
        <v>8400</v>
      </c>
      <c r="Y12" s="45">
        <f>SUMIF(Comités!$B:$B,PPvsREal!$C$12,Comités!Y:Y)</f>
        <v>0</v>
      </c>
      <c r="Z12" s="45">
        <f>SUMIF(Comités!$B:$B,PPvsREal!$C$12,Comités!Z:Z)</f>
        <v>8400</v>
      </c>
      <c r="AA12" s="53">
        <f>SUMIF(Comités!$B:$B,PPvsREal!$C$12,Comités!AA:AA)</f>
        <v>0</v>
      </c>
    </row>
    <row r="13" spans="2:27" ht="12.75" customHeight="1" x14ac:dyDescent="0.25">
      <c r="B13" s="44" t="s">
        <v>349</v>
      </c>
      <c r="C13" s="37" t="s">
        <v>110</v>
      </c>
      <c r="D13" s="45">
        <f>SUMIF(Comités!$B:$B,PPvsREal!$C$13,Comités!D:D)</f>
        <v>0</v>
      </c>
      <c r="E13" s="45">
        <f>SUMIF(Comités!$B:$B,PPvsREal!$C$13,Comités!E:E)</f>
        <v>0</v>
      </c>
      <c r="F13" s="45">
        <f>SUMIF(Comités!$B:$B,PPvsREal!$C$13,Comités!F:F)</f>
        <v>0</v>
      </c>
      <c r="G13" s="45">
        <f>SUMIF(Comités!$B:$B,PPvsREal!$C$13,Comités!G:G)</f>
        <v>0</v>
      </c>
      <c r="H13" s="45">
        <f>SUMIF(Comités!$B:$B,PPvsREal!$C$13,Comités!H:H)</f>
        <v>0</v>
      </c>
      <c r="I13" s="45">
        <f>SUMIF(Comités!$B:$B,PPvsREal!$C$13,Comités!I:I)</f>
        <v>0</v>
      </c>
      <c r="J13" s="45">
        <f>SUMIF(Comités!$B:$B,PPvsREal!$C$13,Comités!J:J)</f>
        <v>0</v>
      </c>
      <c r="K13" s="45">
        <f>SUMIF(Comités!$B:$B,PPvsREal!$C$13,Comités!K:K)</f>
        <v>0</v>
      </c>
      <c r="L13" s="45">
        <f>SUMIF(Comités!$B:$B,PPvsREal!$C$13,Comités!L:L)</f>
        <v>0</v>
      </c>
      <c r="M13" s="45">
        <f>SUMIF(Comités!$B:$B,PPvsREal!$C$13,Comités!M:M)</f>
        <v>2094.33</v>
      </c>
      <c r="N13" s="45">
        <f>SUMIF(Comités!$B:$B,PPvsREal!$C$13,Comités!N:N)</f>
        <v>0</v>
      </c>
      <c r="O13" s="45">
        <f>SUMIF(Comités!$B:$B,PPvsREal!$C$13,Comités!O:O)</f>
        <v>0</v>
      </c>
      <c r="P13" s="45">
        <f>SUMIF(Comités!$B:$B,PPvsREal!$C$13,Comités!P:P)</f>
        <v>0</v>
      </c>
      <c r="Q13" s="45">
        <f>SUMIF(Comités!$B:$B,PPvsREal!$C$13,Comités!Q:Q)</f>
        <v>0</v>
      </c>
      <c r="R13" s="45">
        <f>SUMIF(Comités!$B:$B,PPvsREal!$C$13,Comités!R:R)</f>
        <v>0</v>
      </c>
      <c r="S13" s="45">
        <f>SUMIF(Comités!$B:$B,PPvsREal!$C$13,Comités!S:S)</f>
        <v>0</v>
      </c>
      <c r="T13" s="45">
        <f>SUMIF(Comités!$B:$B,PPvsREal!$C$13,Comités!T:T)</f>
        <v>0</v>
      </c>
      <c r="U13" s="45">
        <f>SUMIF(Comités!$B:$B,PPvsREal!$C$13,Comités!U:U)</f>
        <v>0</v>
      </c>
      <c r="V13" s="45">
        <f>SUMIF(Comités!$B:$B,PPvsREal!$C$13,Comités!V:V)</f>
        <v>0</v>
      </c>
      <c r="W13" s="45">
        <f>SUMIF(Comités!$B:$B,PPvsREal!$C$13,Comités!W:W)</f>
        <v>0</v>
      </c>
      <c r="X13" s="45">
        <f>SUMIF(Comités!$B:$B,PPvsREal!$C$13,Comités!X:X)</f>
        <v>0</v>
      </c>
      <c r="Y13" s="45">
        <f>SUMIF(Comités!$B:$B,PPvsREal!$C$13,Comités!Y:Y)</f>
        <v>0</v>
      </c>
      <c r="Z13" s="45">
        <f>SUMIF(Comités!$B:$B,PPvsREal!$C$13,Comités!Z:Z)</f>
        <v>0</v>
      </c>
      <c r="AA13" s="53">
        <f>SUMIF(Comités!$B:$B,PPvsREal!$C$13,Comités!AA:AA)</f>
        <v>0</v>
      </c>
    </row>
    <row r="14" spans="2:27" ht="12.75" customHeight="1" x14ac:dyDescent="0.25">
      <c r="B14" s="44" t="s">
        <v>349</v>
      </c>
      <c r="C14" s="37" t="s">
        <v>112</v>
      </c>
      <c r="D14" s="45">
        <f>SUMIF(Comités!$B:$B,PPvsREal!$C$14,Comités!D:D)</f>
        <v>11200</v>
      </c>
      <c r="E14" s="45">
        <f>SUMIF(Comités!$B:$B,PPvsREal!$C$14,Comités!E:E)</f>
        <v>0</v>
      </c>
      <c r="F14" s="45">
        <f>SUMIF(Comités!$B:$B,PPvsREal!$C$14,Comités!F:F)</f>
        <v>11200</v>
      </c>
      <c r="G14" s="45">
        <f>SUMIF(Comités!$B:$B,PPvsREal!$C$14,Comités!G:G)</f>
        <v>0</v>
      </c>
      <c r="H14" s="45">
        <f>SUMIF(Comités!$B:$B,PPvsREal!$C$14,Comités!H:H)</f>
        <v>11200</v>
      </c>
      <c r="I14" s="45">
        <f>SUMIF(Comités!$B:$B,PPvsREal!$C$14,Comités!I:I)</f>
        <v>0</v>
      </c>
      <c r="J14" s="45">
        <f>SUMIF(Comités!$B:$B,PPvsREal!$C$14,Comités!J:J)</f>
        <v>11200</v>
      </c>
      <c r="K14" s="45">
        <f>SUMIF(Comités!$B:$B,PPvsREal!$C$14,Comités!K:K)</f>
        <v>0</v>
      </c>
      <c r="L14" s="45">
        <f>SUMIF(Comités!$B:$B,PPvsREal!$C$14,Comités!L:L)</f>
        <v>11200</v>
      </c>
      <c r="M14" s="45">
        <f>SUMIF(Comités!$B:$B,PPvsREal!$C$14,Comités!M:M)</f>
        <v>0</v>
      </c>
      <c r="N14" s="45">
        <f>SUMIF(Comités!$B:$B,PPvsREal!$C$14,Comités!N:N)</f>
        <v>11200</v>
      </c>
      <c r="O14" s="45">
        <f>SUMIF(Comités!$B:$B,PPvsREal!$C$14,Comités!O:O)</f>
        <v>0</v>
      </c>
      <c r="P14" s="45">
        <f>SUMIF(Comités!$B:$B,PPvsREal!$C$14,Comités!P:P)</f>
        <v>11200</v>
      </c>
      <c r="Q14" s="45">
        <f>SUMIF(Comités!$B:$B,PPvsREal!$C$14,Comités!Q:Q)</f>
        <v>0</v>
      </c>
      <c r="R14" s="45">
        <f>SUMIF(Comités!$B:$B,PPvsREal!$C$14,Comités!R:R)</f>
        <v>11200</v>
      </c>
      <c r="S14" s="45">
        <f>SUMIF(Comités!$B:$B,PPvsREal!$C$14,Comités!S:S)</f>
        <v>0</v>
      </c>
      <c r="T14" s="45">
        <f>SUMIF(Comités!$B:$B,PPvsREal!$C$14,Comités!T:T)</f>
        <v>11200</v>
      </c>
      <c r="U14" s="45">
        <f>SUMIF(Comités!$B:$B,PPvsREal!$C$14,Comités!U:U)</f>
        <v>0</v>
      </c>
      <c r="V14" s="45">
        <f>SUMIF(Comités!$B:$B,PPvsREal!$C$14,Comités!V:V)</f>
        <v>11200</v>
      </c>
      <c r="W14" s="45">
        <f>SUMIF(Comités!$B:$B,PPvsREal!$C$14,Comités!W:W)</f>
        <v>0</v>
      </c>
      <c r="X14" s="45">
        <f>SUMIF(Comités!$B:$B,PPvsREal!$C$14,Comités!X:X)</f>
        <v>11200</v>
      </c>
      <c r="Y14" s="45">
        <f>SUMIF(Comités!$B:$B,PPvsREal!$C$14,Comités!Y:Y)</f>
        <v>0</v>
      </c>
      <c r="Z14" s="45">
        <f>SUMIF(Comités!$B:$B,PPvsREal!$C$14,Comités!Z:Z)</f>
        <v>11200</v>
      </c>
      <c r="AA14" s="53">
        <f>SUMIF(Comités!$B:$B,PPvsREal!$C$14,Comités!AA:AA)</f>
        <v>0</v>
      </c>
    </row>
    <row r="15" spans="2:27" ht="12.75" customHeight="1" x14ac:dyDescent="0.25">
      <c r="B15" s="44" t="s">
        <v>349</v>
      </c>
      <c r="C15" s="37" t="s">
        <v>114</v>
      </c>
      <c r="D15" s="45">
        <f>SUMIF(Comités!$B:$B,PPvsREal!$C$15,Comités!D:D)</f>
        <v>0</v>
      </c>
      <c r="E15" s="45">
        <f>SUMIF(Comités!$B:$B,PPvsREal!$C$15,Comités!E:E)</f>
        <v>0</v>
      </c>
      <c r="F15" s="45">
        <f>SUMIF(Comités!$B:$B,PPvsREal!$C$15,Comités!F:F)</f>
        <v>0</v>
      </c>
      <c r="G15" s="45">
        <f>SUMIF(Comités!$B:$B,PPvsREal!$C$15,Comités!G:G)</f>
        <v>0</v>
      </c>
      <c r="H15" s="45">
        <f>SUMIF(Comités!$B:$B,PPvsREal!$C$15,Comités!H:H)</f>
        <v>0</v>
      </c>
      <c r="I15" s="45">
        <f>SUMIF(Comités!$B:$B,PPvsREal!$C$15,Comités!I:I)</f>
        <v>0</v>
      </c>
      <c r="J15" s="45">
        <f>SUMIF(Comités!$B:$B,PPvsREal!$C$15,Comités!J:J)</f>
        <v>0</v>
      </c>
      <c r="K15" s="45">
        <f>SUMIF(Comités!$B:$B,PPvsREal!$C$15,Comités!K:K)</f>
        <v>0</v>
      </c>
      <c r="L15" s="45">
        <f>SUMIF(Comités!$B:$B,PPvsREal!$C$15,Comités!L:L)</f>
        <v>0</v>
      </c>
      <c r="M15" s="45">
        <f>SUMIF(Comités!$B:$B,PPvsREal!$C$15,Comités!M:M)</f>
        <v>0</v>
      </c>
      <c r="N15" s="45">
        <f>SUMIF(Comités!$B:$B,PPvsREal!$C$15,Comités!N:N)</f>
        <v>0</v>
      </c>
      <c r="O15" s="45">
        <f>SUMIF(Comités!$B:$B,PPvsREal!$C$15,Comités!O:O)</f>
        <v>0</v>
      </c>
      <c r="P15" s="45">
        <f>SUMIF(Comités!$B:$B,PPvsREal!$C$15,Comités!P:P)</f>
        <v>0</v>
      </c>
      <c r="Q15" s="45">
        <f>SUMIF(Comités!$B:$B,PPvsREal!$C$15,Comités!Q:Q)</f>
        <v>0</v>
      </c>
      <c r="R15" s="45">
        <f>SUMIF(Comités!$B:$B,PPvsREal!$C$15,Comités!R:R)</f>
        <v>0</v>
      </c>
      <c r="S15" s="45">
        <f>SUMIF(Comités!$B:$B,PPvsREal!$C$15,Comités!S:S)</f>
        <v>0</v>
      </c>
      <c r="T15" s="45">
        <f>SUMIF(Comités!$B:$B,PPvsREal!$C$15,Comités!T:T)</f>
        <v>0</v>
      </c>
      <c r="U15" s="45">
        <f>SUMIF(Comités!$B:$B,PPvsREal!$C$15,Comités!U:U)</f>
        <v>0</v>
      </c>
      <c r="V15" s="45">
        <f>SUMIF(Comités!$B:$B,PPvsREal!$C$15,Comités!V:V)</f>
        <v>0</v>
      </c>
      <c r="W15" s="45">
        <f>SUMIF(Comités!$B:$B,PPvsREal!$C$15,Comités!W:W)</f>
        <v>0</v>
      </c>
      <c r="X15" s="45">
        <f>SUMIF(Comités!$B:$B,PPvsREal!$C$15,Comités!X:X)</f>
        <v>0</v>
      </c>
      <c r="Y15" s="45">
        <f>SUMIF(Comités!$B:$B,PPvsREal!$C$15,Comités!Y:Y)</f>
        <v>0</v>
      </c>
      <c r="Z15" s="45">
        <f>SUMIF(Comités!$B:$B,PPvsREal!$C$15,Comités!Z:Z)</f>
        <v>0</v>
      </c>
      <c r="AA15" s="53">
        <f>SUMIF(Comités!$B:$B,PPvsREal!$C$15,Comités!AA:AA)</f>
        <v>0</v>
      </c>
    </row>
    <row r="16" spans="2:27" ht="12.75" customHeight="1" x14ac:dyDescent="0.25">
      <c r="B16" s="44" t="s">
        <v>349</v>
      </c>
      <c r="C16" s="37" t="s">
        <v>116</v>
      </c>
      <c r="D16" s="45">
        <f>SUMIF(Comités!$B:$B,PPvsREal!$C$16,Comités!D:D)</f>
        <v>8400</v>
      </c>
      <c r="E16" s="45">
        <f>SUMIF(Comités!$B:$B,PPvsREal!$C$16,Comités!E:E)</f>
        <v>0</v>
      </c>
      <c r="F16" s="45">
        <f>SUMIF(Comités!$B:$B,PPvsREal!$C$16,Comités!F:F)</f>
        <v>8400</v>
      </c>
      <c r="G16" s="45">
        <f>SUMIF(Comités!$B:$B,PPvsREal!$C$16,Comités!G:G)</f>
        <v>0</v>
      </c>
      <c r="H16" s="45">
        <f>SUMIF(Comités!$B:$B,PPvsREal!$C$16,Comités!H:H)</f>
        <v>8400</v>
      </c>
      <c r="I16" s="45">
        <f>SUMIF(Comités!$B:$B,PPvsREal!$C$16,Comités!I:I)</f>
        <v>0</v>
      </c>
      <c r="J16" s="45">
        <f>SUMIF(Comités!$B:$B,PPvsREal!$C$16,Comités!J:J)</f>
        <v>8400</v>
      </c>
      <c r="K16" s="45">
        <f>SUMIF(Comités!$B:$B,PPvsREal!$C$16,Comités!K:K)</f>
        <v>0</v>
      </c>
      <c r="L16" s="45">
        <f>SUMIF(Comités!$B:$B,PPvsREal!$C$16,Comités!L:L)</f>
        <v>8400</v>
      </c>
      <c r="M16" s="45">
        <f>SUMIF(Comités!$B:$B,PPvsREal!$C$16,Comités!M:M)</f>
        <v>0</v>
      </c>
      <c r="N16" s="45">
        <f>SUMIF(Comités!$B:$B,PPvsREal!$C$16,Comités!N:N)</f>
        <v>8400</v>
      </c>
      <c r="O16" s="45">
        <f>SUMIF(Comités!$B:$B,PPvsREal!$C$16,Comités!O:O)</f>
        <v>0</v>
      </c>
      <c r="P16" s="45">
        <f>SUMIF(Comités!$B:$B,PPvsREal!$C$16,Comités!P:P)</f>
        <v>8400</v>
      </c>
      <c r="Q16" s="45">
        <f>SUMIF(Comités!$B:$B,PPvsREal!$C$16,Comités!Q:Q)</f>
        <v>0</v>
      </c>
      <c r="R16" s="45">
        <f>SUMIF(Comités!$B:$B,PPvsREal!$C$16,Comités!R:R)</f>
        <v>8400</v>
      </c>
      <c r="S16" s="45">
        <f>SUMIF(Comités!$B:$B,PPvsREal!$C$16,Comités!S:S)</f>
        <v>0</v>
      </c>
      <c r="T16" s="45">
        <f>SUMIF(Comités!$B:$B,PPvsREal!$C$16,Comités!T:T)</f>
        <v>8400</v>
      </c>
      <c r="U16" s="45">
        <f>SUMIF(Comités!$B:$B,PPvsREal!$C$16,Comités!U:U)</f>
        <v>0</v>
      </c>
      <c r="V16" s="45">
        <f>SUMIF(Comités!$B:$B,PPvsREal!$C$16,Comités!V:V)</f>
        <v>8400</v>
      </c>
      <c r="W16" s="45">
        <f>SUMIF(Comités!$B:$B,PPvsREal!$C$16,Comités!W:W)</f>
        <v>0</v>
      </c>
      <c r="X16" s="45">
        <f>SUMIF(Comités!$B:$B,PPvsREal!$C$16,Comités!X:X)</f>
        <v>8400</v>
      </c>
      <c r="Y16" s="45">
        <f>SUMIF(Comités!$B:$B,PPvsREal!$C$16,Comités!Y:Y)</f>
        <v>0</v>
      </c>
      <c r="Z16" s="45">
        <f>SUMIF(Comités!$B:$B,PPvsREal!$C$16,Comités!Z:Z)</f>
        <v>8400</v>
      </c>
      <c r="AA16" s="53">
        <f>SUMIF(Comités!$B:$B,PPvsREal!$C$16,Comités!AA:AA)</f>
        <v>0</v>
      </c>
    </row>
    <row r="17" spans="2:27" ht="12.75" customHeight="1" x14ac:dyDescent="0.25">
      <c r="B17" s="44" t="s">
        <v>349</v>
      </c>
      <c r="C17" s="37" t="s">
        <v>119</v>
      </c>
      <c r="D17" s="45">
        <f>SUMIF(Comités!$B:$B,PPvsREal!$C$17,Comités!D:D)</f>
        <v>0</v>
      </c>
      <c r="E17" s="45">
        <f>SUMIF(Comités!$B:$B,PPvsREal!$C$17,Comités!E:E)</f>
        <v>0</v>
      </c>
      <c r="F17" s="45">
        <f>SUMIF(Comités!$B:$B,PPvsREal!$C$17,Comités!F:F)</f>
        <v>0</v>
      </c>
      <c r="G17" s="45">
        <f>SUMIF(Comités!$B:$B,PPvsREal!$C$17,Comités!G:G)</f>
        <v>0</v>
      </c>
      <c r="H17" s="45">
        <f>SUMIF(Comités!$B:$B,PPvsREal!$C$17,Comités!H:H)</f>
        <v>0</v>
      </c>
      <c r="I17" s="45">
        <f>SUMIF(Comités!$B:$B,PPvsREal!$C$17,Comités!I:I)</f>
        <v>0</v>
      </c>
      <c r="J17" s="45">
        <f>SUMIF(Comités!$B:$B,PPvsREal!$C$17,Comités!J:J)</f>
        <v>0</v>
      </c>
      <c r="K17" s="45">
        <f>SUMIF(Comités!$B:$B,PPvsREal!$C$17,Comités!K:K)</f>
        <v>0</v>
      </c>
      <c r="L17" s="45">
        <f>SUMIF(Comités!$B:$B,PPvsREal!$C$17,Comités!L:L)</f>
        <v>0</v>
      </c>
      <c r="M17" s="45">
        <f>SUMIF(Comités!$B:$B,PPvsREal!$C$17,Comités!M:M)</f>
        <v>0</v>
      </c>
      <c r="N17" s="45">
        <f>SUMIF(Comités!$B:$B,PPvsREal!$C$17,Comités!N:N)</f>
        <v>0</v>
      </c>
      <c r="O17" s="45">
        <f>SUMIF(Comités!$B:$B,PPvsREal!$C$17,Comités!O:O)</f>
        <v>0</v>
      </c>
      <c r="P17" s="45">
        <f>SUMIF(Comités!$B:$B,PPvsREal!$C$17,Comités!P:P)</f>
        <v>0</v>
      </c>
      <c r="Q17" s="45">
        <f>SUMIF(Comités!$B:$B,PPvsREal!$C$17,Comités!Q:Q)</f>
        <v>0</v>
      </c>
      <c r="R17" s="45">
        <f>SUMIF(Comités!$B:$B,PPvsREal!$C$17,Comités!R:R)</f>
        <v>0</v>
      </c>
      <c r="S17" s="45">
        <f>SUMIF(Comités!$B:$B,PPvsREal!$C$17,Comités!S:S)</f>
        <v>0</v>
      </c>
      <c r="T17" s="45">
        <f>SUMIF(Comités!$B:$B,PPvsREal!$C$17,Comités!T:T)</f>
        <v>0</v>
      </c>
      <c r="U17" s="45">
        <f>SUMIF(Comités!$B:$B,PPvsREal!$C$17,Comités!U:U)</f>
        <v>0</v>
      </c>
      <c r="V17" s="45">
        <f>SUMIF(Comités!$B:$B,PPvsREal!$C$17,Comités!V:V)</f>
        <v>0</v>
      </c>
      <c r="W17" s="45">
        <f>SUMIF(Comités!$B:$B,PPvsREal!$C$17,Comités!W:W)</f>
        <v>0</v>
      </c>
      <c r="X17" s="45">
        <f>SUMIF(Comités!$B:$B,PPvsREal!$C$17,Comités!X:X)</f>
        <v>0</v>
      </c>
      <c r="Y17" s="45">
        <f>SUMIF(Comités!$B:$B,PPvsREal!$C$17,Comités!Y:Y)</f>
        <v>0</v>
      </c>
      <c r="Z17" s="45">
        <f>SUMIF(Comités!$B:$B,PPvsREal!$C$17,Comités!Z:Z)</f>
        <v>0</v>
      </c>
      <c r="AA17" s="53">
        <f>SUMIF(Comités!$B:$B,PPvsREal!$C$17,Comités!AA:AA)</f>
        <v>0</v>
      </c>
    </row>
    <row r="18" spans="2:27" ht="12.75" customHeight="1" x14ac:dyDescent="0.25">
      <c r="B18" s="44" t="s">
        <v>349</v>
      </c>
      <c r="C18" s="37" t="s">
        <v>121</v>
      </c>
      <c r="D18" s="45">
        <f>SUMIF(Comités!$B:$B,PPvsREal!$C$18,Comités!D:D)</f>
        <v>0</v>
      </c>
      <c r="E18" s="45">
        <f>SUMIF(Comités!$B:$B,PPvsREal!$C$18,Comités!E:E)</f>
        <v>0</v>
      </c>
      <c r="F18" s="45">
        <f>SUMIF(Comités!$B:$B,PPvsREal!$C$18,Comités!F:F)</f>
        <v>0</v>
      </c>
      <c r="G18" s="45">
        <f>SUMIF(Comités!$B:$B,PPvsREal!$C$18,Comités!G:G)</f>
        <v>0</v>
      </c>
      <c r="H18" s="45">
        <f>SUMIF(Comités!$B:$B,PPvsREal!$C$18,Comités!H:H)</f>
        <v>0</v>
      </c>
      <c r="I18" s="45">
        <f>SUMIF(Comités!$B:$B,PPvsREal!$C$18,Comités!I:I)</f>
        <v>0</v>
      </c>
      <c r="J18" s="45">
        <f>SUMIF(Comités!$B:$B,PPvsREal!$C$18,Comités!J:J)</f>
        <v>0</v>
      </c>
      <c r="K18" s="45">
        <f>SUMIF(Comités!$B:$B,PPvsREal!$C$18,Comités!K:K)</f>
        <v>0</v>
      </c>
      <c r="L18" s="45">
        <f>SUMIF(Comités!$B:$B,PPvsREal!$C$18,Comités!L:L)</f>
        <v>0</v>
      </c>
      <c r="M18" s="45">
        <f>SUMIF(Comités!$B:$B,PPvsREal!$C$18,Comités!M:M)</f>
        <v>65000</v>
      </c>
      <c r="N18" s="45">
        <f>SUMIF(Comités!$B:$B,PPvsREal!$C$18,Comités!N:N)</f>
        <v>162500</v>
      </c>
      <c r="O18" s="45">
        <f>SUMIF(Comités!$B:$B,PPvsREal!$C$18,Comités!O:O)</f>
        <v>195833.33</v>
      </c>
      <c r="P18" s="45">
        <f>SUMIF(Comités!$B:$B,PPvsREal!$C$18,Comités!P:P)</f>
        <v>162500</v>
      </c>
      <c r="Q18" s="45">
        <f>SUMIF(Comités!$B:$B,PPvsREal!$C$18,Comités!Q:Q)</f>
        <v>152499.99</v>
      </c>
      <c r="R18" s="45">
        <f>SUMIF(Comités!$B:$B,PPvsREal!$C$18,Comités!R:R)</f>
        <v>162500</v>
      </c>
      <c r="S18" s="45">
        <f>SUMIF(Comités!$B:$B,PPvsREal!$C$18,Comités!S:S)</f>
        <v>0</v>
      </c>
      <c r="T18" s="45">
        <f>SUMIF(Comités!$B:$B,PPvsREal!$C$18,Comités!T:T)</f>
        <v>162500</v>
      </c>
      <c r="U18" s="45">
        <f>SUMIF(Comités!$B:$B,PPvsREal!$C$18,Comités!U:U)</f>
        <v>0</v>
      </c>
      <c r="V18" s="45">
        <f>SUMIF(Comités!$B:$B,PPvsREal!$C$18,Comités!V:V)</f>
        <v>0</v>
      </c>
      <c r="W18" s="45">
        <f>SUMIF(Comités!$B:$B,PPvsREal!$C$18,Comités!W:W)</f>
        <v>0</v>
      </c>
      <c r="X18" s="45">
        <f>SUMIF(Comités!$B:$B,PPvsREal!$C$18,Comités!X:X)</f>
        <v>0</v>
      </c>
      <c r="Y18" s="45">
        <f>SUMIF(Comités!$B:$B,PPvsREal!$C$18,Comités!Y:Y)</f>
        <v>0</v>
      </c>
      <c r="Z18" s="45">
        <f>SUMIF(Comités!$B:$B,PPvsREal!$C$18,Comités!Z:Z)</f>
        <v>0</v>
      </c>
      <c r="AA18" s="53">
        <f>SUMIF(Comités!$B:$B,PPvsREal!$C$18,Comités!AA:AA)</f>
        <v>0</v>
      </c>
    </row>
    <row r="19" spans="2:27" ht="12.75" customHeight="1" x14ac:dyDescent="0.25">
      <c r="B19" s="44" t="s">
        <v>349</v>
      </c>
      <c r="C19" s="37" t="s">
        <v>125</v>
      </c>
      <c r="D19" s="45">
        <f>SUMIF(Comités!$B:$B,PPvsREal!$C$19,Comités!D:D)</f>
        <v>0</v>
      </c>
      <c r="E19" s="45">
        <f>SUMIF(Comités!$B:$B,PPvsREal!$C$19,Comités!E:E)</f>
        <v>0</v>
      </c>
      <c r="F19" s="45">
        <f>SUMIF(Comités!$B:$B,PPvsREal!$C$19,Comités!F:F)</f>
        <v>6000</v>
      </c>
      <c r="G19" s="45">
        <f>SUMIF(Comités!$B:$B,PPvsREal!$C$19,Comités!G:G)</f>
        <v>0</v>
      </c>
      <c r="H19" s="45">
        <f>SUMIF(Comités!$B:$B,PPvsREal!$C$19,Comités!H:H)</f>
        <v>0</v>
      </c>
      <c r="I19" s="45">
        <f>SUMIF(Comités!$B:$B,PPvsREal!$C$19,Comités!I:I)</f>
        <v>0</v>
      </c>
      <c r="J19" s="45">
        <f>SUMIF(Comités!$B:$B,PPvsREal!$C$19,Comités!J:J)</f>
        <v>6000</v>
      </c>
      <c r="K19" s="45">
        <f>SUMIF(Comités!$B:$B,PPvsREal!$C$19,Comités!K:K)</f>
        <v>0</v>
      </c>
      <c r="L19" s="45">
        <f>SUMIF(Comités!$B:$B,PPvsREal!$C$19,Comités!L:L)</f>
        <v>0</v>
      </c>
      <c r="M19" s="45">
        <f>SUMIF(Comités!$B:$B,PPvsREal!$C$19,Comités!M:M)</f>
        <v>0</v>
      </c>
      <c r="N19" s="45">
        <f>SUMIF(Comités!$B:$B,PPvsREal!$C$19,Comités!N:N)</f>
        <v>6000</v>
      </c>
      <c r="O19" s="45">
        <f>SUMIF(Comités!$B:$B,PPvsREal!$C$19,Comités!O:O)</f>
        <v>45.56</v>
      </c>
      <c r="P19" s="45">
        <f>SUMIF(Comités!$B:$B,PPvsREal!$C$19,Comités!P:P)</f>
        <v>0</v>
      </c>
      <c r="Q19" s="45">
        <f>SUMIF(Comités!$B:$B,PPvsREal!$C$19,Comités!Q:Q)</f>
        <v>5651.27</v>
      </c>
      <c r="R19" s="45">
        <f>SUMIF(Comités!$B:$B,PPvsREal!$C$19,Comités!R:R)</f>
        <v>6000</v>
      </c>
      <c r="S19" s="45">
        <f>SUMIF(Comités!$B:$B,PPvsREal!$C$19,Comités!S:S)</f>
        <v>0</v>
      </c>
      <c r="T19" s="45">
        <f>SUMIF(Comités!$B:$B,PPvsREal!$C$19,Comités!T:T)</f>
        <v>0</v>
      </c>
      <c r="U19" s="45">
        <f>SUMIF(Comités!$B:$B,PPvsREal!$C$19,Comités!U:U)</f>
        <v>0</v>
      </c>
      <c r="V19" s="45">
        <f>SUMIF(Comités!$B:$B,PPvsREal!$C$19,Comités!V:V)</f>
        <v>6000</v>
      </c>
      <c r="W19" s="45">
        <f>SUMIF(Comités!$B:$B,PPvsREal!$C$19,Comités!W:W)</f>
        <v>0</v>
      </c>
      <c r="X19" s="45">
        <f>SUMIF(Comités!$B:$B,PPvsREal!$C$19,Comités!X:X)</f>
        <v>0</v>
      </c>
      <c r="Y19" s="45">
        <f>SUMIF(Comités!$B:$B,PPvsREal!$C$19,Comités!Y:Y)</f>
        <v>0</v>
      </c>
      <c r="Z19" s="45">
        <f>SUMIF(Comités!$B:$B,PPvsREal!$C$19,Comités!Z:Z)</f>
        <v>6000</v>
      </c>
      <c r="AA19" s="53">
        <f>SUMIF(Comités!$B:$B,PPvsREal!$C$19,Comités!AA:AA)</f>
        <v>0</v>
      </c>
    </row>
    <row r="20" spans="2:27" ht="12.75" customHeight="1" x14ac:dyDescent="0.25">
      <c r="B20" s="44" t="s">
        <v>349</v>
      </c>
      <c r="C20" s="37" t="s">
        <v>127</v>
      </c>
      <c r="D20" s="45">
        <f>SUMIF(Comités!$B:$B,PPvsREal!$C$20,Comités!D:D)</f>
        <v>8000</v>
      </c>
      <c r="E20" s="45">
        <f>SUMIF(Comités!$B:$B,PPvsREal!$C$20,Comités!E:E)</f>
        <v>0</v>
      </c>
      <c r="F20" s="45">
        <f>SUMIF(Comités!$B:$B,PPvsREal!$C$20,Comités!F:F)</f>
        <v>8000</v>
      </c>
      <c r="G20" s="45">
        <f>SUMIF(Comités!$B:$B,PPvsREal!$C$20,Comités!G:G)</f>
        <v>0</v>
      </c>
      <c r="H20" s="45">
        <f>SUMIF(Comités!$B:$B,PPvsREal!$C$20,Comités!H:H)</f>
        <v>8000</v>
      </c>
      <c r="I20" s="45">
        <f>SUMIF(Comités!$B:$B,PPvsREal!$C$20,Comités!I:I)</f>
        <v>0</v>
      </c>
      <c r="J20" s="45">
        <f>SUMIF(Comités!$B:$B,PPvsREal!$C$20,Comités!J:J)</f>
        <v>8000</v>
      </c>
      <c r="K20" s="45">
        <f>SUMIF(Comités!$B:$B,PPvsREal!$C$20,Comités!K:K)</f>
        <v>0</v>
      </c>
      <c r="L20" s="45">
        <f>SUMIF(Comités!$B:$B,PPvsREal!$C$20,Comités!L:L)</f>
        <v>8000</v>
      </c>
      <c r="M20" s="45">
        <f>SUMIF(Comités!$B:$B,PPvsREal!$C$20,Comités!M:M)</f>
        <v>10815.12</v>
      </c>
      <c r="N20" s="45">
        <f>SUMIF(Comités!$B:$B,PPvsREal!$C$20,Comités!N:N)</f>
        <v>8000</v>
      </c>
      <c r="O20" s="45">
        <f>SUMIF(Comités!$B:$B,PPvsREal!$C$20,Comités!O:O)</f>
        <v>0</v>
      </c>
      <c r="P20" s="45">
        <f>SUMIF(Comités!$B:$B,PPvsREal!$C$20,Comités!P:P)</f>
        <v>8000</v>
      </c>
      <c r="Q20" s="45">
        <f>SUMIF(Comités!$B:$B,PPvsREal!$C$20,Comités!Q:Q)</f>
        <v>420</v>
      </c>
      <c r="R20" s="45">
        <f>SUMIF(Comités!$B:$B,PPvsREal!$C$20,Comités!R:R)</f>
        <v>8000</v>
      </c>
      <c r="S20" s="45">
        <f>SUMIF(Comités!$B:$B,PPvsREal!$C$20,Comités!S:S)</f>
        <v>0</v>
      </c>
      <c r="T20" s="45">
        <f>SUMIF(Comités!$B:$B,PPvsREal!$C$20,Comités!T:T)</f>
        <v>8000</v>
      </c>
      <c r="U20" s="45">
        <f>SUMIF(Comités!$B:$B,PPvsREal!$C$20,Comités!U:U)</f>
        <v>0</v>
      </c>
      <c r="V20" s="45">
        <f>SUMIF(Comités!$B:$B,PPvsREal!$C$20,Comités!V:V)</f>
        <v>8000</v>
      </c>
      <c r="W20" s="45">
        <f>SUMIF(Comités!$B:$B,PPvsREal!$C$20,Comités!W:W)</f>
        <v>0</v>
      </c>
      <c r="X20" s="45">
        <f>SUMIF(Comités!$B:$B,PPvsREal!$C$20,Comités!X:X)</f>
        <v>8000</v>
      </c>
      <c r="Y20" s="45">
        <f>SUMIF(Comités!$B:$B,PPvsREal!$C$20,Comités!Y:Y)</f>
        <v>0</v>
      </c>
      <c r="Z20" s="45">
        <f>SUMIF(Comités!$B:$B,PPvsREal!$C$20,Comités!Z:Z)</f>
        <v>8000</v>
      </c>
      <c r="AA20" s="53">
        <f>SUMIF(Comités!$B:$B,PPvsREal!$C$20,Comités!AA:AA)</f>
        <v>0</v>
      </c>
    </row>
    <row r="21" spans="2:27" ht="12.75" customHeight="1" x14ac:dyDescent="0.25">
      <c r="B21" s="44" t="s">
        <v>349</v>
      </c>
      <c r="C21" s="37" t="s">
        <v>128</v>
      </c>
      <c r="D21" s="45">
        <f>SUMIF(Comités!$B:$B,PPvsREal!$C$21,Comités!D:D)</f>
        <v>0</v>
      </c>
      <c r="E21" s="45">
        <f>SUMIF(Comités!$B:$B,PPvsREal!$C$21,Comités!E:E)</f>
        <v>0</v>
      </c>
      <c r="F21" s="45">
        <f>SUMIF(Comités!$B:$B,PPvsREal!$C$21,Comités!F:F)</f>
        <v>0</v>
      </c>
      <c r="G21" s="45">
        <f>SUMIF(Comités!$B:$B,PPvsREal!$C$21,Comités!G:G)</f>
        <v>0</v>
      </c>
      <c r="H21" s="45">
        <f>SUMIF(Comités!$B:$B,PPvsREal!$C$21,Comités!H:H)</f>
        <v>0</v>
      </c>
      <c r="I21" s="45">
        <f>SUMIF(Comités!$B:$B,PPvsREal!$C$21,Comités!I:I)</f>
        <v>0</v>
      </c>
      <c r="J21" s="45">
        <f>SUMIF(Comités!$B:$B,PPvsREal!$C$21,Comités!J:J)</f>
        <v>0</v>
      </c>
      <c r="K21" s="45">
        <f>SUMIF(Comités!$B:$B,PPvsREal!$C$21,Comités!K:K)</f>
        <v>0</v>
      </c>
      <c r="L21" s="45">
        <f>SUMIF(Comités!$B:$B,PPvsREal!$C$21,Comités!L:L)</f>
        <v>0</v>
      </c>
      <c r="M21" s="45">
        <f>SUMIF(Comités!$B:$B,PPvsREal!$C$21,Comités!M:M)</f>
        <v>113.9</v>
      </c>
      <c r="N21" s="45">
        <f>SUMIF(Comités!$B:$B,PPvsREal!$C$21,Comités!N:N)</f>
        <v>0</v>
      </c>
      <c r="O21" s="45">
        <f>SUMIF(Comités!$B:$B,PPvsREal!$C$21,Comités!O:O)</f>
        <v>30001.66</v>
      </c>
      <c r="P21" s="45">
        <f>SUMIF(Comités!$B:$B,PPvsREal!$C$21,Comités!P:P)</f>
        <v>0</v>
      </c>
      <c r="Q21" s="45">
        <f>SUMIF(Comités!$B:$B,PPvsREal!$C$21,Comités!Q:Q)</f>
        <v>375.03</v>
      </c>
      <c r="R21" s="45">
        <f>SUMIF(Comités!$B:$B,PPvsREal!$C$21,Comités!R:R)</f>
        <v>0</v>
      </c>
      <c r="S21" s="45">
        <f>SUMIF(Comités!$B:$B,PPvsREal!$C$21,Comités!S:S)</f>
        <v>0</v>
      </c>
      <c r="T21" s="45">
        <f>SUMIF(Comités!$B:$B,PPvsREal!$C$21,Comités!T:T)</f>
        <v>0</v>
      </c>
      <c r="U21" s="45">
        <f>SUMIF(Comités!$B:$B,PPvsREal!$C$21,Comités!U:U)</f>
        <v>0</v>
      </c>
      <c r="V21" s="45">
        <f>SUMIF(Comités!$B:$B,PPvsREal!$C$21,Comités!V:V)</f>
        <v>0</v>
      </c>
      <c r="W21" s="45">
        <f>SUMIF(Comités!$B:$B,PPvsREal!$C$21,Comités!W:W)</f>
        <v>0</v>
      </c>
      <c r="X21" s="45">
        <f>SUMIF(Comités!$B:$B,PPvsREal!$C$21,Comités!X:X)</f>
        <v>0</v>
      </c>
      <c r="Y21" s="45">
        <f>SUMIF(Comités!$B:$B,PPvsREal!$C$21,Comités!Y:Y)</f>
        <v>0</v>
      </c>
      <c r="Z21" s="45">
        <f>SUMIF(Comités!$B:$B,PPvsREal!$C$21,Comités!Z:Z)</f>
        <v>0</v>
      </c>
      <c r="AA21" s="53">
        <f>SUMIF(Comités!$B:$B,PPvsREal!$C$21,Comités!AA:AA)</f>
        <v>0</v>
      </c>
    </row>
    <row r="22" spans="2:27" ht="12.75" customHeight="1" x14ac:dyDescent="0.25">
      <c r="B22" s="44" t="s">
        <v>349</v>
      </c>
      <c r="C22" s="37" t="s">
        <v>129</v>
      </c>
      <c r="D22" s="45">
        <f>SUMIF(Comités!$B:$B,PPvsREal!$C$22,Comités!D:D)</f>
        <v>6000</v>
      </c>
      <c r="E22" s="45">
        <f>SUMIF(Comités!$B:$B,PPvsREal!$C$22,Comités!E:E)</f>
        <v>0</v>
      </c>
      <c r="F22" s="45">
        <f>SUMIF(Comités!$B:$B,PPvsREal!$C$22,Comités!F:F)</f>
        <v>6000</v>
      </c>
      <c r="G22" s="45">
        <f>SUMIF(Comités!$B:$B,PPvsREal!$C$22,Comités!G:G)</f>
        <v>0</v>
      </c>
      <c r="H22" s="45">
        <f>SUMIF(Comités!$B:$B,PPvsREal!$C$22,Comités!H:H)</f>
        <v>6000</v>
      </c>
      <c r="I22" s="45">
        <f>SUMIF(Comités!$B:$B,PPvsREal!$C$22,Comités!I:I)</f>
        <v>768</v>
      </c>
      <c r="J22" s="45">
        <f>SUMIF(Comités!$B:$B,PPvsREal!$C$22,Comités!J:J)</f>
        <v>6000</v>
      </c>
      <c r="K22" s="45">
        <f>SUMIF(Comités!$B:$B,PPvsREal!$C$22,Comités!K:K)</f>
        <v>0</v>
      </c>
      <c r="L22" s="45">
        <f>SUMIF(Comités!$B:$B,PPvsREal!$C$22,Comités!L:L)</f>
        <v>6000</v>
      </c>
      <c r="M22" s="45">
        <f>SUMIF(Comités!$B:$B,PPvsREal!$C$22,Comités!M:M)</f>
        <v>91.12</v>
      </c>
      <c r="N22" s="45">
        <f>SUMIF(Comités!$B:$B,PPvsREal!$C$22,Comités!N:N)</f>
        <v>6000</v>
      </c>
      <c r="O22" s="45">
        <f>SUMIF(Comités!$B:$B,PPvsREal!$C$22,Comités!O:O)</f>
        <v>11512.78</v>
      </c>
      <c r="P22" s="45">
        <f>SUMIF(Comités!$B:$B,PPvsREal!$C$22,Comités!P:P)</f>
        <v>6000</v>
      </c>
      <c r="Q22" s="45">
        <f>SUMIF(Comités!$B:$B,PPvsREal!$C$22,Comités!Q:Q)</f>
        <v>0</v>
      </c>
      <c r="R22" s="45">
        <f>SUMIF(Comités!$B:$B,PPvsREal!$C$22,Comités!R:R)</f>
        <v>6000</v>
      </c>
      <c r="S22" s="45">
        <f>SUMIF(Comités!$B:$B,PPvsREal!$C$22,Comités!S:S)</f>
        <v>0</v>
      </c>
      <c r="T22" s="45">
        <f>SUMIF(Comités!$B:$B,PPvsREal!$C$22,Comités!T:T)</f>
        <v>6000</v>
      </c>
      <c r="U22" s="45">
        <f>SUMIF(Comités!$B:$B,PPvsREal!$C$22,Comités!U:U)</f>
        <v>0</v>
      </c>
      <c r="V22" s="45">
        <f>SUMIF(Comités!$B:$B,PPvsREal!$C$22,Comités!V:V)</f>
        <v>6000</v>
      </c>
      <c r="W22" s="45">
        <f>SUMIF(Comités!$B:$B,PPvsREal!$C$22,Comités!W:W)</f>
        <v>0</v>
      </c>
      <c r="X22" s="45">
        <f>SUMIF(Comités!$B:$B,PPvsREal!$C$22,Comités!X:X)</f>
        <v>6000</v>
      </c>
      <c r="Y22" s="45">
        <f>SUMIF(Comités!$B:$B,PPvsREal!$C$22,Comités!Y:Y)</f>
        <v>0</v>
      </c>
      <c r="Z22" s="45">
        <f>SUMIF(Comités!$B:$B,PPvsREal!$C$22,Comités!Z:Z)</f>
        <v>6000</v>
      </c>
      <c r="AA22" s="53">
        <f>SUMIF(Comités!$B:$B,PPvsREal!$C$22,Comités!AA:AA)</f>
        <v>0</v>
      </c>
    </row>
    <row r="23" spans="2:27" ht="12.75" customHeight="1" x14ac:dyDescent="0.25">
      <c r="B23" s="44" t="s">
        <v>349</v>
      </c>
      <c r="C23" s="37" t="s">
        <v>130</v>
      </c>
      <c r="D23" s="45">
        <f>SUMIF(Comités!$B:$B,PPvsREal!$C$23,Comités!D:D)</f>
        <v>0</v>
      </c>
      <c r="E23" s="45">
        <f>SUMIF(Comités!$B:$B,PPvsREal!$C$23,Comités!E:E)</f>
        <v>0</v>
      </c>
      <c r="F23" s="45">
        <f>SUMIF(Comités!$B:$B,PPvsREal!$C$23,Comités!F:F)</f>
        <v>0</v>
      </c>
      <c r="G23" s="45">
        <f>SUMIF(Comités!$B:$B,PPvsREal!$C$23,Comités!G:G)</f>
        <v>916</v>
      </c>
      <c r="H23" s="45">
        <f>SUMIF(Comités!$B:$B,PPvsREal!$C$23,Comités!H:H)</f>
        <v>0</v>
      </c>
      <c r="I23" s="45">
        <f>SUMIF(Comités!$B:$B,PPvsREal!$C$23,Comités!I:I)</f>
        <v>0</v>
      </c>
      <c r="J23" s="45">
        <f>SUMIF(Comités!$B:$B,PPvsREal!$C$23,Comités!J:J)</f>
        <v>0</v>
      </c>
      <c r="K23" s="45">
        <f>SUMIF(Comités!$B:$B,PPvsREal!$C$23,Comités!K:K)</f>
        <v>0</v>
      </c>
      <c r="L23" s="45">
        <f>SUMIF(Comités!$B:$B,PPvsREal!$C$23,Comités!L:L)</f>
        <v>0</v>
      </c>
      <c r="M23" s="45">
        <f>SUMIF(Comités!$B:$B,PPvsREal!$C$23,Comités!M:M)</f>
        <v>623.36</v>
      </c>
      <c r="N23" s="45">
        <f>SUMIF(Comités!$B:$B,PPvsREal!$C$23,Comités!N:N)</f>
        <v>0</v>
      </c>
      <c r="O23" s="45">
        <f>SUMIF(Comités!$B:$B,PPvsREal!$C$23,Comités!O:O)</f>
        <v>0</v>
      </c>
      <c r="P23" s="45">
        <f>SUMIF(Comités!$B:$B,PPvsREal!$C$23,Comités!P:P)</f>
        <v>0</v>
      </c>
      <c r="Q23" s="45">
        <f>SUMIF(Comités!$B:$B,PPvsREal!$C$23,Comités!Q:Q)</f>
        <v>0</v>
      </c>
      <c r="R23" s="45">
        <f>SUMIF(Comités!$B:$B,PPvsREal!$C$23,Comités!R:R)</f>
        <v>0</v>
      </c>
      <c r="S23" s="45">
        <f>SUMIF(Comités!$B:$B,PPvsREal!$C$23,Comités!S:S)</f>
        <v>0</v>
      </c>
      <c r="T23" s="45">
        <f>SUMIF(Comités!$B:$B,PPvsREal!$C$23,Comités!T:T)</f>
        <v>0</v>
      </c>
      <c r="U23" s="45">
        <f>SUMIF(Comités!$B:$B,PPvsREal!$C$23,Comités!U:U)</f>
        <v>0</v>
      </c>
      <c r="V23" s="45">
        <f>SUMIF(Comités!$B:$B,PPvsREal!$C$23,Comités!V:V)</f>
        <v>0</v>
      </c>
      <c r="W23" s="45">
        <f>SUMIF(Comités!$B:$B,PPvsREal!$C$23,Comités!W:W)</f>
        <v>0</v>
      </c>
      <c r="X23" s="45">
        <f>SUMIF(Comités!$B:$B,PPvsREal!$C$23,Comités!X:X)</f>
        <v>0</v>
      </c>
      <c r="Y23" s="45">
        <f>SUMIF(Comités!$B:$B,PPvsREal!$C$23,Comités!Y:Y)</f>
        <v>0</v>
      </c>
      <c r="Z23" s="45">
        <f>SUMIF(Comités!$B:$B,PPvsREal!$C$23,Comités!Z:Z)</f>
        <v>0</v>
      </c>
      <c r="AA23" s="53">
        <f>SUMIF(Comités!$B:$B,PPvsREal!$C$23,Comités!AA:AA)</f>
        <v>0</v>
      </c>
    </row>
    <row r="24" spans="2:27" ht="12.75" customHeight="1" x14ac:dyDescent="0.25">
      <c r="B24" s="44" t="s">
        <v>349</v>
      </c>
      <c r="C24" s="37" t="s">
        <v>131</v>
      </c>
      <c r="D24" s="45">
        <f>SUMIF(Comités!$B:$B,PPvsREal!$C$24,Comités!D:D)</f>
        <v>11200</v>
      </c>
      <c r="E24" s="45">
        <f>SUMIF(Comités!$B:$B,PPvsREal!$C$24,Comités!E:E)</f>
        <v>0</v>
      </c>
      <c r="F24" s="45">
        <f>SUMIF(Comités!$B:$B,PPvsREal!$C$24,Comités!F:F)</f>
        <v>11200</v>
      </c>
      <c r="G24" s="45">
        <f>SUMIF(Comités!$B:$B,PPvsREal!$C$24,Comités!G:G)</f>
        <v>0</v>
      </c>
      <c r="H24" s="45">
        <f>SUMIF(Comités!$B:$B,PPvsREal!$C$24,Comités!H:H)</f>
        <v>11200</v>
      </c>
      <c r="I24" s="45">
        <f>SUMIF(Comités!$B:$B,PPvsREal!$C$24,Comités!I:I)</f>
        <v>0</v>
      </c>
      <c r="J24" s="45">
        <f>SUMIF(Comités!$B:$B,PPvsREal!$C$24,Comités!J:J)</f>
        <v>11200</v>
      </c>
      <c r="K24" s="45">
        <f>SUMIF(Comités!$B:$B,PPvsREal!$C$24,Comités!K:K)</f>
        <v>0</v>
      </c>
      <c r="L24" s="45">
        <f>SUMIF(Comités!$B:$B,PPvsREal!$C$24,Comités!L:L)</f>
        <v>11200</v>
      </c>
      <c r="M24" s="45">
        <f>SUMIF(Comités!$B:$B,PPvsREal!$C$24,Comités!M:M)</f>
        <v>745.43</v>
      </c>
      <c r="N24" s="45">
        <f>SUMIF(Comités!$B:$B,PPvsREal!$C$24,Comités!N:N)</f>
        <v>11200</v>
      </c>
      <c r="O24" s="45">
        <f>SUMIF(Comités!$B:$B,PPvsREal!$C$24,Comités!O:O)</f>
        <v>0</v>
      </c>
      <c r="P24" s="45">
        <f>SUMIF(Comités!$B:$B,PPvsREal!$C$24,Comités!P:P)</f>
        <v>11200</v>
      </c>
      <c r="Q24" s="45">
        <f>SUMIF(Comités!$B:$B,PPvsREal!$C$24,Comités!Q:Q)</f>
        <v>0</v>
      </c>
      <c r="R24" s="45">
        <f>SUMIF(Comités!$B:$B,PPvsREal!$C$24,Comités!R:R)</f>
        <v>11200</v>
      </c>
      <c r="S24" s="45">
        <f>SUMIF(Comités!$B:$B,PPvsREal!$C$24,Comités!S:S)</f>
        <v>0</v>
      </c>
      <c r="T24" s="45">
        <f>SUMIF(Comités!$B:$B,PPvsREal!$C$24,Comités!T:T)</f>
        <v>11200</v>
      </c>
      <c r="U24" s="45">
        <f>SUMIF(Comités!$B:$B,PPvsREal!$C$24,Comités!U:U)</f>
        <v>0</v>
      </c>
      <c r="V24" s="45">
        <f>SUMIF(Comités!$B:$B,PPvsREal!$C$24,Comités!V:V)</f>
        <v>11200</v>
      </c>
      <c r="W24" s="45">
        <f>SUMIF(Comités!$B:$B,PPvsREal!$C$24,Comités!W:W)</f>
        <v>0</v>
      </c>
      <c r="X24" s="45">
        <f>SUMIF(Comités!$B:$B,PPvsREal!$C$24,Comités!X:X)</f>
        <v>11200</v>
      </c>
      <c r="Y24" s="45">
        <f>SUMIF(Comités!$B:$B,PPvsREal!$C$24,Comités!Y:Y)</f>
        <v>0</v>
      </c>
      <c r="Z24" s="45">
        <f>SUMIF(Comités!$B:$B,PPvsREal!$C$24,Comités!Z:Z)</f>
        <v>11200</v>
      </c>
      <c r="AA24" s="53">
        <f>SUMIF(Comités!$B:$B,PPvsREal!$C$24,Comités!AA:AA)</f>
        <v>0</v>
      </c>
    </row>
    <row r="25" spans="2:27" ht="12.75" customHeight="1" x14ac:dyDescent="0.25">
      <c r="B25" s="44" t="s">
        <v>349</v>
      </c>
      <c r="C25" s="37" t="s">
        <v>132</v>
      </c>
      <c r="D25" s="45">
        <f>SUMIF(Comités!$B:$B,PPvsREal!$C$25,Comités!D:D)</f>
        <v>0</v>
      </c>
      <c r="E25" s="45">
        <f>SUMIF(Comités!$B:$B,PPvsREal!$C$25,Comités!E:E)</f>
        <v>0</v>
      </c>
      <c r="F25" s="45">
        <f>SUMIF(Comités!$B:$B,PPvsREal!$C$25,Comités!F:F)</f>
        <v>0</v>
      </c>
      <c r="G25" s="45">
        <f>SUMIF(Comités!$B:$B,PPvsREal!$C$25,Comités!G:G)</f>
        <v>0</v>
      </c>
      <c r="H25" s="45">
        <f>SUMIF(Comités!$B:$B,PPvsREal!$C$25,Comités!H:H)</f>
        <v>0</v>
      </c>
      <c r="I25" s="45">
        <f>SUMIF(Comités!$B:$B,PPvsREal!$C$25,Comités!I:I)</f>
        <v>0</v>
      </c>
      <c r="J25" s="45">
        <f>SUMIF(Comités!$B:$B,PPvsREal!$C$25,Comités!J:J)</f>
        <v>0</v>
      </c>
      <c r="K25" s="45">
        <f>SUMIF(Comités!$B:$B,PPvsREal!$C$25,Comités!K:K)</f>
        <v>185.01</v>
      </c>
      <c r="L25" s="45">
        <f>SUMIF(Comités!$B:$B,PPvsREal!$C$25,Comités!L:L)</f>
        <v>0</v>
      </c>
      <c r="M25" s="45">
        <f>SUMIF(Comités!$B:$B,PPvsREal!$C$25,Comités!M:M)</f>
        <v>0</v>
      </c>
      <c r="N25" s="45">
        <f>SUMIF(Comités!$B:$B,PPvsREal!$C$25,Comités!N:N)</f>
        <v>0</v>
      </c>
      <c r="O25" s="45">
        <f>SUMIF(Comités!$B:$B,PPvsREal!$C$25,Comités!O:O)</f>
        <v>0</v>
      </c>
      <c r="P25" s="45">
        <f>SUMIF(Comités!$B:$B,PPvsREal!$C$25,Comités!P:P)</f>
        <v>0</v>
      </c>
      <c r="Q25" s="45">
        <f>SUMIF(Comités!$B:$B,PPvsREal!$C$25,Comités!Q:Q)</f>
        <v>0</v>
      </c>
      <c r="R25" s="45">
        <f>SUMIF(Comités!$B:$B,PPvsREal!$C$25,Comités!R:R)</f>
        <v>0</v>
      </c>
      <c r="S25" s="45">
        <f>SUMIF(Comités!$B:$B,PPvsREal!$C$25,Comités!S:S)</f>
        <v>0</v>
      </c>
      <c r="T25" s="45">
        <f>SUMIF(Comités!$B:$B,PPvsREal!$C$25,Comités!T:T)</f>
        <v>0</v>
      </c>
      <c r="U25" s="45">
        <f>SUMIF(Comités!$B:$B,PPvsREal!$C$25,Comités!U:U)</f>
        <v>0</v>
      </c>
      <c r="V25" s="45">
        <f>SUMIF(Comités!$B:$B,PPvsREal!$C$25,Comités!V:V)</f>
        <v>0</v>
      </c>
      <c r="W25" s="45">
        <f>SUMIF(Comités!$B:$B,PPvsREal!$C$25,Comités!W:W)</f>
        <v>0</v>
      </c>
      <c r="X25" s="45">
        <f>SUMIF(Comités!$B:$B,PPvsREal!$C$25,Comités!X:X)</f>
        <v>0</v>
      </c>
      <c r="Y25" s="45">
        <f>SUMIF(Comités!$B:$B,PPvsREal!$C$25,Comités!Y:Y)</f>
        <v>0</v>
      </c>
      <c r="Z25" s="45">
        <f>SUMIF(Comités!$B:$B,PPvsREal!$C$25,Comités!Z:Z)</f>
        <v>0</v>
      </c>
      <c r="AA25" s="53">
        <f>SUMIF(Comités!$B:$B,PPvsREal!$C$25,Comités!AA:AA)</f>
        <v>0</v>
      </c>
    </row>
    <row r="26" spans="2:27" ht="12.75" customHeight="1" x14ac:dyDescent="0.25">
      <c r="B26" s="44" t="s">
        <v>349</v>
      </c>
      <c r="C26" s="37" t="s">
        <v>133</v>
      </c>
      <c r="D26" s="45">
        <f>SUMIF(Comités!$B:$B,PPvsREal!$C$26,Comités!D:D)</f>
        <v>6000</v>
      </c>
      <c r="E26" s="45">
        <f>SUMIF(Comités!$B:$B,PPvsREal!$C$26,Comités!E:E)</f>
        <v>0</v>
      </c>
      <c r="F26" s="45">
        <f>SUMIF(Comités!$B:$B,PPvsREal!$C$26,Comités!F:F)</f>
        <v>6000</v>
      </c>
      <c r="G26" s="45">
        <f>SUMIF(Comités!$B:$B,PPvsREal!$C$26,Comités!G:G)</f>
        <v>0</v>
      </c>
      <c r="H26" s="45">
        <f>SUMIF(Comités!$B:$B,PPvsREal!$C$26,Comités!H:H)</f>
        <v>6000</v>
      </c>
      <c r="I26" s="45">
        <f>SUMIF(Comités!$B:$B,PPvsREal!$C$26,Comités!I:I)</f>
        <v>109.38</v>
      </c>
      <c r="J26" s="45">
        <f>SUMIF(Comités!$B:$B,PPvsREal!$C$26,Comités!J:J)</f>
        <v>6000</v>
      </c>
      <c r="K26" s="45">
        <f>SUMIF(Comités!$B:$B,PPvsREal!$C$26,Comités!K:K)</f>
        <v>0</v>
      </c>
      <c r="L26" s="45">
        <f>SUMIF(Comités!$B:$B,PPvsREal!$C$26,Comités!L:L)</f>
        <v>6000</v>
      </c>
      <c r="M26" s="45">
        <f>SUMIF(Comités!$B:$B,PPvsREal!$C$26,Comités!M:M)</f>
        <v>0</v>
      </c>
      <c r="N26" s="45">
        <f>SUMIF(Comités!$B:$B,PPvsREal!$C$26,Comités!N:N)</f>
        <v>6000</v>
      </c>
      <c r="O26" s="45">
        <f>SUMIF(Comités!$B:$B,PPvsREal!$C$26,Comités!O:O)</f>
        <v>769.91</v>
      </c>
      <c r="P26" s="45">
        <f>SUMIF(Comités!$B:$B,PPvsREal!$C$26,Comités!P:P)</f>
        <v>6000</v>
      </c>
      <c r="Q26" s="45">
        <f>SUMIF(Comités!$B:$B,PPvsREal!$C$26,Comités!Q:Q)</f>
        <v>0</v>
      </c>
      <c r="R26" s="45">
        <f>SUMIF(Comités!$B:$B,PPvsREal!$C$26,Comités!R:R)</f>
        <v>6000</v>
      </c>
      <c r="S26" s="45">
        <f>SUMIF(Comités!$B:$B,PPvsREal!$C$26,Comités!S:S)</f>
        <v>0</v>
      </c>
      <c r="T26" s="45">
        <f>SUMIF(Comités!$B:$B,PPvsREal!$C$26,Comités!T:T)</f>
        <v>6000</v>
      </c>
      <c r="U26" s="45">
        <f>SUMIF(Comités!$B:$B,PPvsREal!$C$26,Comités!U:U)</f>
        <v>0</v>
      </c>
      <c r="V26" s="45">
        <f>SUMIF(Comités!$B:$B,PPvsREal!$C$26,Comités!V:V)</f>
        <v>6000</v>
      </c>
      <c r="W26" s="45">
        <f>SUMIF(Comités!$B:$B,PPvsREal!$C$26,Comités!W:W)</f>
        <v>0</v>
      </c>
      <c r="X26" s="45">
        <f>SUMIF(Comités!$B:$B,PPvsREal!$C$26,Comités!X:X)</f>
        <v>6000</v>
      </c>
      <c r="Y26" s="45">
        <f>SUMIF(Comités!$B:$B,PPvsREal!$C$26,Comités!Y:Y)</f>
        <v>0</v>
      </c>
      <c r="Z26" s="45">
        <f>SUMIF(Comités!$B:$B,PPvsREal!$C$26,Comités!Z:Z)</f>
        <v>6000</v>
      </c>
      <c r="AA26" s="53">
        <f>SUMIF(Comités!$B:$B,PPvsREal!$C$26,Comités!AA:AA)</f>
        <v>0</v>
      </c>
    </row>
    <row r="27" spans="2:27" ht="12.75" customHeight="1" x14ac:dyDescent="0.25">
      <c r="B27" s="44" t="s">
        <v>349</v>
      </c>
      <c r="C27" s="37" t="s">
        <v>350</v>
      </c>
      <c r="D27" s="45">
        <f>SUMIF(Comités!$B:$B,PPvsREal!$C$27,Comités!D:D)</f>
        <v>0</v>
      </c>
      <c r="E27" s="45">
        <f>SUMIF(Comités!$B:$B,PPvsREal!$C$27,Comités!E:E)</f>
        <v>0</v>
      </c>
      <c r="F27" s="45">
        <f>SUMIF(Comités!$B:$B,PPvsREal!$C$27,Comités!F:F)</f>
        <v>0</v>
      </c>
      <c r="G27" s="45">
        <f>SUMIF(Comités!$B:$B,PPvsREal!$C$27,Comités!G:G)</f>
        <v>0</v>
      </c>
      <c r="H27" s="45">
        <f>SUMIF(Comités!$B:$B,PPvsREal!$C$27,Comités!H:H)</f>
        <v>0</v>
      </c>
      <c r="I27" s="45">
        <f>SUMIF(Comités!$B:$B,PPvsREal!$C$27,Comités!I:I)</f>
        <v>0</v>
      </c>
      <c r="J27" s="45">
        <f>SUMIF(Comités!$B:$B,PPvsREal!$C$27,Comités!J:J)</f>
        <v>0</v>
      </c>
      <c r="K27" s="45">
        <f>SUMIF(Comités!$B:$B,PPvsREal!$C$27,Comités!K:K)</f>
        <v>0</v>
      </c>
      <c r="L27" s="45">
        <f>SUMIF(Comités!$B:$B,PPvsREal!$C$27,Comités!L:L)</f>
        <v>0</v>
      </c>
      <c r="M27" s="45">
        <f>SUMIF(Comités!$B:$B,PPvsREal!$C$27,Comités!M:M)</f>
        <v>0</v>
      </c>
      <c r="N27" s="45">
        <f>SUMIF(Comités!$B:$B,PPvsREal!$C$27,Comités!N:N)</f>
        <v>0</v>
      </c>
      <c r="O27" s="45">
        <f>SUMIF(Comités!$B:$B,PPvsREal!$C$27,Comités!O:O)</f>
        <v>0</v>
      </c>
      <c r="P27" s="45">
        <f>SUMIF(Comités!$B:$B,PPvsREal!$C$27,Comités!P:P)</f>
        <v>0</v>
      </c>
      <c r="Q27" s="45">
        <f>SUMIF(Comités!$B:$B,PPvsREal!$C$27,Comités!Q:Q)</f>
        <v>511.66</v>
      </c>
      <c r="R27" s="45">
        <f>SUMIF(Comités!$B:$B,PPvsREal!$C$27,Comités!R:R)</f>
        <v>0</v>
      </c>
      <c r="S27" s="45">
        <f>SUMIF(Comités!$B:$B,PPvsREal!$C$27,Comités!S:S)</f>
        <v>0</v>
      </c>
      <c r="T27" s="45">
        <f>SUMIF(Comités!$B:$B,PPvsREal!$C$27,Comités!T:T)</f>
        <v>0</v>
      </c>
      <c r="U27" s="45">
        <f>SUMIF(Comités!$B:$B,PPvsREal!$C$27,Comités!U:U)</f>
        <v>0</v>
      </c>
      <c r="V27" s="45">
        <f>SUMIF(Comités!$B:$B,PPvsREal!$C$27,Comités!V:V)</f>
        <v>0</v>
      </c>
      <c r="W27" s="45">
        <f>SUMIF(Comités!$B:$B,PPvsREal!$C$27,Comités!W:W)</f>
        <v>0</v>
      </c>
      <c r="X27" s="45">
        <f>SUMIF(Comités!$B:$B,PPvsREal!$C$27,Comités!X:X)</f>
        <v>0</v>
      </c>
      <c r="Y27" s="45">
        <f>SUMIF(Comités!$B:$B,PPvsREal!$C$27,Comités!Y:Y)</f>
        <v>0</v>
      </c>
      <c r="Z27" s="45">
        <f>SUMIF(Comités!$B:$B,PPvsREal!$C$27,Comités!Z:Z)</f>
        <v>0</v>
      </c>
      <c r="AA27" s="53">
        <f>SUMIF(Comités!$B:$B,PPvsREal!$C$27,Comités!AA:AA)</f>
        <v>0</v>
      </c>
    </row>
    <row r="28" spans="2:27" ht="12.75" customHeight="1" x14ac:dyDescent="0.25">
      <c r="B28" s="44" t="s">
        <v>349</v>
      </c>
      <c r="C28" s="37" t="s">
        <v>134</v>
      </c>
      <c r="D28" s="45">
        <f>SUMIF(Comités!$B:$B,PPvsREal!$C$28,Comités!D:D)</f>
        <v>0</v>
      </c>
      <c r="E28" s="45">
        <f>SUMIF(Comités!$B:$B,PPvsREal!$C$28,Comités!E:E)</f>
        <v>0</v>
      </c>
      <c r="F28" s="45">
        <f>SUMIF(Comités!$B:$B,PPvsREal!$C$28,Comités!F:F)</f>
        <v>0</v>
      </c>
      <c r="G28" s="45">
        <f>SUMIF(Comités!$B:$B,PPvsREal!$C$28,Comités!G:G)</f>
        <v>0</v>
      </c>
      <c r="H28" s="45">
        <f>SUMIF(Comités!$B:$B,PPvsREal!$C$28,Comités!H:H)</f>
        <v>0</v>
      </c>
      <c r="I28" s="45">
        <f>SUMIF(Comités!$B:$B,PPvsREal!$C$28,Comités!I:I)</f>
        <v>0</v>
      </c>
      <c r="J28" s="45">
        <f>SUMIF(Comités!$B:$B,PPvsREal!$C$28,Comités!J:J)</f>
        <v>0</v>
      </c>
      <c r="K28" s="45">
        <f>SUMIF(Comités!$B:$B,PPvsREal!$C$28,Comités!K:K)</f>
        <v>0</v>
      </c>
      <c r="L28" s="45">
        <f>SUMIF(Comités!$B:$B,PPvsREal!$C$28,Comités!L:L)</f>
        <v>0</v>
      </c>
      <c r="M28" s="45">
        <f>SUMIF(Comités!$B:$B,PPvsREal!$C$28,Comités!M:M)</f>
        <v>0</v>
      </c>
      <c r="N28" s="45">
        <f>SUMIF(Comités!$B:$B,PPvsREal!$C$28,Comités!N:N)</f>
        <v>0</v>
      </c>
      <c r="O28" s="45">
        <f>SUMIF(Comités!$B:$B,PPvsREal!$C$28,Comités!O:O)</f>
        <v>0</v>
      </c>
      <c r="P28" s="45">
        <f>SUMIF(Comités!$B:$B,PPvsREal!$C$28,Comités!P:P)</f>
        <v>0</v>
      </c>
      <c r="Q28" s="45">
        <f>SUMIF(Comités!$B:$B,PPvsREal!$C$28,Comités!Q:Q)</f>
        <v>0</v>
      </c>
      <c r="R28" s="45">
        <f>SUMIF(Comités!$B:$B,PPvsREal!$C$28,Comités!R:R)</f>
        <v>0</v>
      </c>
      <c r="S28" s="45">
        <f>SUMIF(Comités!$B:$B,PPvsREal!$C$28,Comités!S:S)</f>
        <v>0</v>
      </c>
      <c r="T28" s="45">
        <f>SUMIF(Comités!$B:$B,PPvsREal!$C$28,Comités!T:T)</f>
        <v>0</v>
      </c>
      <c r="U28" s="45">
        <f>SUMIF(Comités!$B:$B,PPvsREal!$C$28,Comités!U:U)</f>
        <v>0</v>
      </c>
      <c r="V28" s="45">
        <f>SUMIF(Comités!$B:$B,PPvsREal!$C$28,Comités!V:V)</f>
        <v>0</v>
      </c>
      <c r="W28" s="45">
        <f>SUMIF(Comités!$B:$B,PPvsREal!$C$28,Comités!W:W)</f>
        <v>0</v>
      </c>
      <c r="X28" s="45">
        <f>SUMIF(Comités!$B:$B,PPvsREal!$C$28,Comités!X:X)</f>
        <v>0</v>
      </c>
      <c r="Y28" s="45">
        <f>SUMIF(Comités!$B:$B,PPvsREal!$C$28,Comités!Y:Y)</f>
        <v>0</v>
      </c>
      <c r="Z28" s="45">
        <f>SUMIF(Comités!$B:$B,PPvsREal!$C$28,Comités!Z:Z)</f>
        <v>0</v>
      </c>
      <c r="AA28" s="53">
        <f>SUMIF(Comités!$B:$B,PPvsREal!$C$28,Comités!AA:AA)</f>
        <v>0</v>
      </c>
    </row>
    <row r="29" spans="2:27" ht="12.75" customHeight="1" x14ac:dyDescent="0.25">
      <c r="B29" s="46" t="s">
        <v>349</v>
      </c>
      <c r="C29" s="47" t="s">
        <v>135</v>
      </c>
      <c r="D29" s="48">
        <f>SUMIF(Comités!$B:$B,PPvsREal!$C$29,Comités!D:D)</f>
        <v>0</v>
      </c>
      <c r="E29" s="48">
        <f>SUMIF(Comités!$B:$B,PPvsREal!$C$29,Comités!E:E)</f>
        <v>0</v>
      </c>
      <c r="F29" s="48">
        <f>SUMIF(Comités!$B:$B,PPvsREal!$C$29,Comités!F:F)</f>
        <v>0</v>
      </c>
      <c r="G29" s="48">
        <f>SUMIF(Comités!$B:$B,PPvsREal!$C$29,Comités!G:G)</f>
        <v>0</v>
      </c>
      <c r="H29" s="48">
        <f>SUMIF(Comités!$B:$B,PPvsREal!$C$29,Comités!H:H)</f>
        <v>0</v>
      </c>
      <c r="I29" s="48">
        <f>SUMIF(Comités!$B:$B,PPvsREal!$C$29,Comités!I:I)</f>
        <v>0</v>
      </c>
      <c r="J29" s="48">
        <f>SUMIF(Comités!$B:$B,PPvsREal!$C$29,Comités!J:J)</f>
        <v>0</v>
      </c>
      <c r="K29" s="48">
        <f>SUMIF(Comités!$B:$B,PPvsREal!$C$29,Comités!K:K)</f>
        <v>0</v>
      </c>
      <c r="L29" s="48">
        <f>SUMIF(Comités!$B:$B,PPvsREal!$C$29,Comités!L:L)</f>
        <v>0</v>
      </c>
      <c r="M29" s="48">
        <f>SUMIF(Comités!$B:$B,PPvsREal!$C$29,Comités!M:M)</f>
        <v>325059</v>
      </c>
      <c r="N29" s="48">
        <f>SUMIF(Comités!$B:$B,PPvsREal!$C$29,Comités!N:N)</f>
        <v>36000</v>
      </c>
      <c r="O29" s="48">
        <f>SUMIF(Comités!$B:$B,PPvsREal!$C$29,Comités!O:O)</f>
        <v>3047.95</v>
      </c>
      <c r="P29" s="48">
        <f>SUMIF(Comités!$B:$B,PPvsREal!$C$29,Comités!P:P)</f>
        <v>32000</v>
      </c>
      <c r="Q29" s="48">
        <f>SUMIF(Comités!$B:$B,PPvsREal!$C$29,Comités!Q:Q)</f>
        <v>3693.21</v>
      </c>
      <c r="R29" s="48">
        <f>SUMIF(Comités!$B:$B,PPvsREal!$C$29,Comités!R:R)</f>
        <v>36000</v>
      </c>
      <c r="S29" s="48">
        <f>SUMIF(Comités!$B:$B,PPvsREal!$C$29,Comités!S:S)</f>
        <v>0</v>
      </c>
      <c r="T29" s="48">
        <f>SUMIF(Comités!$B:$B,PPvsREal!$C$29,Comités!T:T)</f>
        <v>32000</v>
      </c>
      <c r="U29" s="48">
        <f>SUMIF(Comités!$B:$B,PPvsREal!$C$29,Comités!U:U)</f>
        <v>0</v>
      </c>
      <c r="V29" s="48">
        <f>SUMIF(Comités!$B:$B,PPvsREal!$C$29,Comités!V:V)</f>
        <v>0</v>
      </c>
      <c r="W29" s="48">
        <f>SUMIF(Comités!$B:$B,PPvsREal!$C$29,Comités!W:W)</f>
        <v>0</v>
      </c>
      <c r="X29" s="48">
        <f>SUMIF(Comités!$B:$B,PPvsREal!$C$29,Comités!X:X)</f>
        <v>0</v>
      </c>
      <c r="Y29" s="48">
        <f>SUMIF(Comités!$B:$B,PPvsREal!$C$29,Comités!Y:Y)</f>
        <v>0</v>
      </c>
      <c r="Z29" s="48">
        <f>SUMIF(Comités!$B:$B,PPvsREal!$C$29,Comités!Z:Z)</f>
        <v>40000</v>
      </c>
      <c r="AA29" s="54">
        <f>SUMIF(Comités!$B:$B,PPvsREal!$C$29,Comités!AA:AA)</f>
        <v>0</v>
      </c>
    </row>
    <row r="30" spans="2:27" ht="12.75" customHeight="1" x14ac:dyDescent="0.25">
      <c r="B30" s="44" t="s">
        <v>351</v>
      </c>
      <c r="C30" s="37" t="s">
        <v>143</v>
      </c>
      <c r="D30" s="45">
        <f>SUMIF(Eventos!$B:$B,PPvsREal!$C$30,Eventos!D:D)</f>
        <v>60000</v>
      </c>
      <c r="E30" s="45">
        <f>SUMIF(Eventos!$B:$B,PPvsREal!$C$30,Eventos!E:E)</f>
        <v>0</v>
      </c>
      <c r="F30" s="45">
        <f>SUMIF(Eventos!$B:$B,PPvsREal!$C$30,Eventos!F:F)</f>
        <v>0</v>
      </c>
      <c r="G30" s="45">
        <f>SUMIF(Eventos!$B:$B,PPvsREal!$C$30,Eventos!G:G)</f>
        <v>0</v>
      </c>
      <c r="H30" s="45">
        <f>SUMIF(Eventos!$B:$B,PPvsREal!$C$30,Eventos!H:H)</f>
        <v>80000</v>
      </c>
      <c r="I30" s="45">
        <f>SUMIF(Eventos!$B:$B,PPvsREal!$C$30,Eventos!I:I)</f>
        <v>0</v>
      </c>
      <c r="J30" s="45">
        <f>SUMIF(Eventos!$B:$B,PPvsREal!$C$30,Eventos!J:J)</f>
        <v>0</v>
      </c>
      <c r="K30" s="45">
        <f>SUMIF(Eventos!$B:$B,PPvsREal!$C$30,Eventos!K:K)</f>
        <v>0</v>
      </c>
      <c r="L30" s="45">
        <f>SUMIF(Eventos!$B:$B,PPvsREal!$C$30,Eventos!L:L)</f>
        <v>0</v>
      </c>
      <c r="M30" s="45">
        <f>SUMIF(Eventos!$B:$B,PPvsREal!$C$30,Eventos!M:M)</f>
        <v>80000</v>
      </c>
      <c r="N30" s="45">
        <f>SUMIF(Eventos!$B:$B,PPvsREal!$C$30,Eventos!N:N)</f>
        <v>190000</v>
      </c>
      <c r="O30" s="45">
        <f>SUMIF(Eventos!$B:$B,PPvsREal!$C$30,Eventos!O:O)</f>
        <v>0</v>
      </c>
      <c r="P30" s="45">
        <f>SUMIF(Eventos!$B:$B,PPvsREal!$C$30,Eventos!P:P)</f>
        <v>0</v>
      </c>
      <c r="Q30" s="45">
        <f>SUMIF(Eventos!$B:$B,PPvsREal!$C$30,Eventos!Q:Q)</f>
        <v>0</v>
      </c>
      <c r="R30" s="45">
        <f>SUMIF(Eventos!$B:$B,PPvsREal!$C$30,Eventos!R:R)</f>
        <v>0</v>
      </c>
      <c r="S30" s="45">
        <f>SUMIF(Eventos!$B:$B,PPvsREal!$C$30,Eventos!S:S)</f>
        <v>0</v>
      </c>
      <c r="T30" s="45">
        <f>SUMIF(Eventos!$B:$B,PPvsREal!$C$30,Eventos!T:T)</f>
        <v>0</v>
      </c>
      <c r="U30" s="45">
        <f>SUMIF(Eventos!$B:$B,PPvsREal!$C$30,Eventos!U:U)</f>
        <v>0</v>
      </c>
      <c r="V30" s="45">
        <f>SUMIF(Eventos!$B:$B,PPvsREal!$C$30,Eventos!V:V)</f>
        <v>0</v>
      </c>
      <c r="W30" s="45">
        <f>SUMIF(Eventos!$B:$B,PPvsREal!$C$30,Eventos!W:W)</f>
        <v>0</v>
      </c>
      <c r="X30" s="45">
        <f>SUMIF(Eventos!$B:$B,PPvsREal!$C$30,Eventos!X:X)</f>
        <v>0</v>
      </c>
      <c r="Y30" s="45">
        <f>SUMIF(Eventos!$B:$B,PPvsREal!$C$30,Eventos!Y:Y)</f>
        <v>0</v>
      </c>
      <c r="Z30" s="45">
        <f>SUMIF(Eventos!$B:$B,PPvsREal!$C$30,Eventos!Z:Z)</f>
        <v>0</v>
      </c>
      <c r="AA30" s="53">
        <f>SUMIF(Eventos!$B:$B,PPvsREal!$C$30,Eventos!AA:AA)</f>
        <v>0</v>
      </c>
    </row>
    <row r="31" spans="2:27" ht="12.75" customHeight="1" x14ac:dyDescent="0.25">
      <c r="B31" s="44" t="s">
        <v>351</v>
      </c>
      <c r="C31" s="37" t="s">
        <v>145</v>
      </c>
      <c r="D31" s="45">
        <f>SUMIF(Eventos!$B:$B,PPvsREal!$C$31,Eventos!D:D)</f>
        <v>0</v>
      </c>
      <c r="E31" s="45">
        <f>SUMIF(Eventos!$B:$B,PPvsREal!$C$31,Eventos!E:E)</f>
        <v>0</v>
      </c>
      <c r="F31" s="45">
        <f>SUMIF(Eventos!$B:$B,PPvsREal!$C$31,Eventos!F:F)</f>
        <v>70000</v>
      </c>
      <c r="G31" s="45">
        <f>SUMIF(Eventos!$B:$B,PPvsREal!$C$31,Eventos!G:G)</f>
        <v>73800</v>
      </c>
      <c r="H31" s="45">
        <f>SUMIF(Eventos!$B:$B,PPvsREal!$C$31,Eventos!H:H)</f>
        <v>0</v>
      </c>
      <c r="I31" s="45">
        <f>SUMIF(Eventos!$B:$B,PPvsREal!$C$31,Eventos!I:I)</f>
        <v>7650</v>
      </c>
      <c r="J31" s="45">
        <f>SUMIF(Eventos!$B:$B,PPvsREal!$C$31,Eventos!J:J)</f>
        <v>0</v>
      </c>
      <c r="K31" s="45">
        <f>SUMIF(Eventos!$B:$B,PPvsREal!$C$31,Eventos!K:K)</f>
        <v>3400</v>
      </c>
      <c r="L31" s="45">
        <f>SUMIF(Eventos!$B:$B,PPvsREal!$C$31,Eventos!L:L)</f>
        <v>0</v>
      </c>
      <c r="M31" s="45">
        <f>SUMIF(Eventos!$B:$B,PPvsREal!$C$31,Eventos!M:M)</f>
        <v>0</v>
      </c>
      <c r="N31" s="45">
        <f>SUMIF(Eventos!$B:$B,PPvsREal!$C$31,Eventos!N:N)</f>
        <v>0</v>
      </c>
      <c r="O31" s="45">
        <f>SUMIF(Eventos!$B:$B,PPvsREal!$C$31,Eventos!O:O)</f>
        <v>850</v>
      </c>
      <c r="P31" s="45">
        <f>SUMIF(Eventos!$B:$B,PPvsREal!$C$31,Eventos!P:P)</f>
        <v>0</v>
      </c>
      <c r="Q31" s="45">
        <f>SUMIF(Eventos!$B:$B,PPvsREal!$C$31,Eventos!Q:Q)</f>
        <v>0</v>
      </c>
      <c r="R31" s="45">
        <f>SUMIF(Eventos!$B:$B,PPvsREal!$C$31,Eventos!R:R)</f>
        <v>0</v>
      </c>
      <c r="S31" s="45">
        <f>SUMIF(Eventos!$B:$B,PPvsREal!$C$31,Eventos!S:S)</f>
        <v>0</v>
      </c>
      <c r="T31" s="45">
        <f>SUMIF(Eventos!$B:$B,PPvsREal!$C$31,Eventos!T:T)</f>
        <v>0</v>
      </c>
      <c r="U31" s="45">
        <f>SUMIF(Eventos!$B:$B,PPvsREal!$C$31,Eventos!U:U)</f>
        <v>0</v>
      </c>
      <c r="V31" s="45">
        <f>SUMIF(Eventos!$B:$B,PPvsREal!$C$31,Eventos!V:V)</f>
        <v>0</v>
      </c>
      <c r="W31" s="45">
        <f>SUMIF(Eventos!$B:$B,PPvsREal!$C$31,Eventos!W:W)</f>
        <v>0</v>
      </c>
      <c r="X31" s="45">
        <f>SUMIF(Eventos!$B:$B,PPvsREal!$C$31,Eventos!X:X)</f>
        <v>0</v>
      </c>
      <c r="Y31" s="45">
        <f>SUMIF(Eventos!$B:$B,PPvsREal!$C$31,Eventos!Y:Y)</f>
        <v>0</v>
      </c>
      <c r="Z31" s="45">
        <f>SUMIF(Eventos!$B:$B,PPvsREal!$C$31,Eventos!Z:Z)</f>
        <v>0</v>
      </c>
      <c r="AA31" s="53">
        <f>SUMIF(Eventos!$B:$B,PPvsREal!$C$31,Eventos!AA:AA)</f>
        <v>0</v>
      </c>
    </row>
    <row r="32" spans="2:27" ht="12.75" customHeight="1" x14ac:dyDescent="0.25">
      <c r="B32" s="44" t="s">
        <v>351</v>
      </c>
      <c r="C32" s="37" t="s">
        <v>147</v>
      </c>
      <c r="D32" s="45">
        <f>SUMIF(Eventos!$B:$B,PPvsREal!$C$32,Eventos!D:D)</f>
        <v>0</v>
      </c>
      <c r="E32" s="45">
        <f>SUMIF(Eventos!$B:$B,PPvsREal!$C$32,Eventos!E:E)</f>
        <v>0</v>
      </c>
      <c r="F32" s="45">
        <f>SUMIF(Eventos!$B:$B,PPvsREal!$C$32,Eventos!F:F)</f>
        <v>25000</v>
      </c>
      <c r="G32" s="45">
        <f>SUMIF(Eventos!$B:$B,PPvsREal!$C$32,Eventos!G:G)</f>
        <v>0</v>
      </c>
      <c r="H32" s="45">
        <f>SUMIF(Eventos!$B:$B,PPvsREal!$C$32,Eventos!H:H)</f>
        <v>0</v>
      </c>
      <c r="I32" s="45">
        <f>SUMIF(Eventos!$B:$B,PPvsREal!$C$32,Eventos!I:I)</f>
        <v>0</v>
      </c>
      <c r="J32" s="45">
        <f>SUMIF(Eventos!$B:$B,PPvsREal!$C$32,Eventos!J:J)</f>
        <v>25000</v>
      </c>
      <c r="K32" s="45">
        <f>SUMIF(Eventos!$B:$B,PPvsREal!$C$32,Eventos!K:K)</f>
        <v>0</v>
      </c>
      <c r="L32" s="45">
        <f>SUMIF(Eventos!$B:$B,PPvsREal!$C$32,Eventos!L:L)</f>
        <v>150000</v>
      </c>
      <c r="M32" s="45">
        <f>SUMIF(Eventos!$B:$B,PPvsREal!$C$32,Eventos!M:M)</f>
        <v>0</v>
      </c>
      <c r="N32" s="45">
        <f>SUMIF(Eventos!$B:$B,PPvsREal!$C$32,Eventos!N:N)</f>
        <v>25000</v>
      </c>
      <c r="O32" s="45">
        <f>SUMIF(Eventos!$B:$B,PPvsREal!$C$32,Eventos!O:O)</f>
        <v>0</v>
      </c>
      <c r="P32" s="45">
        <f>SUMIF(Eventos!$B:$B,PPvsREal!$C$32,Eventos!P:P)</f>
        <v>0</v>
      </c>
      <c r="Q32" s="45">
        <f>SUMIF(Eventos!$B:$B,PPvsREal!$C$32,Eventos!Q:Q)</f>
        <v>0</v>
      </c>
      <c r="R32" s="45">
        <f>SUMIF(Eventos!$B:$B,PPvsREal!$C$32,Eventos!R:R)</f>
        <v>0</v>
      </c>
      <c r="S32" s="45">
        <f>SUMIF(Eventos!$B:$B,PPvsREal!$C$32,Eventos!S:S)</f>
        <v>0</v>
      </c>
      <c r="T32" s="45">
        <f>SUMIF(Eventos!$B:$B,PPvsREal!$C$32,Eventos!T:T)</f>
        <v>25000</v>
      </c>
      <c r="U32" s="45">
        <f>SUMIF(Eventos!$B:$B,PPvsREal!$C$32,Eventos!U:U)</f>
        <v>0</v>
      </c>
      <c r="V32" s="45">
        <f>SUMIF(Eventos!$B:$B,PPvsREal!$C$32,Eventos!V:V)</f>
        <v>0</v>
      </c>
      <c r="W32" s="45">
        <f>SUMIF(Eventos!$B:$B,PPvsREal!$C$32,Eventos!W:W)</f>
        <v>0</v>
      </c>
      <c r="X32" s="45">
        <f>SUMIF(Eventos!$B:$B,PPvsREal!$C$32,Eventos!X:X)</f>
        <v>0</v>
      </c>
      <c r="Y32" s="45">
        <f>SUMIF(Eventos!$B:$B,PPvsREal!$C$32,Eventos!Y:Y)</f>
        <v>0</v>
      </c>
      <c r="Z32" s="45">
        <f>SUMIF(Eventos!$B:$B,PPvsREal!$C$32,Eventos!Z:Z)</f>
        <v>0</v>
      </c>
      <c r="AA32" s="53">
        <f>SUMIF(Eventos!$B:$B,PPvsREal!$C$32,Eventos!AA:AA)</f>
        <v>0</v>
      </c>
    </row>
    <row r="33" spans="2:27" ht="12.75" customHeight="1" x14ac:dyDescent="0.25">
      <c r="B33" s="44" t="s">
        <v>351</v>
      </c>
      <c r="C33" s="37" t="s">
        <v>352</v>
      </c>
      <c r="D33" s="45">
        <f>SUMIF(Eventos!$B:$B,PPvsREal!$C$33,Eventos!D:D)</f>
        <v>0</v>
      </c>
      <c r="E33" s="45">
        <f>SUMIF(Eventos!$B:$B,PPvsREal!$C$33,Eventos!E:E)</f>
        <v>0</v>
      </c>
      <c r="F33" s="45">
        <f>SUMIF(Eventos!$B:$B,PPvsREal!$C$33,Eventos!F:F)</f>
        <v>0</v>
      </c>
      <c r="G33" s="45">
        <f>SUMIF(Eventos!$B:$B,PPvsREal!$C$33,Eventos!G:G)</f>
        <v>0</v>
      </c>
      <c r="H33" s="45">
        <f>SUMIF(Eventos!$B:$B,PPvsREal!$C$33,Eventos!H:H)</f>
        <v>0</v>
      </c>
      <c r="I33" s="45">
        <f>SUMIF(Eventos!$B:$B,PPvsREal!$C$33,Eventos!I:I)</f>
        <v>0</v>
      </c>
      <c r="J33" s="45">
        <f>SUMIF(Eventos!$B:$B,PPvsREal!$C$33,Eventos!J:J)</f>
        <v>0</v>
      </c>
      <c r="K33" s="45">
        <f>SUMIF(Eventos!$B:$B,PPvsREal!$C$33,Eventos!K:K)</f>
        <v>0</v>
      </c>
      <c r="L33" s="45">
        <f>SUMIF(Eventos!$B:$B,PPvsREal!$C$33,Eventos!L:L)</f>
        <v>0</v>
      </c>
      <c r="M33" s="45">
        <f>SUMIF(Eventos!$B:$B,PPvsREal!$C$33,Eventos!M:M)</f>
        <v>0</v>
      </c>
      <c r="N33" s="45">
        <f>SUMIF(Eventos!$B:$B,PPvsREal!$C$33,Eventos!N:N)</f>
        <v>0</v>
      </c>
      <c r="O33" s="45">
        <f>SUMIF(Eventos!$B:$B,PPvsREal!$C$33,Eventos!O:O)</f>
        <v>0</v>
      </c>
      <c r="P33" s="45">
        <f>SUMIF(Eventos!$B:$B,PPvsREal!$C$33,Eventos!P:P)</f>
        <v>0</v>
      </c>
      <c r="Q33" s="45">
        <f>SUMIF(Eventos!$B:$B,PPvsREal!$C$33,Eventos!Q:Q)</f>
        <v>0</v>
      </c>
      <c r="R33" s="45">
        <f>SUMIF(Eventos!$B:$B,PPvsREal!$C$33,Eventos!R:R)</f>
        <v>0</v>
      </c>
      <c r="S33" s="45">
        <f>SUMIF(Eventos!$B:$B,PPvsREal!$C$33,Eventos!S:S)</f>
        <v>0</v>
      </c>
      <c r="T33" s="45">
        <f>SUMIF(Eventos!$B:$B,PPvsREal!$C$33,Eventos!T:T)</f>
        <v>0</v>
      </c>
      <c r="U33" s="45">
        <f>SUMIF(Eventos!$B:$B,PPvsREal!$C$33,Eventos!U:U)</f>
        <v>0</v>
      </c>
      <c r="V33" s="45">
        <f>SUMIF(Eventos!$B:$B,PPvsREal!$C$33,Eventos!V:V)</f>
        <v>0</v>
      </c>
      <c r="W33" s="45">
        <f>SUMIF(Eventos!$B:$B,PPvsREal!$C$33,Eventos!W:W)</f>
        <v>0</v>
      </c>
      <c r="X33" s="45">
        <f>SUMIF(Eventos!$B:$B,PPvsREal!$C$33,Eventos!X:X)</f>
        <v>0</v>
      </c>
      <c r="Y33" s="45">
        <f>SUMIF(Eventos!$B:$B,PPvsREal!$C$33,Eventos!Y:Y)</f>
        <v>0</v>
      </c>
      <c r="Z33" s="45">
        <f>SUMIF(Eventos!$B:$B,PPvsREal!$C$33,Eventos!Z:Z)</f>
        <v>0</v>
      </c>
      <c r="AA33" s="53">
        <f>SUMIF(Eventos!$B:$B,PPvsREal!$C$33,Eventos!AA:AA)</f>
        <v>0</v>
      </c>
    </row>
    <row r="34" spans="2:27" ht="12.75" customHeight="1" x14ac:dyDescent="0.25">
      <c r="B34" s="44" t="s">
        <v>351</v>
      </c>
      <c r="C34" s="37" t="s">
        <v>150</v>
      </c>
      <c r="D34" s="45">
        <f>SUMIF(Eventos!$B:$B,PPvsREal!$C$34,Eventos!D:D)</f>
        <v>0</v>
      </c>
      <c r="E34" s="45">
        <f>SUMIF(Eventos!$B:$B,PPvsREal!$C$34,Eventos!E:E)</f>
        <v>0</v>
      </c>
      <c r="F34" s="45">
        <f>SUMIF(Eventos!$B:$B,PPvsREal!$C$34,Eventos!F:F)</f>
        <v>0</v>
      </c>
      <c r="G34" s="45">
        <f>SUMIF(Eventos!$B:$B,PPvsREal!$C$34,Eventos!G:G)</f>
        <v>0</v>
      </c>
      <c r="H34" s="45">
        <f>SUMIF(Eventos!$B:$B,PPvsREal!$C$34,Eventos!H:H)</f>
        <v>0</v>
      </c>
      <c r="I34" s="45">
        <f>SUMIF(Eventos!$B:$B,PPvsREal!$C$34,Eventos!I:I)</f>
        <v>0</v>
      </c>
      <c r="J34" s="45">
        <f>SUMIF(Eventos!$B:$B,PPvsREal!$C$34,Eventos!J:J)</f>
        <v>235000</v>
      </c>
      <c r="K34" s="45">
        <f>SUMIF(Eventos!$B:$B,PPvsREal!$C$34,Eventos!K:K)</f>
        <v>0</v>
      </c>
      <c r="L34" s="45">
        <f>SUMIF(Eventos!$B:$B,PPvsREal!$C$34,Eventos!L:L)</f>
        <v>0</v>
      </c>
      <c r="M34" s="45">
        <f>SUMIF(Eventos!$B:$B,PPvsREal!$C$34,Eventos!M:M)</f>
        <v>0</v>
      </c>
      <c r="N34" s="45">
        <f>SUMIF(Eventos!$B:$B,PPvsREal!$C$34,Eventos!N:N)</f>
        <v>0</v>
      </c>
      <c r="O34" s="45">
        <f>SUMIF(Eventos!$B:$B,PPvsREal!$C$34,Eventos!O:O)</f>
        <v>160200</v>
      </c>
      <c r="P34" s="45">
        <f>SUMIF(Eventos!$B:$B,PPvsREal!$C$34,Eventos!P:P)</f>
        <v>0</v>
      </c>
      <c r="Q34" s="45">
        <f>SUMIF(Eventos!$B:$B,PPvsREal!$C$34,Eventos!Q:Q)</f>
        <v>46800</v>
      </c>
      <c r="R34" s="45">
        <f>SUMIF(Eventos!$B:$B,PPvsREal!$C$34,Eventos!R:R)</f>
        <v>0</v>
      </c>
      <c r="S34" s="45">
        <f>SUMIF(Eventos!$B:$B,PPvsREal!$C$34,Eventos!S:S)</f>
        <v>0</v>
      </c>
      <c r="T34" s="45">
        <f>SUMIF(Eventos!$B:$B,PPvsREal!$C$34,Eventos!T:T)</f>
        <v>0</v>
      </c>
      <c r="U34" s="45">
        <f>SUMIF(Eventos!$B:$B,PPvsREal!$C$34,Eventos!U:U)</f>
        <v>0</v>
      </c>
      <c r="V34" s="45">
        <f>SUMIF(Eventos!$B:$B,PPvsREal!$C$34,Eventos!V:V)</f>
        <v>0</v>
      </c>
      <c r="W34" s="45">
        <f>SUMIF(Eventos!$B:$B,PPvsREal!$C$34,Eventos!W:W)</f>
        <v>0</v>
      </c>
      <c r="X34" s="45">
        <f>SUMIF(Eventos!$B:$B,PPvsREal!$C$34,Eventos!X:X)</f>
        <v>0</v>
      </c>
      <c r="Y34" s="45">
        <f>SUMIF(Eventos!$B:$B,PPvsREal!$C$34,Eventos!Y:Y)</f>
        <v>0</v>
      </c>
      <c r="Z34" s="45">
        <f>SUMIF(Eventos!$B:$B,PPvsREal!$C$34,Eventos!Z:Z)</f>
        <v>0</v>
      </c>
      <c r="AA34" s="53">
        <f>SUMIF(Eventos!$B:$B,PPvsREal!$C$34,Eventos!AA:AA)</f>
        <v>0</v>
      </c>
    </row>
    <row r="35" spans="2:27" ht="12.75" customHeight="1" x14ac:dyDescent="0.25">
      <c r="B35" s="44" t="s">
        <v>351</v>
      </c>
      <c r="C35" s="37" t="s">
        <v>154</v>
      </c>
      <c r="D35" s="45">
        <f>SUMIF(Eventos!$B:$B,PPvsREal!$C$35,Eventos!D:D)</f>
        <v>0</v>
      </c>
      <c r="E35" s="45">
        <f>SUMIF(Eventos!$B:$B,PPvsREal!$C$35,Eventos!E:E)</f>
        <v>0</v>
      </c>
      <c r="F35" s="45">
        <f>SUMIF(Eventos!$B:$B,PPvsREal!$C$35,Eventos!F:F)</f>
        <v>0</v>
      </c>
      <c r="G35" s="45">
        <f>SUMIF(Eventos!$B:$B,PPvsREal!$C$35,Eventos!G:G)</f>
        <v>0</v>
      </c>
      <c r="H35" s="45">
        <f>SUMIF(Eventos!$B:$B,PPvsREal!$C$35,Eventos!H:H)</f>
        <v>0</v>
      </c>
      <c r="I35" s="45">
        <f>SUMIF(Eventos!$B:$B,PPvsREal!$C$35,Eventos!I:I)</f>
        <v>0</v>
      </c>
      <c r="J35" s="45">
        <f>SUMIF(Eventos!$B:$B,PPvsREal!$C$35,Eventos!J:J)</f>
        <v>0</v>
      </c>
      <c r="K35" s="45">
        <f>SUMIF(Eventos!$B:$B,PPvsREal!$C$35,Eventos!K:K)</f>
        <v>0</v>
      </c>
      <c r="L35" s="45">
        <f>SUMIF(Eventos!$B:$B,PPvsREal!$C$35,Eventos!L:L)</f>
        <v>0</v>
      </c>
      <c r="M35" s="45">
        <f>SUMIF(Eventos!$B:$B,PPvsREal!$C$35,Eventos!M:M)</f>
        <v>0</v>
      </c>
      <c r="N35" s="45">
        <f>SUMIF(Eventos!$B:$B,PPvsREal!$C$35,Eventos!N:N)</f>
        <v>0</v>
      </c>
      <c r="O35" s="45">
        <f>SUMIF(Eventos!$B:$B,PPvsREal!$C$35,Eventos!O:O)</f>
        <v>0</v>
      </c>
      <c r="P35" s="45">
        <f>SUMIF(Eventos!$B:$B,PPvsREal!$C$35,Eventos!P:P)</f>
        <v>85000</v>
      </c>
      <c r="Q35" s="45">
        <f>SUMIF(Eventos!$B:$B,PPvsREal!$C$35,Eventos!Q:Q)</f>
        <v>0</v>
      </c>
      <c r="R35" s="45">
        <f>SUMIF(Eventos!$B:$B,PPvsREal!$C$35,Eventos!R:R)</f>
        <v>0</v>
      </c>
      <c r="S35" s="45">
        <f>SUMIF(Eventos!$B:$B,PPvsREal!$C$35,Eventos!S:S)</f>
        <v>0</v>
      </c>
      <c r="T35" s="45">
        <f>SUMIF(Eventos!$B:$B,PPvsREal!$C$35,Eventos!T:T)</f>
        <v>0</v>
      </c>
      <c r="U35" s="45">
        <f>SUMIF(Eventos!$B:$B,PPvsREal!$C$35,Eventos!U:U)</f>
        <v>0</v>
      </c>
      <c r="V35" s="45">
        <f>SUMIF(Eventos!$B:$B,PPvsREal!$C$35,Eventos!V:V)</f>
        <v>0</v>
      </c>
      <c r="W35" s="45">
        <f>SUMIF(Eventos!$B:$B,PPvsREal!$C$35,Eventos!W:W)</f>
        <v>0</v>
      </c>
      <c r="X35" s="45">
        <f>SUMIF(Eventos!$B:$B,PPvsREal!$C$35,Eventos!X:X)</f>
        <v>0</v>
      </c>
      <c r="Y35" s="45">
        <f>SUMIF(Eventos!$B:$B,PPvsREal!$C$35,Eventos!Y:Y)</f>
        <v>0</v>
      </c>
      <c r="Z35" s="45">
        <f>SUMIF(Eventos!$B:$B,PPvsREal!$C$35,Eventos!Z:Z)</f>
        <v>0</v>
      </c>
      <c r="AA35" s="53">
        <f>SUMIF(Eventos!$B:$B,PPvsREal!$C$35,Eventos!AA:AA)</f>
        <v>0</v>
      </c>
    </row>
    <row r="36" spans="2:27" ht="12.75" customHeight="1" x14ac:dyDescent="0.25">
      <c r="B36" s="44" t="s">
        <v>351</v>
      </c>
      <c r="C36" s="37" t="s">
        <v>156</v>
      </c>
      <c r="D36" s="45">
        <f>SUMIF(Eventos!$B:$B,PPvsREal!$C$36,Eventos!D:D)</f>
        <v>0</v>
      </c>
      <c r="E36" s="45">
        <f>SUMIF(Eventos!$B:$B,PPvsREal!$C$36,Eventos!E:E)</f>
        <v>42382.76</v>
      </c>
      <c r="F36" s="45">
        <f>SUMIF(Eventos!$B:$B,PPvsREal!$C$36,Eventos!F:F)</f>
        <v>0</v>
      </c>
      <c r="G36" s="45">
        <f>SUMIF(Eventos!$B:$B,PPvsREal!$C$36,Eventos!G:G)</f>
        <v>52850</v>
      </c>
      <c r="H36" s="45">
        <f>SUMIF(Eventos!$B:$B,PPvsREal!$C$36,Eventos!H:H)</f>
        <v>0</v>
      </c>
      <c r="I36" s="45">
        <f>SUMIF(Eventos!$B:$B,PPvsREal!$C$36,Eventos!I:I)</f>
        <v>850</v>
      </c>
      <c r="J36" s="45">
        <f>SUMIF(Eventos!$B:$B,PPvsREal!$C$36,Eventos!J:J)</f>
        <v>0</v>
      </c>
      <c r="K36" s="45">
        <f>SUMIF(Eventos!$B:$B,PPvsREal!$C$36,Eventos!K:K)</f>
        <v>0</v>
      </c>
      <c r="L36" s="45">
        <f>SUMIF(Eventos!$B:$B,PPvsREal!$C$36,Eventos!L:L)</f>
        <v>0</v>
      </c>
      <c r="M36" s="45">
        <f>SUMIF(Eventos!$B:$B,PPvsREal!$C$36,Eventos!M:M)</f>
        <v>0</v>
      </c>
      <c r="N36" s="45">
        <f>SUMIF(Eventos!$B:$B,PPvsREal!$C$36,Eventos!N:N)</f>
        <v>0</v>
      </c>
      <c r="O36" s="45">
        <f>SUMIF(Eventos!$B:$B,PPvsREal!$C$36,Eventos!O:O)</f>
        <v>0</v>
      </c>
      <c r="P36" s="45">
        <f>SUMIF(Eventos!$B:$B,PPvsREal!$C$36,Eventos!P:P)</f>
        <v>0</v>
      </c>
      <c r="Q36" s="45">
        <f>SUMIF(Eventos!$B:$B,PPvsREal!$C$36,Eventos!Q:Q)</f>
        <v>0</v>
      </c>
      <c r="R36" s="45">
        <f>SUMIF(Eventos!$B:$B,PPvsREal!$C$36,Eventos!R:R)</f>
        <v>140000</v>
      </c>
      <c r="S36" s="45">
        <f>SUMIF(Eventos!$B:$B,PPvsREal!$C$36,Eventos!S:S)</f>
        <v>0</v>
      </c>
      <c r="T36" s="45">
        <f>SUMIF(Eventos!$B:$B,PPvsREal!$C$36,Eventos!T:T)</f>
        <v>0</v>
      </c>
      <c r="U36" s="45">
        <f>SUMIF(Eventos!$B:$B,PPvsREal!$C$36,Eventos!U:U)</f>
        <v>0</v>
      </c>
      <c r="V36" s="45">
        <f>SUMIF(Eventos!$B:$B,PPvsREal!$C$36,Eventos!V:V)</f>
        <v>0</v>
      </c>
      <c r="W36" s="45">
        <f>SUMIF(Eventos!$B:$B,PPvsREal!$C$36,Eventos!W:W)</f>
        <v>0</v>
      </c>
      <c r="X36" s="45">
        <f>SUMIF(Eventos!$B:$B,PPvsREal!$C$36,Eventos!X:X)</f>
        <v>0</v>
      </c>
      <c r="Y36" s="45">
        <f>SUMIF(Eventos!$B:$B,PPvsREal!$C$36,Eventos!Y:Y)</f>
        <v>0</v>
      </c>
      <c r="Z36" s="45">
        <f>SUMIF(Eventos!$B:$B,PPvsREal!$C$36,Eventos!Z:Z)</f>
        <v>0</v>
      </c>
      <c r="AA36" s="53">
        <f>SUMIF(Eventos!$B:$B,PPvsREal!$C$36,Eventos!AA:AA)</f>
        <v>0</v>
      </c>
    </row>
    <row r="37" spans="2:27" ht="12.75" customHeight="1" x14ac:dyDescent="0.25">
      <c r="B37" s="44" t="s">
        <v>351</v>
      </c>
      <c r="C37" s="37" t="s">
        <v>158</v>
      </c>
      <c r="D37" s="45">
        <f>SUMIF(Eventos!$B:$B,PPvsREal!$C$37,Eventos!D:D)</f>
        <v>0</v>
      </c>
      <c r="E37" s="45">
        <f>SUMIF(Eventos!$B:$B,PPvsREal!$C$37,Eventos!E:E)</f>
        <v>0</v>
      </c>
      <c r="F37" s="45">
        <f>SUMIF(Eventos!$B:$B,PPvsREal!$C$37,Eventos!F:F)</f>
        <v>0</v>
      </c>
      <c r="G37" s="45">
        <f>SUMIF(Eventos!$B:$B,PPvsREal!$C$37,Eventos!G:G)</f>
        <v>0</v>
      </c>
      <c r="H37" s="45">
        <f>SUMIF(Eventos!$B:$B,PPvsREal!$C$37,Eventos!H:H)</f>
        <v>0</v>
      </c>
      <c r="I37" s="45">
        <f>SUMIF(Eventos!$B:$B,PPvsREal!$C$37,Eventos!I:I)</f>
        <v>0</v>
      </c>
      <c r="J37" s="45">
        <f>SUMIF(Eventos!$B:$B,PPvsREal!$C$37,Eventos!J:J)</f>
        <v>0</v>
      </c>
      <c r="K37" s="45">
        <f>SUMIF(Eventos!$B:$B,PPvsREal!$C$37,Eventos!K:K)</f>
        <v>0</v>
      </c>
      <c r="L37" s="45">
        <f>SUMIF(Eventos!$B:$B,PPvsREal!$C$37,Eventos!L:L)</f>
        <v>0</v>
      </c>
      <c r="M37" s="45">
        <f>SUMIF(Eventos!$B:$B,PPvsREal!$C$37,Eventos!M:M)</f>
        <v>0</v>
      </c>
      <c r="N37" s="45">
        <f>SUMIF(Eventos!$B:$B,PPvsREal!$C$37,Eventos!N:N)</f>
        <v>0</v>
      </c>
      <c r="O37" s="45">
        <f>SUMIF(Eventos!$B:$B,PPvsREal!$C$37,Eventos!O:O)</f>
        <v>0</v>
      </c>
      <c r="P37" s="45">
        <f>SUMIF(Eventos!$B:$B,PPvsREal!$C$37,Eventos!P:P)</f>
        <v>0</v>
      </c>
      <c r="Q37" s="45">
        <f>SUMIF(Eventos!$B:$B,PPvsREal!$C$37,Eventos!Q:Q)</f>
        <v>0</v>
      </c>
      <c r="R37" s="45">
        <f>SUMIF(Eventos!$B:$B,PPvsREal!$C$37,Eventos!R:R)</f>
        <v>0</v>
      </c>
      <c r="S37" s="45">
        <f>SUMIF(Eventos!$B:$B,PPvsREal!$C$37,Eventos!S:S)</f>
        <v>0</v>
      </c>
      <c r="T37" s="45">
        <f>SUMIF(Eventos!$B:$B,PPvsREal!$C$37,Eventos!T:T)</f>
        <v>860000</v>
      </c>
      <c r="U37" s="45">
        <f>SUMIF(Eventos!$B:$B,PPvsREal!$C$37,Eventos!U:U)</f>
        <v>0</v>
      </c>
      <c r="V37" s="45">
        <f>SUMIF(Eventos!$B:$B,PPvsREal!$C$37,Eventos!V:V)</f>
        <v>0</v>
      </c>
      <c r="W37" s="45">
        <f>SUMIF(Eventos!$B:$B,PPvsREal!$C$37,Eventos!W:W)</f>
        <v>0</v>
      </c>
      <c r="X37" s="45">
        <f>SUMIF(Eventos!$B:$B,PPvsREal!$C$37,Eventos!X:X)</f>
        <v>0</v>
      </c>
      <c r="Y37" s="45">
        <f>SUMIF(Eventos!$B:$B,PPvsREal!$C$37,Eventos!Y:Y)</f>
        <v>0</v>
      </c>
      <c r="Z37" s="45">
        <f>SUMIF(Eventos!$B:$B,PPvsREal!$C$37,Eventos!Z:Z)</f>
        <v>0</v>
      </c>
      <c r="AA37" s="53">
        <f>SUMIF(Eventos!$B:$B,PPvsREal!$C$37,Eventos!AA:AA)</f>
        <v>0</v>
      </c>
    </row>
    <row r="38" spans="2:27" ht="12.75" customHeight="1" x14ac:dyDescent="0.25">
      <c r="B38" s="44" t="s">
        <v>351</v>
      </c>
      <c r="C38" s="37" t="s">
        <v>160</v>
      </c>
      <c r="D38" s="45">
        <f>SUMIF(Eventos!$B:$B,PPvsREal!$C$38,Eventos!D:D)</f>
        <v>0</v>
      </c>
      <c r="E38" s="45">
        <f>SUMIF(Eventos!$B:$B,PPvsREal!$C$38,Eventos!E:E)</f>
        <v>0</v>
      </c>
      <c r="F38" s="45">
        <f>SUMIF(Eventos!$B:$B,PPvsREal!$C$38,Eventos!F:F)</f>
        <v>0</v>
      </c>
      <c r="G38" s="45">
        <f>SUMIF(Eventos!$B:$B,PPvsREal!$C$38,Eventos!G:G)</f>
        <v>0</v>
      </c>
      <c r="H38" s="45">
        <f>SUMIF(Eventos!$B:$B,PPvsREal!$C$38,Eventos!H:H)</f>
        <v>0</v>
      </c>
      <c r="I38" s="45">
        <f>SUMIF(Eventos!$B:$B,PPvsREal!$C$38,Eventos!I:I)</f>
        <v>0</v>
      </c>
      <c r="J38" s="45">
        <f>SUMIF(Eventos!$B:$B,PPvsREal!$C$38,Eventos!J:J)</f>
        <v>0</v>
      </c>
      <c r="K38" s="45">
        <f>SUMIF(Eventos!$B:$B,PPvsREal!$C$38,Eventos!K:K)</f>
        <v>0</v>
      </c>
      <c r="L38" s="45">
        <f>SUMIF(Eventos!$B:$B,PPvsREal!$C$38,Eventos!L:L)</f>
        <v>0</v>
      </c>
      <c r="M38" s="45">
        <f>SUMIF(Eventos!$B:$B,PPvsREal!$C$38,Eventos!M:M)</f>
        <v>0</v>
      </c>
      <c r="N38" s="45">
        <f>SUMIF(Eventos!$B:$B,PPvsREal!$C$38,Eventos!N:N)</f>
        <v>0</v>
      </c>
      <c r="O38" s="45">
        <f>SUMIF(Eventos!$B:$B,PPvsREal!$C$38,Eventos!O:O)</f>
        <v>0</v>
      </c>
      <c r="P38" s="45">
        <f>SUMIF(Eventos!$B:$B,PPvsREal!$C$38,Eventos!P:P)</f>
        <v>0</v>
      </c>
      <c r="Q38" s="45">
        <f>SUMIF(Eventos!$B:$B,PPvsREal!$C$38,Eventos!Q:Q)</f>
        <v>0</v>
      </c>
      <c r="R38" s="45">
        <f>SUMIF(Eventos!$B:$B,PPvsREal!$C$38,Eventos!R:R)</f>
        <v>0</v>
      </c>
      <c r="S38" s="45">
        <f>SUMIF(Eventos!$B:$B,PPvsREal!$C$38,Eventos!S:S)</f>
        <v>0</v>
      </c>
      <c r="T38" s="45">
        <f>SUMIF(Eventos!$B:$B,PPvsREal!$C$38,Eventos!T:T)</f>
        <v>0</v>
      </c>
      <c r="U38" s="45">
        <f>SUMIF(Eventos!$B:$B,PPvsREal!$C$38,Eventos!U:U)</f>
        <v>0</v>
      </c>
      <c r="V38" s="45">
        <f>SUMIF(Eventos!$B:$B,PPvsREal!$C$38,Eventos!V:V)</f>
        <v>1030000</v>
      </c>
      <c r="W38" s="45">
        <f>SUMIF(Eventos!$B:$B,PPvsREal!$C$38,Eventos!W:W)</f>
        <v>0</v>
      </c>
      <c r="X38" s="45">
        <f>SUMIF(Eventos!$B:$B,PPvsREal!$C$38,Eventos!X:X)</f>
        <v>0</v>
      </c>
      <c r="Y38" s="45">
        <f>SUMIF(Eventos!$B:$B,PPvsREal!$C$38,Eventos!Y:Y)</f>
        <v>0</v>
      </c>
      <c r="Z38" s="45">
        <f>SUMIF(Eventos!$B:$B,PPvsREal!$C$38,Eventos!Z:Z)</f>
        <v>0</v>
      </c>
      <c r="AA38" s="53">
        <f>SUMIF(Eventos!$B:$B,PPvsREal!$C$38,Eventos!AA:AA)</f>
        <v>0</v>
      </c>
    </row>
    <row r="39" spans="2:27" ht="12.75" customHeight="1" x14ac:dyDescent="0.25">
      <c r="B39" s="44" t="s">
        <v>351</v>
      </c>
      <c r="C39" s="37" t="s">
        <v>162</v>
      </c>
      <c r="D39" s="45">
        <f>SUMIF(Eventos!$B:$B,PPvsREal!$C$39,Eventos!D:D)</f>
        <v>0</v>
      </c>
      <c r="E39" s="45">
        <f>SUMIF(Eventos!$B:$B,PPvsREal!$C$39,Eventos!E:E)</f>
        <v>0</v>
      </c>
      <c r="F39" s="45">
        <f>SUMIF(Eventos!$B:$B,PPvsREal!$C$39,Eventos!F:F)</f>
        <v>0</v>
      </c>
      <c r="G39" s="45">
        <f>SUMIF(Eventos!$B:$B,PPvsREal!$C$39,Eventos!G:G)</f>
        <v>0</v>
      </c>
      <c r="H39" s="45">
        <f>SUMIF(Eventos!$B:$B,PPvsREal!$C$39,Eventos!H:H)</f>
        <v>0</v>
      </c>
      <c r="I39" s="45">
        <f>SUMIF(Eventos!$B:$B,PPvsREal!$C$39,Eventos!I:I)</f>
        <v>0</v>
      </c>
      <c r="J39" s="45">
        <f>SUMIF(Eventos!$B:$B,PPvsREal!$C$39,Eventos!J:J)</f>
        <v>0</v>
      </c>
      <c r="K39" s="45">
        <f>SUMIF(Eventos!$B:$B,PPvsREal!$C$39,Eventos!K:K)</f>
        <v>0</v>
      </c>
      <c r="L39" s="45">
        <f>SUMIF(Eventos!$B:$B,PPvsREal!$C$39,Eventos!L:L)</f>
        <v>0</v>
      </c>
      <c r="M39" s="45">
        <f>SUMIF(Eventos!$B:$B,PPvsREal!$C$39,Eventos!M:M)</f>
        <v>0</v>
      </c>
      <c r="N39" s="45">
        <f>SUMIF(Eventos!$B:$B,PPvsREal!$C$39,Eventos!N:N)</f>
        <v>0</v>
      </c>
      <c r="O39" s="45">
        <f>SUMIF(Eventos!$B:$B,PPvsREal!$C$39,Eventos!O:O)</f>
        <v>0</v>
      </c>
      <c r="P39" s="45">
        <f>SUMIF(Eventos!$B:$B,PPvsREal!$C$39,Eventos!P:P)</f>
        <v>0</v>
      </c>
      <c r="Q39" s="45">
        <f>SUMIF(Eventos!$B:$B,PPvsREal!$C$39,Eventos!Q:Q)</f>
        <v>0</v>
      </c>
      <c r="R39" s="45">
        <f>SUMIF(Eventos!$B:$B,PPvsREal!$C$39,Eventos!R:R)</f>
        <v>0</v>
      </c>
      <c r="S39" s="45">
        <f>SUMIF(Eventos!$B:$B,PPvsREal!$C$39,Eventos!S:S)</f>
        <v>0</v>
      </c>
      <c r="T39" s="45">
        <f>SUMIF(Eventos!$B:$B,PPvsREal!$C$39,Eventos!T:T)</f>
        <v>0</v>
      </c>
      <c r="U39" s="45">
        <f>SUMIF(Eventos!$B:$B,PPvsREal!$C$39,Eventos!U:U)</f>
        <v>0</v>
      </c>
      <c r="V39" s="45">
        <f>SUMIF(Eventos!$B:$B,PPvsREal!$C$39,Eventos!V:V)</f>
        <v>0</v>
      </c>
      <c r="W39" s="45">
        <f>SUMIF(Eventos!$B:$B,PPvsREal!$C$39,Eventos!W:W)</f>
        <v>0</v>
      </c>
      <c r="X39" s="45">
        <f>SUMIF(Eventos!$B:$B,PPvsREal!$C$39,Eventos!X:X)</f>
        <v>1100000</v>
      </c>
      <c r="Y39" s="45">
        <f>SUMIF(Eventos!$B:$B,PPvsREal!$C$39,Eventos!Y:Y)</f>
        <v>0</v>
      </c>
      <c r="Z39" s="45">
        <f>SUMIF(Eventos!$B:$B,PPvsREal!$C$39,Eventos!Z:Z)</f>
        <v>0</v>
      </c>
      <c r="AA39" s="53">
        <f>SUMIF(Eventos!$B:$B,PPvsREal!$C$39,Eventos!AA:AA)</f>
        <v>0</v>
      </c>
    </row>
    <row r="40" spans="2:27" ht="12.75" customHeight="1" x14ac:dyDescent="0.25">
      <c r="B40" s="44" t="s">
        <v>351</v>
      </c>
      <c r="C40" s="37" t="s">
        <v>170</v>
      </c>
      <c r="D40" s="45">
        <f>SUMIF(Eventos!$B:$B,PPvsREal!$C$40,Eventos!D:D)</f>
        <v>40000</v>
      </c>
      <c r="E40" s="45">
        <f>SUMIF(Eventos!$B:$B,PPvsREal!$C$40,Eventos!E:E)</f>
        <v>0</v>
      </c>
      <c r="F40" s="45">
        <f>SUMIF(Eventos!$B:$B,PPvsREal!$C$40,Eventos!F:F)</f>
        <v>53045</v>
      </c>
      <c r="G40" s="45">
        <f>SUMIF(Eventos!$B:$B,PPvsREal!$C$40,Eventos!G:G)</f>
        <v>0</v>
      </c>
      <c r="H40" s="45">
        <f>SUMIF(Eventos!$B:$B,PPvsREal!$C$40,Eventos!H:H)</f>
        <v>35000</v>
      </c>
      <c r="I40" s="45">
        <f>SUMIF(Eventos!$B:$B,PPvsREal!$C$40,Eventos!I:I)</f>
        <v>14340</v>
      </c>
      <c r="J40" s="45">
        <f>SUMIF(Eventos!$B:$B,PPvsREal!$C$40,Eventos!J:J)</f>
        <v>0</v>
      </c>
      <c r="K40" s="45">
        <f>SUMIF(Eventos!$B:$B,PPvsREal!$C$40,Eventos!K:K)</f>
        <v>0</v>
      </c>
      <c r="L40" s="45">
        <f>SUMIF(Eventos!$B:$B,PPvsREal!$C$40,Eventos!L:L)</f>
        <v>0</v>
      </c>
      <c r="M40" s="45">
        <f>SUMIF(Eventos!$B:$B,PPvsREal!$C$40,Eventos!M:M)</f>
        <v>10309.84</v>
      </c>
      <c r="N40" s="45">
        <f>SUMIF(Eventos!$B:$B,PPvsREal!$C$40,Eventos!N:N)</f>
        <v>125000</v>
      </c>
      <c r="O40" s="45">
        <f>SUMIF(Eventos!$B:$B,PPvsREal!$C$40,Eventos!O:O)</f>
        <v>0</v>
      </c>
      <c r="P40" s="45">
        <f>SUMIF(Eventos!$B:$B,PPvsREal!$C$40,Eventos!P:P)</f>
        <v>0</v>
      </c>
      <c r="Q40" s="45">
        <f>SUMIF(Eventos!$B:$B,PPvsREal!$C$40,Eventos!Q:Q)</f>
        <v>0</v>
      </c>
      <c r="R40" s="45">
        <f>SUMIF(Eventos!$B:$B,PPvsREal!$C$40,Eventos!R:R)</f>
        <v>0</v>
      </c>
      <c r="S40" s="45">
        <f>SUMIF(Eventos!$B:$B,PPvsREal!$C$40,Eventos!S:S)</f>
        <v>0</v>
      </c>
      <c r="T40" s="45">
        <f>SUMIF(Eventos!$B:$B,PPvsREal!$C$40,Eventos!T:T)</f>
        <v>0</v>
      </c>
      <c r="U40" s="45">
        <f>SUMIF(Eventos!$B:$B,PPvsREal!$C$40,Eventos!U:U)</f>
        <v>0</v>
      </c>
      <c r="V40" s="45">
        <f>SUMIF(Eventos!$B:$B,PPvsREal!$C$40,Eventos!V:V)</f>
        <v>0</v>
      </c>
      <c r="W40" s="45">
        <f>SUMIF(Eventos!$B:$B,PPvsREal!$C$40,Eventos!W:W)</f>
        <v>0</v>
      </c>
      <c r="X40" s="45">
        <f>SUMIF(Eventos!$B:$B,PPvsREal!$C$40,Eventos!X:X)</f>
        <v>0</v>
      </c>
      <c r="Y40" s="45">
        <f>SUMIF(Eventos!$B:$B,PPvsREal!$C$40,Eventos!Y:Y)</f>
        <v>0</v>
      </c>
      <c r="Z40" s="45">
        <f>SUMIF(Eventos!$B:$B,PPvsREal!$C$40,Eventos!Z:Z)</f>
        <v>0</v>
      </c>
      <c r="AA40" s="53">
        <f>SUMIF(Eventos!$B:$B,PPvsREal!$C$40,Eventos!AA:AA)</f>
        <v>0</v>
      </c>
    </row>
    <row r="41" spans="2:27" ht="12.75" customHeight="1" x14ac:dyDescent="0.25">
      <c r="B41" s="44" t="s">
        <v>351</v>
      </c>
      <c r="C41" s="37" t="s">
        <v>171</v>
      </c>
      <c r="D41" s="45">
        <f>SUMIF(Eventos!$B:$B,PPvsREal!$C$41,Eventos!D:D)</f>
        <v>0</v>
      </c>
      <c r="E41" s="45">
        <f>SUMIF(Eventos!$B:$B,PPvsREal!$C$41,Eventos!E:E)</f>
        <v>0</v>
      </c>
      <c r="F41" s="45">
        <f>SUMIF(Eventos!$B:$B,PPvsREal!$C$41,Eventos!F:F)</f>
        <v>38000</v>
      </c>
      <c r="G41" s="45">
        <f>SUMIF(Eventos!$B:$B,PPvsREal!$C$41,Eventos!G:G)</f>
        <v>46790.9</v>
      </c>
      <c r="H41" s="45">
        <f>SUMIF(Eventos!$B:$B,PPvsREal!$C$41,Eventos!H:H)</f>
        <v>0</v>
      </c>
      <c r="I41" s="45">
        <f>SUMIF(Eventos!$B:$B,PPvsREal!$C$41,Eventos!I:I)</f>
        <v>-517.24</v>
      </c>
      <c r="J41" s="45">
        <f>SUMIF(Eventos!$B:$B,PPvsREal!$C$41,Eventos!J:J)</f>
        <v>0</v>
      </c>
      <c r="K41" s="45">
        <f>SUMIF(Eventos!$B:$B,PPvsREal!$C$41,Eventos!K:K)</f>
        <v>0</v>
      </c>
      <c r="L41" s="45">
        <f>SUMIF(Eventos!$B:$B,PPvsREal!$C$41,Eventos!L:L)</f>
        <v>0</v>
      </c>
      <c r="M41" s="45">
        <f>SUMIF(Eventos!$B:$B,PPvsREal!$C$41,Eventos!M:M)</f>
        <v>0</v>
      </c>
      <c r="N41" s="45">
        <f>SUMIF(Eventos!$B:$B,PPvsREal!$C$41,Eventos!N:N)</f>
        <v>0</v>
      </c>
      <c r="O41" s="45">
        <f>SUMIF(Eventos!$B:$B,PPvsREal!$C$41,Eventos!O:O)</f>
        <v>0</v>
      </c>
      <c r="P41" s="45">
        <f>SUMIF(Eventos!$B:$B,PPvsREal!$C$41,Eventos!P:P)</f>
        <v>0</v>
      </c>
      <c r="Q41" s="45">
        <f>SUMIF(Eventos!$B:$B,PPvsREal!$C$41,Eventos!Q:Q)</f>
        <v>0</v>
      </c>
      <c r="R41" s="45">
        <f>SUMIF(Eventos!$B:$B,PPvsREal!$C$41,Eventos!R:R)</f>
        <v>0</v>
      </c>
      <c r="S41" s="45">
        <f>SUMIF(Eventos!$B:$B,PPvsREal!$C$41,Eventos!S:S)</f>
        <v>0</v>
      </c>
      <c r="T41" s="45">
        <f>SUMIF(Eventos!$B:$B,PPvsREal!$C$41,Eventos!T:T)</f>
        <v>0</v>
      </c>
      <c r="U41" s="45">
        <f>SUMIF(Eventos!$B:$B,PPvsREal!$C$41,Eventos!U:U)</f>
        <v>0</v>
      </c>
      <c r="V41" s="45">
        <f>SUMIF(Eventos!$B:$B,PPvsREal!$C$41,Eventos!V:V)</f>
        <v>0</v>
      </c>
      <c r="W41" s="45">
        <f>SUMIF(Eventos!$B:$B,PPvsREal!$C$41,Eventos!W:W)</f>
        <v>0</v>
      </c>
      <c r="X41" s="45">
        <f>SUMIF(Eventos!$B:$B,PPvsREal!$C$41,Eventos!X:X)</f>
        <v>0</v>
      </c>
      <c r="Y41" s="45">
        <f>SUMIF(Eventos!$B:$B,PPvsREal!$C$41,Eventos!Y:Y)</f>
        <v>0</v>
      </c>
      <c r="Z41" s="45">
        <f>SUMIF(Eventos!$B:$B,PPvsREal!$C$41,Eventos!Z:Z)</f>
        <v>0</v>
      </c>
      <c r="AA41" s="53">
        <f>SUMIF(Eventos!$B:$B,PPvsREal!$C$41,Eventos!AA:AA)</f>
        <v>0</v>
      </c>
    </row>
    <row r="42" spans="2:27" ht="12.75" customHeight="1" x14ac:dyDescent="0.25">
      <c r="B42" s="44" t="s">
        <v>351</v>
      </c>
      <c r="C42" s="37" t="s">
        <v>172</v>
      </c>
      <c r="D42" s="45">
        <f>SUMIF(Eventos!$B:$B,PPvsREal!$C$42,Eventos!D:D)</f>
        <v>0</v>
      </c>
      <c r="E42" s="45">
        <f>SUMIF(Eventos!$B:$B,PPvsREal!$C$42,Eventos!E:E)</f>
        <v>0</v>
      </c>
      <c r="F42" s="45">
        <f>SUMIF(Eventos!$B:$B,PPvsREal!$C$42,Eventos!F:F)</f>
        <v>60000</v>
      </c>
      <c r="G42" s="45">
        <f>SUMIF(Eventos!$B:$B,PPvsREal!$C$42,Eventos!G:G)</f>
        <v>0</v>
      </c>
      <c r="H42" s="45">
        <f>SUMIF(Eventos!$B:$B,PPvsREal!$C$42,Eventos!H:H)</f>
        <v>0</v>
      </c>
      <c r="I42" s="45">
        <f>SUMIF(Eventos!$B:$B,PPvsREal!$C$42,Eventos!I:I)</f>
        <v>0</v>
      </c>
      <c r="J42" s="45">
        <f>SUMIF(Eventos!$B:$B,PPvsREal!$C$42,Eventos!J:J)</f>
        <v>60000</v>
      </c>
      <c r="K42" s="45">
        <f>SUMIF(Eventos!$B:$B,PPvsREal!$C$42,Eventos!K:K)</f>
        <v>0</v>
      </c>
      <c r="L42" s="45">
        <f>SUMIF(Eventos!$B:$B,PPvsREal!$C$42,Eventos!L:L)</f>
        <v>100000</v>
      </c>
      <c r="M42" s="45">
        <f>SUMIF(Eventos!$B:$B,PPvsREal!$C$42,Eventos!M:M)</f>
        <v>1419.03</v>
      </c>
      <c r="N42" s="45">
        <f>SUMIF(Eventos!$B:$B,PPvsREal!$C$42,Eventos!N:N)</f>
        <v>60000</v>
      </c>
      <c r="O42" s="45">
        <f>SUMIF(Eventos!$B:$B,PPvsREal!$C$42,Eventos!O:O)</f>
        <v>0</v>
      </c>
      <c r="P42" s="45">
        <f>SUMIF(Eventos!$B:$B,PPvsREal!$C$42,Eventos!P:P)</f>
        <v>0</v>
      </c>
      <c r="Q42" s="45">
        <f>SUMIF(Eventos!$B:$B,PPvsREal!$C$42,Eventos!Q:Q)</f>
        <v>1857.23</v>
      </c>
      <c r="R42" s="45">
        <f>SUMIF(Eventos!$B:$B,PPvsREal!$C$42,Eventos!R:R)</f>
        <v>0</v>
      </c>
      <c r="S42" s="45">
        <f>SUMIF(Eventos!$B:$B,PPvsREal!$C$42,Eventos!S:S)</f>
        <v>0</v>
      </c>
      <c r="T42" s="45">
        <f>SUMIF(Eventos!$B:$B,PPvsREal!$C$42,Eventos!T:T)</f>
        <v>60000</v>
      </c>
      <c r="U42" s="45">
        <f>SUMIF(Eventos!$B:$B,PPvsREal!$C$42,Eventos!U:U)</f>
        <v>0</v>
      </c>
      <c r="V42" s="45">
        <f>SUMIF(Eventos!$B:$B,PPvsREal!$C$42,Eventos!V:V)</f>
        <v>0</v>
      </c>
      <c r="W42" s="45">
        <f>SUMIF(Eventos!$B:$B,PPvsREal!$C$42,Eventos!W:W)</f>
        <v>0</v>
      </c>
      <c r="X42" s="45">
        <f>SUMIF(Eventos!$B:$B,PPvsREal!$C$42,Eventos!X:X)</f>
        <v>0</v>
      </c>
      <c r="Y42" s="45">
        <f>SUMIF(Eventos!$B:$B,PPvsREal!$C$42,Eventos!Y:Y)</f>
        <v>0</v>
      </c>
      <c r="Z42" s="45">
        <f>SUMIF(Eventos!$B:$B,PPvsREal!$C$42,Eventos!Z:Z)</f>
        <v>0</v>
      </c>
      <c r="AA42" s="53">
        <f>SUMIF(Eventos!$B:$B,PPvsREal!$C$42,Eventos!AA:AA)</f>
        <v>0</v>
      </c>
    </row>
    <row r="43" spans="2:27" ht="12.75" customHeight="1" x14ac:dyDescent="0.25">
      <c r="B43" s="44" t="s">
        <v>351</v>
      </c>
      <c r="C43" s="37" t="s">
        <v>353</v>
      </c>
      <c r="D43" s="45">
        <f>SUMIF(Eventos!$B:$B,PPvsREal!$C$43,Eventos!D:D)</f>
        <v>0</v>
      </c>
      <c r="E43" s="45">
        <f>SUMIF(Eventos!$B:$B,PPvsREal!$C$43,Eventos!E:E)</f>
        <v>0</v>
      </c>
      <c r="F43" s="45">
        <f>SUMIF(Eventos!$B:$B,PPvsREal!$C$43,Eventos!F:F)</f>
        <v>0</v>
      </c>
      <c r="G43" s="45">
        <f>SUMIF(Eventos!$B:$B,PPvsREal!$C$43,Eventos!G:G)</f>
        <v>0</v>
      </c>
      <c r="H43" s="45">
        <f>SUMIF(Eventos!$B:$B,PPvsREal!$C$43,Eventos!H:H)</f>
        <v>0</v>
      </c>
      <c r="I43" s="45">
        <f>SUMIF(Eventos!$B:$B,PPvsREal!$C$43,Eventos!I:I)</f>
        <v>0</v>
      </c>
      <c r="J43" s="45">
        <f>SUMIF(Eventos!$B:$B,PPvsREal!$C$43,Eventos!J:J)</f>
        <v>0</v>
      </c>
      <c r="K43" s="45">
        <f>SUMIF(Eventos!$B:$B,PPvsREal!$C$43,Eventos!K:K)</f>
        <v>0</v>
      </c>
      <c r="L43" s="45">
        <f>SUMIF(Eventos!$B:$B,PPvsREal!$C$43,Eventos!L:L)</f>
        <v>0</v>
      </c>
      <c r="M43" s="45">
        <f>SUMIF(Eventos!$B:$B,PPvsREal!$C$43,Eventos!M:M)</f>
        <v>0</v>
      </c>
      <c r="N43" s="45">
        <f>SUMIF(Eventos!$B:$B,PPvsREal!$C$43,Eventos!N:N)</f>
        <v>0</v>
      </c>
      <c r="O43" s="45">
        <f>SUMIF(Eventos!$B:$B,PPvsREal!$C$43,Eventos!O:O)</f>
        <v>0</v>
      </c>
      <c r="P43" s="45">
        <f>SUMIF(Eventos!$B:$B,PPvsREal!$C$43,Eventos!P:P)</f>
        <v>0</v>
      </c>
      <c r="Q43" s="45">
        <f>SUMIF(Eventos!$B:$B,PPvsREal!$C$43,Eventos!Q:Q)</f>
        <v>0</v>
      </c>
      <c r="R43" s="45">
        <f>SUMIF(Eventos!$B:$B,PPvsREal!$C$43,Eventos!R:R)</f>
        <v>0</v>
      </c>
      <c r="S43" s="45">
        <f>SUMIF(Eventos!$B:$B,PPvsREal!$C$43,Eventos!S:S)</f>
        <v>0</v>
      </c>
      <c r="T43" s="45">
        <f>SUMIF(Eventos!$B:$B,PPvsREal!$C$43,Eventos!T:T)</f>
        <v>0</v>
      </c>
      <c r="U43" s="45">
        <f>SUMIF(Eventos!$B:$B,PPvsREal!$C$43,Eventos!U:U)</f>
        <v>0</v>
      </c>
      <c r="V43" s="45">
        <f>SUMIF(Eventos!$B:$B,PPvsREal!$C$43,Eventos!V:V)</f>
        <v>0</v>
      </c>
      <c r="W43" s="45">
        <f>SUMIF(Eventos!$B:$B,PPvsREal!$C$43,Eventos!W:W)</f>
        <v>0</v>
      </c>
      <c r="X43" s="45">
        <f>SUMIF(Eventos!$B:$B,PPvsREal!$C$43,Eventos!X:X)</f>
        <v>0</v>
      </c>
      <c r="Y43" s="45">
        <f>SUMIF(Eventos!$B:$B,PPvsREal!$C$43,Eventos!Y:Y)</f>
        <v>0</v>
      </c>
      <c r="Z43" s="45">
        <f>SUMIF(Eventos!$B:$B,PPvsREal!$C$43,Eventos!Z:Z)</f>
        <v>0</v>
      </c>
      <c r="AA43" s="53">
        <f>SUMIF(Eventos!$B:$B,PPvsREal!$C$43,Eventos!AA:AA)</f>
        <v>0</v>
      </c>
    </row>
    <row r="44" spans="2:27" ht="12.75" customHeight="1" x14ac:dyDescent="0.25">
      <c r="B44" s="44" t="s">
        <v>351</v>
      </c>
      <c r="C44" s="37" t="s">
        <v>173</v>
      </c>
      <c r="D44" s="45">
        <f>SUMIF(Eventos!$B:$B,PPvsREal!$C$44,Eventos!D:D)</f>
        <v>0</v>
      </c>
      <c r="E44" s="45">
        <f>SUMIF(Eventos!$B:$B,PPvsREal!$C$44,Eventos!E:E)</f>
        <v>0</v>
      </c>
      <c r="F44" s="45">
        <f>SUMIF(Eventos!$B:$B,PPvsREal!$C$44,Eventos!F:F)</f>
        <v>0</v>
      </c>
      <c r="G44" s="45">
        <f>SUMIF(Eventos!$B:$B,PPvsREal!$C$44,Eventos!G:G)</f>
        <v>0</v>
      </c>
      <c r="H44" s="45">
        <f>SUMIF(Eventos!$B:$B,PPvsREal!$C$44,Eventos!H:H)</f>
        <v>0</v>
      </c>
      <c r="I44" s="45">
        <f>SUMIF(Eventos!$B:$B,PPvsREal!$C$44,Eventos!I:I)</f>
        <v>0</v>
      </c>
      <c r="J44" s="45">
        <f>SUMIF(Eventos!$B:$B,PPvsREal!$C$44,Eventos!J:J)</f>
        <v>130000</v>
      </c>
      <c r="K44" s="45">
        <f>SUMIF(Eventos!$B:$B,PPvsREal!$C$44,Eventos!K:K)</f>
        <v>0</v>
      </c>
      <c r="L44" s="45">
        <f>SUMIF(Eventos!$B:$B,PPvsREal!$C$44,Eventos!L:L)</f>
        <v>0</v>
      </c>
      <c r="M44" s="45">
        <f>SUMIF(Eventos!$B:$B,PPvsREal!$C$44,Eventos!M:M)</f>
        <v>0</v>
      </c>
      <c r="N44" s="45">
        <f>SUMIF(Eventos!$B:$B,PPvsREal!$C$44,Eventos!N:N)</f>
        <v>0</v>
      </c>
      <c r="O44" s="45">
        <f>SUMIF(Eventos!$B:$B,PPvsREal!$C$44,Eventos!O:O)</f>
        <v>67650.679999999993</v>
      </c>
      <c r="P44" s="45">
        <f>SUMIF(Eventos!$B:$B,PPvsREal!$C$44,Eventos!P:P)</f>
        <v>0</v>
      </c>
      <c r="Q44" s="45">
        <f>SUMIF(Eventos!$B:$B,PPvsREal!$C$44,Eventos!Q:Q)</f>
        <v>68842.52</v>
      </c>
      <c r="R44" s="45">
        <f>SUMIF(Eventos!$B:$B,PPvsREal!$C$44,Eventos!R:R)</f>
        <v>0</v>
      </c>
      <c r="S44" s="45">
        <f>SUMIF(Eventos!$B:$B,PPvsREal!$C$44,Eventos!S:S)</f>
        <v>0</v>
      </c>
      <c r="T44" s="45">
        <f>SUMIF(Eventos!$B:$B,PPvsREal!$C$44,Eventos!T:T)</f>
        <v>0</v>
      </c>
      <c r="U44" s="45">
        <f>SUMIF(Eventos!$B:$B,PPvsREal!$C$44,Eventos!U:U)</f>
        <v>0</v>
      </c>
      <c r="V44" s="45">
        <f>SUMIF(Eventos!$B:$B,PPvsREal!$C$44,Eventos!V:V)</f>
        <v>0</v>
      </c>
      <c r="W44" s="45">
        <f>SUMIF(Eventos!$B:$B,PPvsREal!$C$44,Eventos!W:W)</f>
        <v>0</v>
      </c>
      <c r="X44" s="45">
        <f>SUMIF(Eventos!$B:$B,PPvsREal!$C$44,Eventos!X:X)</f>
        <v>0</v>
      </c>
      <c r="Y44" s="45">
        <f>SUMIF(Eventos!$B:$B,PPvsREal!$C$44,Eventos!Y:Y)</f>
        <v>0</v>
      </c>
      <c r="Z44" s="45">
        <f>SUMIF(Eventos!$B:$B,PPvsREal!$C$44,Eventos!Z:Z)</f>
        <v>0</v>
      </c>
      <c r="AA44" s="53">
        <f>SUMIF(Eventos!$B:$B,PPvsREal!$C$44,Eventos!AA:AA)</f>
        <v>0</v>
      </c>
    </row>
    <row r="45" spans="2:27" ht="12.75" customHeight="1" x14ac:dyDescent="0.25">
      <c r="B45" s="44" t="s">
        <v>351</v>
      </c>
      <c r="C45" s="37" t="s">
        <v>174</v>
      </c>
      <c r="D45" s="45">
        <f>SUMIF(Eventos!$B:$B,PPvsREal!$C$45,Eventos!D:D)</f>
        <v>0</v>
      </c>
      <c r="E45" s="45">
        <f>SUMIF(Eventos!$B:$B,PPvsREal!$C$45,Eventos!E:E)</f>
        <v>0</v>
      </c>
      <c r="F45" s="45">
        <f>SUMIF(Eventos!$B:$B,PPvsREal!$C$45,Eventos!F:F)</f>
        <v>0</v>
      </c>
      <c r="G45" s="45">
        <f>SUMIF(Eventos!$B:$B,PPvsREal!$C$45,Eventos!G:G)</f>
        <v>0</v>
      </c>
      <c r="H45" s="45">
        <f>SUMIF(Eventos!$B:$B,PPvsREal!$C$45,Eventos!H:H)</f>
        <v>0</v>
      </c>
      <c r="I45" s="45">
        <f>SUMIF(Eventos!$B:$B,PPvsREal!$C$45,Eventos!I:I)</f>
        <v>0</v>
      </c>
      <c r="J45" s="45">
        <f>SUMIF(Eventos!$B:$B,PPvsREal!$C$45,Eventos!J:J)</f>
        <v>0</v>
      </c>
      <c r="K45" s="45">
        <f>SUMIF(Eventos!$B:$B,PPvsREal!$C$45,Eventos!K:K)</f>
        <v>0</v>
      </c>
      <c r="L45" s="45">
        <f>SUMIF(Eventos!$B:$B,PPvsREal!$C$45,Eventos!L:L)</f>
        <v>0</v>
      </c>
      <c r="M45" s="45">
        <f>SUMIF(Eventos!$B:$B,PPvsREal!$C$45,Eventos!M:M)</f>
        <v>0</v>
      </c>
      <c r="N45" s="45">
        <f>SUMIF(Eventos!$B:$B,PPvsREal!$C$45,Eventos!N:N)</f>
        <v>0</v>
      </c>
      <c r="O45" s="45">
        <f>SUMIF(Eventos!$B:$B,PPvsREal!$C$45,Eventos!O:O)</f>
        <v>0</v>
      </c>
      <c r="P45" s="45">
        <f>SUMIF(Eventos!$B:$B,PPvsREal!$C$45,Eventos!P:P)</f>
        <v>55000</v>
      </c>
      <c r="Q45" s="45">
        <f>SUMIF(Eventos!$B:$B,PPvsREal!$C$45,Eventos!Q:Q)</f>
        <v>0</v>
      </c>
      <c r="R45" s="45">
        <f>SUMIF(Eventos!$B:$B,PPvsREal!$C$45,Eventos!R:R)</f>
        <v>0</v>
      </c>
      <c r="S45" s="45">
        <f>SUMIF(Eventos!$B:$B,PPvsREal!$C$45,Eventos!S:S)</f>
        <v>0</v>
      </c>
      <c r="T45" s="45">
        <f>SUMIF(Eventos!$B:$B,PPvsREal!$C$45,Eventos!T:T)</f>
        <v>0</v>
      </c>
      <c r="U45" s="45">
        <f>SUMIF(Eventos!$B:$B,PPvsREal!$C$45,Eventos!U:U)</f>
        <v>0</v>
      </c>
      <c r="V45" s="45">
        <f>SUMIF(Eventos!$B:$B,PPvsREal!$C$45,Eventos!V:V)</f>
        <v>0</v>
      </c>
      <c r="W45" s="45">
        <f>SUMIF(Eventos!$B:$B,PPvsREal!$C$45,Eventos!W:W)</f>
        <v>0</v>
      </c>
      <c r="X45" s="45">
        <f>SUMIF(Eventos!$B:$B,PPvsREal!$C$45,Eventos!X:X)</f>
        <v>0</v>
      </c>
      <c r="Y45" s="45">
        <f>SUMIF(Eventos!$B:$B,PPvsREal!$C$45,Eventos!Y:Y)</f>
        <v>0</v>
      </c>
      <c r="Z45" s="45">
        <f>SUMIF(Eventos!$B:$B,PPvsREal!$C$45,Eventos!Z:Z)</f>
        <v>0</v>
      </c>
      <c r="AA45" s="53">
        <f>SUMIF(Eventos!$B:$B,PPvsREal!$C$45,Eventos!AA:AA)</f>
        <v>0</v>
      </c>
    </row>
    <row r="46" spans="2:27" ht="12.75" customHeight="1" x14ac:dyDescent="0.25">
      <c r="B46" s="44" t="s">
        <v>351</v>
      </c>
      <c r="C46" s="37" t="s">
        <v>175</v>
      </c>
      <c r="D46" s="45">
        <f>SUMIF(Eventos!$B:$B,PPvsREal!$C$46,Eventos!D:D)</f>
        <v>0</v>
      </c>
      <c r="E46" s="45">
        <f>SUMIF(Eventos!$B:$B,PPvsREal!$C$46,Eventos!E:E)</f>
        <v>24047.83</v>
      </c>
      <c r="F46" s="45">
        <f>SUMIF(Eventos!$B:$B,PPvsREal!$C$46,Eventos!F:F)</f>
        <v>0</v>
      </c>
      <c r="G46" s="45">
        <f>SUMIF(Eventos!$B:$B,PPvsREal!$C$46,Eventos!G:G)</f>
        <v>56472.77</v>
      </c>
      <c r="H46" s="45">
        <f>SUMIF(Eventos!$B:$B,PPvsREal!$C$46,Eventos!H:H)</f>
        <v>0</v>
      </c>
      <c r="I46" s="45">
        <f>SUMIF(Eventos!$B:$B,PPvsREal!$C$46,Eventos!I:I)</f>
        <v>1118.97</v>
      </c>
      <c r="J46" s="45">
        <f>SUMIF(Eventos!$B:$B,PPvsREal!$C$46,Eventos!J:J)</f>
        <v>0</v>
      </c>
      <c r="K46" s="45">
        <f>SUMIF(Eventos!$B:$B,PPvsREal!$C$46,Eventos!K:K)</f>
        <v>0</v>
      </c>
      <c r="L46" s="45">
        <f>SUMIF(Eventos!$B:$B,PPvsREal!$C$46,Eventos!L:L)</f>
        <v>0</v>
      </c>
      <c r="M46" s="45">
        <f>SUMIF(Eventos!$B:$B,PPvsREal!$C$46,Eventos!M:M)</f>
        <v>0</v>
      </c>
      <c r="N46" s="45">
        <f>SUMIF(Eventos!$B:$B,PPvsREal!$C$46,Eventos!N:N)</f>
        <v>0</v>
      </c>
      <c r="O46" s="45">
        <f>SUMIF(Eventos!$B:$B,PPvsREal!$C$46,Eventos!O:O)</f>
        <v>0</v>
      </c>
      <c r="P46" s="45">
        <f>SUMIF(Eventos!$B:$B,PPvsREal!$C$46,Eventos!P:P)</f>
        <v>0</v>
      </c>
      <c r="Q46" s="45">
        <f>SUMIF(Eventos!$B:$B,PPvsREal!$C$46,Eventos!Q:Q)</f>
        <v>0</v>
      </c>
      <c r="R46" s="45">
        <f>SUMIF(Eventos!$B:$B,PPvsREal!$C$46,Eventos!R:R)</f>
        <v>110000</v>
      </c>
      <c r="S46" s="45">
        <f>SUMIF(Eventos!$B:$B,PPvsREal!$C$46,Eventos!S:S)</f>
        <v>0</v>
      </c>
      <c r="T46" s="45">
        <f>SUMIF(Eventos!$B:$B,PPvsREal!$C$46,Eventos!T:T)</f>
        <v>0</v>
      </c>
      <c r="U46" s="45">
        <f>SUMIF(Eventos!$B:$B,PPvsREal!$C$46,Eventos!U:U)</f>
        <v>0</v>
      </c>
      <c r="V46" s="45">
        <f>SUMIF(Eventos!$B:$B,PPvsREal!$C$46,Eventos!V:V)</f>
        <v>0</v>
      </c>
      <c r="W46" s="45">
        <f>SUMIF(Eventos!$B:$B,PPvsREal!$C$46,Eventos!W:W)</f>
        <v>0</v>
      </c>
      <c r="X46" s="45">
        <f>SUMIF(Eventos!$B:$B,PPvsREal!$C$46,Eventos!X:X)</f>
        <v>0</v>
      </c>
      <c r="Y46" s="45">
        <f>SUMIF(Eventos!$B:$B,PPvsREal!$C$46,Eventos!Y:Y)</f>
        <v>0</v>
      </c>
      <c r="Z46" s="45">
        <f>SUMIF(Eventos!$B:$B,PPvsREal!$C$46,Eventos!Z:Z)</f>
        <v>0</v>
      </c>
      <c r="AA46" s="53">
        <f>SUMIF(Eventos!$B:$B,PPvsREal!$C$46,Eventos!AA:AA)</f>
        <v>0</v>
      </c>
    </row>
    <row r="47" spans="2:27" ht="12.75" customHeight="1" x14ac:dyDescent="0.25">
      <c r="B47" s="44" t="s">
        <v>351</v>
      </c>
      <c r="C47" s="37" t="s">
        <v>176</v>
      </c>
      <c r="D47" s="45">
        <f>SUMIF(Eventos!$B:$B,PPvsREal!$C$47,Eventos!D:D)</f>
        <v>0</v>
      </c>
      <c r="E47" s="45">
        <f>SUMIF(Eventos!$B:$B,PPvsREal!$C$47,Eventos!E:E)</f>
        <v>0</v>
      </c>
      <c r="F47" s="45">
        <f>SUMIF(Eventos!$B:$B,PPvsREal!$C$47,Eventos!F:F)</f>
        <v>0</v>
      </c>
      <c r="G47" s="45">
        <f>SUMIF(Eventos!$B:$B,PPvsREal!$C$47,Eventos!G:G)</f>
        <v>0</v>
      </c>
      <c r="H47" s="45">
        <f>SUMIF(Eventos!$B:$B,PPvsREal!$C$47,Eventos!H:H)</f>
        <v>0</v>
      </c>
      <c r="I47" s="45">
        <f>SUMIF(Eventos!$B:$B,PPvsREal!$C$47,Eventos!I:I)</f>
        <v>0</v>
      </c>
      <c r="J47" s="45">
        <f>SUMIF(Eventos!$B:$B,PPvsREal!$C$47,Eventos!J:J)</f>
        <v>0</v>
      </c>
      <c r="K47" s="45">
        <f>SUMIF(Eventos!$B:$B,PPvsREal!$C$47,Eventos!K:K)</f>
        <v>0</v>
      </c>
      <c r="L47" s="45">
        <f>SUMIF(Eventos!$B:$B,PPvsREal!$C$47,Eventos!L:L)</f>
        <v>0</v>
      </c>
      <c r="M47" s="45">
        <f>SUMIF(Eventos!$B:$B,PPvsREal!$C$47,Eventos!M:M)</f>
        <v>0</v>
      </c>
      <c r="N47" s="45">
        <f>SUMIF(Eventos!$B:$B,PPvsREal!$C$47,Eventos!N:N)</f>
        <v>0</v>
      </c>
      <c r="O47" s="45">
        <f>SUMIF(Eventos!$B:$B,PPvsREal!$C$47,Eventos!O:O)</f>
        <v>0</v>
      </c>
      <c r="P47" s="45">
        <f>SUMIF(Eventos!$B:$B,PPvsREal!$C$47,Eventos!P:P)</f>
        <v>0</v>
      </c>
      <c r="Q47" s="45">
        <f>SUMIF(Eventos!$B:$B,PPvsREal!$C$47,Eventos!Q:Q)</f>
        <v>0</v>
      </c>
      <c r="R47" s="45">
        <f>SUMIF(Eventos!$B:$B,PPvsREal!$C$47,Eventos!R:R)</f>
        <v>0</v>
      </c>
      <c r="S47" s="45">
        <f>SUMIF(Eventos!$B:$B,PPvsREal!$C$47,Eventos!S:S)</f>
        <v>0</v>
      </c>
      <c r="T47" s="45">
        <f>SUMIF(Eventos!$B:$B,PPvsREal!$C$47,Eventos!T:T)</f>
        <v>630000</v>
      </c>
      <c r="U47" s="45">
        <f>SUMIF(Eventos!$B:$B,PPvsREal!$C$47,Eventos!U:U)</f>
        <v>0</v>
      </c>
      <c r="V47" s="45">
        <f>SUMIF(Eventos!$B:$B,PPvsREal!$C$47,Eventos!V:V)</f>
        <v>0</v>
      </c>
      <c r="W47" s="45">
        <f>SUMIF(Eventos!$B:$B,PPvsREal!$C$47,Eventos!W:W)</f>
        <v>0</v>
      </c>
      <c r="X47" s="45">
        <f>SUMIF(Eventos!$B:$B,PPvsREal!$C$47,Eventos!X:X)</f>
        <v>0</v>
      </c>
      <c r="Y47" s="45">
        <f>SUMIF(Eventos!$B:$B,PPvsREal!$C$47,Eventos!Y:Y)</f>
        <v>0</v>
      </c>
      <c r="Z47" s="45">
        <f>SUMIF(Eventos!$B:$B,PPvsREal!$C$47,Eventos!Z:Z)</f>
        <v>0</v>
      </c>
      <c r="AA47" s="53">
        <f>SUMIF(Eventos!$B:$B,PPvsREal!$C$47,Eventos!AA:AA)</f>
        <v>0</v>
      </c>
    </row>
    <row r="48" spans="2:27" ht="12.75" customHeight="1" x14ac:dyDescent="0.25">
      <c r="B48" s="44" t="s">
        <v>351</v>
      </c>
      <c r="C48" s="37" t="s">
        <v>177</v>
      </c>
      <c r="D48" s="45">
        <f>SUMIF(Eventos!$B:$B,PPvsREal!$C$48,Eventos!D:D)</f>
        <v>0</v>
      </c>
      <c r="E48" s="45">
        <f>SUMIF(Eventos!$B:$B,PPvsREal!$C$48,Eventos!E:E)</f>
        <v>0</v>
      </c>
      <c r="F48" s="45">
        <f>SUMIF(Eventos!$B:$B,PPvsREal!$C$48,Eventos!F:F)</f>
        <v>0</v>
      </c>
      <c r="G48" s="45">
        <f>SUMIF(Eventos!$B:$B,PPvsREal!$C$48,Eventos!G:G)</f>
        <v>0</v>
      </c>
      <c r="H48" s="45">
        <f>SUMIF(Eventos!$B:$B,PPvsREal!$C$48,Eventos!H:H)</f>
        <v>0</v>
      </c>
      <c r="I48" s="45">
        <f>SUMIF(Eventos!$B:$B,PPvsREal!$C$48,Eventos!I:I)</f>
        <v>0</v>
      </c>
      <c r="J48" s="45">
        <f>SUMIF(Eventos!$B:$B,PPvsREal!$C$48,Eventos!J:J)</f>
        <v>0</v>
      </c>
      <c r="K48" s="45">
        <f>SUMIF(Eventos!$B:$B,PPvsREal!$C$48,Eventos!K:K)</f>
        <v>0</v>
      </c>
      <c r="L48" s="45">
        <f>SUMIF(Eventos!$B:$B,PPvsREal!$C$48,Eventos!L:L)</f>
        <v>0</v>
      </c>
      <c r="M48" s="45">
        <f>SUMIF(Eventos!$B:$B,PPvsREal!$C$48,Eventos!M:M)</f>
        <v>0</v>
      </c>
      <c r="N48" s="45">
        <f>SUMIF(Eventos!$B:$B,PPvsREal!$C$48,Eventos!N:N)</f>
        <v>0</v>
      </c>
      <c r="O48" s="45">
        <f>SUMIF(Eventos!$B:$B,PPvsREal!$C$48,Eventos!O:O)</f>
        <v>0</v>
      </c>
      <c r="P48" s="45">
        <f>SUMIF(Eventos!$B:$B,PPvsREal!$C$48,Eventos!P:P)</f>
        <v>0</v>
      </c>
      <c r="Q48" s="45">
        <f>SUMIF(Eventos!$B:$B,PPvsREal!$C$48,Eventos!Q:Q)</f>
        <v>0</v>
      </c>
      <c r="R48" s="45">
        <f>SUMIF(Eventos!$B:$B,PPvsREal!$C$48,Eventos!R:R)</f>
        <v>0</v>
      </c>
      <c r="S48" s="45">
        <f>SUMIF(Eventos!$B:$B,PPvsREal!$C$48,Eventos!S:S)</f>
        <v>0</v>
      </c>
      <c r="T48" s="45">
        <f>SUMIF(Eventos!$B:$B,PPvsREal!$C$48,Eventos!T:T)</f>
        <v>0</v>
      </c>
      <c r="U48" s="45">
        <f>SUMIF(Eventos!$B:$B,PPvsREal!$C$48,Eventos!U:U)</f>
        <v>0</v>
      </c>
      <c r="V48" s="45">
        <f>SUMIF(Eventos!$B:$B,PPvsREal!$C$48,Eventos!V:V)</f>
        <v>700000</v>
      </c>
      <c r="W48" s="45">
        <f>SUMIF(Eventos!$B:$B,PPvsREal!$C$48,Eventos!W:W)</f>
        <v>0</v>
      </c>
      <c r="X48" s="45">
        <f>SUMIF(Eventos!$B:$B,PPvsREal!$C$48,Eventos!X:X)</f>
        <v>0</v>
      </c>
      <c r="Y48" s="45">
        <f>SUMIF(Eventos!$B:$B,PPvsREal!$C$48,Eventos!Y:Y)</f>
        <v>0</v>
      </c>
      <c r="Z48" s="45">
        <f>SUMIF(Eventos!$B:$B,PPvsREal!$C$48,Eventos!Z:Z)</f>
        <v>0</v>
      </c>
      <c r="AA48" s="53">
        <f>SUMIF(Eventos!$B:$B,PPvsREal!$C$48,Eventos!AA:AA)</f>
        <v>0</v>
      </c>
    </row>
    <row r="49" spans="2:27" ht="12.75" customHeight="1" x14ac:dyDescent="0.25">
      <c r="B49" s="44" t="s">
        <v>351</v>
      </c>
      <c r="C49" s="37" t="s">
        <v>178</v>
      </c>
      <c r="D49" s="45">
        <f>SUMIF(Eventos!$B:$B,PPvsREal!$C$49,Eventos!D:D)</f>
        <v>0</v>
      </c>
      <c r="E49" s="45">
        <f>SUMIF(Eventos!$B:$B,PPvsREal!$C$49,Eventos!E:E)</f>
        <v>0</v>
      </c>
      <c r="F49" s="45">
        <f>SUMIF(Eventos!$B:$B,PPvsREal!$C$49,Eventos!F:F)</f>
        <v>0</v>
      </c>
      <c r="G49" s="45">
        <f>SUMIF(Eventos!$B:$B,PPvsREal!$C$49,Eventos!G:G)</f>
        <v>0</v>
      </c>
      <c r="H49" s="45">
        <f>SUMIF(Eventos!$B:$B,PPvsREal!$C$49,Eventos!H:H)</f>
        <v>0</v>
      </c>
      <c r="I49" s="45">
        <f>SUMIF(Eventos!$B:$B,PPvsREal!$C$49,Eventos!I:I)</f>
        <v>0</v>
      </c>
      <c r="J49" s="45">
        <f>SUMIF(Eventos!$B:$B,PPvsREal!$C$49,Eventos!J:J)</f>
        <v>0</v>
      </c>
      <c r="K49" s="45">
        <f>SUMIF(Eventos!$B:$B,PPvsREal!$C$49,Eventos!K:K)</f>
        <v>0</v>
      </c>
      <c r="L49" s="45">
        <f>SUMIF(Eventos!$B:$B,PPvsREal!$C$49,Eventos!L:L)</f>
        <v>0</v>
      </c>
      <c r="M49" s="45">
        <f>SUMIF(Eventos!$B:$B,PPvsREal!$C$49,Eventos!M:M)</f>
        <v>0</v>
      </c>
      <c r="N49" s="45">
        <f>SUMIF(Eventos!$B:$B,PPvsREal!$C$49,Eventos!N:N)</f>
        <v>0</v>
      </c>
      <c r="O49" s="45">
        <f>SUMIF(Eventos!$B:$B,PPvsREal!$C$49,Eventos!O:O)</f>
        <v>0</v>
      </c>
      <c r="P49" s="45">
        <f>SUMIF(Eventos!$B:$B,PPvsREal!$C$49,Eventos!P:P)</f>
        <v>0</v>
      </c>
      <c r="Q49" s="45">
        <f>SUMIF(Eventos!$B:$B,PPvsREal!$C$49,Eventos!Q:Q)</f>
        <v>0</v>
      </c>
      <c r="R49" s="45">
        <f>SUMIF(Eventos!$B:$B,PPvsREal!$C$49,Eventos!R:R)</f>
        <v>0</v>
      </c>
      <c r="S49" s="45">
        <f>SUMIF(Eventos!$B:$B,PPvsREal!$C$49,Eventos!S:S)</f>
        <v>0</v>
      </c>
      <c r="T49" s="45">
        <f>SUMIF(Eventos!$B:$B,PPvsREal!$C$49,Eventos!T:T)</f>
        <v>0</v>
      </c>
      <c r="U49" s="45">
        <f>SUMIF(Eventos!$B:$B,PPvsREal!$C$49,Eventos!U:U)</f>
        <v>0</v>
      </c>
      <c r="V49" s="45">
        <f>SUMIF(Eventos!$B:$B,PPvsREal!$C$49,Eventos!V:V)</f>
        <v>0</v>
      </c>
      <c r="W49" s="45">
        <f>SUMIF(Eventos!$B:$B,PPvsREal!$C$49,Eventos!W:W)</f>
        <v>0</v>
      </c>
      <c r="X49" s="45">
        <f>SUMIF(Eventos!$B:$B,PPvsREal!$C$49,Eventos!X:X)</f>
        <v>700000</v>
      </c>
      <c r="Y49" s="45">
        <f>SUMIF(Eventos!$B:$B,PPvsREal!$C$49,Eventos!Y:Y)</f>
        <v>0</v>
      </c>
      <c r="Z49" s="45">
        <f>SUMIF(Eventos!$B:$B,PPvsREal!$C$49,Eventos!Z:Z)</f>
        <v>0</v>
      </c>
      <c r="AA49" s="53">
        <f>SUMIF(Eventos!$B:$B,PPvsREal!$C$49,Eventos!AA:AA)</f>
        <v>0</v>
      </c>
    </row>
    <row r="50" spans="2:27" ht="12.75" customHeight="1" x14ac:dyDescent="0.25">
      <c r="B50" s="44" t="s">
        <v>351</v>
      </c>
      <c r="C50" s="37" t="s">
        <v>179</v>
      </c>
      <c r="D50" s="45">
        <f>SUMIF(Eventos!$B:$B,PPvsREal!$C$50,Eventos!D:D)</f>
        <v>0</v>
      </c>
      <c r="E50" s="45">
        <f>SUMIF(Eventos!$B:$B,PPvsREal!$C$50,Eventos!E:E)</f>
        <v>0</v>
      </c>
      <c r="F50" s="45">
        <f>SUMIF(Eventos!$B:$B,PPvsREal!$C$50,Eventos!F:F)</f>
        <v>0</v>
      </c>
      <c r="G50" s="45">
        <f>SUMIF(Eventos!$B:$B,PPvsREal!$C$50,Eventos!G:G)</f>
        <v>0</v>
      </c>
      <c r="H50" s="45">
        <f>SUMIF(Eventos!$B:$B,PPvsREal!$C$50,Eventos!H:H)</f>
        <v>0</v>
      </c>
      <c r="I50" s="45">
        <f>SUMIF(Eventos!$B:$B,PPvsREal!$C$50,Eventos!I:I)</f>
        <v>0</v>
      </c>
      <c r="J50" s="45">
        <f>SUMIF(Eventos!$B:$B,PPvsREal!$C$50,Eventos!J:J)</f>
        <v>0</v>
      </c>
      <c r="K50" s="45">
        <f>SUMIF(Eventos!$B:$B,PPvsREal!$C$50,Eventos!K:K)</f>
        <v>0</v>
      </c>
      <c r="L50" s="45">
        <f>SUMIF(Eventos!$B:$B,PPvsREal!$C$50,Eventos!L:L)</f>
        <v>0</v>
      </c>
      <c r="M50" s="45">
        <f>SUMIF(Eventos!$B:$B,PPvsREal!$C$50,Eventos!M:M)</f>
        <v>22332.47</v>
      </c>
      <c r="N50" s="45">
        <f>SUMIF(Eventos!$B:$B,PPvsREal!$C$50,Eventos!N:N)</f>
        <v>0</v>
      </c>
      <c r="O50" s="45">
        <f>SUMIF(Eventos!$B:$B,PPvsREal!$C$50,Eventos!O:O)</f>
        <v>0</v>
      </c>
      <c r="P50" s="45">
        <f>SUMIF(Eventos!$B:$B,PPvsREal!$C$50,Eventos!P:P)</f>
        <v>0</v>
      </c>
      <c r="Q50" s="45">
        <f>SUMIF(Eventos!$B:$B,PPvsREal!$C$50,Eventos!Q:Q)</f>
        <v>0</v>
      </c>
      <c r="R50" s="45">
        <f>SUMIF(Eventos!$B:$B,PPvsREal!$C$50,Eventos!R:R)</f>
        <v>0</v>
      </c>
      <c r="S50" s="45">
        <f>SUMIF(Eventos!$B:$B,PPvsREal!$C$50,Eventos!S:S)</f>
        <v>0</v>
      </c>
      <c r="T50" s="45">
        <f>SUMIF(Eventos!$B:$B,PPvsREal!$C$50,Eventos!T:T)</f>
        <v>0</v>
      </c>
      <c r="U50" s="45">
        <f>SUMIF(Eventos!$B:$B,PPvsREal!$C$50,Eventos!U:U)</f>
        <v>0</v>
      </c>
      <c r="V50" s="45">
        <f>SUMIF(Eventos!$B:$B,PPvsREal!$C$50,Eventos!V:V)</f>
        <v>0</v>
      </c>
      <c r="W50" s="45">
        <f>SUMIF(Eventos!$B:$B,PPvsREal!$C$50,Eventos!W:W)</f>
        <v>0</v>
      </c>
      <c r="X50" s="45">
        <f>SUMIF(Eventos!$B:$B,PPvsREal!$C$50,Eventos!X:X)</f>
        <v>700000</v>
      </c>
      <c r="Y50" s="45">
        <f>SUMIF(Eventos!$B:$B,PPvsREal!$C$50,Eventos!Y:Y)</f>
        <v>0</v>
      </c>
      <c r="Z50" s="45">
        <f>SUMIF(Eventos!$B:$B,PPvsREal!$C$50,Eventos!Z:Z)</f>
        <v>0</v>
      </c>
      <c r="AA50" s="53">
        <f>SUMIF(Eventos!$B:$B,PPvsREal!$C$50,Eventos!AA:AA)</f>
        <v>0</v>
      </c>
    </row>
    <row r="51" spans="2:27" ht="12.75" customHeight="1" x14ac:dyDescent="0.25">
      <c r="B51" s="44" t="s">
        <v>351</v>
      </c>
      <c r="C51" s="37" t="s">
        <v>181</v>
      </c>
      <c r="D51" s="45">
        <f>SUMIF(Eventos!$B:$B,PPvsREal!$C$51,Eventos!D:D)</f>
        <v>0</v>
      </c>
      <c r="E51" s="45">
        <f>SUMIF(Eventos!$B:$B,PPvsREal!$C$51,Eventos!E:E)</f>
        <v>0</v>
      </c>
      <c r="F51" s="45">
        <f>SUMIF(Eventos!$B:$B,PPvsREal!$C$51,Eventos!F:F)</f>
        <v>0</v>
      </c>
      <c r="G51" s="45">
        <f>SUMIF(Eventos!$B:$B,PPvsREal!$C$51,Eventos!G:G)</f>
        <v>0</v>
      </c>
      <c r="H51" s="45">
        <f>SUMIF(Eventos!$B:$B,PPvsREal!$C$51,Eventos!H:H)</f>
        <v>0</v>
      </c>
      <c r="I51" s="45">
        <f>SUMIF(Eventos!$B:$B,PPvsREal!$C$51,Eventos!I:I)</f>
        <v>0</v>
      </c>
      <c r="J51" s="45">
        <f>SUMIF(Eventos!$B:$B,PPvsREal!$C$51,Eventos!J:J)</f>
        <v>0</v>
      </c>
      <c r="K51" s="45">
        <f>SUMIF(Eventos!$B:$B,PPvsREal!$C$51,Eventos!K:K)</f>
        <v>1464.15</v>
      </c>
      <c r="L51" s="45">
        <f>SUMIF(Eventos!$B:$B,PPvsREal!$C$51,Eventos!L:L)</f>
        <v>0</v>
      </c>
      <c r="M51" s="45">
        <f>SUMIF(Eventos!$B:$B,PPvsREal!$C$51,Eventos!M:M)</f>
        <v>0</v>
      </c>
      <c r="N51" s="45">
        <f>SUMIF(Eventos!$B:$B,PPvsREal!$C$51,Eventos!N:N)</f>
        <v>0</v>
      </c>
      <c r="O51" s="45">
        <f>SUMIF(Eventos!$B:$B,PPvsREal!$C$51,Eventos!O:O)</f>
        <v>0</v>
      </c>
      <c r="P51" s="45">
        <f>SUMIF(Eventos!$B:$B,PPvsREal!$C$51,Eventos!P:P)</f>
        <v>0</v>
      </c>
      <c r="Q51" s="45">
        <f>SUMIF(Eventos!$B:$B,PPvsREal!$C$51,Eventos!Q:Q)</f>
        <v>0</v>
      </c>
      <c r="R51" s="45">
        <f>SUMIF(Eventos!$B:$B,PPvsREal!$C$51,Eventos!R:R)</f>
        <v>0</v>
      </c>
      <c r="S51" s="45">
        <f>SUMIF(Eventos!$B:$B,PPvsREal!$C$51,Eventos!S:S)</f>
        <v>0</v>
      </c>
      <c r="T51" s="45">
        <f>SUMIF(Eventos!$B:$B,PPvsREal!$C$51,Eventos!T:T)</f>
        <v>0</v>
      </c>
      <c r="U51" s="45">
        <f>SUMIF(Eventos!$B:$B,PPvsREal!$C$51,Eventos!U:U)</f>
        <v>0</v>
      </c>
      <c r="V51" s="45">
        <f>SUMIF(Eventos!$B:$B,PPvsREal!$C$51,Eventos!V:V)</f>
        <v>0</v>
      </c>
      <c r="W51" s="45">
        <f>SUMIF(Eventos!$B:$B,PPvsREal!$C$51,Eventos!W:W)</f>
        <v>0</v>
      </c>
      <c r="X51" s="45">
        <f>SUMIF(Eventos!$B:$B,PPvsREal!$C$51,Eventos!X:X)</f>
        <v>0</v>
      </c>
      <c r="Y51" s="45">
        <f>SUMIF(Eventos!$B:$B,PPvsREal!$C$51,Eventos!Y:Y)</f>
        <v>0</v>
      </c>
      <c r="Z51" s="45">
        <f>SUMIF(Eventos!$B:$B,PPvsREal!$C$51,Eventos!Z:Z)</f>
        <v>0</v>
      </c>
      <c r="AA51" s="53">
        <f>SUMIF(Eventos!$B:$B,PPvsREal!$C$51,Eventos!AA:AA)</f>
        <v>0</v>
      </c>
    </row>
    <row r="52" spans="2:27" ht="12.75" customHeight="1" x14ac:dyDescent="0.25">
      <c r="B52" s="44" t="s">
        <v>351</v>
      </c>
      <c r="C52" s="37" t="s">
        <v>186</v>
      </c>
      <c r="D52" s="45">
        <f>SUMIF(Eventos!$B:$B,PPvsREal!$C$52,Eventos!D:D)</f>
        <v>47268.9</v>
      </c>
      <c r="E52" s="45">
        <f>SUMIF(Eventos!$B:$B,PPvsREal!$C$52,Eventos!E:E)</f>
        <v>78600</v>
      </c>
      <c r="F52" s="45">
        <f>SUMIF(Eventos!$B:$B,PPvsREal!$C$52,Eventos!F:F)</f>
        <v>47268.9</v>
      </c>
      <c r="G52" s="45">
        <f>SUMIF(Eventos!$B:$B,PPvsREal!$C$52,Eventos!G:G)</f>
        <v>52400</v>
      </c>
      <c r="H52" s="45">
        <f>SUMIF(Eventos!$B:$B,PPvsREal!$C$52,Eventos!H:H)</f>
        <v>47268.9</v>
      </c>
      <c r="I52" s="45">
        <f>SUMIF(Eventos!$B:$B,PPvsREal!$C$52,Eventos!I:I)</f>
        <v>78600</v>
      </c>
      <c r="J52" s="45">
        <f>SUMIF(Eventos!$B:$B,PPvsREal!$C$52,Eventos!J:J)</f>
        <v>47268.9</v>
      </c>
      <c r="K52" s="45">
        <f>SUMIF(Eventos!$B:$B,PPvsREal!$C$52,Eventos!K:K)</f>
        <v>78600</v>
      </c>
      <c r="L52" s="45">
        <f>SUMIF(Eventos!$B:$B,PPvsREal!$C$52,Eventos!L:L)</f>
        <v>47268.9</v>
      </c>
      <c r="M52" s="45">
        <f>SUMIF(Eventos!$B:$B,PPvsREal!$C$52,Eventos!M:M)</f>
        <v>52400</v>
      </c>
      <c r="N52" s="45">
        <f>SUMIF(Eventos!$B:$B,PPvsREal!$C$52,Eventos!N:N)</f>
        <v>47268.9</v>
      </c>
      <c r="O52" s="45">
        <f>SUMIF(Eventos!$B:$B,PPvsREal!$C$52,Eventos!O:O)</f>
        <v>52400</v>
      </c>
      <c r="P52" s="45">
        <f>SUMIF(Eventos!$B:$B,PPvsREal!$C$52,Eventos!P:P)</f>
        <v>47268.9</v>
      </c>
      <c r="Q52" s="45">
        <f>SUMIF(Eventos!$B:$B,PPvsREal!$C$52,Eventos!Q:Q)</f>
        <v>52400</v>
      </c>
      <c r="R52" s="45">
        <f>SUMIF(Eventos!$B:$B,PPvsREal!$C$52,Eventos!R:R)</f>
        <v>47268.9</v>
      </c>
      <c r="S52" s="45">
        <f>SUMIF(Eventos!$B:$B,PPvsREal!$C$52,Eventos!S:S)</f>
        <v>0</v>
      </c>
      <c r="T52" s="45">
        <f>SUMIF(Eventos!$B:$B,PPvsREal!$C$52,Eventos!T:T)</f>
        <v>47268.9</v>
      </c>
      <c r="U52" s="45">
        <f>SUMIF(Eventos!$B:$B,PPvsREal!$C$52,Eventos!U:U)</f>
        <v>0</v>
      </c>
      <c r="V52" s="45">
        <f>SUMIF(Eventos!$B:$B,PPvsREal!$C$52,Eventos!V:V)</f>
        <v>47268.9</v>
      </c>
      <c r="W52" s="45">
        <f>SUMIF(Eventos!$B:$B,PPvsREal!$C$52,Eventos!W:W)</f>
        <v>0</v>
      </c>
      <c r="X52" s="45">
        <f>SUMIF(Eventos!$B:$B,PPvsREal!$C$52,Eventos!X:X)</f>
        <v>47268.9</v>
      </c>
      <c r="Y52" s="45">
        <f>SUMIF(Eventos!$B:$B,PPvsREal!$C$52,Eventos!Y:Y)</f>
        <v>0</v>
      </c>
      <c r="Z52" s="45">
        <f>SUMIF(Eventos!$B:$B,PPvsREal!$C$52,Eventos!Z:Z)</f>
        <v>47268.9</v>
      </c>
      <c r="AA52" s="53">
        <f>SUMIF(Eventos!$B:$B,PPvsREal!$C$52,Eventos!AA:AA)</f>
        <v>0</v>
      </c>
    </row>
    <row r="53" spans="2:27" ht="12.75" customHeight="1" x14ac:dyDescent="0.25">
      <c r="B53" s="46" t="s">
        <v>351</v>
      </c>
      <c r="C53" s="47" t="s">
        <v>190</v>
      </c>
      <c r="D53" s="48">
        <f>SUMIF(Eventos!$B:$B,PPvsREal!$C$53,Eventos!D:D)</f>
        <v>23634.45</v>
      </c>
      <c r="E53" s="48">
        <f>SUMIF(Eventos!$B:$B,PPvsREal!$C$53,Eventos!E:E)</f>
        <v>39300</v>
      </c>
      <c r="F53" s="48">
        <f>SUMIF(Eventos!$B:$B,PPvsREal!$C$53,Eventos!F:F)</f>
        <v>23634.45</v>
      </c>
      <c r="G53" s="48">
        <f>SUMIF(Eventos!$B:$B,PPvsREal!$C$53,Eventos!G:G)</f>
        <v>26200</v>
      </c>
      <c r="H53" s="48">
        <f>SUMIF(Eventos!$B:$B,PPvsREal!$C$53,Eventos!H:H)</f>
        <v>23634.45</v>
      </c>
      <c r="I53" s="48">
        <f>SUMIF(Eventos!$B:$B,PPvsREal!$C$53,Eventos!I:I)</f>
        <v>39300</v>
      </c>
      <c r="J53" s="48">
        <f>SUMIF(Eventos!$B:$B,PPvsREal!$C$53,Eventos!J:J)</f>
        <v>23634.45</v>
      </c>
      <c r="K53" s="48">
        <f>SUMIF(Eventos!$B:$B,PPvsREal!$C$53,Eventos!K:K)</f>
        <v>39300</v>
      </c>
      <c r="L53" s="48">
        <f>SUMIF(Eventos!$B:$B,PPvsREal!$C$53,Eventos!L:L)</f>
        <v>23634.45</v>
      </c>
      <c r="M53" s="48">
        <f>SUMIF(Eventos!$B:$B,PPvsREal!$C$53,Eventos!M:M)</f>
        <v>26200</v>
      </c>
      <c r="N53" s="48">
        <f>SUMIF(Eventos!$B:$B,PPvsREal!$C$53,Eventos!N:N)</f>
        <v>23634.45</v>
      </c>
      <c r="O53" s="48">
        <f>SUMIF(Eventos!$B:$B,PPvsREal!$C$53,Eventos!O:O)</f>
        <v>26200</v>
      </c>
      <c r="P53" s="48">
        <f>SUMIF(Eventos!$B:$B,PPvsREal!$C$53,Eventos!P:P)</f>
        <v>23634.45</v>
      </c>
      <c r="Q53" s="48">
        <f>SUMIF(Eventos!$B:$B,PPvsREal!$C$53,Eventos!Q:Q)</f>
        <v>26200</v>
      </c>
      <c r="R53" s="48">
        <f>SUMIF(Eventos!$B:$B,PPvsREal!$C$53,Eventos!R:R)</f>
        <v>23634.45</v>
      </c>
      <c r="S53" s="48">
        <f>SUMIF(Eventos!$B:$B,PPvsREal!$C$53,Eventos!S:S)</f>
        <v>0</v>
      </c>
      <c r="T53" s="48">
        <f>SUMIF(Eventos!$B:$B,PPvsREal!$C$53,Eventos!T:T)</f>
        <v>23634.45</v>
      </c>
      <c r="U53" s="48">
        <f>SUMIF(Eventos!$B:$B,PPvsREal!$C$53,Eventos!U:U)</f>
        <v>0</v>
      </c>
      <c r="V53" s="48">
        <f>SUMIF(Eventos!$B:$B,PPvsREal!$C$53,Eventos!V:V)</f>
        <v>23634.45</v>
      </c>
      <c r="W53" s="48">
        <f>SUMIF(Eventos!$B:$B,PPvsREal!$C$53,Eventos!W:W)</f>
        <v>0</v>
      </c>
      <c r="X53" s="48">
        <f>SUMIF(Eventos!$B:$B,PPvsREal!$C$53,Eventos!X:X)</f>
        <v>23634.45</v>
      </c>
      <c r="Y53" s="48">
        <f>SUMIF(Eventos!$B:$B,PPvsREal!$C$53,Eventos!Y:Y)</f>
        <v>0</v>
      </c>
      <c r="Z53" s="48">
        <f>SUMIF(Eventos!$B:$B,PPvsREal!$C$53,Eventos!Z:Z)</f>
        <v>23634.45</v>
      </c>
      <c r="AA53" s="54">
        <f>SUMIF(Eventos!$B:$B,PPvsREal!$C$53,Eventos!AA:AA)</f>
        <v>0</v>
      </c>
    </row>
    <row r="54" spans="2:27" ht="12.75" customHeight="1" x14ac:dyDescent="0.25">
      <c r="B54" s="44" t="s">
        <v>354</v>
      </c>
      <c r="C54" s="37" t="s">
        <v>355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53">
        <v>0</v>
      </c>
    </row>
    <row r="55" spans="2:27" ht="12.75" customHeight="1" x14ac:dyDescent="0.25">
      <c r="B55" s="41" t="s">
        <v>209</v>
      </c>
      <c r="C55" s="42" t="s">
        <v>195</v>
      </c>
      <c r="D55" s="43">
        <f>SUMIF(Dirección!$B:$B,PPvsREal!$C$55,Dirección!D:D)</f>
        <v>16250</v>
      </c>
      <c r="E55" s="43">
        <f>SUMIF(Dirección!$B:$B,PPvsREal!$C$55,Dirección!E:E)</f>
        <v>0</v>
      </c>
      <c r="F55" s="43">
        <f>SUMIF(Dirección!$B:$B,PPvsREal!$C$55,Dirección!F:F)</f>
        <v>16250</v>
      </c>
      <c r="G55" s="43">
        <f>SUMIF(Dirección!$B:$B,PPvsREal!$C$55,Dirección!G:G)</f>
        <v>0</v>
      </c>
      <c r="H55" s="43">
        <f>SUMIF(Dirección!$B:$B,PPvsREal!$C$55,Dirección!H:H)</f>
        <v>16250</v>
      </c>
      <c r="I55" s="43">
        <f>SUMIF(Dirección!$B:$B,PPvsREal!$C$55,Dirección!I:I)</f>
        <v>0</v>
      </c>
      <c r="J55" s="43">
        <f>SUMIF(Dirección!$B:$B,PPvsREal!$C$55,Dirección!J:J)</f>
        <v>16250</v>
      </c>
      <c r="K55" s="43">
        <f>SUMIF(Dirección!$B:$B,PPvsREal!$C$55,Dirección!K:K)</f>
        <v>0</v>
      </c>
      <c r="L55" s="43">
        <f>SUMIF(Dirección!$B:$B,PPvsREal!$C$55,Dirección!L:L)</f>
        <v>16250</v>
      </c>
      <c r="M55" s="43">
        <f>SUMIF(Dirección!$B:$B,PPvsREal!$C$55,Dirección!M:M)</f>
        <v>0</v>
      </c>
      <c r="N55" s="43">
        <f>SUMIF(Dirección!$B:$B,PPvsREal!$C$55,Dirección!N:N)</f>
        <v>16250</v>
      </c>
      <c r="O55" s="43">
        <f>SUMIF(Dirección!$B:$B,PPvsREal!$C$55,Dirección!O:O)</f>
        <v>0</v>
      </c>
      <c r="P55" s="43">
        <f>SUMIF(Dirección!$B:$B,PPvsREal!$C$55,Dirección!P:P)</f>
        <v>16250</v>
      </c>
      <c r="Q55" s="43">
        <f>SUMIF(Dirección!$B:$B,PPvsREal!$C$55,Dirección!Q:Q)</f>
        <v>0</v>
      </c>
      <c r="R55" s="43">
        <f>SUMIF(Dirección!$B:$B,PPvsREal!$C$55,Dirección!R:R)</f>
        <v>16250</v>
      </c>
      <c r="S55" s="43">
        <f>SUMIF(Dirección!$B:$B,PPvsREal!$C$55,Dirección!S:S)</f>
        <v>0</v>
      </c>
      <c r="T55" s="43">
        <f>SUMIF(Dirección!$B:$B,PPvsREal!$C$55,Dirección!T:T)</f>
        <v>16250</v>
      </c>
      <c r="U55" s="43">
        <f>SUMIF(Dirección!$B:$B,PPvsREal!$C$55,Dirección!U:U)</f>
        <v>0</v>
      </c>
      <c r="V55" s="43">
        <f>SUMIF(Dirección!$B:$B,PPvsREal!$C$55,Dirección!V:V)</f>
        <v>16250</v>
      </c>
      <c r="W55" s="43">
        <f>SUMIF(Dirección!$B:$B,PPvsREal!$C$55,Dirección!W:W)</f>
        <v>0</v>
      </c>
      <c r="X55" s="43">
        <f>SUMIF(Dirección!$B:$B,PPvsREal!$C$55,Dirección!X:X)</f>
        <v>16250</v>
      </c>
      <c r="Y55" s="43">
        <f>SUMIF(Dirección!$B:$B,PPvsREal!$C$55,Dirección!Y:Y)</f>
        <v>0</v>
      </c>
      <c r="Z55" s="43">
        <f>SUMIF(Dirección!$B:$B,PPvsREal!$C$55,Dirección!Z:Z)</f>
        <v>16250</v>
      </c>
      <c r="AA55" s="52">
        <f>SUMIF(Dirección!$B:$B,PPvsREal!$C$55,Dirección!AA:AA)</f>
        <v>0</v>
      </c>
    </row>
    <row r="56" spans="2:27" ht="12.75" customHeight="1" x14ac:dyDescent="0.25">
      <c r="B56" s="44" t="s">
        <v>209</v>
      </c>
      <c r="C56" s="37" t="s">
        <v>197</v>
      </c>
      <c r="D56" s="45">
        <f>SUMIF(Dirección!$B:$B,PPvsREal!$C$56,Dirección!D:D)</f>
        <v>9750</v>
      </c>
      <c r="E56" s="45">
        <f>SUMIF(Dirección!$B:$B,PPvsREal!$C$56,Dirección!E:E)</f>
        <v>0</v>
      </c>
      <c r="F56" s="45">
        <f>SUMIF(Dirección!$B:$B,PPvsREal!$C$56,Dirección!F:F)</f>
        <v>9750</v>
      </c>
      <c r="G56" s="45">
        <f>SUMIF(Dirección!$B:$B,PPvsREal!$C$56,Dirección!G:G)</f>
        <v>0</v>
      </c>
      <c r="H56" s="45">
        <f>SUMIF(Dirección!$B:$B,PPvsREal!$C$56,Dirección!H:H)</f>
        <v>9750</v>
      </c>
      <c r="I56" s="45">
        <f>SUMIF(Dirección!$B:$B,PPvsREal!$C$56,Dirección!I:I)</f>
        <v>5850</v>
      </c>
      <c r="J56" s="45">
        <f>SUMIF(Dirección!$B:$B,PPvsREal!$C$56,Dirección!J:J)</f>
        <v>9750</v>
      </c>
      <c r="K56" s="45">
        <f>SUMIF(Dirección!$B:$B,PPvsREal!$C$56,Dirección!K:K)</f>
        <v>3600</v>
      </c>
      <c r="L56" s="45">
        <f>SUMIF(Dirección!$B:$B,PPvsREal!$C$56,Dirección!L:L)</f>
        <v>9750</v>
      </c>
      <c r="M56" s="45">
        <f>SUMIF(Dirección!$B:$B,PPvsREal!$C$56,Dirección!M:M)</f>
        <v>740</v>
      </c>
      <c r="N56" s="45">
        <f>SUMIF(Dirección!$B:$B,PPvsREal!$C$56,Dirección!N:N)</f>
        <v>9750</v>
      </c>
      <c r="O56" s="45">
        <f>SUMIF(Dirección!$B:$B,PPvsREal!$C$56,Dirección!O:O)</f>
        <v>5850</v>
      </c>
      <c r="P56" s="45">
        <f>SUMIF(Dirección!$B:$B,PPvsREal!$C$56,Dirección!P:P)</f>
        <v>9750</v>
      </c>
      <c r="Q56" s="45">
        <f>SUMIF(Dirección!$B:$B,PPvsREal!$C$56,Dirección!Q:Q)</f>
        <v>6750</v>
      </c>
      <c r="R56" s="45">
        <f>SUMIF(Dirección!$B:$B,PPvsREal!$C$56,Dirección!R:R)</f>
        <v>9750</v>
      </c>
      <c r="S56" s="45">
        <f>SUMIF(Dirección!$B:$B,PPvsREal!$C$56,Dirección!S:S)</f>
        <v>0</v>
      </c>
      <c r="T56" s="45">
        <f>SUMIF(Dirección!$B:$B,PPvsREal!$C$56,Dirección!T:T)</f>
        <v>9750</v>
      </c>
      <c r="U56" s="45">
        <f>SUMIF(Dirección!$B:$B,PPvsREal!$C$56,Dirección!U:U)</f>
        <v>0</v>
      </c>
      <c r="V56" s="45">
        <f>SUMIF(Dirección!$B:$B,PPvsREal!$C$56,Dirección!V:V)</f>
        <v>9750</v>
      </c>
      <c r="W56" s="45">
        <f>SUMIF(Dirección!$B:$B,PPvsREal!$C$56,Dirección!W:W)</f>
        <v>0</v>
      </c>
      <c r="X56" s="45">
        <f>SUMIF(Dirección!$B:$B,PPvsREal!$C$56,Dirección!X:X)</f>
        <v>9750</v>
      </c>
      <c r="Y56" s="45">
        <f>SUMIF(Dirección!$B:$B,PPvsREal!$C$56,Dirección!Y:Y)</f>
        <v>0</v>
      </c>
      <c r="Z56" s="45">
        <f>SUMIF(Dirección!$B:$B,PPvsREal!$C$56,Dirección!Z:Z)</f>
        <v>9750</v>
      </c>
      <c r="AA56" s="53">
        <f>SUMIF(Dirección!$B:$B,PPvsREal!$C$56,Dirección!AA:AA)</f>
        <v>0</v>
      </c>
    </row>
    <row r="57" spans="2:27" ht="12.75" customHeight="1" x14ac:dyDescent="0.25">
      <c r="B57" s="44" t="s">
        <v>209</v>
      </c>
      <c r="C57" s="37" t="s">
        <v>201</v>
      </c>
      <c r="D57" s="45">
        <f>SUMIF(Dirección!$B:$B,PPvsREal!$C$57,Dirección!D:D)</f>
        <v>18000</v>
      </c>
      <c r="E57" s="45">
        <f>SUMIF(Dirección!$B:$B,PPvsREal!$C$57,Dirección!E:E)</f>
        <v>0</v>
      </c>
      <c r="F57" s="45">
        <f>SUMIF(Dirección!$B:$B,PPvsREal!$C$57,Dirección!F:F)</f>
        <v>18000</v>
      </c>
      <c r="G57" s="45">
        <f>SUMIF(Dirección!$B:$B,PPvsREal!$C$57,Dirección!G:G)</f>
        <v>0</v>
      </c>
      <c r="H57" s="45">
        <f>SUMIF(Dirección!$B:$B,PPvsREal!$C$57,Dirección!H:H)</f>
        <v>18000</v>
      </c>
      <c r="I57" s="45">
        <f>SUMIF(Dirección!$B:$B,PPvsREal!$C$57,Dirección!I:I)</f>
        <v>0</v>
      </c>
      <c r="J57" s="45">
        <f>SUMIF(Dirección!$B:$B,PPvsREal!$C$57,Dirección!J:J)</f>
        <v>18000</v>
      </c>
      <c r="K57" s="45">
        <f>SUMIF(Dirección!$B:$B,PPvsREal!$C$57,Dirección!K:K)</f>
        <v>0</v>
      </c>
      <c r="L57" s="45">
        <f>SUMIF(Dirección!$B:$B,PPvsREal!$C$57,Dirección!L:L)</f>
        <v>18000</v>
      </c>
      <c r="M57" s="45">
        <f>SUMIF(Dirección!$B:$B,PPvsREal!$C$57,Dirección!M:M)</f>
        <v>0</v>
      </c>
      <c r="N57" s="45">
        <f>SUMIF(Dirección!$B:$B,PPvsREal!$C$57,Dirección!N:N)</f>
        <v>18000</v>
      </c>
      <c r="O57" s="45">
        <f>SUMIF(Dirección!$B:$B,PPvsREal!$C$57,Dirección!O:O)</f>
        <v>0</v>
      </c>
      <c r="P57" s="45">
        <f>SUMIF(Dirección!$B:$B,PPvsREal!$C$57,Dirección!P:P)</f>
        <v>18000</v>
      </c>
      <c r="Q57" s="45">
        <f>SUMIF(Dirección!$B:$B,PPvsREal!$C$57,Dirección!Q:Q)</f>
        <v>372.75</v>
      </c>
      <c r="R57" s="45">
        <f>SUMIF(Dirección!$B:$B,PPvsREal!$C$57,Dirección!R:R)</f>
        <v>18000</v>
      </c>
      <c r="S57" s="45">
        <f>SUMIF(Dirección!$B:$B,PPvsREal!$C$57,Dirección!S:S)</f>
        <v>0</v>
      </c>
      <c r="T57" s="45">
        <f>SUMIF(Dirección!$B:$B,PPvsREal!$C$57,Dirección!T:T)</f>
        <v>18000</v>
      </c>
      <c r="U57" s="45">
        <f>SUMIF(Dirección!$B:$B,PPvsREal!$C$57,Dirección!U:U)</f>
        <v>0</v>
      </c>
      <c r="V57" s="45">
        <f>SUMIF(Dirección!$B:$B,PPvsREal!$C$57,Dirección!V:V)</f>
        <v>18000</v>
      </c>
      <c r="W57" s="45">
        <f>SUMIF(Dirección!$B:$B,PPvsREal!$C$57,Dirección!W:W)</f>
        <v>0</v>
      </c>
      <c r="X57" s="45">
        <f>SUMIF(Dirección!$B:$B,PPvsREal!$C$57,Dirección!X:X)</f>
        <v>18000</v>
      </c>
      <c r="Y57" s="45">
        <f>SUMIF(Dirección!$B:$B,PPvsREal!$C$57,Dirección!Y:Y)</f>
        <v>0</v>
      </c>
      <c r="Z57" s="45">
        <f>SUMIF(Dirección!$B:$B,PPvsREal!$C$57,Dirección!Z:Z)</f>
        <v>18000</v>
      </c>
      <c r="AA57" s="53">
        <f>SUMIF(Dirección!$B:$B,PPvsREal!$C$57,Dirección!AA:AA)</f>
        <v>0</v>
      </c>
    </row>
    <row r="58" spans="2:27" ht="12.75" customHeight="1" x14ac:dyDescent="0.25">
      <c r="B58" s="44" t="s">
        <v>209</v>
      </c>
      <c r="C58" s="37" t="s">
        <v>203</v>
      </c>
      <c r="D58" s="45">
        <f>SUMIF(Dirección!$B:$B,PPvsREal!$C$58,Dirección!D:D)</f>
        <v>7840</v>
      </c>
      <c r="E58" s="45">
        <f>SUMIF(Dirección!$B:$B,PPvsREal!$C$58,Dirección!E:E)</f>
        <v>0</v>
      </c>
      <c r="F58" s="45">
        <f>SUMIF(Dirección!$B:$B,PPvsREal!$C$58,Dirección!F:F)</f>
        <v>7840</v>
      </c>
      <c r="G58" s="45">
        <f>SUMIF(Dirección!$B:$B,PPvsREal!$C$58,Dirección!G:G)</f>
        <v>0</v>
      </c>
      <c r="H58" s="45">
        <f>SUMIF(Dirección!$B:$B,PPvsREal!$C$58,Dirección!H:H)</f>
        <v>7840</v>
      </c>
      <c r="I58" s="45">
        <f>SUMIF(Dirección!$B:$B,PPvsREal!$C$58,Dirección!I:I)</f>
        <v>656.5</v>
      </c>
      <c r="J58" s="45">
        <f>SUMIF(Dirección!$B:$B,PPvsREal!$C$58,Dirección!J:J)</f>
        <v>7840</v>
      </c>
      <c r="K58" s="45">
        <f>SUMIF(Dirección!$B:$B,PPvsREal!$C$58,Dirección!K:K)</f>
        <v>20698.439999999999</v>
      </c>
      <c r="L58" s="45">
        <f>SUMIF(Dirección!$B:$B,PPvsREal!$C$58,Dirección!L:L)</f>
        <v>7840</v>
      </c>
      <c r="M58" s="45">
        <f>SUMIF(Dirección!$B:$B,PPvsREal!$C$58,Dirección!M:M)</f>
        <v>8908.76</v>
      </c>
      <c r="N58" s="45">
        <f>SUMIF(Dirección!$B:$B,PPvsREal!$C$58,Dirección!N:N)</f>
        <v>7840</v>
      </c>
      <c r="O58" s="45">
        <f>SUMIF(Dirección!$B:$B,PPvsREal!$C$58,Dirección!O:O)</f>
        <v>8460.24</v>
      </c>
      <c r="P58" s="45">
        <f>SUMIF(Dirección!$B:$B,PPvsREal!$C$58,Dirección!P:P)</f>
        <v>7840</v>
      </c>
      <c r="Q58" s="45">
        <f>SUMIF(Dirección!$B:$B,PPvsREal!$C$58,Dirección!Q:Q)</f>
        <v>2200</v>
      </c>
      <c r="R58" s="45">
        <f>SUMIF(Dirección!$B:$B,PPvsREal!$C$58,Dirección!R:R)</f>
        <v>7840</v>
      </c>
      <c r="S58" s="45">
        <f>SUMIF(Dirección!$B:$B,PPvsREal!$C$58,Dirección!S:S)</f>
        <v>0</v>
      </c>
      <c r="T58" s="45">
        <f>SUMIF(Dirección!$B:$B,PPvsREal!$C$58,Dirección!T:T)</f>
        <v>7840</v>
      </c>
      <c r="U58" s="45">
        <f>SUMIF(Dirección!$B:$B,PPvsREal!$C$58,Dirección!U:U)</f>
        <v>0</v>
      </c>
      <c r="V58" s="45">
        <f>SUMIF(Dirección!$B:$B,PPvsREal!$C$58,Dirección!V:V)</f>
        <v>7840</v>
      </c>
      <c r="W58" s="45">
        <f>SUMIF(Dirección!$B:$B,PPvsREal!$C$58,Dirección!W:W)</f>
        <v>0</v>
      </c>
      <c r="X58" s="45">
        <f>SUMIF(Dirección!$B:$B,PPvsREal!$C$58,Dirección!X:X)</f>
        <v>7840</v>
      </c>
      <c r="Y58" s="45">
        <f>SUMIF(Dirección!$B:$B,PPvsREal!$C$58,Dirección!Y:Y)</f>
        <v>0</v>
      </c>
      <c r="Z58" s="45">
        <f>SUMIF(Dirección!$B:$B,PPvsREal!$C$58,Dirección!Z:Z)</f>
        <v>7840</v>
      </c>
      <c r="AA58" s="53">
        <f>SUMIF(Dirección!$B:$B,PPvsREal!$C$58,Dirección!AA:AA)</f>
        <v>0</v>
      </c>
    </row>
    <row r="59" spans="2:27" ht="12.75" customHeight="1" x14ac:dyDescent="0.25">
      <c r="B59" s="44" t="s">
        <v>209</v>
      </c>
      <c r="C59" s="37" t="s">
        <v>207</v>
      </c>
      <c r="D59" s="45">
        <f>SUMIF(Dirección!$B:$B,PPvsREal!$C$59,Dirección!D:D)</f>
        <v>0</v>
      </c>
      <c r="E59" s="45">
        <f>SUMIF(Dirección!$B:$B,PPvsREal!$C$59,Dirección!E:E)</f>
        <v>0</v>
      </c>
      <c r="F59" s="45">
        <f>SUMIF(Dirección!$B:$B,PPvsREal!$C$59,Dirección!F:F)</f>
        <v>14500</v>
      </c>
      <c r="G59" s="45">
        <f>SUMIF(Dirección!$B:$B,PPvsREal!$C$59,Dirección!G:G)</f>
        <v>0</v>
      </c>
      <c r="H59" s="45">
        <f>SUMIF(Dirección!$B:$B,PPvsREal!$C$59,Dirección!H:H)</f>
        <v>14500</v>
      </c>
      <c r="I59" s="45">
        <f>SUMIF(Dirección!$B:$B,PPvsREal!$C$59,Dirección!I:I)</f>
        <v>4093.19</v>
      </c>
      <c r="J59" s="45">
        <f>SUMIF(Dirección!$B:$B,PPvsREal!$C$59,Dirección!J:J)</f>
        <v>0</v>
      </c>
      <c r="K59" s="45">
        <f>SUMIF(Dirección!$B:$B,PPvsREal!$C$59,Dirección!K:K)</f>
        <v>-232</v>
      </c>
      <c r="L59" s="45">
        <f>SUMIF(Dirección!$B:$B,PPvsREal!$C$59,Dirección!L:L)</f>
        <v>0</v>
      </c>
      <c r="M59" s="45">
        <f>SUMIF(Dirección!$B:$B,PPvsREal!$C$59,Dirección!M:M)</f>
        <v>33715.300000000003</v>
      </c>
      <c r="N59" s="45">
        <f>SUMIF(Dirección!$B:$B,PPvsREal!$C$59,Dirección!N:N)</f>
        <v>14500</v>
      </c>
      <c r="O59" s="45">
        <f>SUMIF(Dirección!$B:$B,PPvsREal!$C$59,Dirección!O:O)</f>
        <v>0</v>
      </c>
      <c r="P59" s="45">
        <f>SUMIF(Dirección!$B:$B,PPvsREal!$C$59,Dirección!P:P)</f>
        <v>0</v>
      </c>
      <c r="Q59" s="45">
        <f>SUMIF(Dirección!$B:$B,PPvsREal!$C$59,Dirección!Q:Q)</f>
        <v>11069.43</v>
      </c>
      <c r="R59" s="45">
        <f>SUMIF(Dirección!$B:$B,PPvsREal!$C$59,Dirección!R:R)</f>
        <v>0</v>
      </c>
      <c r="S59" s="45">
        <f>SUMIF(Dirección!$B:$B,PPvsREal!$C$59,Dirección!S:S)</f>
        <v>0</v>
      </c>
      <c r="T59" s="45">
        <f>SUMIF(Dirección!$B:$B,PPvsREal!$C$59,Dirección!T:T)</f>
        <v>0</v>
      </c>
      <c r="U59" s="45">
        <f>SUMIF(Dirección!$B:$B,PPvsREal!$C$59,Dirección!U:U)</f>
        <v>0</v>
      </c>
      <c r="V59" s="45">
        <f>SUMIF(Dirección!$B:$B,PPvsREal!$C$59,Dirección!V:V)</f>
        <v>14500</v>
      </c>
      <c r="W59" s="45">
        <f>SUMIF(Dirección!$B:$B,PPvsREal!$C$59,Dirección!W:W)</f>
        <v>0</v>
      </c>
      <c r="X59" s="45">
        <f>SUMIF(Dirección!$B:$B,PPvsREal!$C$59,Dirección!X:X)</f>
        <v>0</v>
      </c>
      <c r="Y59" s="45">
        <f>SUMIF(Dirección!$B:$B,PPvsREal!$C$59,Dirección!Y:Y)</f>
        <v>0</v>
      </c>
      <c r="Z59" s="45">
        <f>SUMIF(Dirección!$B:$B,PPvsREal!$C$59,Dirección!Z:Z)</f>
        <v>0</v>
      </c>
      <c r="AA59" s="53">
        <f>SUMIF(Dirección!$B:$B,PPvsREal!$C$59,Dirección!AA:AA)</f>
        <v>0</v>
      </c>
    </row>
    <row r="60" spans="2:27" ht="12.75" customHeight="1" x14ac:dyDescent="0.25">
      <c r="B60" s="44" t="s">
        <v>209</v>
      </c>
      <c r="C60" s="37" t="s">
        <v>210</v>
      </c>
      <c r="D60" s="45">
        <f>SUMIF(Dirección!$B:$B,PPvsREal!$C$60,Dirección!D:D)</f>
        <v>0</v>
      </c>
      <c r="E60" s="45">
        <f>SUMIF(Dirección!$B:$B,PPvsREal!$C$60,Dirección!E:E)</f>
        <v>0</v>
      </c>
      <c r="F60" s="45">
        <f>SUMIF(Dirección!$B:$B,PPvsREal!$C$60,Dirección!F:F)</f>
        <v>0</v>
      </c>
      <c r="G60" s="45">
        <f>SUMIF(Dirección!$B:$B,PPvsREal!$C$60,Dirección!G:G)</f>
        <v>0</v>
      </c>
      <c r="H60" s="45">
        <f>SUMIF(Dirección!$B:$B,PPvsREal!$C$60,Dirección!H:H)</f>
        <v>15000</v>
      </c>
      <c r="I60" s="45">
        <f>SUMIF(Dirección!$B:$B,PPvsREal!$C$60,Dirección!I:I)</f>
        <v>9472.26</v>
      </c>
      <c r="J60" s="45">
        <f>SUMIF(Dirección!$B:$B,PPvsREal!$C$60,Dirección!J:J)</f>
        <v>0</v>
      </c>
      <c r="K60" s="45">
        <f>SUMIF(Dirección!$B:$B,PPvsREal!$C$60,Dirección!K:K)</f>
        <v>0</v>
      </c>
      <c r="L60" s="45">
        <f>SUMIF(Dirección!$B:$B,PPvsREal!$C$60,Dirección!L:L)</f>
        <v>0</v>
      </c>
      <c r="M60" s="45">
        <f>SUMIF(Dirección!$B:$B,PPvsREal!$C$60,Dirección!M:M)</f>
        <v>0</v>
      </c>
      <c r="N60" s="45">
        <f>SUMIF(Dirección!$B:$B,PPvsREal!$C$60,Dirección!N:N)</f>
        <v>0</v>
      </c>
      <c r="O60" s="45">
        <f>SUMIF(Dirección!$B:$B,PPvsREal!$C$60,Dirección!O:O)</f>
        <v>0</v>
      </c>
      <c r="P60" s="45">
        <f>SUMIF(Dirección!$B:$B,PPvsREal!$C$60,Dirección!P:P)</f>
        <v>15000</v>
      </c>
      <c r="Q60" s="45">
        <f>SUMIF(Dirección!$B:$B,PPvsREal!$C$60,Dirección!Q:Q)</f>
        <v>9570.15</v>
      </c>
      <c r="R60" s="45">
        <f>SUMIF(Dirección!$B:$B,PPvsREal!$C$60,Dirección!R:R)</f>
        <v>0</v>
      </c>
      <c r="S60" s="45">
        <f>SUMIF(Dirección!$B:$B,PPvsREal!$C$60,Dirección!S:S)</f>
        <v>0</v>
      </c>
      <c r="T60" s="45">
        <f>SUMIF(Dirección!$B:$B,PPvsREal!$C$60,Dirección!T:T)</f>
        <v>0</v>
      </c>
      <c r="U60" s="45">
        <f>SUMIF(Dirección!$B:$B,PPvsREal!$C$60,Dirección!U:U)</f>
        <v>0</v>
      </c>
      <c r="V60" s="45">
        <f>SUMIF(Dirección!$B:$B,PPvsREal!$C$60,Dirección!V:V)</f>
        <v>0</v>
      </c>
      <c r="W60" s="45">
        <f>SUMIF(Dirección!$B:$B,PPvsREal!$C$60,Dirección!W:W)</f>
        <v>0</v>
      </c>
      <c r="X60" s="45">
        <f>SUMIF(Dirección!$B:$B,PPvsREal!$C$60,Dirección!X:X)</f>
        <v>0</v>
      </c>
      <c r="Y60" s="45">
        <f>SUMIF(Dirección!$B:$B,PPvsREal!$C$60,Dirección!Y:Y)</f>
        <v>0</v>
      </c>
      <c r="Z60" s="45">
        <f>SUMIF(Dirección!$B:$B,PPvsREal!$C$60,Dirección!Z:Z)</f>
        <v>0</v>
      </c>
      <c r="AA60" s="53">
        <f>SUMIF(Dirección!$B:$B,PPvsREal!$C$60,Dirección!AA:AA)</f>
        <v>0</v>
      </c>
    </row>
    <row r="61" spans="2:27" ht="12.75" customHeight="1" x14ac:dyDescent="0.25">
      <c r="B61" s="44" t="s">
        <v>209</v>
      </c>
      <c r="C61" s="37" t="s">
        <v>212</v>
      </c>
      <c r="D61" s="45">
        <f>SUMIF(Dirección!$B:$B,PPvsREal!$C$61,Dirección!D:D)</f>
        <v>5500</v>
      </c>
      <c r="E61" s="45">
        <f>SUMIF(Dirección!$B:$B,PPvsREal!$C$61,Dirección!E:E)</f>
        <v>8000</v>
      </c>
      <c r="F61" s="45">
        <f>SUMIF(Dirección!$B:$B,PPvsREal!$C$61,Dirección!F:F)</f>
        <v>5500</v>
      </c>
      <c r="G61" s="45">
        <f>SUMIF(Dirección!$B:$B,PPvsREal!$C$61,Dirección!G:G)</f>
        <v>3000</v>
      </c>
      <c r="H61" s="45">
        <f>SUMIF(Dirección!$B:$B,PPvsREal!$C$61,Dirección!H:H)</f>
        <v>5500</v>
      </c>
      <c r="I61" s="45">
        <f>SUMIF(Dirección!$B:$B,PPvsREal!$C$61,Dirección!I:I)</f>
        <v>5500</v>
      </c>
      <c r="J61" s="45">
        <f>SUMIF(Dirección!$B:$B,PPvsREal!$C$61,Dirección!J:J)</f>
        <v>5500</v>
      </c>
      <c r="K61" s="45">
        <f>SUMIF(Dirección!$B:$B,PPvsREal!$C$61,Dirección!K:K)</f>
        <v>5000</v>
      </c>
      <c r="L61" s="45">
        <f>SUMIF(Dirección!$B:$B,PPvsREal!$C$61,Dirección!L:L)</f>
        <v>5500</v>
      </c>
      <c r="M61" s="45">
        <f>SUMIF(Dirección!$B:$B,PPvsREal!$C$61,Dirección!M:M)</f>
        <v>3000</v>
      </c>
      <c r="N61" s="45">
        <f>SUMIF(Dirección!$B:$B,PPvsREal!$C$61,Dirección!N:N)</f>
        <v>5500</v>
      </c>
      <c r="O61" s="45">
        <f>SUMIF(Dirección!$B:$B,PPvsREal!$C$61,Dirección!O:O)</f>
        <v>5333.5</v>
      </c>
      <c r="P61" s="45">
        <f>SUMIF(Dirección!$B:$B,PPvsREal!$C$61,Dirección!P:P)</f>
        <v>5500</v>
      </c>
      <c r="Q61" s="45">
        <f>SUMIF(Dirección!$B:$B,PPvsREal!$C$61,Dirección!Q:Q)</f>
        <v>5500</v>
      </c>
      <c r="R61" s="45">
        <f>SUMIF(Dirección!$B:$B,PPvsREal!$C$61,Dirección!R:R)</f>
        <v>5500</v>
      </c>
      <c r="S61" s="45">
        <f>SUMIF(Dirección!$B:$B,PPvsREal!$C$61,Dirección!S:S)</f>
        <v>0</v>
      </c>
      <c r="T61" s="45">
        <f>SUMIF(Dirección!$B:$B,PPvsREal!$C$61,Dirección!T:T)</f>
        <v>5500</v>
      </c>
      <c r="U61" s="45">
        <f>SUMIF(Dirección!$B:$B,PPvsREal!$C$61,Dirección!U:U)</f>
        <v>0</v>
      </c>
      <c r="V61" s="45">
        <f>SUMIF(Dirección!$B:$B,PPvsREal!$C$61,Dirección!V:V)</f>
        <v>5500</v>
      </c>
      <c r="W61" s="45">
        <f>SUMIF(Dirección!$B:$B,PPvsREal!$C$61,Dirección!W:W)</f>
        <v>0</v>
      </c>
      <c r="X61" s="45">
        <f>SUMIF(Dirección!$B:$B,PPvsREal!$C$61,Dirección!X:X)</f>
        <v>5500</v>
      </c>
      <c r="Y61" s="45">
        <f>SUMIF(Dirección!$B:$B,PPvsREal!$C$61,Dirección!Y:Y)</f>
        <v>0</v>
      </c>
      <c r="Z61" s="45">
        <f>SUMIF(Dirección!$B:$B,PPvsREal!$C$61,Dirección!Z:Z)</f>
        <v>5500</v>
      </c>
      <c r="AA61" s="53">
        <f>SUMIF(Dirección!$B:$B,PPvsREal!$C$61,Dirección!AA:AA)</f>
        <v>0</v>
      </c>
    </row>
    <row r="62" spans="2:27" ht="12.75" customHeight="1" x14ac:dyDescent="0.25">
      <c r="B62" s="44" t="s">
        <v>209</v>
      </c>
      <c r="C62" s="37" t="s">
        <v>214</v>
      </c>
      <c r="D62" s="45">
        <f>SUMIF(Dirección!$B:$B,PPvsREal!$C$62,Dirección!D:D)</f>
        <v>0</v>
      </c>
      <c r="E62" s="45">
        <f>SUMIF(Dirección!$B:$B,PPvsREal!$C$62,Dirección!E:E)</f>
        <v>0</v>
      </c>
      <c r="F62" s="45">
        <f>SUMIF(Dirección!$B:$B,PPvsREal!$C$62,Dirección!F:F)</f>
        <v>0</v>
      </c>
      <c r="G62" s="45">
        <f>SUMIF(Dirección!$B:$B,PPvsREal!$C$62,Dirección!G:G)</f>
        <v>0</v>
      </c>
      <c r="H62" s="45">
        <f>SUMIF(Dirección!$B:$B,PPvsREal!$C$62,Dirección!H:H)</f>
        <v>6750</v>
      </c>
      <c r="I62" s="45">
        <f>SUMIF(Dirección!$B:$B,PPvsREal!$C$62,Dirección!I:I)</f>
        <v>0</v>
      </c>
      <c r="J62" s="45">
        <f>SUMIF(Dirección!$B:$B,PPvsREal!$C$62,Dirección!J:J)</f>
        <v>0</v>
      </c>
      <c r="K62" s="45">
        <f>SUMIF(Dirección!$B:$B,PPvsREal!$C$62,Dirección!K:K)</f>
        <v>0</v>
      </c>
      <c r="L62" s="45">
        <f>SUMIF(Dirección!$B:$B,PPvsREal!$C$62,Dirección!L:L)</f>
        <v>0</v>
      </c>
      <c r="M62" s="45">
        <f>SUMIF(Dirección!$B:$B,PPvsREal!$C$62,Dirección!M:M)</f>
        <v>0</v>
      </c>
      <c r="N62" s="45">
        <f>SUMIF(Dirección!$B:$B,PPvsREal!$C$62,Dirección!N:N)</f>
        <v>0</v>
      </c>
      <c r="O62" s="45">
        <f>SUMIF(Dirección!$B:$B,PPvsREal!$C$62,Dirección!O:O)</f>
        <v>0</v>
      </c>
      <c r="P62" s="45">
        <f>SUMIF(Dirección!$B:$B,PPvsREal!$C$62,Dirección!P:P)</f>
        <v>0</v>
      </c>
      <c r="Q62" s="45">
        <f>SUMIF(Dirección!$B:$B,PPvsREal!$C$62,Dirección!Q:Q)</f>
        <v>0</v>
      </c>
      <c r="R62" s="45">
        <f>SUMIF(Dirección!$B:$B,PPvsREal!$C$62,Dirección!R:R)</f>
        <v>0</v>
      </c>
      <c r="S62" s="45">
        <f>SUMIF(Dirección!$B:$B,PPvsREal!$C$62,Dirección!S:S)</f>
        <v>0</v>
      </c>
      <c r="T62" s="45">
        <f>SUMIF(Dirección!$B:$B,PPvsREal!$C$62,Dirección!T:T)</f>
        <v>6750</v>
      </c>
      <c r="U62" s="45">
        <f>SUMIF(Dirección!$B:$B,PPvsREal!$C$62,Dirección!U:U)</f>
        <v>0</v>
      </c>
      <c r="V62" s="45">
        <f>SUMIF(Dirección!$B:$B,PPvsREal!$C$62,Dirección!V:V)</f>
        <v>0</v>
      </c>
      <c r="W62" s="45">
        <f>SUMIF(Dirección!$B:$B,PPvsREal!$C$62,Dirección!W:W)</f>
        <v>0</v>
      </c>
      <c r="X62" s="45">
        <f>SUMIF(Dirección!$B:$B,PPvsREal!$C$62,Dirección!X:X)</f>
        <v>0</v>
      </c>
      <c r="Y62" s="45">
        <f>SUMIF(Dirección!$B:$B,PPvsREal!$C$62,Dirección!Y:Y)</f>
        <v>0</v>
      </c>
      <c r="Z62" s="45">
        <f>SUMIF(Dirección!$B:$B,PPvsREal!$C$62,Dirección!Z:Z)</f>
        <v>0</v>
      </c>
      <c r="AA62" s="53">
        <f>SUMIF(Dirección!$B:$B,PPvsREal!$C$62,Dirección!AA:AA)</f>
        <v>0</v>
      </c>
    </row>
    <row r="63" spans="2:27" ht="12.75" customHeight="1" x14ac:dyDescent="0.25">
      <c r="B63" s="44" t="s">
        <v>209</v>
      </c>
      <c r="C63" s="37" t="s">
        <v>216</v>
      </c>
      <c r="D63" s="45">
        <f>SUMIF(Dirección!$B:$B,PPvsREal!$C$63,Dirección!D:D)</f>
        <v>3500</v>
      </c>
      <c r="E63" s="45">
        <f>SUMIF(Dirección!$B:$B,PPvsREal!$C$63,Dirección!E:E)</f>
        <v>0</v>
      </c>
      <c r="F63" s="45">
        <f>SUMIF(Dirección!$B:$B,PPvsREal!$C$63,Dirección!F:F)</f>
        <v>0</v>
      </c>
      <c r="G63" s="45">
        <f>SUMIF(Dirección!$B:$B,PPvsREal!$C$63,Dirección!G:G)</f>
        <v>993.97</v>
      </c>
      <c r="H63" s="45">
        <f>SUMIF(Dirección!$B:$B,PPvsREal!$C$63,Dirección!H:H)</f>
        <v>0</v>
      </c>
      <c r="I63" s="45">
        <f>SUMIF(Dirección!$B:$B,PPvsREal!$C$63,Dirección!I:I)</f>
        <v>-256.04000000000002</v>
      </c>
      <c r="J63" s="45">
        <f>SUMIF(Dirección!$B:$B,PPvsREal!$C$63,Dirección!J:J)</f>
        <v>0</v>
      </c>
      <c r="K63" s="45">
        <f>SUMIF(Dirección!$B:$B,PPvsREal!$C$63,Dirección!K:K)</f>
        <v>0</v>
      </c>
      <c r="L63" s="45">
        <f>SUMIF(Dirección!$B:$B,PPvsREal!$C$63,Dirección!L:L)</f>
        <v>0</v>
      </c>
      <c r="M63" s="45">
        <f>SUMIF(Dirección!$B:$B,PPvsREal!$C$63,Dirección!M:M)</f>
        <v>0</v>
      </c>
      <c r="N63" s="45">
        <f>SUMIF(Dirección!$B:$B,PPvsREal!$C$63,Dirección!N:N)</f>
        <v>3500</v>
      </c>
      <c r="O63" s="45">
        <f>SUMIF(Dirección!$B:$B,PPvsREal!$C$63,Dirección!O:O)</f>
        <v>0</v>
      </c>
      <c r="P63" s="45">
        <f>SUMIF(Dirección!$B:$B,PPvsREal!$C$63,Dirección!P:P)</f>
        <v>0</v>
      </c>
      <c r="Q63" s="45">
        <f>SUMIF(Dirección!$B:$B,PPvsREal!$C$63,Dirección!Q:Q)</f>
        <v>0</v>
      </c>
      <c r="R63" s="45">
        <f>SUMIF(Dirección!$B:$B,PPvsREal!$C$63,Dirección!R:R)</f>
        <v>0</v>
      </c>
      <c r="S63" s="45">
        <f>SUMIF(Dirección!$B:$B,PPvsREal!$C$63,Dirección!S:S)</f>
        <v>0</v>
      </c>
      <c r="T63" s="45">
        <f>SUMIF(Dirección!$B:$B,PPvsREal!$C$63,Dirección!T:T)</f>
        <v>0</v>
      </c>
      <c r="U63" s="45">
        <f>SUMIF(Dirección!$B:$B,PPvsREal!$C$63,Dirección!U:U)</f>
        <v>0</v>
      </c>
      <c r="V63" s="45">
        <f>SUMIF(Dirección!$B:$B,PPvsREal!$C$63,Dirección!V:V)</f>
        <v>0</v>
      </c>
      <c r="W63" s="45">
        <f>SUMIF(Dirección!$B:$B,PPvsREal!$C$63,Dirección!W:W)</f>
        <v>0</v>
      </c>
      <c r="X63" s="45">
        <f>SUMIF(Dirección!$B:$B,PPvsREal!$C$63,Dirección!X:X)</f>
        <v>3500</v>
      </c>
      <c r="Y63" s="45">
        <f>SUMIF(Dirección!$B:$B,PPvsREal!$C$63,Dirección!Y:Y)</f>
        <v>0</v>
      </c>
      <c r="Z63" s="45">
        <f>SUMIF(Dirección!$B:$B,PPvsREal!$C$63,Dirección!Z:Z)</f>
        <v>0</v>
      </c>
      <c r="AA63" s="53">
        <f>SUMIF(Dirección!$B:$B,PPvsREal!$C$63,Dirección!AA:AA)</f>
        <v>0</v>
      </c>
    </row>
    <row r="64" spans="2:27" ht="12.75" customHeight="1" x14ac:dyDescent="0.25">
      <c r="B64" s="46" t="s">
        <v>209</v>
      </c>
      <c r="C64" s="47" t="s">
        <v>218</v>
      </c>
      <c r="D64" s="48">
        <f>SUMIF(Dirección!$B:$B,PPvsREal!$C$64,Dirección!D:D)</f>
        <v>500</v>
      </c>
      <c r="E64" s="48">
        <f>SUMIF(Dirección!$B:$B,PPvsREal!$C$64,Dirección!E:E)</f>
        <v>0</v>
      </c>
      <c r="F64" s="48">
        <f>SUMIF(Dirección!$B:$B,PPvsREal!$C$64,Dirección!F:F)</f>
        <v>8000</v>
      </c>
      <c r="G64" s="48">
        <f>SUMIF(Dirección!$B:$B,PPvsREal!$C$64,Dirección!G:G)</f>
        <v>0</v>
      </c>
      <c r="H64" s="48">
        <f>SUMIF(Dirección!$B:$B,PPvsREal!$C$64,Dirección!H:H)</f>
        <v>500</v>
      </c>
      <c r="I64" s="48">
        <f>SUMIF(Dirección!$B:$B,PPvsREal!$C$64,Dirección!I:I)</f>
        <v>0</v>
      </c>
      <c r="J64" s="48">
        <f>SUMIF(Dirección!$B:$B,PPvsREal!$C$64,Dirección!J:J)</f>
        <v>500</v>
      </c>
      <c r="K64" s="48">
        <f>SUMIF(Dirección!$B:$B,PPvsREal!$C$64,Dirección!K:K)</f>
        <v>0</v>
      </c>
      <c r="L64" s="48">
        <f>SUMIF(Dirección!$B:$B,PPvsREal!$C$64,Dirección!L:L)</f>
        <v>500</v>
      </c>
      <c r="M64" s="48">
        <f>SUMIF(Dirección!$B:$B,PPvsREal!$C$64,Dirección!M:M)</f>
        <v>0</v>
      </c>
      <c r="N64" s="48">
        <f>SUMIF(Dirección!$B:$B,PPvsREal!$C$64,Dirección!N:N)</f>
        <v>500</v>
      </c>
      <c r="O64" s="48">
        <f>SUMIF(Dirección!$B:$B,PPvsREal!$C$64,Dirección!O:O)</f>
        <v>431.04</v>
      </c>
      <c r="P64" s="48">
        <f>SUMIF(Dirección!$B:$B,PPvsREal!$C$64,Dirección!P:P)</f>
        <v>500</v>
      </c>
      <c r="Q64" s="48">
        <f>SUMIF(Dirección!$B:$B,PPvsREal!$C$64,Dirección!Q:Q)</f>
        <v>0</v>
      </c>
      <c r="R64" s="48">
        <f>SUMIF(Dirección!$B:$B,PPvsREal!$C$64,Dirección!R:R)</f>
        <v>500</v>
      </c>
      <c r="S64" s="48">
        <f>SUMIF(Dirección!$B:$B,PPvsREal!$C$64,Dirección!S:S)</f>
        <v>0</v>
      </c>
      <c r="T64" s="48">
        <f>SUMIF(Dirección!$B:$B,PPvsREal!$C$64,Dirección!T:T)</f>
        <v>500</v>
      </c>
      <c r="U64" s="48">
        <f>SUMIF(Dirección!$B:$B,PPvsREal!$C$64,Dirección!U:U)</f>
        <v>0</v>
      </c>
      <c r="V64" s="48">
        <f>SUMIF(Dirección!$B:$B,PPvsREal!$C$64,Dirección!V:V)</f>
        <v>500</v>
      </c>
      <c r="W64" s="48">
        <f>SUMIF(Dirección!$B:$B,PPvsREal!$C$64,Dirección!W:W)</f>
        <v>0</v>
      </c>
      <c r="X64" s="48">
        <f>SUMIF(Dirección!$B:$B,PPvsREal!$C$64,Dirección!X:X)</f>
        <v>500</v>
      </c>
      <c r="Y64" s="48">
        <f>SUMIF(Dirección!$B:$B,PPvsREal!$C$64,Dirección!Y:Y)</f>
        <v>0</v>
      </c>
      <c r="Z64" s="48">
        <f>SUMIF(Dirección!$B:$B,PPvsREal!$C$64,Dirección!Z:Z)</f>
        <v>500</v>
      </c>
      <c r="AA64" s="54">
        <f>SUMIF(Dirección!$B:$B,PPvsREal!$C$64,Dirección!AA:AA)</f>
        <v>0</v>
      </c>
    </row>
    <row r="65" spans="2:27" ht="12.75" customHeight="1" x14ac:dyDescent="0.25">
      <c r="B65" s="44" t="s">
        <v>237</v>
      </c>
      <c r="C65" s="37" t="s">
        <v>225</v>
      </c>
      <c r="D65" s="45">
        <f>SUMIF('Gastos Generales'!$B:$B,PPvsREal!$C$65,'Gastos Generales'!D:D)</f>
        <v>0</v>
      </c>
      <c r="E65" s="45">
        <f>SUMIF('Gastos Generales'!$B:$B,PPvsREal!$C$65,'Gastos Generales'!E:E)</f>
        <v>29.04</v>
      </c>
      <c r="F65" s="45">
        <f>SUMIF('Gastos Generales'!$B:$B,PPvsREal!$C$65,'Gastos Generales'!F:F)</f>
        <v>0</v>
      </c>
      <c r="G65" s="45">
        <f>SUMIF('Gastos Generales'!$B:$B,PPvsREal!$C$65,'Gastos Generales'!G:G)</f>
        <v>32.869999999999997</v>
      </c>
      <c r="H65" s="45">
        <f>SUMIF('Gastos Generales'!$B:$B,PPvsREal!$C$65,'Gastos Generales'!H:H)</f>
        <v>0</v>
      </c>
      <c r="I65" s="45">
        <f>SUMIF('Gastos Generales'!$B:$B,PPvsREal!$C$65,'Gastos Generales'!I:I)</f>
        <v>10.89</v>
      </c>
      <c r="J65" s="45">
        <f>SUMIF('Gastos Generales'!$B:$B,PPvsREal!$C$65,'Gastos Generales'!J:J)</f>
        <v>0</v>
      </c>
      <c r="K65" s="45">
        <f>SUMIF('Gastos Generales'!$B:$B,PPvsREal!$C$65,'Gastos Generales'!K:K)</f>
        <v>20.27</v>
      </c>
      <c r="L65" s="45">
        <f>SUMIF('Gastos Generales'!$B:$B,PPvsREal!$C$65,'Gastos Generales'!L:L)</f>
        <v>0</v>
      </c>
      <c r="M65" s="45">
        <f>SUMIF('Gastos Generales'!$B:$B,PPvsREal!$C$65,'Gastos Generales'!M:M)</f>
        <v>13.92</v>
      </c>
      <c r="N65" s="45">
        <f>SUMIF('Gastos Generales'!$B:$B,PPvsREal!$C$65,'Gastos Generales'!N:N)</f>
        <v>0</v>
      </c>
      <c r="O65" s="45">
        <f>SUMIF('Gastos Generales'!$B:$B,PPvsREal!$C$65,'Gastos Generales'!O:O)</f>
        <v>21.96</v>
      </c>
      <c r="P65" s="45">
        <f>SUMIF('Gastos Generales'!$B:$B,PPvsREal!$C$65,'Gastos Generales'!P:P)</f>
        <v>0</v>
      </c>
      <c r="Q65" s="45">
        <f>SUMIF('Gastos Generales'!$B:$B,PPvsREal!$C$65,'Gastos Generales'!Q:Q)</f>
        <v>0.01</v>
      </c>
      <c r="R65" s="45">
        <f>SUMIF('Gastos Generales'!$B:$B,PPvsREal!$C$65,'Gastos Generales'!R:R)</f>
        <v>0</v>
      </c>
      <c r="S65" s="45">
        <f>SUMIF('Gastos Generales'!$B:$B,PPvsREal!$C$65,'Gastos Generales'!S:S)</f>
        <v>0</v>
      </c>
      <c r="T65" s="45">
        <f>SUMIF('Gastos Generales'!$B:$B,PPvsREal!$C$65,'Gastos Generales'!T:T)</f>
        <v>0</v>
      </c>
      <c r="U65" s="45">
        <f>SUMIF('Gastos Generales'!$B:$B,PPvsREal!$C$65,'Gastos Generales'!U:U)</f>
        <v>0</v>
      </c>
      <c r="V65" s="45">
        <f>SUMIF('Gastos Generales'!$B:$B,PPvsREal!$C$65,'Gastos Generales'!V:V)</f>
        <v>0</v>
      </c>
      <c r="W65" s="45">
        <f>SUMIF('Gastos Generales'!$B:$B,PPvsREal!$C$65,'Gastos Generales'!W:W)</f>
        <v>0</v>
      </c>
      <c r="X65" s="45">
        <f>SUMIF('Gastos Generales'!$B:$B,PPvsREal!$C$65,'Gastos Generales'!X:X)</f>
        <v>0</v>
      </c>
      <c r="Y65" s="45">
        <f>SUMIF('Gastos Generales'!$B:$B,PPvsREal!$C$65,'Gastos Generales'!Y:Y)</f>
        <v>0</v>
      </c>
      <c r="Z65" s="45">
        <f>SUMIF('Gastos Generales'!$B:$B,PPvsREal!$C$65,'Gastos Generales'!Z:Z)</f>
        <v>0</v>
      </c>
      <c r="AA65" s="53">
        <f>SUMIF('Gastos Generales'!$B:$B,PPvsREal!$C$65,'Gastos Generales'!AA:AA)</f>
        <v>0</v>
      </c>
    </row>
    <row r="66" spans="2:27" ht="12.75" customHeight="1" x14ac:dyDescent="0.25">
      <c r="B66" s="44" t="s">
        <v>237</v>
      </c>
      <c r="C66" s="37" t="s">
        <v>229</v>
      </c>
      <c r="D66" s="45">
        <f>SUMIF('Gastos Generales'!$B:$B,PPvsREal!$C$66,'Gastos Generales'!D:D)</f>
        <v>0</v>
      </c>
      <c r="E66" s="45">
        <f>SUMIF('Gastos Generales'!$B:$B,PPvsREal!$C$66,'Gastos Generales'!E:E)</f>
        <v>0</v>
      </c>
      <c r="F66" s="45">
        <f>SUMIF('Gastos Generales'!$B:$B,PPvsREal!$C$66,'Gastos Generales'!F:F)</f>
        <v>0</v>
      </c>
      <c r="G66" s="45">
        <f>SUMIF('Gastos Generales'!$B:$B,PPvsREal!$C$66,'Gastos Generales'!G:G)</f>
        <v>0</v>
      </c>
      <c r="H66" s="45">
        <f>SUMIF('Gastos Generales'!$B:$B,PPvsREal!$C$66,'Gastos Generales'!H:H)</f>
        <v>0</v>
      </c>
      <c r="I66" s="45">
        <f>SUMIF('Gastos Generales'!$B:$B,PPvsREal!$C$66,'Gastos Generales'!I:I)</f>
        <v>0</v>
      </c>
      <c r="J66" s="45">
        <f>SUMIF('Gastos Generales'!$B:$B,PPvsREal!$C$66,'Gastos Generales'!J:J)</f>
        <v>0</v>
      </c>
      <c r="K66" s="45">
        <f>SUMIF('Gastos Generales'!$B:$B,PPvsREal!$C$66,'Gastos Generales'!K:K)</f>
        <v>0</v>
      </c>
      <c r="L66" s="45">
        <f>SUMIF('Gastos Generales'!$B:$B,PPvsREal!$C$66,'Gastos Generales'!L:L)</f>
        <v>0</v>
      </c>
      <c r="M66" s="45">
        <f>SUMIF('Gastos Generales'!$B:$B,PPvsREal!$C$66,'Gastos Generales'!M:M)</f>
        <v>0</v>
      </c>
      <c r="N66" s="45">
        <f>SUMIF('Gastos Generales'!$B:$B,PPvsREal!$C$66,'Gastos Generales'!N:N)</f>
        <v>0</v>
      </c>
      <c r="O66" s="45">
        <f>SUMIF('Gastos Generales'!$B:$B,PPvsREal!$C$66,'Gastos Generales'!O:O)</f>
        <v>0</v>
      </c>
      <c r="P66" s="45">
        <f>SUMIF('Gastos Generales'!$B:$B,PPvsREal!$C$66,'Gastos Generales'!P:P)</f>
        <v>0</v>
      </c>
      <c r="Q66" s="45">
        <f>SUMIF('Gastos Generales'!$B:$B,PPvsREal!$C$66,'Gastos Generales'!Q:Q)</f>
        <v>0</v>
      </c>
      <c r="R66" s="45">
        <f>SUMIF('Gastos Generales'!$B:$B,PPvsREal!$C$66,'Gastos Generales'!R:R)</f>
        <v>0</v>
      </c>
      <c r="S66" s="45">
        <f>SUMIF('Gastos Generales'!$B:$B,PPvsREal!$C$66,'Gastos Generales'!S:S)</f>
        <v>0</v>
      </c>
      <c r="T66" s="45">
        <f>SUMIF('Gastos Generales'!$B:$B,PPvsREal!$C$66,'Gastos Generales'!T:T)</f>
        <v>0</v>
      </c>
      <c r="U66" s="45">
        <f>SUMIF('Gastos Generales'!$B:$B,PPvsREal!$C$66,'Gastos Generales'!U:U)</f>
        <v>0</v>
      </c>
      <c r="V66" s="45">
        <f>SUMIF('Gastos Generales'!$B:$B,PPvsREal!$C$66,'Gastos Generales'!V:V)</f>
        <v>0</v>
      </c>
      <c r="W66" s="45">
        <f>SUMIF('Gastos Generales'!$B:$B,PPvsREal!$C$66,'Gastos Generales'!W:W)</f>
        <v>0</v>
      </c>
      <c r="X66" s="45">
        <f>SUMIF('Gastos Generales'!$B:$B,PPvsREal!$C$66,'Gastos Generales'!X:X)</f>
        <v>0</v>
      </c>
      <c r="Y66" s="45">
        <f>SUMIF('Gastos Generales'!$B:$B,PPvsREal!$C$66,'Gastos Generales'!Y:Y)</f>
        <v>0</v>
      </c>
      <c r="Z66" s="45">
        <f>SUMIF('Gastos Generales'!$B:$B,PPvsREal!$C$66,'Gastos Generales'!Z:Z)</f>
        <v>0</v>
      </c>
      <c r="AA66" s="53">
        <f>SUMIF('Gastos Generales'!$B:$B,PPvsREal!$C$66,'Gastos Generales'!AA:AA)</f>
        <v>0</v>
      </c>
    </row>
    <row r="67" spans="2:27" ht="12.75" customHeight="1" x14ac:dyDescent="0.25">
      <c r="B67" s="44" t="s">
        <v>237</v>
      </c>
      <c r="C67" s="37" t="s">
        <v>231</v>
      </c>
      <c r="D67" s="45">
        <f>SUMIF('Gastos Generales'!$B:$B,PPvsREal!$C$67,'Gastos Generales'!D:D)</f>
        <v>0</v>
      </c>
      <c r="E67" s="45">
        <f>SUMIF('Gastos Generales'!$B:$B,PPvsREal!$C$67,'Gastos Generales'!E:E)</f>
        <v>0</v>
      </c>
      <c r="F67" s="45">
        <f>SUMIF('Gastos Generales'!$B:$B,PPvsREal!$C$67,'Gastos Generales'!F:F)</f>
        <v>0</v>
      </c>
      <c r="G67" s="45">
        <f>SUMIF('Gastos Generales'!$B:$B,PPvsREal!$C$67,'Gastos Generales'!G:G)</f>
        <v>0</v>
      </c>
      <c r="H67" s="45">
        <f>SUMIF('Gastos Generales'!$B:$B,PPvsREal!$C$67,'Gastos Generales'!H:H)</f>
        <v>0</v>
      </c>
      <c r="I67" s="45">
        <f>SUMIF('Gastos Generales'!$B:$B,PPvsREal!$C$67,'Gastos Generales'!I:I)</f>
        <v>0</v>
      </c>
      <c r="J67" s="45">
        <f>SUMIF('Gastos Generales'!$B:$B,PPvsREal!$C$67,'Gastos Generales'!J:J)</f>
        <v>0</v>
      </c>
      <c r="K67" s="45">
        <f>SUMIF('Gastos Generales'!$B:$B,PPvsREal!$C$67,'Gastos Generales'!K:K)</f>
        <v>0</v>
      </c>
      <c r="L67" s="45">
        <f>SUMIF('Gastos Generales'!$B:$B,PPvsREal!$C$67,'Gastos Generales'!L:L)</f>
        <v>0</v>
      </c>
      <c r="M67" s="45">
        <f>SUMIF('Gastos Generales'!$B:$B,PPvsREal!$C$67,'Gastos Generales'!M:M)</f>
        <v>0</v>
      </c>
      <c r="N67" s="45">
        <f>SUMIF('Gastos Generales'!$B:$B,PPvsREal!$C$67,'Gastos Generales'!N:N)</f>
        <v>0</v>
      </c>
      <c r="O67" s="45">
        <f>SUMIF('Gastos Generales'!$B:$B,PPvsREal!$C$67,'Gastos Generales'!O:O)</f>
        <v>0</v>
      </c>
      <c r="P67" s="45">
        <f>SUMIF('Gastos Generales'!$B:$B,PPvsREal!$C$67,'Gastos Generales'!P:P)</f>
        <v>0</v>
      </c>
      <c r="Q67" s="45">
        <f>SUMIF('Gastos Generales'!$B:$B,PPvsREal!$C$67,'Gastos Generales'!Q:Q)</f>
        <v>0</v>
      </c>
      <c r="R67" s="45">
        <f>SUMIF('Gastos Generales'!$B:$B,PPvsREal!$C$67,'Gastos Generales'!R:R)</f>
        <v>0</v>
      </c>
      <c r="S67" s="45">
        <f>SUMIF('Gastos Generales'!$B:$B,PPvsREal!$C$67,'Gastos Generales'!S:S)</f>
        <v>0</v>
      </c>
      <c r="T67" s="45">
        <f>SUMIF('Gastos Generales'!$B:$B,PPvsREal!$C$67,'Gastos Generales'!T:T)</f>
        <v>0</v>
      </c>
      <c r="U67" s="45">
        <f>SUMIF('Gastos Generales'!$B:$B,PPvsREal!$C$67,'Gastos Generales'!U:U)</f>
        <v>0</v>
      </c>
      <c r="V67" s="45">
        <f>SUMIF('Gastos Generales'!$B:$B,PPvsREal!$C$67,'Gastos Generales'!V:V)</f>
        <v>0</v>
      </c>
      <c r="W67" s="45">
        <f>SUMIF('Gastos Generales'!$B:$B,PPvsREal!$C$67,'Gastos Generales'!W:W)</f>
        <v>0</v>
      </c>
      <c r="X67" s="45">
        <f>SUMIF('Gastos Generales'!$B:$B,PPvsREal!$C$67,'Gastos Generales'!X:X)</f>
        <v>0</v>
      </c>
      <c r="Y67" s="45">
        <f>SUMIF('Gastos Generales'!$B:$B,PPvsREal!$C$67,'Gastos Generales'!Y:Y)</f>
        <v>0</v>
      </c>
      <c r="Z67" s="45">
        <f>SUMIF('Gastos Generales'!$B:$B,PPvsREal!$C$67,'Gastos Generales'!Z:Z)</f>
        <v>0</v>
      </c>
      <c r="AA67" s="53">
        <f>SUMIF('Gastos Generales'!$B:$B,PPvsREal!$C$67,'Gastos Generales'!AA:AA)</f>
        <v>0</v>
      </c>
    </row>
    <row r="68" spans="2:27" ht="12.75" customHeight="1" x14ac:dyDescent="0.25">
      <c r="B68" s="44" t="s">
        <v>237</v>
      </c>
      <c r="C68" s="37" t="s">
        <v>233</v>
      </c>
      <c r="D68" s="45">
        <f>SUMIF('Gastos Generales'!$B:$B,PPvsREal!$C$68,'Gastos Generales'!D:D)</f>
        <v>3750</v>
      </c>
      <c r="E68" s="45">
        <f>SUMIF('Gastos Generales'!$B:$B,PPvsREal!$C$68,'Gastos Generales'!E:E)</f>
        <v>6394.13</v>
      </c>
      <c r="F68" s="45">
        <f>SUMIF('Gastos Generales'!$B:$B,PPvsREal!$C$68,'Gastos Generales'!F:F)</f>
        <v>3750</v>
      </c>
      <c r="G68" s="45">
        <f>SUMIF('Gastos Generales'!$B:$B,PPvsREal!$C$68,'Gastos Generales'!G:G)</f>
        <v>1455.07</v>
      </c>
      <c r="H68" s="45">
        <f>SUMIF('Gastos Generales'!$B:$B,PPvsREal!$C$68,'Gastos Generales'!H:H)</f>
        <v>3750</v>
      </c>
      <c r="I68" s="45">
        <f>SUMIF('Gastos Generales'!$B:$B,PPvsREal!$C$68,'Gastos Generales'!I:I)</f>
        <v>1405.74</v>
      </c>
      <c r="J68" s="45">
        <f>SUMIF('Gastos Generales'!$B:$B,PPvsREal!$C$68,'Gastos Generales'!J:J)</f>
        <v>3750</v>
      </c>
      <c r="K68" s="45">
        <f>SUMIF('Gastos Generales'!$B:$B,PPvsREal!$C$68,'Gastos Generales'!K:K)</f>
        <v>3853.96</v>
      </c>
      <c r="L68" s="45">
        <f>SUMIF('Gastos Generales'!$B:$B,PPvsREal!$C$68,'Gastos Generales'!L:L)</f>
        <v>3750</v>
      </c>
      <c r="M68" s="45">
        <f>SUMIF('Gastos Generales'!$B:$B,PPvsREal!$C$68,'Gastos Generales'!M:M)</f>
        <v>3054.68</v>
      </c>
      <c r="N68" s="45">
        <f>SUMIF('Gastos Generales'!$B:$B,PPvsREal!$C$68,'Gastos Generales'!N:N)</f>
        <v>3750</v>
      </c>
      <c r="O68" s="45">
        <f>SUMIF('Gastos Generales'!$B:$B,PPvsREal!$C$68,'Gastos Generales'!O:O)</f>
        <v>6965.99</v>
      </c>
      <c r="P68" s="45">
        <f>SUMIF('Gastos Generales'!$B:$B,PPvsREal!$C$68,'Gastos Generales'!P:P)</f>
        <v>3750</v>
      </c>
      <c r="Q68" s="45">
        <f>SUMIF('Gastos Generales'!$B:$B,PPvsREal!$C$68,'Gastos Generales'!Q:Q)</f>
        <v>3326.66</v>
      </c>
      <c r="R68" s="45">
        <f>SUMIF('Gastos Generales'!$B:$B,PPvsREal!$C$68,'Gastos Generales'!R:R)</f>
        <v>3750</v>
      </c>
      <c r="S68" s="45">
        <f>SUMIF('Gastos Generales'!$B:$B,PPvsREal!$C$68,'Gastos Generales'!S:S)</f>
        <v>0</v>
      </c>
      <c r="T68" s="45">
        <f>SUMIF('Gastos Generales'!$B:$B,PPvsREal!$C$68,'Gastos Generales'!T:T)</f>
        <v>3750</v>
      </c>
      <c r="U68" s="45">
        <f>SUMIF('Gastos Generales'!$B:$B,PPvsREal!$C$68,'Gastos Generales'!U:U)</f>
        <v>0</v>
      </c>
      <c r="V68" s="45">
        <f>SUMIF('Gastos Generales'!$B:$B,PPvsREal!$C$68,'Gastos Generales'!V:V)</f>
        <v>3750</v>
      </c>
      <c r="W68" s="45">
        <f>SUMIF('Gastos Generales'!$B:$B,PPvsREal!$C$68,'Gastos Generales'!W:W)</f>
        <v>0</v>
      </c>
      <c r="X68" s="45">
        <f>SUMIF('Gastos Generales'!$B:$B,PPvsREal!$C$68,'Gastos Generales'!X:X)</f>
        <v>3750</v>
      </c>
      <c r="Y68" s="45">
        <f>SUMIF('Gastos Generales'!$B:$B,PPvsREal!$C$68,'Gastos Generales'!Y:Y)</f>
        <v>0</v>
      </c>
      <c r="Z68" s="45">
        <f>SUMIF('Gastos Generales'!$B:$B,PPvsREal!$C$68,'Gastos Generales'!Z:Z)</f>
        <v>3750</v>
      </c>
      <c r="AA68" s="53">
        <f>SUMIF('Gastos Generales'!$B:$B,PPvsREal!$C$68,'Gastos Generales'!AA:AA)</f>
        <v>0</v>
      </c>
    </row>
    <row r="69" spans="2:27" ht="12.75" customHeight="1" x14ac:dyDescent="0.25">
      <c r="B69" s="44" t="s">
        <v>237</v>
      </c>
      <c r="C69" s="37" t="s">
        <v>238</v>
      </c>
      <c r="D69" s="45">
        <f>SUMIF('Gastos Generales'!$B:$B,PPvsREal!$C$69,'Gastos Generales'!D:D)</f>
        <v>1055.76</v>
      </c>
      <c r="E69" s="45">
        <f>SUMIF('Gastos Generales'!$B:$B,PPvsREal!$C$69,'Gastos Generales'!E:E)</f>
        <v>1317</v>
      </c>
      <c r="F69" s="45">
        <f>SUMIF('Gastos Generales'!$B:$B,PPvsREal!$C$69,'Gastos Generales'!F:F)</f>
        <v>1055.76</v>
      </c>
      <c r="G69" s="45">
        <f>SUMIF('Gastos Generales'!$B:$B,PPvsREal!$C$69,'Gastos Generales'!G:G)</f>
        <v>450</v>
      </c>
      <c r="H69" s="45">
        <f>SUMIF('Gastos Generales'!$B:$B,PPvsREal!$C$69,'Gastos Generales'!H:H)</f>
        <v>1055.76</v>
      </c>
      <c r="I69" s="45">
        <f>SUMIF('Gastos Generales'!$B:$B,PPvsREal!$C$69,'Gastos Generales'!I:I)</f>
        <v>2998</v>
      </c>
      <c r="J69" s="45">
        <f>SUMIF('Gastos Generales'!$B:$B,PPvsREal!$C$69,'Gastos Generales'!J:J)</f>
        <v>1055.76</v>
      </c>
      <c r="K69" s="45">
        <f>SUMIF('Gastos Generales'!$B:$B,PPvsREal!$C$69,'Gastos Generales'!K:K)</f>
        <v>900</v>
      </c>
      <c r="L69" s="45">
        <f>SUMIF('Gastos Generales'!$B:$B,PPvsREal!$C$69,'Gastos Generales'!L:L)</f>
        <v>1055.76</v>
      </c>
      <c r="M69" s="45">
        <f>SUMIF('Gastos Generales'!$B:$B,PPvsREal!$C$69,'Gastos Generales'!M:M)</f>
        <v>450</v>
      </c>
      <c r="N69" s="45">
        <f>SUMIF('Gastos Generales'!$B:$B,PPvsREal!$C$69,'Gastos Generales'!N:N)</f>
        <v>1055.76</v>
      </c>
      <c r="O69" s="45">
        <f>SUMIF('Gastos Generales'!$B:$B,PPvsREal!$C$69,'Gastos Generales'!O:O)</f>
        <v>2937</v>
      </c>
      <c r="P69" s="45">
        <f>SUMIF('Gastos Generales'!$B:$B,PPvsREal!$C$69,'Gastos Generales'!P:P)</f>
        <v>1055.76</v>
      </c>
      <c r="Q69" s="45">
        <f>SUMIF('Gastos Generales'!$B:$B,PPvsREal!$C$69,'Gastos Generales'!Q:Q)</f>
        <v>450</v>
      </c>
      <c r="R69" s="45">
        <f>SUMIF('Gastos Generales'!$B:$B,PPvsREal!$C$69,'Gastos Generales'!R:R)</f>
        <v>1055.76</v>
      </c>
      <c r="S69" s="45">
        <f>SUMIF('Gastos Generales'!$B:$B,PPvsREal!$C$69,'Gastos Generales'!S:S)</f>
        <v>0</v>
      </c>
      <c r="T69" s="45">
        <f>SUMIF('Gastos Generales'!$B:$B,PPvsREal!$C$69,'Gastos Generales'!T:T)</f>
        <v>1055.76</v>
      </c>
      <c r="U69" s="45">
        <f>SUMIF('Gastos Generales'!$B:$B,PPvsREal!$C$69,'Gastos Generales'!U:U)</f>
        <v>0</v>
      </c>
      <c r="V69" s="45">
        <f>SUMIF('Gastos Generales'!$B:$B,PPvsREal!$C$69,'Gastos Generales'!V:V)</f>
        <v>1055.76</v>
      </c>
      <c r="W69" s="45">
        <f>SUMIF('Gastos Generales'!$B:$B,PPvsREal!$C$69,'Gastos Generales'!W:W)</f>
        <v>0</v>
      </c>
      <c r="X69" s="45">
        <f>SUMIF('Gastos Generales'!$B:$B,PPvsREal!$C$69,'Gastos Generales'!X:X)</f>
        <v>1055.76</v>
      </c>
      <c r="Y69" s="45">
        <f>SUMIF('Gastos Generales'!$B:$B,PPvsREal!$C$69,'Gastos Generales'!Y:Y)</f>
        <v>0</v>
      </c>
      <c r="Z69" s="45">
        <f>SUMIF('Gastos Generales'!$B:$B,PPvsREal!$C$69,'Gastos Generales'!Z:Z)</f>
        <v>1055.76</v>
      </c>
      <c r="AA69" s="53">
        <f>SUMIF('Gastos Generales'!$B:$B,PPvsREal!$C$69,'Gastos Generales'!AA:AA)</f>
        <v>0</v>
      </c>
    </row>
    <row r="70" spans="2:27" ht="12.75" customHeight="1" x14ac:dyDescent="0.25">
      <c r="B70" s="44" t="s">
        <v>237</v>
      </c>
      <c r="C70" s="37" t="s">
        <v>240</v>
      </c>
      <c r="D70" s="45">
        <f>SUMIF('Gastos Generales'!$B:$B,PPvsREal!$C$70,'Gastos Generales'!D:D)</f>
        <v>9500</v>
      </c>
      <c r="E70" s="45">
        <f>SUMIF('Gastos Generales'!$B:$B,PPvsREal!$C$70,'Gastos Generales'!E:E)</f>
        <v>0</v>
      </c>
      <c r="F70" s="45">
        <f>SUMIF('Gastos Generales'!$B:$B,PPvsREal!$C$70,'Gastos Generales'!F:F)</f>
        <v>0</v>
      </c>
      <c r="G70" s="45">
        <f>SUMIF('Gastos Generales'!$B:$B,PPvsREal!$C$70,'Gastos Generales'!G:G)</f>
        <v>3899.96</v>
      </c>
      <c r="H70" s="45">
        <f>SUMIF('Gastos Generales'!$B:$B,PPvsREal!$C$70,'Gastos Generales'!H:H)</f>
        <v>9500</v>
      </c>
      <c r="I70" s="45">
        <f>SUMIF('Gastos Generales'!$B:$B,PPvsREal!$C$70,'Gastos Generales'!I:I)</f>
        <v>0</v>
      </c>
      <c r="J70" s="45">
        <f>SUMIF('Gastos Generales'!$B:$B,PPvsREal!$C$70,'Gastos Generales'!J:J)</f>
        <v>0</v>
      </c>
      <c r="K70" s="45">
        <f>SUMIF('Gastos Generales'!$B:$B,PPvsREal!$C$70,'Gastos Generales'!K:K)</f>
        <v>5018.08</v>
      </c>
      <c r="L70" s="45">
        <f>SUMIF('Gastos Generales'!$B:$B,PPvsREal!$C$70,'Gastos Generales'!L:L)</f>
        <v>9500</v>
      </c>
      <c r="M70" s="45">
        <f>SUMIF('Gastos Generales'!$B:$B,PPvsREal!$C$70,'Gastos Generales'!M:M)</f>
        <v>0</v>
      </c>
      <c r="N70" s="45">
        <f>SUMIF('Gastos Generales'!$B:$B,PPvsREal!$C$70,'Gastos Generales'!N:N)</f>
        <v>0</v>
      </c>
      <c r="O70" s="45">
        <f>SUMIF('Gastos Generales'!$B:$B,PPvsREal!$C$70,'Gastos Generales'!O:O)</f>
        <v>9280.15</v>
      </c>
      <c r="P70" s="45">
        <f>SUMIF('Gastos Generales'!$B:$B,PPvsREal!$C$70,'Gastos Generales'!P:P)</f>
        <v>9500</v>
      </c>
      <c r="Q70" s="45">
        <f>SUMIF('Gastos Generales'!$B:$B,PPvsREal!$C$70,'Gastos Generales'!Q:Q)</f>
        <v>0</v>
      </c>
      <c r="R70" s="45">
        <f>SUMIF('Gastos Generales'!$B:$B,PPvsREal!$C$70,'Gastos Generales'!R:R)</f>
        <v>0</v>
      </c>
      <c r="S70" s="45">
        <f>SUMIF('Gastos Generales'!$B:$B,PPvsREal!$C$70,'Gastos Generales'!S:S)</f>
        <v>0</v>
      </c>
      <c r="T70" s="45">
        <f>SUMIF('Gastos Generales'!$B:$B,PPvsREal!$C$70,'Gastos Generales'!T:T)</f>
        <v>9500</v>
      </c>
      <c r="U70" s="45">
        <f>SUMIF('Gastos Generales'!$B:$B,PPvsREal!$C$70,'Gastos Generales'!U:U)</f>
        <v>0</v>
      </c>
      <c r="V70" s="45">
        <f>SUMIF('Gastos Generales'!$B:$B,PPvsREal!$C$70,'Gastos Generales'!V:V)</f>
        <v>0</v>
      </c>
      <c r="W70" s="45">
        <f>SUMIF('Gastos Generales'!$B:$B,PPvsREal!$C$70,'Gastos Generales'!W:W)</f>
        <v>0</v>
      </c>
      <c r="X70" s="45">
        <f>SUMIF('Gastos Generales'!$B:$B,PPvsREal!$C$70,'Gastos Generales'!X:X)</f>
        <v>9500</v>
      </c>
      <c r="Y70" s="45">
        <f>SUMIF('Gastos Generales'!$B:$B,PPvsREal!$C$70,'Gastos Generales'!Y:Y)</f>
        <v>0</v>
      </c>
      <c r="Z70" s="45">
        <f>SUMIF('Gastos Generales'!$B:$B,PPvsREal!$C$70,'Gastos Generales'!Z:Z)</f>
        <v>0</v>
      </c>
      <c r="AA70" s="53">
        <f>SUMIF('Gastos Generales'!$B:$B,PPvsREal!$C$70,'Gastos Generales'!AA:AA)</f>
        <v>0</v>
      </c>
    </row>
    <row r="71" spans="2:27" ht="12.75" customHeight="1" x14ac:dyDescent="0.25">
      <c r="B71" s="44" t="s">
        <v>237</v>
      </c>
      <c r="C71" s="37" t="s">
        <v>242</v>
      </c>
      <c r="D71" s="45">
        <f>SUMIF('Gastos Generales'!$B:$B,PPvsREal!$C$71,'Gastos Generales'!D:D)</f>
        <v>800</v>
      </c>
      <c r="E71" s="45">
        <f>SUMIF('Gastos Generales'!$B:$B,PPvsREal!$C$71,'Gastos Generales'!E:E)</f>
        <v>143</v>
      </c>
      <c r="F71" s="45">
        <f>SUMIF('Gastos Generales'!$B:$B,PPvsREal!$C$71,'Gastos Generales'!F:F)</f>
        <v>800</v>
      </c>
      <c r="G71" s="45">
        <f>SUMIF('Gastos Generales'!$B:$B,PPvsREal!$C$71,'Gastos Generales'!G:G)</f>
        <v>372</v>
      </c>
      <c r="H71" s="45">
        <f>SUMIF('Gastos Generales'!$B:$B,PPvsREal!$C$71,'Gastos Generales'!H:H)</f>
        <v>800</v>
      </c>
      <c r="I71" s="45">
        <f>SUMIF('Gastos Generales'!$B:$B,PPvsREal!$C$71,'Gastos Generales'!I:I)</f>
        <v>197</v>
      </c>
      <c r="J71" s="45">
        <f>SUMIF('Gastos Generales'!$B:$B,PPvsREal!$C$71,'Gastos Generales'!J:J)</f>
        <v>800</v>
      </c>
      <c r="K71" s="45">
        <f>SUMIF('Gastos Generales'!$B:$B,PPvsREal!$C$71,'Gastos Generales'!K:K)</f>
        <v>150</v>
      </c>
      <c r="L71" s="45">
        <f>SUMIF('Gastos Generales'!$B:$B,PPvsREal!$C$71,'Gastos Generales'!L:L)</f>
        <v>800</v>
      </c>
      <c r="M71" s="45">
        <f>SUMIF('Gastos Generales'!$B:$B,PPvsREal!$C$71,'Gastos Generales'!M:M)</f>
        <v>168</v>
      </c>
      <c r="N71" s="45">
        <f>SUMIF('Gastos Generales'!$B:$B,PPvsREal!$C$71,'Gastos Generales'!N:N)</f>
        <v>800</v>
      </c>
      <c r="O71" s="45">
        <f>SUMIF('Gastos Generales'!$B:$B,PPvsREal!$C$71,'Gastos Generales'!O:O)</f>
        <v>138</v>
      </c>
      <c r="P71" s="45">
        <f>SUMIF('Gastos Generales'!$B:$B,PPvsREal!$C$71,'Gastos Generales'!P:P)</f>
        <v>800</v>
      </c>
      <c r="Q71" s="45">
        <f>SUMIF('Gastos Generales'!$B:$B,PPvsREal!$C$71,'Gastos Generales'!Q:Q)</f>
        <v>114</v>
      </c>
      <c r="R71" s="45">
        <f>SUMIF('Gastos Generales'!$B:$B,PPvsREal!$C$71,'Gastos Generales'!R:R)</f>
        <v>800</v>
      </c>
      <c r="S71" s="45">
        <f>SUMIF('Gastos Generales'!$B:$B,PPvsREal!$C$71,'Gastos Generales'!S:S)</f>
        <v>0</v>
      </c>
      <c r="T71" s="45">
        <f>SUMIF('Gastos Generales'!$B:$B,PPvsREal!$C$71,'Gastos Generales'!T:T)</f>
        <v>800</v>
      </c>
      <c r="U71" s="45">
        <f>SUMIF('Gastos Generales'!$B:$B,PPvsREal!$C$71,'Gastos Generales'!U:U)</f>
        <v>0</v>
      </c>
      <c r="V71" s="45">
        <f>SUMIF('Gastos Generales'!$B:$B,PPvsREal!$C$71,'Gastos Generales'!V:V)</f>
        <v>800</v>
      </c>
      <c r="W71" s="45">
        <f>SUMIF('Gastos Generales'!$B:$B,PPvsREal!$C$71,'Gastos Generales'!W:W)</f>
        <v>0</v>
      </c>
      <c r="X71" s="45">
        <f>SUMIF('Gastos Generales'!$B:$B,PPvsREal!$C$71,'Gastos Generales'!X:X)</f>
        <v>800</v>
      </c>
      <c r="Y71" s="45">
        <f>SUMIF('Gastos Generales'!$B:$B,PPvsREal!$C$71,'Gastos Generales'!Y:Y)</f>
        <v>0</v>
      </c>
      <c r="Z71" s="45">
        <f>SUMIF('Gastos Generales'!$B:$B,PPvsREal!$C$71,'Gastos Generales'!Z:Z)</f>
        <v>800</v>
      </c>
      <c r="AA71" s="53">
        <f>SUMIF('Gastos Generales'!$B:$B,PPvsREal!$C$71,'Gastos Generales'!AA:AA)</f>
        <v>0</v>
      </c>
    </row>
    <row r="72" spans="2:27" ht="12.75" customHeight="1" x14ac:dyDescent="0.25">
      <c r="B72" s="44" t="s">
        <v>237</v>
      </c>
      <c r="C72" s="37" t="s">
        <v>244</v>
      </c>
      <c r="D72" s="45">
        <f>SUMIF('Gastos Generales'!$B:$B,PPvsREal!$C$72,'Gastos Generales'!D:D)</f>
        <v>13922.7</v>
      </c>
      <c r="E72" s="45">
        <f>SUMIF('Gastos Generales'!$B:$B,PPvsREal!$C$72,'Gastos Generales'!E:E)</f>
        <v>13185</v>
      </c>
      <c r="F72" s="45">
        <f>SUMIF('Gastos Generales'!$B:$B,PPvsREal!$C$72,'Gastos Generales'!F:F)</f>
        <v>0</v>
      </c>
      <c r="G72" s="45">
        <f>SUMIF('Gastos Generales'!$B:$B,PPvsREal!$C$72,'Gastos Generales'!G:G)</f>
        <v>0</v>
      </c>
      <c r="H72" s="45">
        <f>SUMIF('Gastos Generales'!$B:$B,PPvsREal!$C$72,'Gastos Generales'!H:H)</f>
        <v>0</v>
      </c>
      <c r="I72" s="45">
        <f>SUMIF('Gastos Generales'!$B:$B,PPvsREal!$C$72,'Gastos Generales'!I:I)</f>
        <v>0</v>
      </c>
      <c r="J72" s="45">
        <f>SUMIF('Gastos Generales'!$B:$B,PPvsREal!$C$72,'Gastos Generales'!J:J)</f>
        <v>0</v>
      </c>
      <c r="K72" s="45">
        <f>SUMIF('Gastos Generales'!$B:$B,PPvsREal!$C$72,'Gastos Generales'!K:K)</f>
        <v>0</v>
      </c>
      <c r="L72" s="45">
        <f>SUMIF('Gastos Generales'!$B:$B,PPvsREal!$C$72,'Gastos Generales'!L:L)</f>
        <v>0</v>
      </c>
      <c r="M72" s="45">
        <f>SUMIF('Gastos Generales'!$B:$B,PPvsREal!$C$72,'Gastos Generales'!M:M)</f>
        <v>0</v>
      </c>
      <c r="N72" s="45">
        <f>SUMIF('Gastos Generales'!$B:$B,PPvsREal!$C$72,'Gastos Generales'!N:N)</f>
        <v>0</v>
      </c>
      <c r="O72" s="45">
        <f>SUMIF('Gastos Generales'!$B:$B,PPvsREal!$C$72,'Gastos Generales'!O:O)</f>
        <v>0</v>
      </c>
      <c r="P72" s="45">
        <f>SUMIF('Gastos Generales'!$B:$B,PPvsREal!$C$72,'Gastos Generales'!P:P)</f>
        <v>0</v>
      </c>
      <c r="Q72" s="45">
        <f>SUMIF('Gastos Generales'!$B:$B,PPvsREal!$C$72,'Gastos Generales'!Q:Q)</f>
        <v>0</v>
      </c>
      <c r="R72" s="45">
        <f>SUMIF('Gastos Generales'!$B:$B,PPvsREal!$C$72,'Gastos Generales'!R:R)</f>
        <v>0</v>
      </c>
      <c r="S72" s="45">
        <f>SUMIF('Gastos Generales'!$B:$B,PPvsREal!$C$72,'Gastos Generales'!S:S)</f>
        <v>0</v>
      </c>
      <c r="T72" s="45">
        <f>SUMIF('Gastos Generales'!$B:$B,PPvsREal!$C$72,'Gastos Generales'!T:T)</f>
        <v>0</v>
      </c>
      <c r="U72" s="45">
        <f>SUMIF('Gastos Generales'!$B:$B,PPvsREal!$C$72,'Gastos Generales'!U:U)</f>
        <v>0</v>
      </c>
      <c r="V72" s="45">
        <f>SUMIF('Gastos Generales'!$B:$B,PPvsREal!$C$72,'Gastos Generales'!V:V)</f>
        <v>0</v>
      </c>
      <c r="W72" s="45">
        <f>SUMIF('Gastos Generales'!$B:$B,PPvsREal!$C$72,'Gastos Generales'!W:W)</f>
        <v>0</v>
      </c>
      <c r="X72" s="45">
        <f>SUMIF('Gastos Generales'!$B:$B,PPvsREal!$C$72,'Gastos Generales'!X:X)</f>
        <v>0</v>
      </c>
      <c r="Y72" s="45">
        <f>SUMIF('Gastos Generales'!$B:$B,PPvsREal!$C$72,'Gastos Generales'!Y:Y)</f>
        <v>0</v>
      </c>
      <c r="Z72" s="45">
        <f>SUMIF('Gastos Generales'!$B:$B,PPvsREal!$C$72,'Gastos Generales'!Z:Z)</f>
        <v>0</v>
      </c>
      <c r="AA72" s="53">
        <f>SUMIF('Gastos Generales'!$B:$B,PPvsREal!$C$72,'Gastos Generales'!AA:AA)</f>
        <v>0</v>
      </c>
    </row>
    <row r="73" spans="2:27" ht="12.75" customHeight="1" x14ac:dyDescent="0.25">
      <c r="B73" s="44" t="s">
        <v>237</v>
      </c>
      <c r="C73" s="37" t="s">
        <v>246</v>
      </c>
      <c r="D73" s="45">
        <f>SUMIF('Gastos Generales'!$B:$B,PPvsREal!$C$73,'Gastos Generales'!D:D)</f>
        <v>10989</v>
      </c>
      <c r="E73" s="45">
        <f>SUMIF('Gastos Generales'!$B:$B,PPvsREal!$C$73,'Gastos Generales'!E:E)</f>
        <v>11190</v>
      </c>
      <c r="F73" s="45">
        <f>SUMIF('Gastos Generales'!$B:$B,PPvsREal!$C$73,'Gastos Generales'!F:F)</f>
        <v>10989</v>
      </c>
      <c r="G73" s="45">
        <f>SUMIF('Gastos Generales'!$B:$B,PPvsREal!$C$73,'Gastos Generales'!G:G)</f>
        <v>11190</v>
      </c>
      <c r="H73" s="45">
        <f>SUMIF('Gastos Generales'!$B:$B,PPvsREal!$C$73,'Gastos Generales'!H:H)</f>
        <v>10989</v>
      </c>
      <c r="I73" s="45">
        <f>SUMIF('Gastos Generales'!$B:$B,PPvsREal!$C$73,'Gastos Generales'!I:I)</f>
        <v>11190</v>
      </c>
      <c r="J73" s="45">
        <f>SUMIF('Gastos Generales'!$B:$B,PPvsREal!$C$73,'Gastos Generales'!J:J)</f>
        <v>10989</v>
      </c>
      <c r="K73" s="45">
        <f>SUMIF('Gastos Generales'!$B:$B,PPvsREal!$C$73,'Gastos Generales'!K:K)</f>
        <v>11190</v>
      </c>
      <c r="L73" s="45">
        <f>SUMIF('Gastos Generales'!$B:$B,PPvsREal!$C$73,'Gastos Generales'!L:L)</f>
        <v>10989</v>
      </c>
      <c r="M73" s="45">
        <f>SUMIF('Gastos Generales'!$B:$B,PPvsREal!$C$73,'Gastos Generales'!M:M)</f>
        <v>11190</v>
      </c>
      <c r="N73" s="45">
        <f>SUMIF('Gastos Generales'!$B:$B,PPvsREal!$C$73,'Gastos Generales'!N:N)</f>
        <v>10989</v>
      </c>
      <c r="O73" s="45">
        <f>SUMIF('Gastos Generales'!$B:$B,PPvsREal!$C$73,'Gastos Generales'!O:O)</f>
        <v>14990</v>
      </c>
      <c r="P73" s="45">
        <f>SUMIF('Gastos Generales'!$B:$B,PPvsREal!$C$73,'Gastos Generales'!P:P)</f>
        <v>10989</v>
      </c>
      <c r="Q73" s="45">
        <f>SUMIF('Gastos Generales'!$B:$B,PPvsREal!$C$73,'Gastos Generales'!Q:Q)</f>
        <v>14990</v>
      </c>
      <c r="R73" s="45">
        <f>SUMIF('Gastos Generales'!$B:$B,PPvsREal!$C$73,'Gastos Generales'!R:R)</f>
        <v>10989</v>
      </c>
      <c r="S73" s="45">
        <f>SUMIF('Gastos Generales'!$B:$B,PPvsREal!$C$73,'Gastos Generales'!S:S)</f>
        <v>0</v>
      </c>
      <c r="T73" s="45">
        <f>SUMIF('Gastos Generales'!$B:$B,PPvsREal!$C$73,'Gastos Generales'!T:T)</f>
        <v>10989</v>
      </c>
      <c r="U73" s="45">
        <f>SUMIF('Gastos Generales'!$B:$B,PPvsREal!$C$73,'Gastos Generales'!U:U)</f>
        <v>0</v>
      </c>
      <c r="V73" s="45">
        <f>SUMIF('Gastos Generales'!$B:$B,PPvsREal!$C$73,'Gastos Generales'!V:V)</f>
        <v>10989</v>
      </c>
      <c r="W73" s="45">
        <f>SUMIF('Gastos Generales'!$B:$B,PPvsREal!$C$73,'Gastos Generales'!W:W)</f>
        <v>0</v>
      </c>
      <c r="X73" s="45">
        <f>SUMIF('Gastos Generales'!$B:$B,PPvsREal!$C$73,'Gastos Generales'!X:X)</f>
        <v>10989</v>
      </c>
      <c r="Y73" s="45">
        <f>SUMIF('Gastos Generales'!$B:$B,PPvsREal!$C$73,'Gastos Generales'!Y:Y)</f>
        <v>0</v>
      </c>
      <c r="Z73" s="45">
        <f>SUMIF('Gastos Generales'!$B:$B,PPvsREal!$C$73,'Gastos Generales'!Z:Z)</f>
        <v>10989</v>
      </c>
      <c r="AA73" s="53">
        <f>SUMIF('Gastos Generales'!$B:$B,PPvsREal!$C$73,'Gastos Generales'!AA:AA)</f>
        <v>0</v>
      </c>
    </row>
    <row r="74" spans="2:27" ht="12.75" customHeight="1" x14ac:dyDescent="0.25">
      <c r="B74" s="44" t="s">
        <v>237</v>
      </c>
      <c r="C74" s="37" t="s">
        <v>248</v>
      </c>
      <c r="D74" s="45">
        <f>SUMIF('Gastos Generales'!$B:$B,PPvsREal!$C$74,'Gastos Generales'!D:D)</f>
        <v>1100</v>
      </c>
      <c r="E74" s="45">
        <f>SUMIF('Gastos Generales'!$B:$B,PPvsREal!$C$74,'Gastos Generales'!E:E)</f>
        <v>0</v>
      </c>
      <c r="F74" s="45">
        <f>SUMIF('Gastos Generales'!$B:$B,PPvsREal!$C$74,'Gastos Generales'!F:F)</f>
        <v>0</v>
      </c>
      <c r="G74" s="45">
        <f>SUMIF('Gastos Generales'!$B:$B,PPvsREal!$C$74,'Gastos Generales'!G:G)</f>
        <v>651.76</v>
      </c>
      <c r="H74" s="45">
        <f>SUMIF('Gastos Generales'!$B:$B,PPvsREal!$C$74,'Gastos Generales'!H:H)</f>
        <v>0</v>
      </c>
      <c r="I74" s="45">
        <f>SUMIF('Gastos Generales'!$B:$B,PPvsREal!$C$74,'Gastos Generales'!I:I)</f>
        <v>15500</v>
      </c>
      <c r="J74" s="45">
        <f>SUMIF('Gastos Generales'!$B:$B,PPvsREal!$C$74,'Gastos Generales'!J:J)</f>
        <v>1100</v>
      </c>
      <c r="K74" s="45">
        <f>SUMIF('Gastos Generales'!$B:$B,PPvsREal!$C$74,'Gastos Generales'!K:K)</f>
        <v>0</v>
      </c>
      <c r="L74" s="45">
        <f>SUMIF('Gastos Generales'!$B:$B,PPvsREal!$C$74,'Gastos Generales'!L:L)</f>
        <v>0</v>
      </c>
      <c r="M74" s="45">
        <f>SUMIF('Gastos Generales'!$B:$B,PPvsREal!$C$74,'Gastos Generales'!M:M)</f>
        <v>0</v>
      </c>
      <c r="N74" s="45">
        <f>SUMIF('Gastos Generales'!$B:$B,PPvsREal!$C$74,'Gastos Generales'!N:N)</f>
        <v>0</v>
      </c>
      <c r="O74" s="45">
        <f>SUMIF('Gastos Generales'!$B:$B,PPvsREal!$C$74,'Gastos Generales'!O:O)</f>
        <v>0</v>
      </c>
      <c r="P74" s="45">
        <f>SUMIF('Gastos Generales'!$B:$B,PPvsREal!$C$74,'Gastos Generales'!P:P)</f>
        <v>1100</v>
      </c>
      <c r="Q74" s="45">
        <f>SUMIF('Gastos Generales'!$B:$B,PPvsREal!$C$74,'Gastos Generales'!Q:Q)</f>
        <v>0</v>
      </c>
      <c r="R74" s="45">
        <f>SUMIF('Gastos Generales'!$B:$B,PPvsREal!$C$74,'Gastos Generales'!R:R)</f>
        <v>0</v>
      </c>
      <c r="S74" s="45">
        <f>SUMIF('Gastos Generales'!$B:$B,PPvsREal!$C$74,'Gastos Generales'!S:S)</f>
        <v>0</v>
      </c>
      <c r="T74" s="45">
        <f>SUMIF('Gastos Generales'!$B:$B,PPvsREal!$C$74,'Gastos Generales'!T:T)</f>
        <v>0</v>
      </c>
      <c r="U74" s="45">
        <f>SUMIF('Gastos Generales'!$B:$B,PPvsREal!$C$74,'Gastos Generales'!U:U)</f>
        <v>0</v>
      </c>
      <c r="V74" s="45">
        <f>SUMIF('Gastos Generales'!$B:$B,PPvsREal!$C$74,'Gastos Generales'!V:V)</f>
        <v>1100</v>
      </c>
      <c r="W74" s="45">
        <f>SUMIF('Gastos Generales'!$B:$B,PPvsREal!$C$74,'Gastos Generales'!W:W)</f>
        <v>0</v>
      </c>
      <c r="X74" s="45">
        <f>SUMIF('Gastos Generales'!$B:$B,PPvsREal!$C$74,'Gastos Generales'!X:X)</f>
        <v>0</v>
      </c>
      <c r="Y74" s="45">
        <f>SUMIF('Gastos Generales'!$B:$B,PPvsREal!$C$74,'Gastos Generales'!Y:Y)</f>
        <v>0</v>
      </c>
      <c r="Z74" s="45">
        <f>SUMIF('Gastos Generales'!$B:$B,PPvsREal!$C$74,'Gastos Generales'!Z:Z)</f>
        <v>0</v>
      </c>
      <c r="AA74" s="53">
        <f>SUMIF('Gastos Generales'!$B:$B,PPvsREal!$C$74,'Gastos Generales'!AA:AA)</f>
        <v>0</v>
      </c>
    </row>
    <row r="75" spans="2:27" ht="12.75" customHeight="1" x14ac:dyDescent="0.25">
      <c r="B75" s="44" t="s">
        <v>237</v>
      </c>
      <c r="C75" s="37" t="s">
        <v>252</v>
      </c>
      <c r="D75" s="45">
        <f>SUMIF('Gastos Generales'!$B:$B,PPvsREal!$C$75,'Gastos Generales'!D:D)</f>
        <v>1740</v>
      </c>
      <c r="E75" s="45">
        <f>SUMIF('Gastos Generales'!$B:$B,PPvsREal!$C$75,'Gastos Generales'!E:E)</f>
        <v>0</v>
      </c>
      <c r="F75" s="45">
        <f>SUMIF('Gastos Generales'!$B:$B,PPvsREal!$C$75,'Gastos Generales'!F:F)</f>
        <v>1740</v>
      </c>
      <c r="G75" s="45">
        <f>SUMIF('Gastos Generales'!$B:$B,PPvsREal!$C$75,'Gastos Generales'!G:G)</f>
        <v>0</v>
      </c>
      <c r="H75" s="45">
        <f>SUMIF('Gastos Generales'!$B:$B,PPvsREal!$C$75,'Gastos Generales'!H:H)</f>
        <v>1740</v>
      </c>
      <c r="I75" s="45">
        <f>SUMIF('Gastos Generales'!$B:$B,PPvsREal!$C$75,'Gastos Generales'!I:I)</f>
        <v>0</v>
      </c>
      <c r="J75" s="45">
        <f>SUMIF('Gastos Generales'!$B:$B,PPvsREal!$C$75,'Gastos Generales'!J:J)</f>
        <v>1740</v>
      </c>
      <c r="K75" s="45">
        <f>SUMIF('Gastos Generales'!$B:$B,PPvsREal!$C$75,'Gastos Generales'!K:K)</f>
        <v>0</v>
      </c>
      <c r="L75" s="45">
        <f>SUMIF('Gastos Generales'!$B:$B,PPvsREal!$C$75,'Gastos Generales'!L:L)</f>
        <v>1740</v>
      </c>
      <c r="M75" s="45">
        <f>SUMIF('Gastos Generales'!$B:$B,PPvsREal!$C$75,'Gastos Generales'!M:M)</f>
        <v>0</v>
      </c>
      <c r="N75" s="45">
        <f>SUMIF('Gastos Generales'!$B:$B,PPvsREal!$C$75,'Gastos Generales'!N:N)</f>
        <v>1740</v>
      </c>
      <c r="O75" s="45">
        <f>SUMIF('Gastos Generales'!$B:$B,PPvsREal!$C$75,'Gastos Generales'!O:O)</f>
        <v>0</v>
      </c>
      <c r="P75" s="45">
        <f>SUMIF('Gastos Generales'!$B:$B,PPvsREal!$C$75,'Gastos Generales'!P:P)</f>
        <v>1740</v>
      </c>
      <c r="Q75" s="45">
        <f>SUMIF('Gastos Generales'!$B:$B,PPvsREal!$C$75,'Gastos Generales'!Q:Q)</f>
        <v>0</v>
      </c>
      <c r="R75" s="45">
        <f>SUMIF('Gastos Generales'!$B:$B,PPvsREal!$C$75,'Gastos Generales'!R:R)</f>
        <v>1740</v>
      </c>
      <c r="S75" s="45">
        <f>SUMIF('Gastos Generales'!$B:$B,PPvsREal!$C$75,'Gastos Generales'!S:S)</f>
        <v>0</v>
      </c>
      <c r="T75" s="45">
        <f>SUMIF('Gastos Generales'!$B:$B,PPvsREal!$C$75,'Gastos Generales'!T:T)</f>
        <v>1740</v>
      </c>
      <c r="U75" s="45">
        <f>SUMIF('Gastos Generales'!$B:$B,PPvsREal!$C$75,'Gastos Generales'!U:U)</f>
        <v>0</v>
      </c>
      <c r="V75" s="45">
        <f>SUMIF('Gastos Generales'!$B:$B,PPvsREal!$C$75,'Gastos Generales'!V:V)</f>
        <v>1740</v>
      </c>
      <c r="W75" s="45">
        <f>SUMIF('Gastos Generales'!$B:$B,PPvsREal!$C$75,'Gastos Generales'!W:W)</f>
        <v>0</v>
      </c>
      <c r="X75" s="45">
        <f>SUMIF('Gastos Generales'!$B:$B,PPvsREal!$C$75,'Gastos Generales'!X:X)</f>
        <v>1740</v>
      </c>
      <c r="Y75" s="45">
        <f>SUMIF('Gastos Generales'!$B:$B,PPvsREal!$C$75,'Gastos Generales'!Y:Y)</f>
        <v>0</v>
      </c>
      <c r="Z75" s="45">
        <f>SUMIF('Gastos Generales'!$B:$B,PPvsREal!$C$75,'Gastos Generales'!Z:Z)</f>
        <v>1740</v>
      </c>
      <c r="AA75" s="53">
        <f>SUMIF('Gastos Generales'!$B:$B,PPvsREal!$C$75,'Gastos Generales'!AA:AA)</f>
        <v>0</v>
      </c>
    </row>
    <row r="76" spans="2:27" ht="12.75" customHeight="1" x14ac:dyDescent="0.25">
      <c r="B76" s="44" t="s">
        <v>237</v>
      </c>
      <c r="C76" s="37" t="s">
        <v>254</v>
      </c>
      <c r="D76" s="45">
        <f>SUMIF('Gastos Generales'!$B:$B,PPvsREal!$C$76,'Gastos Generales'!D:D)</f>
        <v>0</v>
      </c>
      <c r="E76" s="45">
        <f>SUMIF('Gastos Generales'!$B:$B,PPvsREal!$C$76,'Gastos Generales'!E:E)</f>
        <v>0</v>
      </c>
      <c r="F76" s="45">
        <f>SUMIF('Gastos Generales'!$B:$B,PPvsREal!$C$76,'Gastos Generales'!F:F)</f>
        <v>28000</v>
      </c>
      <c r="G76" s="45">
        <f>SUMIF('Gastos Generales'!$B:$B,PPvsREal!$C$76,'Gastos Generales'!G:G)</f>
        <v>21444.52</v>
      </c>
      <c r="H76" s="45">
        <f>SUMIF('Gastos Generales'!$B:$B,PPvsREal!$C$76,'Gastos Generales'!H:H)</f>
        <v>0</v>
      </c>
      <c r="I76" s="45">
        <f>SUMIF('Gastos Generales'!$B:$B,PPvsREal!$C$76,'Gastos Generales'!I:I)</f>
        <v>4256.22</v>
      </c>
      <c r="J76" s="45">
        <f>SUMIF('Gastos Generales'!$B:$B,PPvsREal!$C$76,'Gastos Generales'!J:J)</f>
        <v>16000</v>
      </c>
      <c r="K76" s="45">
        <f>SUMIF('Gastos Generales'!$B:$B,PPvsREal!$C$76,'Gastos Generales'!K:K)</f>
        <v>2102.0700000000002</v>
      </c>
      <c r="L76" s="45">
        <f>SUMIF('Gastos Generales'!$B:$B,PPvsREal!$C$76,'Gastos Generales'!L:L)</f>
        <v>0</v>
      </c>
      <c r="M76" s="45">
        <f>SUMIF('Gastos Generales'!$B:$B,PPvsREal!$C$76,'Gastos Generales'!M:M)</f>
        <v>0</v>
      </c>
      <c r="N76" s="45">
        <f>SUMIF('Gastos Generales'!$B:$B,PPvsREal!$C$76,'Gastos Generales'!N:N)</f>
        <v>0</v>
      </c>
      <c r="O76" s="45">
        <f>SUMIF('Gastos Generales'!$B:$B,PPvsREal!$C$76,'Gastos Generales'!O:O)</f>
        <v>1425</v>
      </c>
      <c r="P76" s="45">
        <f>SUMIF('Gastos Generales'!$B:$B,PPvsREal!$C$76,'Gastos Generales'!P:P)</f>
        <v>16000</v>
      </c>
      <c r="Q76" s="45">
        <f>SUMIF('Gastos Generales'!$B:$B,PPvsREal!$C$76,'Gastos Generales'!Q:Q)</f>
        <v>7995</v>
      </c>
      <c r="R76" s="45">
        <f>SUMIF('Gastos Generales'!$B:$B,PPvsREal!$C$76,'Gastos Generales'!R:R)</f>
        <v>0</v>
      </c>
      <c r="S76" s="45">
        <f>SUMIF('Gastos Generales'!$B:$B,PPvsREal!$C$76,'Gastos Generales'!S:S)</f>
        <v>0</v>
      </c>
      <c r="T76" s="45">
        <f>SUMIF('Gastos Generales'!$B:$B,PPvsREal!$C$76,'Gastos Generales'!T:T)</f>
        <v>0</v>
      </c>
      <c r="U76" s="45">
        <f>SUMIF('Gastos Generales'!$B:$B,PPvsREal!$C$76,'Gastos Generales'!U:U)</f>
        <v>0</v>
      </c>
      <c r="V76" s="45">
        <f>SUMIF('Gastos Generales'!$B:$B,PPvsREal!$C$76,'Gastos Generales'!V:V)</f>
        <v>16000</v>
      </c>
      <c r="W76" s="45">
        <f>SUMIF('Gastos Generales'!$B:$B,PPvsREal!$C$76,'Gastos Generales'!W:W)</f>
        <v>0</v>
      </c>
      <c r="X76" s="45">
        <f>SUMIF('Gastos Generales'!$B:$B,PPvsREal!$C$76,'Gastos Generales'!X:X)</f>
        <v>0</v>
      </c>
      <c r="Y76" s="45">
        <f>SUMIF('Gastos Generales'!$B:$B,PPvsREal!$C$76,'Gastos Generales'!Y:Y)</f>
        <v>0</v>
      </c>
      <c r="Z76" s="45">
        <f>SUMIF('Gastos Generales'!$B:$B,PPvsREal!$C$76,'Gastos Generales'!Z:Z)</f>
        <v>0</v>
      </c>
      <c r="AA76" s="53">
        <f>SUMIF('Gastos Generales'!$B:$B,PPvsREal!$C$76,'Gastos Generales'!AA:AA)</f>
        <v>0</v>
      </c>
    </row>
    <row r="77" spans="2:27" ht="12.75" customHeight="1" x14ac:dyDescent="0.25">
      <c r="B77" s="44" t="s">
        <v>237</v>
      </c>
      <c r="C77" s="37" t="s">
        <v>261</v>
      </c>
      <c r="D77" s="45">
        <f>SUMIF('Gastos Generales'!$B:$B,PPvsREal!$C$77,'Gastos Generales'!D:D)</f>
        <v>20839</v>
      </c>
      <c r="E77" s="45">
        <f>SUMIF('Gastos Generales'!$B:$B,PPvsREal!$C$77,'Gastos Generales'!E:E)</f>
        <v>600</v>
      </c>
      <c r="F77" s="45">
        <f>SUMIF('Gastos Generales'!$B:$B,PPvsREal!$C$77,'Gastos Generales'!F:F)</f>
        <v>10000</v>
      </c>
      <c r="G77" s="45">
        <f>SUMIF('Gastos Generales'!$B:$B,PPvsREal!$C$77,'Gastos Generales'!G:G)</f>
        <v>4129.3500000000004</v>
      </c>
      <c r="H77" s="45">
        <f>SUMIF('Gastos Generales'!$B:$B,PPvsREal!$C$77,'Gastos Generales'!H:H)</f>
        <v>102695</v>
      </c>
      <c r="I77" s="45">
        <f>SUMIF('Gastos Generales'!$B:$B,PPvsREal!$C$77,'Gastos Generales'!I:I)</f>
        <v>44336.74</v>
      </c>
      <c r="J77" s="45">
        <f>SUMIF('Gastos Generales'!$B:$B,PPvsREal!$C$77,'Gastos Generales'!J:J)</f>
        <v>53339</v>
      </c>
      <c r="K77" s="45">
        <f>SUMIF('Gastos Generales'!$B:$B,PPvsREal!$C$77,'Gastos Generales'!K:K)</f>
        <v>57950</v>
      </c>
      <c r="L77" s="45">
        <f>SUMIF('Gastos Generales'!$B:$B,PPvsREal!$C$77,'Gastos Generales'!L:L)</f>
        <v>30000</v>
      </c>
      <c r="M77" s="45">
        <f>SUMIF('Gastos Generales'!$B:$B,PPvsREal!$C$77,'Gastos Generales'!M:M)</f>
        <v>35021.75</v>
      </c>
      <c r="N77" s="45">
        <f>SUMIF('Gastos Generales'!$B:$B,PPvsREal!$C$77,'Gastos Generales'!N:N)</f>
        <v>30000</v>
      </c>
      <c r="O77" s="45">
        <f>SUMIF('Gastos Generales'!$B:$B,PPvsREal!$C$77,'Gastos Generales'!O:O)</f>
        <v>31028</v>
      </c>
      <c r="P77" s="45">
        <f>SUMIF('Gastos Generales'!$B:$B,PPvsREal!$C$77,'Gastos Generales'!P:P)</f>
        <v>20839</v>
      </c>
      <c r="Q77" s="45">
        <f>SUMIF('Gastos Generales'!$B:$B,PPvsREal!$C$77,'Gastos Generales'!Q:Q)</f>
        <v>15400</v>
      </c>
      <c r="R77" s="45">
        <f>SUMIF('Gastos Generales'!$B:$B,PPvsREal!$C$77,'Gastos Generales'!R:R)</f>
        <v>10000</v>
      </c>
      <c r="S77" s="45">
        <f>SUMIF('Gastos Generales'!$B:$B,PPvsREal!$C$77,'Gastos Generales'!S:S)</f>
        <v>0</v>
      </c>
      <c r="T77" s="45">
        <f>SUMIF('Gastos Generales'!$B:$B,PPvsREal!$C$77,'Gastos Generales'!T:T)</f>
        <v>32695</v>
      </c>
      <c r="U77" s="45">
        <f>SUMIF('Gastos Generales'!$B:$B,PPvsREal!$C$77,'Gastos Generales'!U:U)</f>
        <v>0</v>
      </c>
      <c r="V77" s="45">
        <f>SUMIF('Gastos Generales'!$B:$B,PPvsREal!$C$77,'Gastos Generales'!V:V)</f>
        <v>13339</v>
      </c>
      <c r="W77" s="45">
        <f>SUMIF('Gastos Generales'!$B:$B,PPvsREal!$C$77,'Gastos Generales'!W:W)</f>
        <v>0</v>
      </c>
      <c r="X77" s="45">
        <f>SUMIF('Gastos Generales'!$B:$B,PPvsREal!$C$77,'Gastos Generales'!X:X)</f>
        <v>10000</v>
      </c>
      <c r="Y77" s="45">
        <f>SUMIF('Gastos Generales'!$B:$B,PPvsREal!$C$77,'Gastos Generales'!Y:Y)</f>
        <v>0</v>
      </c>
      <c r="Z77" s="45">
        <f>SUMIF('Gastos Generales'!$B:$B,PPvsREal!$C$77,'Gastos Generales'!Z:Z)</f>
        <v>10000</v>
      </c>
      <c r="AA77" s="53">
        <f>SUMIF('Gastos Generales'!$B:$B,PPvsREal!$C$77,'Gastos Generales'!AA:AA)</f>
        <v>0</v>
      </c>
    </row>
    <row r="78" spans="2:27" ht="12.75" customHeight="1" x14ac:dyDescent="0.25">
      <c r="B78" s="44" t="s">
        <v>237</v>
      </c>
      <c r="C78" s="37" t="s">
        <v>263</v>
      </c>
      <c r="D78" s="45">
        <f>SUMIF('Gastos Generales'!$B:$B,PPvsREal!$C$78,'Gastos Generales'!D:D)</f>
        <v>1802</v>
      </c>
      <c r="E78" s="45">
        <f>SUMIF('Gastos Generales'!$B:$B,PPvsREal!$C$78,'Gastos Generales'!E:E)</f>
        <v>1700</v>
      </c>
      <c r="F78" s="45">
        <f>SUMIF('Gastos Generales'!$B:$B,PPvsREal!$C$78,'Gastos Generales'!F:F)</f>
        <v>1802</v>
      </c>
      <c r="G78" s="45">
        <f>SUMIF('Gastos Generales'!$B:$B,PPvsREal!$C$78,'Gastos Generales'!G:G)</f>
        <v>1700</v>
      </c>
      <c r="H78" s="45">
        <f>SUMIF('Gastos Generales'!$B:$B,PPvsREal!$C$78,'Gastos Generales'!H:H)</f>
        <v>1802</v>
      </c>
      <c r="I78" s="45">
        <f>SUMIF('Gastos Generales'!$B:$B,PPvsREal!$C$78,'Gastos Generales'!I:I)</f>
        <v>1700</v>
      </c>
      <c r="J78" s="45">
        <f>SUMIF('Gastos Generales'!$B:$B,PPvsREal!$C$78,'Gastos Generales'!J:J)</f>
        <v>1802</v>
      </c>
      <c r="K78" s="45">
        <f>SUMIF('Gastos Generales'!$B:$B,PPvsREal!$C$78,'Gastos Generales'!K:K)</f>
        <v>1700</v>
      </c>
      <c r="L78" s="45">
        <f>SUMIF('Gastos Generales'!$B:$B,PPvsREal!$C$78,'Gastos Generales'!L:L)</f>
        <v>1802</v>
      </c>
      <c r="M78" s="45">
        <f>SUMIF('Gastos Generales'!$B:$B,PPvsREal!$C$78,'Gastos Generales'!M:M)</f>
        <v>1700</v>
      </c>
      <c r="N78" s="45">
        <f>SUMIF('Gastos Generales'!$B:$B,PPvsREal!$C$78,'Gastos Generales'!N:N)</f>
        <v>1802</v>
      </c>
      <c r="O78" s="45">
        <f>SUMIF('Gastos Generales'!$B:$B,PPvsREal!$C$78,'Gastos Generales'!O:O)</f>
        <v>1700</v>
      </c>
      <c r="P78" s="45">
        <f>SUMIF('Gastos Generales'!$B:$B,PPvsREal!$C$78,'Gastos Generales'!P:P)</f>
        <v>1802</v>
      </c>
      <c r="Q78" s="45">
        <f>SUMIF('Gastos Generales'!$B:$B,PPvsREal!$C$78,'Gastos Generales'!Q:Q)</f>
        <v>1700</v>
      </c>
      <c r="R78" s="45">
        <f>SUMIF('Gastos Generales'!$B:$B,PPvsREal!$C$78,'Gastos Generales'!R:R)</f>
        <v>1802</v>
      </c>
      <c r="S78" s="45">
        <f>SUMIF('Gastos Generales'!$B:$B,PPvsREal!$C$78,'Gastos Generales'!S:S)</f>
        <v>0</v>
      </c>
      <c r="T78" s="45">
        <f>SUMIF('Gastos Generales'!$B:$B,PPvsREal!$C$78,'Gastos Generales'!T:T)</f>
        <v>1802</v>
      </c>
      <c r="U78" s="45">
        <f>SUMIF('Gastos Generales'!$B:$B,PPvsREal!$C$78,'Gastos Generales'!U:U)</f>
        <v>0</v>
      </c>
      <c r="V78" s="45">
        <f>SUMIF('Gastos Generales'!$B:$B,PPvsREal!$C$78,'Gastos Generales'!V:V)</f>
        <v>1802</v>
      </c>
      <c r="W78" s="45">
        <f>SUMIF('Gastos Generales'!$B:$B,PPvsREal!$C$78,'Gastos Generales'!W:W)</f>
        <v>0</v>
      </c>
      <c r="X78" s="45">
        <f>SUMIF('Gastos Generales'!$B:$B,PPvsREal!$C$78,'Gastos Generales'!X:X)</f>
        <v>1802</v>
      </c>
      <c r="Y78" s="45">
        <f>SUMIF('Gastos Generales'!$B:$B,PPvsREal!$C$78,'Gastos Generales'!Y:Y)</f>
        <v>0</v>
      </c>
      <c r="Z78" s="45">
        <f>SUMIF('Gastos Generales'!$B:$B,PPvsREal!$C$78,'Gastos Generales'!Z:Z)</f>
        <v>1802</v>
      </c>
      <c r="AA78" s="53">
        <f>SUMIF('Gastos Generales'!$B:$B,PPvsREal!$C$78,'Gastos Generales'!AA:AA)</f>
        <v>0</v>
      </c>
    </row>
    <row r="79" spans="2:27" ht="12.75" customHeight="1" x14ac:dyDescent="0.25">
      <c r="B79" s="44" t="s">
        <v>237</v>
      </c>
      <c r="C79" s="37" t="s">
        <v>265</v>
      </c>
      <c r="D79" s="45">
        <f>SUMIF('Gastos Generales'!$B:$B,PPvsREal!$C$79,'Gastos Generales'!D:D)</f>
        <v>3200</v>
      </c>
      <c r="E79" s="45">
        <f>SUMIF('Gastos Generales'!$B:$B,PPvsREal!$C$79,'Gastos Generales'!E:E)</f>
        <v>3192</v>
      </c>
      <c r="F79" s="45">
        <f>SUMIF('Gastos Generales'!$B:$B,PPvsREal!$C$79,'Gastos Generales'!F:F)</f>
        <v>0</v>
      </c>
      <c r="G79" s="45">
        <f>SUMIF('Gastos Generales'!$B:$B,PPvsREal!$C$79,'Gastos Generales'!G:G)</f>
        <v>0</v>
      </c>
      <c r="H79" s="45">
        <f>SUMIF('Gastos Generales'!$B:$B,PPvsREal!$C$79,'Gastos Generales'!H:H)</f>
        <v>0</v>
      </c>
      <c r="I79" s="45">
        <f>SUMIF('Gastos Generales'!$B:$B,PPvsREal!$C$79,'Gastos Generales'!I:I)</f>
        <v>0</v>
      </c>
      <c r="J79" s="45">
        <f>SUMIF('Gastos Generales'!$B:$B,PPvsREal!$C$79,'Gastos Generales'!J:J)</f>
        <v>0</v>
      </c>
      <c r="K79" s="45">
        <f>SUMIF('Gastos Generales'!$B:$B,PPvsREal!$C$79,'Gastos Generales'!K:K)</f>
        <v>0</v>
      </c>
      <c r="L79" s="45">
        <f>SUMIF('Gastos Generales'!$B:$B,PPvsREal!$C$79,'Gastos Generales'!L:L)</f>
        <v>0</v>
      </c>
      <c r="M79" s="45">
        <f>SUMIF('Gastos Generales'!$B:$B,PPvsREal!$C$79,'Gastos Generales'!M:M)</f>
        <v>0</v>
      </c>
      <c r="N79" s="45">
        <f>SUMIF('Gastos Generales'!$B:$B,PPvsREal!$C$79,'Gastos Generales'!N:N)</f>
        <v>0</v>
      </c>
      <c r="O79" s="45">
        <f>SUMIF('Gastos Generales'!$B:$B,PPvsREal!$C$79,'Gastos Generales'!O:O)</f>
        <v>0</v>
      </c>
      <c r="P79" s="45">
        <f>SUMIF('Gastos Generales'!$B:$B,PPvsREal!$C$79,'Gastos Generales'!P:P)</f>
        <v>0</v>
      </c>
      <c r="Q79" s="45">
        <f>SUMIF('Gastos Generales'!$B:$B,PPvsREal!$C$79,'Gastos Generales'!Q:Q)</f>
        <v>0</v>
      </c>
      <c r="R79" s="45">
        <f>SUMIF('Gastos Generales'!$B:$B,PPvsREal!$C$79,'Gastos Generales'!R:R)</f>
        <v>0</v>
      </c>
      <c r="S79" s="45">
        <f>SUMIF('Gastos Generales'!$B:$B,PPvsREal!$C$79,'Gastos Generales'!S:S)</f>
        <v>0</v>
      </c>
      <c r="T79" s="45">
        <f>SUMIF('Gastos Generales'!$B:$B,PPvsREal!$C$79,'Gastos Generales'!T:T)</f>
        <v>0</v>
      </c>
      <c r="U79" s="45">
        <f>SUMIF('Gastos Generales'!$B:$B,PPvsREal!$C$79,'Gastos Generales'!U:U)</f>
        <v>0</v>
      </c>
      <c r="V79" s="45">
        <f>SUMIF('Gastos Generales'!$B:$B,PPvsREal!$C$79,'Gastos Generales'!V:V)</f>
        <v>0</v>
      </c>
      <c r="W79" s="45">
        <f>SUMIF('Gastos Generales'!$B:$B,PPvsREal!$C$79,'Gastos Generales'!W:W)</f>
        <v>0</v>
      </c>
      <c r="X79" s="45">
        <f>SUMIF('Gastos Generales'!$B:$B,PPvsREal!$C$79,'Gastos Generales'!X:X)</f>
        <v>0</v>
      </c>
      <c r="Y79" s="45">
        <f>SUMIF('Gastos Generales'!$B:$B,PPvsREal!$C$79,'Gastos Generales'!Y:Y)</f>
        <v>0</v>
      </c>
      <c r="Z79" s="45">
        <f>SUMIF('Gastos Generales'!$B:$B,PPvsREal!$C$79,'Gastos Generales'!Z:Z)</f>
        <v>0</v>
      </c>
      <c r="AA79" s="53">
        <f>SUMIF('Gastos Generales'!$B:$B,PPvsREal!$C$79,'Gastos Generales'!AA:AA)</f>
        <v>0</v>
      </c>
    </row>
    <row r="80" spans="2:27" ht="12.75" customHeight="1" x14ac:dyDescent="0.25">
      <c r="B80" s="44" t="s">
        <v>237</v>
      </c>
      <c r="C80" s="37" t="s">
        <v>267</v>
      </c>
      <c r="D80" s="45">
        <f>SUMIF('Gastos Generales'!$B:$B,PPvsREal!$C$80,'Gastos Generales'!D:D)</f>
        <v>878.9</v>
      </c>
      <c r="E80" s="45">
        <f>SUMIF('Gastos Generales'!$B:$B,PPvsREal!$C$80,'Gastos Generales'!E:E)</f>
        <v>799</v>
      </c>
      <c r="F80" s="45">
        <f>SUMIF('Gastos Generales'!$B:$B,PPvsREal!$C$80,'Gastos Generales'!F:F)</f>
        <v>878.9</v>
      </c>
      <c r="G80" s="45">
        <f>SUMIF('Gastos Generales'!$B:$B,PPvsREal!$C$80,'Gastos Generales'!G:G)</f>
        <v>799</v>
      </c>
      <c r="H80" s="45">
        <f>SUMIF('Gastos Generales'!$B:$B,PPvsREal!$C$80,'Gastos Generales'!H:H)</f>
        <v>878.9</v>
      </c>
      <c r="I80" s="45">
        <f>SUMIF('Gastos Generales'!$B:$B,PPvsREal!$C$80,'Gastos Generales'!I:I)</f>
        <v>799</v>
      </c>
      <c r="J80" s="45">
        <f>SUMIF('Gastos Generales'!$B:$B,PPvsREal!$C$80,'Gastos Generales'!J:J)</f>
        <v>878.9</v>
      </c>
      <c r="K80" s="45">
        <f>SUMIF('Gastos Generales'!$B:$B,PPvsREal!$C$80,'Gastos Generales'!K:K)</f>
        <v>799</v>
      </c>
      <c r="L80" s="45">
        <f>SUMIF('Gastos Generales'!$B:$B,PPvsREal!$C$80,'Gastos Generales'!L:L)</f>
        <v>878.9</v>
      </c>
      <c r="M80" s="45">
        <f>SUMIF('Gastos Generales'!$B:$B,PPvsREal!$C$80,'Gastos Generales'!M:M)</f>
        <v>799</v>
      </c>
      <c r="N80" s="45">
        <f>SUMIF('Gastos Generales'!$B:$B,PPvsREal!$C$80,'Gastos Generales'!N:N)</f>
        <v>878.9</v>
      </c>
      <c r="O80" s="45">
        <f>SUMIF('Gastos Generales'!$B:$B,PPvsREal!$C$80,'Gastos Generales'!O:O)</f>
        <v>799</v>
      </c>
      <c r="P80" s="45">
        <f>SUMIF('Gastos Generales'!$B:$B,PPvsREal!$C$80,'Gastos Generales'!P:P)</f>
        <v>878.9</v>
      </c>
      <c r="Q80" s="45">
        <f>SUMIF('Gastos Generales'!$B:$B,PPvsREal!$C$80,'Gastos Generales'!Q:Q)</f>
        <v>799</v>
      </c>
      <c r="R80" s="45">
        <f>SUMIF('Gastos Generales'!$B:$B,PPvsREal!$C$80,'Gastos Generales'!R:R)</f>
        <v>878.9</v>
      </c>
      <c r="S80" s="45">
        <f>SUMIF('Gastos Generales'!$B:$B,PPvsREal!$C$80,'Gastos Generales'!S:S)</f>
        <v>0</v>
      </c>
      <c r="T80" s="45">
        <f>SUMIF('Gastos Generales'!$B:$B,PPvsREal!$C$80,'Gastos Generales'!T:T)</f>
        <v>878.9</v>
      </c>
      <c r="U80" s="45">
        <f>SUMIF('Gastos Generales'!$B:$B,PPvsREal!$C$80,'Gastos Generales'!U:U)</f>
        <v>0</v>
      </c>
      <c r="V80" s="45">
        <f>SUMIF('Gastos Generales'!$B:$B,PPvsREal!$C$80,'Gastos Generales'!V:V)</f>
        <v>878.9</v>
      </c>
      <c r="W80" s="45">
        <f>SUMIF('Gastos Generales'!$B:$B,PPvsREal!$C$80,'Gastos Generales'!W:W)</f>
        <v>0</v>
      </c>
      <c r="X80" s="45">
        <f>SUMIF('Gastos Generales'!$B:$B,PPvsREal!$C$80,'Gastos Generales'!X:X)</f>
        <v>878.9</v>
      </c>
      <c r="Y80" s="45">
        <f>SUMIF('Gastos Generales'!$B:$B,PPvsREal!$C$80,'Gastos Generales'!Y:Y)</f>
        <v>0</v>
      </c>
      <c r="Z80" s="45">
        <f>SUMIF('Gastos Generales'!$B:$B,PPvsREal!$C$80,'Gastos Generales'!Z:Z)</f>
        <v>878.9</v>
      </c>
      <c r="AA80" s="53">
        <f>SUMIF('Gastos Generales'!$B:$B,PPvsREal!$C$80,'Gastos Generales'!AA:AA)</f>
        <v>0</v>
      </c>
    </row>
    <row r="81" spans="2:27" ht="12.75" customHeight="1" x14ac:dyDescent="0.25">
      <c r="B81" s="44" t="s">
        <v>237</v>
      </c>
      <c r="C81" s="37" t="s">
        <v>271</v>
      </c>
      <c r="D81" s="45">
        <f>SUMIF('Gastos Generales'!$B:$B,PPvsREal!$C$81,'Gastos Generales'!D:D)</f>
        <v>500</v>
      </c>
      <c r="E81" s="45">
        <f>SUMIF('Gastos Generales'!$B:$B,PPvsREal!$C$81,'Gastos Generales'!E:E)</f>
        <v>0</v>
      </c>
      <c r="F81" s="45">
        <f>SUMIF('Gastos Generales'!$B:$B,PPvsREal!$C$81,'Gastos Generales'!F:F)</f>
        <v>400</v>
      </c>
      <c r="G81" s="45">
        <f>SUMIF('Gastos Generales'!$B:$B,PPvsREal!$C$81,'Gastos Generales'!G:G)</f>
        <v>0</v>
      </c>
      <c r="H81" s="45">
        <f>SUMIF('Gastos Generales'!$B:$B,PPvsREal!$C$81,'Gastos Generales'!H:H)</f>
        <v>500</v>
      </c>
      <c r="I81" s="45">
        <f>SUMIF('Gastos Generales'!$B:$B,PPvsREal!$C$81,'Gastos Generales'!I:I)</f>
        <v>700.24</v>
      </c>
      <c r="J81" s="45">
        <f>SUMIF('Gastos Generales'!$B:$B,PPvsREal!$C$81,'Gastos Generales'!J:J)</f>
        <v>400</v>
      </c>
      <c r="K81" s="45">
        <f>SUMIF('Gastos Generales'!$B:$B,PPvsREal!$C$81,'Gastos Generales'!K:K)</f>
        <v>0</v>
      </c>
      <c r="L81" s="45">
        <f>SUMIF('Gastos Generales'!$B:$B,PPvsREal!$C$81,'Gastos Generales'!L:L)</f>
        <v>500</v>
      </c>
      <c r="M81" s="45">
        <f>SUMIF('Gastos Generales'!$B:$B,PPvsREal!$C$81,'Gastos Generales'!M:M)</f>
        <v>1587.52</v>
      </c>
      <c r="N81" s="45">
        <f>SUMIF('Gastos Generales'!$B:$B,PPvsREal!$C$81,'Gastos Generales'!N:N)</f>
        <v>0</v>
      </c>
      <c r="O81" s="45">
        <f>SUMIF('Gastos Generales'!$B:$B,PPvsREal!$C$81,'Gastos Generales'!O:O)</f>
        <v>533.98</v>
      </c>
      <c r="P81" s="45">
        <f>SUMIF('Gastos Generales'!$B:$B,PPvsREal!$C$81,'Gastos Generales'!P:P)</f>
        <v>500</v>
      </c>
      <c r="Q81" s="45">
        <f>SUMIF('Gastos Generales'!$B:$B,PPvsREal!$C$81,'Gastos Generales'!Q:Q)</f>
        <v>0</v>
      </c>
      <c r="R81" s="45">
        <f>SUMIF('Gastos Generales'!$B:$B,PPvsREal!$C$81,'Gastos Generales'!R:R)</f>
        <v>400</v>
      </c>
      <c r="S81" s="45">
        <f>SUMIF('Gastos Generales'!$B:$B,PPvsREal!$C$81,'Gastos Generales'!S:S)</f>
        <v>0</v>
      </c>
      <c r="T81" s="45">
        <f>SUMIF('Gastos Generales'!$B:$B,PPvsREal!$C$81,'Gastos Generales'!T:T)</f>
        <v>500</v>
      </c>
      <c r="U81" s="45">
        <f>SUMIF('Gastos Generales'!$B:$B,PPvsREal!$C$81,'Gastos Generales'!U:U)</f>
        <v>0</v>
      </c>
      <c r="V81" s="45">
        <f>SUMIF('Gastos Generales'!$B:$B,PPvsREal!$C$81,'Gastos Generales'!V:V)</f>
        <v>400</v>
      </c>
      <c r="W81" s="45">
        <f>SUMIF('Gastos Generales'!$B:$B,PPvsREal!$C$81,'Gastos Generales'!W:W)</f>
        <v>0</v>
      </c>
      <c r="X81" s="45">
        <f>SUMIF('Gastos Generales'!$B:$B,PPvsREal!$C$81,'Gastos Generales'!X:X)</f>
        <v>500</v>
      </c>
      <c r="Y81" s="45">
        <f>SUMIF('Gastos Generales'!$B:$B,PPvsREal!$C$81,'Gastos Generales'!Y:Y)</f>
        <v>0</v>
      </c>
      <c r="Z81" s="45">
        <f>SUMIF('Gastos Generales'!$B:$B,PPvsREal!$C$81,'Gastos Generales'!Z:Z)</f>
        <v>400</v>
      </c>
      <c r="AA81" s="53">
        <f>SUMIF('Gastos Generales'!$B:$B,PPvsREal!$C$81,'Gastos Generales'!AA:AA)</f>
        <v>0</v>
      </c>
    </row>
    <row r="82" spans="2:27" ht="12.75" customHeight="1" x14ac:dyDescent="0.25">
      <c r="B82" s="44" t="s">
        <v>237</v>
      </c>
      <c r="C82" s="37" t="s">
        <v>273</v>
      </c>
      <c r="D82" s="45">
        <f>SUMIF('Gastos Generales'!$B:$B,PPvsREal!$C$82,'Gastos Generales'!D:D)</f>
        <v>0</v>
      </c>
      <c r="E82" s="45">
        <f>SUMIF('Gastos Generales'!$B:$B,PPvsREal!$C$82,'Gastos Generales'!E:E)</f>
        <v>0</v>
      </c>
      <c r="F82" s="45">
        <f>SUMIF('Gastos Generales'!$B:$B,PPvsREal!$C$82,'Gastos Generales'!F:F)</f>
        <v>0</v>
      </c>
      <c r="G82" s="45">
        <f>SUMIF('Gastos Generales'!$B:$B,PPvsREal!$C$82,'Gastos Generales'!G:G)</f>
        <v>0</v>
      </c>
      <c r="H82" s="45">
        <f>SUMIF('Gastos Generales'!$B:$B,PPvsREal!$C$82,'Gastos Generales'!H:H)</f>
        <v>25000</v>
      </c>
      <c r="I82" s="45">
        <f>SUMIF('Gastos Generales'!$B:$B,PPvsREal!$C$82,'Gastos Generales'!I:I)</f>
        <v>0</v>
      </c>
      <c r="J82" s="45">
        <f>SUMIF('Gastos Generales'!$B:$B,PPvsREal!$C$82,'Gastos Generales'!J:J)</f>
        <v>0</v>
      </c>
      <c r="K82" s="45">
        <f>SUMIF('Gastos Generales'!$B:$B,PPvsREal!$C$82,'Gastos Generales'!K:K)</f>
        <v>0</v>
      </c>
      <c r="L82" s="45">
        <f>SUMIF('Gastos Generales'!$B:$B,PPvsREal!$C$82,'Gastos Generales'!L:L)</f>
        <v>0</v>
      </c>
      <c r="M82" s="45">
        <f>SUMIF('Gastos Generales'!$B:$B,PPvsREal!$C$82,'Gastos Generales'!M:M)</f>
        <v>7000</v>
      </c>
      <c r="N82" s="45">
        <f>SUMIF('Gastos Generales'!$B:$B,PPvsREal!$C$82,'Gastos Generales'!N:N)</f>
        <v>0</v>
      </c>
      <c r="O82" s="45">
        <f>SUMIF('Gastos Generales'!$B:$B,PPvsREal!$C$82,'Gastos Generales'!O:O)</f>
        <v>7000</v>
      </c>
      <c r="P82" s="45">
        <f>SUMIF('Gastos Generales'!$B:$B,PPvsREal!$C$82,'Gastos Generales'!P:P)</f>
        <v>25000</v>
      </c>
      <c r="Q82" s="45">
        <f>SUMIF('Gastos Generales'!$B:$B,PPvsREal!$C$82,'Gastos Generales'!Q:Q)</f>
        <v>0</v>
      </c>
      <c r="R82" s="45">
        <f>SUMIF('Gastos Generales'!$B:$B,PPvsREal!$C$82,'Gastos Generales'!R:R)</f>
        <v>0</v>
      </c>
      <c r="S82" s="45">
        <f>SUMIF('Gastos Generales'!$B:$B,PPvsREal!$C$82,'Gastos Generales'!S:S)</f>
        <v>0</v>
      </c>
      <c r="T82" s="45">
        <f>SUMIF('Gastos Generales'!$B:$B,PPvsREal!$C$82,'Gastos Generales'!T:T)</f>
        <v>0</v>
      </c>
      <c r="U82" s="45">
        <f>SUMIF('Gastos Generales'!$B:$B,PPvsREal!$C$82,'Gastos Generales'!U:U)</f>
        <v>0</v>
      </c>
      <c r="V82" s="45">
        <f>SUMIF('Gastos Generales'!$B:$B,PPvsREal!$C$82,'Gastos Generales'!V:V)</f>
        <v>0</v>
      </c>
      <c r="W82" s="45">
        <f>SUMIF('Gastos Generales'!$B:$B,PPvsREal!$C$82,'Gastos Generales'!W:W)</f>
        <v>0</v>
      </c>
      <c r="X82" s="45">
        <f>SUMIF('Gastos Generales'!$B:$B,PPvsREal!$C$82,'Gastos Generales'!X:X)</f>
        <v>25000</v>
      </c>
      <c r="Y82" s="45">
        <f>SUMIF('Gastos Generales'!$B:$B,PPvsREal!$C$82,'Gastos Generales'!Y:Y)</f>
        <v>0</v>
      </c>
      <c r="Z82" s="45">
        <f>SUMIF('Gastos Generales'!$B:$B,PPvsREal!$C$82,'Gastos Generales'!Z:Z)</f>
        <v>0</v>
      </c>
      <c r="AA82" s="53">
        <f>SUMIF('Gastos Generales'!$B:$B,PPvsREal!$C$82,'Gastos Generales'!AA:AA)</f>
        <v>0</v>
      </c>
    </row>
    <row r="83" spans="2:27" ht="12.75" customHeight="1" x14ac:dyDescent="0.25">
      <c r="B83" s="44" t="s">
        <v>237</v>
      </c>
      <c r="C83" s="37" t="s">
        <v>275</v>
      </c>
      <c r="D83" s="45">
        <f>SUMIF('Gastos Generales'!$B:$B,PPvsREal!$C$83,'Gastos Generales'!D:D)</f>
        <v>0</v>
      </c>
      <c r="E83" s="45">
        <f>SUMIF('Gastos Generales'!$B:$B,PPvsREal!$C$83,'Gastos Generales'!E:E)</f>
        <v>7755.58</v>
      </c>
      <c r="F83" s="45">
        <f>SUMIF('Gastos Generales'!$B:$B,PPvsREal!$C$83,'Gastos Generales'!F:F)</f>
        <v>20000</v>
      </c>
      <c r="G83" s="45">
        <f>SUMIF('Gastos Generales'!$B:$B,PPvsREal!$C$83,'Gastos Generales'!G:G)</f>
        <v>0</v>
      </c>
      <c r="H83" s="45">
        <f>SUMIF('Gastos Generales'!$B:$B,PPvsREal!$C$83,'Gastos Generales'!H:H)</f>
        <v>0</v>
      </c>
      <c r="I83" s="45">
        <f>SUMIF('Gastos Generales'!$B:$B,PPvsREal!$C$83,'Gastos Generales'!I:I)</f>
        <v>-748.09</v>
      </c>
      <c r="J83" s="45">
        <f>SUMIF('Gastos Generales'!$B:$B,PPvsREal!$C$83,'Gastos Generales'!J:J)</f>
        <v>20000</v>
      </c>
      <c r="K83" s="45">
        <f>SUMIF('Gastos Generales'!$B:$B,PPvsREal!$C$83,'Gastos Generales'!K:K)</f>
        <v>701.1</v>
      </c>
      <c r="L83" s="45">
        <f>SUMIF('Gastos Generales'!$B:$B,PPvsREal!$C$83,'Gastos Generales'!L:L)</f>
        <v>0</v>
      </c>
      <c r="M83" s="45">
        <f>SUMIF('Gastos Generales'!$B:$B,PPvsREal!$C$83,'Gastos Generales'!M:M)</f>
        <v>123021.26</v>
      </c>
      <c r="N83" s="45">
        <f>SUMIF('Gastos Generales'!$B:$B,PPvsREal!$C$83,'Gastos Generales'!N:N)</f>
        <v>20000</v>
      </c>
      <c r="O83" s="45">
        <f>SUMIF('Gastos Generales'!$B:$B,PPvsREal!$C$83,'Gastos Generales'!O:O)</f>
        <v>93000</v>
      </c>
      <c r="P83" s="45">
        <f>SUMIF('Gastos Generales'!$B:$B,PPvsREal!$C$83,'Gastos Generales'!P:P)</f>
        <v>0</v>
      </c>
      <c r="Q83" s="45">
        <f>SUMIF('Gastos Generales'!$B:$B,PPvsREal!$C$83,'Gastos Generales'!Q:Q)</f>
        <v>0</v>
      </c>
      <c r="R83" s="45">
        <f>SUMIF('Gastos Generales'!$B:$B,PPvsREal!$C$83,'Gastos Generales'!R:R)</f>
        <v>20000</v>
      </c>
      <c r="S83" s="45">
        <f>SUMIF('Gastos Generales'!$B:$B,PPvsREal!$C$83,'Gastos Generales'!S:S)</f>
        <v>0</v>
      </c>
      <c r="T83" s="45">
        <f>SUMIF('Gastos Generales'!$B:$B,PPvsREal!$C$83,'Gastos Generales'!T:T)</f>
        <v>0</v>
      </c>
      <c r="U83" s="45">
        <f>SUMIF('Gastos Generales'!$B:$B,PPvsREal!$C$83,'Gastos Generales'!U:U)</f>
        <v>0</v>
      </c>
      <c r="V83" s="45">
        <f>SUMIF('Gastos Generales'!$B:$B,PPvsREal!$C$83,'Gastos Generales'!V:V)</f>
        <v>20000</v>
      </c>
      <c r="W83" s="45">
        <f>SUMIF('Gastos Generales'!$B:$B,PPvsREal!$C$83,'Gastos Generales'!W:W)</f>
        <v>0</v>
      </c>
      <c r="X83" s="45">
        <f>SUMIF('Gastos Generales'!$B:$B,PPvsREal!$C$83,'Gastos Generales'!X:X)</f>
        <v>0</v>
      </c>
      <c r="Y83" s="45">
        <f>SUMIF('Gastos Generales'!$B:$B,PPvsREal!$C$83,'Gastos Generales'!Y:Y)</f>
        <v>0</v>
      </c>
      <c r="Z83" s="45">
        <f>SUMIF('Gastos Generales'!$B:$B,PPvsREal!$C$83,'Gastos Generales'!Z:Z)</f>
        <v>20000</v>
      </c>
      <c r="AA83" s="53">
        <f>SUMIF('Gastos Generales'!$B:$B,PPvsREal!$C$83,'Gastos Generales'!AA:AA)</f>
        <v>0</v>
      </c>
    </row>
    <row r="84" spans="2:27" ht="12.75" customHeight="1" x14ac:dyDescent="0.25">
      <c r="B84" s="44" t="s">
        <v>237</v>
      </c>
      <c r="C84" s="37" t="s">
        <v>277</v>
      </c>
      <c r="D84" s="45">
        <f>SUMIF('Gastos Generales'!$B:$B,PPvsREal!$C$84,'Gastos Generales'!D:D)</f>
        <v>20000</v>
      </c>
      <c r="E84" s="45">
        <f>SUMIF('Gastos Generales'!$B:$B,PPvsREal!$C$84,'Gastos Generales'!E:E)</f>
        <v>0</v>
      </c>
      <c r="F84" s="45">
        <f>SUMIF('Gastos Generales'!$B:$B,PPvsREal!$C$84,'Gastos Generales'!F:F)</f>
        <v>50000</v>
      </c>
      <c r="G84" s="45">
        <f>SUMIF('Gastos Generales'!$B:$B,PPvsREal!$C$84,'Gastos Generales'!G:G)</f>
        <v>0</v>
      </c>
      <c r="H84" s="45">
        <f>SUMIF('Gastos Generales'!$B:$B,PPvsREal!$C$84,'Gastos Generales'!H:H)</f>
        <v>0</v>
      </c>
      <c r="I84" s="45">
        <f>SUMIF('Gastos Generales'!$B:$B,PPvsREal!$C$84,'Gastos Generales'!I:I)</f>
        <v>0</v>
      </c>
      <c r="J84" s="45">
        <f>SUMIF('Gastos Generales'!$B:$B,PPvsREal!$C$84,'Gastos Generales'!J:J)</f>
        <v>50000</v>
      </c>
      <c r="K84" s="45">
        <f>SUMIF('Gastos Generales'!$B:$B,PPvsREal!$C$84,'Gastos Generales'!K:K)</f>
        <v>0</v>
      </c>
      <c r="L84" s="45">
        <f>SUMIF('Gastos Generales'!$B:$B,PPvsREal!$C$84,'Gastos Generales'!L:L)</f>
        <v>0</v>
      </c>
      <c r="M84" s="45">
        <f>SUMIF('Gastos Generales'!$B:$B,PPvsREal!$C$84,'Gastos Generales'!M:M)</f>
        <v>0</v>
      </c>
      <c r="N84" s="45">
        <f>SUMIF('Gastos Generales'!$B:$B,PPvsREal!$C$84,'Gastos Generales'!N:N)</f>
        <v>0</v>
      </c>
      <c r="O84" s="45">
        <f>SUMIF('Gastos Generales'!$B:$B,PPvsREal!$C$84,'Gastos Generales'!O:O)</f>
        <v>0</v>
      </c>
      <c r="P84" s="45">
        <f>SUMIF('Gastos Generales'!$B:$B,PPvsREal!$C$84,'Gastos Generales'!P:P)</f>
        <v>0</v>
      </c>
      <c r="Q84" s="45">
        <f>SUMIF('Gastos Generales'!$B:$B,PPvsREal!$C$84,'Gastos Generales'!Q:Q)</f>
        <v>15003.21</v>
      </c>
      <c r="R84" s="45">
        <f>SUMIF('Gastos Generales'!$B:$B,PPvsREal!$C$84,'Gastos Generales'!R:R)</f>
        <v>0</v>
      </c>
      <c r="S84" s="45">
        <f>SUMIF('Gastos Generales'!$B:$B,PPvsREal!$C$84,'Gastos Generales'!S:S)</f>
        <v>0</v>
      </c>
      <c r="T84" s="45">
        <f>SUMIF('Gastos Generales'!$B:$B,PPvsREal!$C$84,'Gastos Generales'!T:T)</f>
        <v>0</v>
      </c>
      <c r="U84" s="45">
        <f>SUMIF('Gastos Generales'!$B:$B,PPvsREal!$C$84,'Gastos Generales'!U:U)</f>
        <v>0</v>
      </c>
      <c r="V84" s="45">
        <f>SUMIF('Gastos Generales'!$B:$B,PPvsREal!$C$84,'Gastos Generales'!V:V)</f>
        <v>0</v>
      </c>
      <c r="W84" s="45">
        <f>SUMIF('Gastos Generales'!$B:$B,PPvsREal!$C$84,'Gastos Generales'!W:W)</f>
        <v>0</v>
      </c>
      <c r="X84" s="45">
        <f>SUMIF('Gastos Generales'!$B:$B,PPvsREal!$C$84,'Gastos Generales'!X:X)</f>
        <v>0</v>
      </c>
      <c r="Y84" s="45">
        <f>SUMIF('Gastos Generales'!$B:$B,PPvsREal!$C$84,'Gastos Generales'!Y:Y)</f>
        <v>0</v>
      </c>
      <c r="Z84" s="45">
        <f>SUMIF('Gastos Generales'!$B:$B,PPvsREal!$C$84,'Gastos Generales'!Z:Z)</f>
        <v>0</v>
      </c>
      <c r="AA84" s="53">
        <f>SUMIF('Gastos Generales'!$B:$B,PPvsREal!$C$84,'Gastos Generales'!AA:AA)</f>
        <v>0</v>
      </c>
    </row>
    <row r="85" spans="2:27" ht="12.75" customHeight="1" x14ac:dyDescent="0.25">
      <c r="B85" s="44" t="s">
        <v>237</v>
      </c>
      <c r="C85" s="37" t="s">
        <v>279</v>
      </c>
      <c r="D85" s="45">
        <f>SUMIF('Gastos Generales'!$B:$B,PPvsREal!$C$85,'Gastos Generales'!D:D)</f>
        <v>1050</v>
      </c>
      <c r="E85" s="45">
        <f>SUMIF('Gastos Generales'!$B:$B,PPvsREal!$C$85,'Gastos Generales'!E:E)</f>
        <v>3370</v>
      </c>
      <c r="F85" s="45">
        <f>SUMIF('Gastos Generales'!$B:$B,PPvsREal!$C$85,'Gastos Generales'!F:F)</f>
        <v>1050</v>
      </c>
      <c r="G85" s="45">
        <f>SUMIF('Gastos Generales'!$B:$B,PPvsREal!$C$85,'Gastos Generales'!G:G)</f>
        <v>600</v>
      </c>
      <c r="H85" s="45">
        <f>SUMIF('Gastos Generales'!$B:$B,PPvsREal!$C$85,'Gastos Generales'!H:H)</f>
        <v>1050</v>
      </c>
      <c r="I85" s="45">
        <f>SUMIF('Gastos Generales'!$B:$B,PPvsREal!$C$85,'Gastos Generales'!I:I)</f>
        <v>600</v>
      </c>
      <c r="J85" s="45">
        <f>SUMIF('Gastos Generales'!$B:$B,PPvsREal!$C$85,'Gastos Generales'!J:J)</f>
        <v>1050</v>
      </c>
      <c r="K85" s="45">
        <f>SUMIF('Gastos Generales'!$B:$B,PPvsREal!$C$85,'Gastos Generales'!K:K)</f>
        <v>600</v>
      </c>
      <c r="L85" s="45">
        <f>SUMIF('Gastos Generales'!$B:$B,PPvsREal!$C$85,'Gastos Generales'!L:L)</f>
        <v>1050</v>
      </c>
      <c r="M85" s="45">
        <f>SUMIF('Gastos Generales'!$B:$B,PPvsREal!$C$85,'Gastos Generales'!M:M)</f>
        <v>754.99</v>
      </c>
      <c r="N85" s="45">
        <f>SUMIF('Gastos Generales'!$B:$B,PPvsREal!$C$85,'Gastos Generales'!N:N)</f>
        <v>1050</v>
      </c>
      <c r="O85" s="45">
        <f>SUMIF('Gastos Generales'!$B:$B,PPvsREal!$C$85,'Gastos Generales'!O:O)</f>
        <v>923</v>
      </c>
      <c r="P85" s="45">
        <f>SUMIF('Gastos Generales'!$B:$B,PPvsREal!$C$85,'Gastos Generales'!P:P)</f>
        <v>1050</v>
      </c>
      <c r="Q85" s="45">
        <f>SUMIF('Gastos Generales'!$B:$B,PPvsREal!$C$85,'Gastos Generales'!Q:Q)</f>
        <v>1149.99</v>
      </c>
      <c r="R85" s="45">
        <f>SUMIF('Gastos Generales'!$B:$B,PPvsREal!$C$85,'Gastos Generales'!R:R)</f>
        <v>1050</v>
      </c>
      <c r="S85" s="45">
        <f>SUMIF('Gastos Generales'!$B:$B,PPvsREal!$C$85,'Gastos Generales'!S:S)</f>
        <v>0</v>
      </c>
      <c r="T85" s="45">
        <f>SUMIF('Gastos Generales'!$B:$B,PPvsREal!$C$85,'Gastos Generales'!T:T)</f>
        <v>1050</v>
      </c>
      <c r="U85" s="45">
        <f>SUMIF('Gastos Generales'!$B:$B,PPvsREal!$C$85,'Gastos Generales'!U:U)</f>
        <v>0</v>
      </c>
      <c r="V85" s="45">
        <f>SUMIF('Gastos Generales'!$B:$B,PPvsREal!$C$85,'Gastos Generales'!V:V)</f>
        <v>1050</v>
      </c>
      <c r="W85" s="45">
        <f>SUMIF('Gastos Generales'!$B:$B,PPvsREal!$C$85,'Gastos Generales'!W:W)</f>
        <v>0</v>
      </c>
      <c r="X85" s="45">
        <f>SUMIF('Gastos Generales'!$B:$B,PPvsREal!$C$85,'Gastos Generales'!X:X)</f>
        <v>1050</v>
      </c>
      <c r="Y85" s="45">
        <f>SUMIF('Gastos Generales'!$B:$B,PPvsREal!$C$85,'Gastos Generales'!Y:Y)</f>
        <v>0</v>
      </c>
      <c r="Z85" s="45">
        <f>SUMIF('Gastos Generales'!$B:$B,PPvsREal!$C$85,'Gastos Generales'!Z:Z)</f>
        <v>1050</v>
      </c>
      <c r="AA85" s="53">
        <f>SUMIF('Gastos Generales'!$B:$B,PPvsREal!$C$85,'Gastos Generales'!AA:AA)</f>
        <v>0</v>
      </c>
    </row>
    <row r="86" spans="2:27" ht="12.75" customHeight="1" x14ac:dyDescent="0.25">
      <c r="B86" s="44" t="s">
        <v>237</v>
      </c>
      <c r="C86" s="37" t="s">
        <v>281</v>
      </c>
      <c r="D86" s="45">
        <f>SUMIF('Gastos Generales'!$B:$B,PPvsREal!$C$86,'Gastos Generales'!D:D)</f>
        <v>1000</v>
      </c>
      <c r="E86" s="45">
        <f>SUMIF('Gastos Generales'!$B:$B,PPvsREal!$C$86,'Gastos Generales'!E:E)</f>
        <v>0</v>
      </c>
      <c r="F86" s="45">
        <f>SUMIF('Gastos Generales'!$B:$B,PPvsREal!$C$86,'Gastos Generales'!F:F)</f>
        <v>1000</v>
      </c>
      <c r="G86" s="45">
        <f>SUMIF('Gastos Generales'!$B:$B,PPvsREal!$C$86,'Gastos Generales'!G:G)</f>
        <v>0</v>
      </c>
      <c r="H86" s="45">
        <f>SUMIF('Gastos Generales'!$B:$B,PPvsREal!$C$86,'Gastos Generales'!H:H)</f>
        <v>1000</v>
      </c>
      <c r="I86" s="45">
        <f>SUMIF('Gastos Generales'!$B:$B,PPvsREal!$C$86,'Gastos Generales'!I:I)</f>
        <v>0</v>
      </c>
      <c r="J86" s="45">
        <f>SUMIF('Gastos Generales'!$B:$B,PPvsREal!$C$86,'Gastos Generales'!J:J)</f>
        <v>1000</v>
      </c>
      <c r="K86" s="45">
        <f>SUMIF('Gastos Generales'!$B:$B,PPvsREal!$C$86,'Gastos Generales'!K:K)</f>
        <v>0</v>
      </c>
      <c r="L86" s="45">
        <f>SUMIF('Gastos Generales'!$B:$B,PPvsREal!$C$86,'Gastos Generales'!L:L)</f>
        <v>1000</v>
      </c>
      <c r="M86" s="45">
        <f>SUMIF('Gastos Generales'!$B:$B,PPvsREal!$C$86,'Gastos Generales'!M:M)</f>
        <v>0</v>
      </c>
      <c r="N86" s="45">
        <f>SUMIF('Gastos Generales'!$B:$B,PPvsREal!$C$86,'Gastos Generales'!N:N)</f>
        <v>1000</v>
      </c>
      <c r="O86" s="45">
        <f>SUMIF('Gastos Generales'!$B:$B,PPvsREal!$C$86,'Gastos Generales'!O:O)</f>
        <v>0</v>
      </c>
      <c r="P86" s="45">
        <f>SUMIF('Gastos Generales'!$B:$B,PPvsREal!$C$86,'Gastos Generales'!P:P)</f>
        <v>1000</v>
      </c>
      <c r="Q86" s="45">
        <f>SUMIF('Gastos Generales'!$B:$B,PPvsREal!$C$86,'Gastos Generales'!Q:Q)</f>
        <v>0</v>
      </c>
      <c r="R86" s="45">
        <f>SUMIF('Gastos Generales'!$B:$B,PPvsREal!$C$86,'Gastos Generales'!R:R)</f>
        <v>1000</v>
      </c>
      <c r="S86" s="45">
        <f>SUMIF('Gastos Generales'!$B:$B,PPvsREal!$C$86,'Gastos Generales'!S:S)</f>
        <v>0</v>
      </c>
      <c r="T86" s="45">
        <f>SUMIF('Gastos Generales'!$B:$B,PPvsREal!$C$86,'Gastos Generales'!T:T)</f>
        <v>1000</v>
      </c>
      <c r="U86" s="45">
        <f>SUMIF('Gastos Generales'!$B:$B,PPvsREal!$C$86,'Gastos Generales'!U:U)</f>
        <v>0</v>
      </c>
      <c r="V86" s="45">
        <f>SUMIF('Gastos Generales'!$B:$B,PPvsREal!$C$86,'Gastos Generales'!V:V)</f>
        <v>1000</v>
      </c>
      <c r="W86" s="45">
        <f>SUMIF('Gastos Generales'!$B:$B,PPvsREal!$C$86,'Gastos Generales'!W:W)</f>
        <v>0</v>
      </c>
      <c r="X86" s="45">
        <f>SUMIF('Gastos Generales'!$B:$B,PPvsREal!$C$86,'Gastos Generales'!X:X)</f>
        <v>1000</v>
      </c>
      <c r="Y86" s="45">
        <f>SUMIF('Gastos Generales'!$B:$B,PPvsREal!$C$86,'Gastos Generales'!Y:Y)</f>
        <v>0</v>
      </c>
      <c r="Z86" s="45">
        <f>SUMIF('Gastos Generales'!$B:$B,PPvsREal!$C$86,'Gastos Generales'!Z:Z)</f>
        <v>1000</v>
      </c>
      <c r="AA86" s="53">
        <f>SUMIF('Gastos Generales'!$B:$B,PPvsREal!$C$86,'Gastos Generales'!AA:AA)</f>
        <v>0</v>
      </c>
    </row>
    <row r="87" spans="2:27" ht="12.75" customHeight="1" x14ac:dyDescent="0.25">
      <c r="B87" s="44" t="s">
        <v>237</v>
      </c>
      <c r="C87" s="37" t="s">
        <v>284</v>
      </c>
      <c r="D87" s="45">
        <f>SUMIF('Gastos Generales'!$B:$B,PPvsREal!$C$87,'Gastos Generales'!D:D)</f>
        <v>0</v>
      </c>
      <c r="E87" s="45">
        <f>SUMIF('Gastos Generales'!$B:$B,PPvsREal!$C$87,'Gastos Generales'!E:E)</f>
        <v>0</v>
      </c>
      <c r="F87" s="45">
        <f>SUMIF('Gastos Generales'!$B:$B,PPvsREal!$C$87,'Gastos Generales'!F:F)</f>
        <v>0</v>
      </c>
      <c r="G87" s="45">
        <f>SUMIF('Gastos Generales'!$B:$B,PPvsREal!$C$87,'Gastos Generales'!G:G)</f>
        <v>0</v>
      </c>
      <c r="H87" s="45">
        <f>SUMIF('Gastos Generales'!$B:$B,PPvsREal!$C$87,'Gastos Generales'!H:H)</f>
        <v>0</v>
      </c>
      <c r="I87" s="45">
        <f>SUMIF('Gastos Generales'!$B:$B,PPvsREal!$C$87,'Gastos Generales'!I:I)</f>
        <v>0</v>
      </c>
      <c r="J87" s="45">
        <f>SUMIF('Gastos Generales'!$B:$B,PPvsREal!$C$87,'Gastos Generales'!J:J)</f>
        <v>0</v>
      </c>
      <c r="K87" s="45">
        <f>SUMIF('Gastos Generales'!$B:$B,PPvsREal!$C$87,'Gastos Generales'!K:K)</f>
        <v>0</v>
      </c>
      <c r="L87" s="45">
        <f>SUMIF('Gastos Generales'!$B:$B,PPvsREal!$C$87,'Gastos Generales'!L:L)</f>
        <v>0</v>
      </c>
      <c r="M87" s="45">
        <f>SUMIF('Gastos Generales'!$B:$B,PPvsREal!$C$87,'Gastos Generales'!M:M)</f>
        <v>0</v>
      </c>
      <c r="N87" s="45">
        <f>SUMIF('Gastos Generales'!$B:$B,PPvsREal!$C$87,'Gastos Generales'!N:N)</f>
        <v>0</v>
      </c>
      <c r="O87" s="45">
        <f>SUMIF('Gastos Generales'!$B:$B,PPvsREal!$C$87,'Gastos Generales'!O:O)</f>
        <v>0</v>
      </c>
      <c r="P87" s="45">
        <f>SUMIF('Gastos Generales'!$B:$B,PPvsREal!$C$87,'Gastos Generales'!P:P)</f>
        <v>0</v>
      </c>
      <c r="Q87" s="45">
        <f>SUMIF('Gastos Generales'!$B:$B,PPvsREal!$C$87,'Gastos Generales'!Q:Q)</f>
        <v>0</v>
      </c>
      <c r="R87" s="45">
        <f>SUMIF('Gastos Generales'!$B:$B,PPvsREal!$C$87,'Gastos Generales'!R:R)</f>
        <v>0</v>
      </c>
      <c r="S87" s="45">
        <f>SUMIF('Gastos Generales'!$B:$B,PPvsREal!$C$87,'Gastos Generales'!S:S)</f>
        <v>0</v>
      </c>
      <c r="T87" s="45">
        <f>SUMIF('Gastos Generales'!$B:$B,PPvsREal!$C$87,'Gastos Generales'!T:T)</f>
        <v>0</v>
      </c>
      <c r="U87" s="45">
        <f>SUMIF('Gastos Generales'!$B:$B,PPvsREal!$C$87,'Gastos Generales'!U:U)</f>
        <v>0</v>
      </c>
      <c r="V87" s="45">
        <f>SUMIF('Gastos Generales'!$B:$B,PPvsREal!$C$87,'Gastos Generales'!V:V)</f>
        <v>0</v>
      </c>
      <c r="W87" s="45">
        <f>SUMIF('Gastos Generales'!$B:$B,PPvsREal!$C$87,'Gastos Generales'!W:W)</f>
        <v>0</v>
      </c>
      <c r="X87" s="45">
        <f>SUMIF('Gastos Generales'!$B:$B,PPvsREal!$C$87,'Gastos Generales'!X:X)</f>
        <v>17750</v>
      </c>
      <c r="Y87" s="45">
        <f>SUMIF('Gastos Generales'!$B:$B,PPvsREal!$C$87,'Gastos Generales'!Y:Y)</f>
        <v>0</v>
      </c>
      <c r="Z87" s="45">
        <f>SUMIF('Gastos Generales'!$B:$B,PPvsREal!$C$87,'Gastos Generales'!Z:Z)</f>
        <v>17750</v>
      </c>
      <c r="AA87" s="53">
        <f>SUMIF('Gastos Generales'!$B:$B,PPvsREal!$C$87,'Gastos Generales'!AA:AA)</f>
        <v>0</v>
      </c>
    </row>
    <row r="88" spans="2:27" ht="12.75" customHeight="1" x14ac:dyDescent="0.25">
      <c r="B88" s="44" t="s">
        <v>237</v>
      </c>
      <c r="C88" s="37" t="s">
        <v>286</v>
      </c>
      <c r="D88" s="45">
        <f>SUMIF('Gastos Generales'!$B:$B,PPvsREal!$C$88,'Gastos Generales'!D:D)</f>
        <v>7583.33</v>
      </c>
      <c r="E88" s="45">
        <f>SUMIF('Gastos Generales'!$B:$B,PPvsREal!$C$88,'Gastos Generales'!E:E)</f>
        <v>6300.83</v>
      </c>
      <c r="F88" s="45">
        <f>SUMIF('Gastos Generales'!$B:$B,PPvsREal!$C$88,'Gastos Generales'!F:F)</f>
        <v>7583.33</v>
      </c>
      <c r="G88" s="45">
        <f>SUMIF('Gastos Generales'!$B:$B,PPvsREal!$C$88,'Gastos Generales'!G:G)</f>
        <v>4300.6499999999996</v>
      </c>
      <c r="H88" s="45">
        <f>SUMIF('Gastos Generales'!$B:$B,PPvsREal!$C$88,'Gastos Generales'!H:H)</f>
        <v>7583.33</v>
      </c>
      <c r="I88" s="45">
        <f>SUMIF('Gastos Generales'!$B:$B,PPvsREal!$C$88,'Gastos Generales'!I:I)</f>
        <v>5488.08</v>
      </c>
      <c r="J88" s="45">
        <f>SUMIF('Gastos Generales'!$B:$B,PPvsREal!$C$88,'Gastos Generales'!J:J)</f>
        <v>7583.33</v>
      </c>
      <c r="K88" s="45">
        <f>SUMIF('Gastos Generales'!$B:$B,PPvsREal!$C$88,'Gastos Generales'!K:K)</f>
        <v>8205.68</v>
      </c>
      <c r="L88" s="45">
        <f>SUMIF('Gastos Generales'!$B:$B,PPvsREal!$C$88,'Gastos Generales'!L:L)</f>
        <v>7583.33</v>
      </c>
      <c r="M88" s="45">
        <f>SUMIF('Gastos Generales'!$B:$B,PPvsREal!$C$88,'Gastos Generales'!M:M)</f>
        <v>4527.8900000000003</v>
      </c>
      <c r="N88" s="45">
        <f>SUMIF('Gastos Generales'!$B:$B,PPvsREal!$C$88,'Gastos Generales'!N:N)</f>
        <v>7583.33</v>
      </c>
      <c r="O88" s="45">
        <f>SUMIF('Gastos Generales'!$B:$B,PPvsREal!$C$88,'Gastos Generales'!O:O)</f>
        <v>4660.03</v>
      </c>
      <c r="P88" s="45">
        <f>SUMIF('Gastos Generales'!$B:$B,PPvsREal!$C$88,'Gastos Generales'!P:P)</f>
        <v>7583.33</v>
      </c>
      <c r="Q88" s="45">
        <f>SUMIF('Gastos Generales'!$B:$B,PPvsREal!$C$88,'Gastos Generales'!Q:Q)</f>
        <v>5873.59</v>
      </c>
      <c r="R88" s="45">
        <f>SUMIF('Gastos Generales'!$B:$B,PPvsREal!$C$88,'Gastos Generales'!R:R)</f>
        <v>7583.33</v>
      </c>
      <c r="S88" s="45">
        <f>SUMIF('Gastos Generales'!$B:$B,PPvsREal!$C$88,'Gastos Generales'!S:S)</f>
        <v>0</v>
      </c>
      <c r="T88" s="45">
        <f>SUMIF('Gastos Generales'!$B:$B,PPvsREal!$C$88,'Gastos Generales'!T:T)</f>
        <v>7583.33</v>
      </c>
      <c r="U88" s="45">
        <f>SUMIF('Gastos Generales'!$B:$B,PPvsREal!$C$88,'Gastos Generales'!U:U)</f>
        <v>0</v>
      </c>
      <c r="V88" s="45">
        <f>SUMIF('Gastos Generales'!$B:$B,PPvsREal!$C$88,'Gastos Generales'!V:V)</f>
        <v>7583.33</v>
      </c>
      <c r="W88" s="45">
        <f>SUMIF('Gastos Generales'!$B:$B,PPvsREal!$C$88,'Gastos Generales'!W:W)</f>
        <v>0</v>
      </c>
      <c r="X88" s="45">
        <f>SUMIF('Gastos Generales'!$B:$B,PPvsREal!$C$88,'Gastos Generales'!X:X)</f>
        <v>7583.33</v>
      </c>
      <c r="Y88" s="45">
        <f>SUMIF('Gastos Generales'!$B:$B,PPvsREal!$C$88,'Gastos Generales'!Y:Y)</f>
        <v>0</v>
      </c>
      <c r="Z88" s="45">
        <f>SUMIF('Gastos Generales'!$B:$B,PPvsREal!$C$88,'Gastos Generales'!Z:Z)</f>
        <v>7583.33</v>
      </c>
      <c r="AA88" s="53">
        <f>SUMIF('Gastos Generales'!$B:$B,PPvsREal!$C$88,'Gastos Generales'!AA:AA)</f>
        <v>0</v>
      </c>
    </row>
    <row r="89" spans="2:27" ht="12.75" customHeight="1" x14ac:dyDescent="0.25">
      <c r="B89" s="44" t="s">
        <v>237</v>
      </c>
      <c r="C89" s="37" t="s">
        <v>288</v>
      </c>
      <c r="D89" s="45">
        <f>SUMIF('Gastos Generales'!$B:$B,PPvsREal!$C$89,'Gastos Generales'!D:D)</f>
        <v>0</v>
      </c>
      <c r="E89" s="45">
        <f>SUMIF('Gastos Generales'!$B:$B,PPvsREal!$C$89,'Gastos Generales'!E:E)</f>
        <v>-0.01</v>
      </c>
      <c r="F89" s="45">
        <f>SUMIF('Gastos Generales'!$B:$B,PPvsREal!$C$89,'Gastos Generales'!F:F)</f>
        <v>0</v>
      </c>
      <c r="G89" s="45">
        <f>SUMIF('Gastos Generales'!$B:$B,PPvsREal!$C$89,'Gastos Generales'!G:G)</f>
        <v>-10.01</v>
      </c>
      <c r="H89" s="45">
        <f>SUMIF('Gastos Generales'!$B:$B,PPvsREal!$C$89,'Gastos Generales'!H:H)</f>
        <v>0</v>
      </c>
      <c r="I89" s="45">
        <f>SUMIF('Gastos Generales'!$B:$B,PPvsREal!$C$89,'Gastos Generales'!I:I)</f>
        <v>-0.01</v>
      </c>
      <c r="J89" s="45">
        <f>SUMIF('Gastos Generales'!$B:$B,PPvsREal!$C$89,'Gastos Generales'!J:J)</f>
        <v>0</v>
      </c>
      <c r="K89" s="45">
        <f>SUMIF('Gastos Generales'!$B:$B,PPvsREal!$C$89,'Gastos Generales'!K:K)</f>
        <v>0</v>
      </c>
      <c r="L89" s="45">
        <f>SUMIF('Gastos Generales'!$B:$B,PPvsREal!$C$89,'Gastos Generales'!L:L)</f>
        <v>0</v>
      </c>
      <c r="M89" s="45">
        <f>SUMIF('Gastos Generales'!$B:$B,PPvsREal!$C$89,'Gastos Generales'!M:M)</f>
        <v>-19.91</v>
      </c>
      <c r="N89" s="45">
        <f>SUMIF('Gastos Generales'!$B:$B,PPvsREal!$C$89,'Gastos Generales'!N:N)</f>
        <v>0</v>
      </c>
      <c r="O89" s="45">
        <f>SUMIF('Gastos Generales'!$B:$B,PPvsREal!$C$89,'Gastos Generales'!O:O)</f>
        <v>0.01</v>
      </c>
      <c r="P89" s="45">
        <f>SUMIF('Gastos Generales'!$B:$B,PPvsREal!$C$89,'Gastos Generales'!P:P)</f>
        <v>0</v>
      </c>
      <c r="Q89" s="45">
        <f>SUMIF('Gastos Generales'!$B:$B,PPvsREal!$C$89,'Gastos Generales'!Q:Q)</f>
        <v>0.01</v>
      </c>
      <c r="R89" s="45">
        <f>SUMIF('Gastos Generales'!$B:$B,PPvsREal!$C$89,'Gastos Generales'!R:R)</f>
        <v>0</v>
      </c>
      <c r="S89" s="45">
        <f>SUMIF('Gastos Generales'!$B:$B,PPvsREal!$C$89,'Gastos Generales'!S:S)</f>
        <v>0</v>
      </c>
      <c r="T89" s="45">
        <f>SUMIF('Gastos Generales'!$B:$B,PPvsREal!$C$89,'Gastos Generales'!T:T)</f>
        <v>0</v>
      </c>
      <c r="U89" s="45">
        <f>SUMIF('Gastos Generales'!$B:$B,PPvsREal!$C$89,'Gastos Generales'!U:U)</f>
        <v>0</v>
      </c>
      <c r="V89" s="45">
        <f>SUMIF('Gastos Generales'!$B:$B,PPvsREal!$C$89,'Gastos Generales'!V:V)</f>
        <v>0</v>
      </c>
      <c r="W89" s="45">
        <f>SUMIF('Gastos Generales'!$B:$B,PPvsREal!$C$89,'Gastos Generales'!W:W)</f>
        <v>0</v>
      </c>
      <c r="X89" s="45">
        <f>SUMIF('Gastos Generales'!$B:$B,PPvsREal!$C$89,'Gastos Generales'!X:X)</f>
        <v>0</v>
      </c>
      <c r="Y89" s="45">
        <f>SUMIF('Gastos Generales'!$B:$B,PPvsREal!$C$89,'Gastos Generales'!Y:Y)</f>
        <v>0</v>
      </c>
      <c r="Z89" s="45">
        <f>SUMIF('Gastos Generales'!$B:$B,PPvsREal!$C$89,'Gastos Generales'!Z:Z)</f>
        <v>0</v>
      </c>
      <c r="AA89" s="53">
        <f>SUMIF('Gastos Generales'!$B:$B,PPvsREal!$C$89,'Gastos Generales'!AA:AA)</f>
        <v>0</v>
      </c>
    </row>
    <row r="90" spans="2:27" ht="12.75" customHeight="1" x14ac:dyDescent="0.25">
      <c r="B90" s="44" t="s">
        <v>237</v>
      </c>
      <c r="C90" s="37" t="s">
        <v>293</v>
      </c>
      <c r="D90" s="45">
        <f>SUMIF('Gastos Generales'!$B:$B,PPvsREal!$C$90,'Gastos Generales'!D:D)</f>
        <v>400</v>
      </c>
      <c r="E90" s="45">
        <f>SUMIF('Gastos Generales'!$B:$B,PPvsREal!$C$90,'Gastos Generales'!E:E)</f>
        <v>2700</v>
      </c>
      <c r="F90" s="45">
        <f>SUMIF('Gastos Generales'!$B:$B,PPvsREal!$C$90,'Gastos Generales'!F:F)</f>
        <v>400</v>
      </c>
      <c r="G90" s="45">
        <f>SUMIF('Gastos Generales'!$B:$B,PPvsREal!$C$90,'Gastos Generales'!G:G)</f>
        <v>0</v>
      </c>
      <c r="H90" s="45">
        <f>SUMIF('Gastos Generales'!$B:$B,PPvsREal!$C$90,'Gastos Generales'!H:H)</f>
        <v>3480</v>
      </c>
      <c r="I90" s="45">
        <f>SUMIF('Gastos Generales'!$B:$B,PPvsREal!$C$90,'Gastos Generales'!I:I)</f>
        <v>0</v>
      </c>
      <c r="J90" s="45">
        <f>SUMIF('Gastos Generales'!$B:$B,PPvsREal!$C$90,'Gastos Generales'!J:J)</f>
        <v>400</v>
      </c>
      <c r="K90" s="45">
        <f>SUMIF('Gastos Generales'!$B:$B,PPvsREal!$C$90,'Gastos Generales'!K:K)</f>
        <v>0</v>
      </c>
      <c r="L90" s="45">
        <f>SUMIF('Gastos Generales'!$B:$B,PPvsREal!$C$90,'Gastos Generales'!L:L)</f>
        <v>400</v>
      </c>
      <c r="M90" s="45">
        <f>SUMIF('Gastos Generales'!$B:$B,PPvsREal!$C$90,'Gastos Generales'!M:M)</f>
        <v>0</v>
      </c>
      <c r="N90" s="45">
        <f>SUMIF('Gastos Generales'!$B:$B,PPvsREal!$C$90,'Gastos Generales'!N:N)</f>
        <v>6560</v>
      </c>
      <c r="O90" s="45">
        <f>SUMIF('Gastos Generales'!$B:$B,PPvsREal!$C$90,'Gastos Generales'!O:O)</f>
        <v>0</v>
      </c>
      <c r="P90" s="45">
        <f>SUMIF('Gastos Generales'!$B:$B,PPvsREal!$C$90,'Gastos Generales'!P:P)</f>
        <v>400</v>
      </c>
      <c r="Q90" s="45">
        <f>SUMIF('Gastos Generales'!$B:$B,PPvsREal!$C$90,'Gastos Generales'!Q:Q)</f>
        <v>0</v>
      </c>
      <c r="R90" s="45">
        <f>SUMIF('Gastos Generales'!$B:$B,PPvsREal!$C$90,'Gastos Generales'!R:R)</f>
        <v>400</v>
      </c>
      <c r="S90" s="45">
        <f>SUMIF('Gastos Generales'!$B:$B,PPvsREal!$C$90,'Gastos Generales'!S:S)</f>
        <v>0</v>
      </c>
      <c r="T90" s="45">
        <f>SUMIF('Gastos Generales'!$B:$B,PPvsREal!$C$90,'Gastos Generales'!T:T)</f>
        <v>400</v>
      </c>
      <c r="U90" s="45">
        <f>SUMIF('Gastos Generales'!$B:$B,PPvsREal!$C$90,'Gastos Generales'!U:U)</f>
        <v>0</v>
      </c>
      <c r="V90" s="45">
        <f>SUMIF('Gastos Generales'!$B:$B,PPvsREal!$C$90,'Gastos Generales'!V:V)</f>
        <v>400</v>
      </c>
      <c r="W90" s="45">
        <f>SUMIF('Gastos Generales'!$B:$B,PPvsREal!$C$90,'Gastos Generales'!W:W)</f>
        <v>0</v>
      </c>
      <c r="X90" s="45">
        <f>SUMIF('Gastos Generales'!$B:$B,PPvsREal!$C$90,'Gastos Generales'!X:X)</f>
        <v>400</v>
      </c>
      <c r="Y90" s="45">
        <f>SUMIF('Gastos Generales'!$B:$B,PPvsREal!$C$90,'Gastos Generales'!Y:Y)</f>
        <v>0</v>
      </c>
      <c r="Z90" s="45">
        <f>SUMIF('Gastos Generales'!$B:$B,PPvsREal!$C$90,'Gastos Generales'!Z:Z)</f>
        <v>400</v>
      </c>
      <c r="AA90" s="53">
        <f>SUMIF('Gastos Generales'!$B:$B,PPvsREal!$C$90,'Gastos Generales'!AA:AA)</f>
        <v>0</v>
      </c>
    </row>
    <row r="91" spans="2:27" ht="12.75" customHeight="1" x14ac:dyDescent="0.25">
      <c r="B91" s="44" t="s">
        <v>237</v>
      </c>
      <c r="C91" s="37" t="s">
        <v>295</v>
      </c>
      <c r="D91" s="45">
        <f>SUMIF('Gastos Generales'!$B:$B,PPvsREal!$C$91,'Gastos Generales'!D:D)</f>
        <v>2032.11</v>
      </c>
      <c r="E91" s="45">
        <f>SUMIF('Gastos Generales'!$B:$B,PPvsREal!$C$91,'Gastos Generales'!E:E)</f>
        <v>1348.06</v>
      </c>
      <c r="F91" s="45">
        <f>SUMIF('Gastos Generales'!$B:$B,PPvsREal!$C$91,'Gastos Generales'!F:F)</f>
        <v>2032.11</v>
      </c>
      <c r="G91" s="45">
        <f>SUMIF('Gastos Generales'!$B:$B,PPvsREal!$C$91,'Gastos Generales'!G:G)</f>
        <v>2525</v>
      </c>
      <c r="H91" s="45">
        <f>SUMIF('Gastos Generales'!$B:$B,PPvsREal!$C$91,'Gastos Generales'!H:H)</f>
        <v>2032.11</v>
      </c>
      <c r="I91" s="45">
        <f>SUMIF('Gastos Generales'!$B:$B,PPvsREal!$C$91,'Gastos Generales'!I:I)</f>
        <v>1769.82</v>
      </c>
      <c r="J91" s="45">
        <f>SUMIF('Gastos Generales'!$B:$B,PPvsREal!$C$91,'Gastos Generales'!J:J)</f>
        <v>2032.11</v>
      </c>
      <c r="K91" s="45">
        <f>SUMIF('Gastos Generales'!$B:$B,PPvsREal!$C$91,'Gastos Generales'!K:K)</f>
        <v>800.69</v>
      </c>
      <c r="L91" s="45">
        <f>SUMIF('Gastos Generales'!$B:$B,PPvsREal!$C$91,'Gastos Generales'!L:L)</f>
        <v>2032.11</v>
      </c>
      <c r="M91" s="45">
        <f>SUMIF('Gastos Generales'!$B:$B,PPvsREal!$C$91,'Gastos Generales'!M:M)</f>
        <v>2196.34</v>
      </c>
      <c r="N91" s="45">
        <f>SUMIF('Gastos Generales'!$B:$B,PPvsREal!$C$91,'Gastos Generales'!N:N)</f>
        <v>2032.11</v>
      </c>
      <c r="O91" s="45">
        <f>SUMIF('Gastos Generales'!$B:$B,PPvsREal!$C$91,'Gastos Generales'!O:O)</f>
        <v>1238.76</v>
      </c>
      <c r="P91" s="45">
        <f>SUMIF('Gastos Generales'!$B:$B,PPvsREal!$C$91,'Gastos Generales'!P:P)</f>
        <v>2032.11</v>
      </c>
      <c r="Q91" s="45">
        <f>SUMIF('Gastos Generales'!$B:$B,PPvsREal!$C$91,'Gastos Generales'!Q:Q)</f>
        <v>2484.4699999999998</v>
      </c>
      <c r="R91" s="45">
        <f>SUMIF('Gastos Generales'!$B:$B,PPvsREal!$C$91,'Gastos Generales'!R:R)</f>
        <v>2032.11</v>
      </c>
      <c r="S91" s="45">
        <f>SUMIF('Gastos Generales'!$B:$B,PPvsREal!$C$91,'Gastos Generales'!S:S)</f>
        <v>0</v>
      </c>
      <c r="T91" s="45">
        <f>SUMIF('Gastos Generales'!$B:$B,PPvsREal!$C$91,'Gastos Generales'!T:T)</f>
        <v>2032.11</v>
      </c>
      <c r="U91" s="45">
        <f>SUMIF('Gastos Generales'!$B:$B,PPvsREal!$C$91,'Gastos Generales'!U:U)</f>
        <v>0</v>
      </c>
      <c r="V91" s="45">
        <f>SUMIF('Gastos Generales'!$B:$B,PPvsREal!$C$91,'Gastos Generales'!V:V)</f>
        <v>2032.11</v>
      </c>
      <c r="W91" s="45">
        <f>SUMIF('Gastos Generales'!$B:$B,PPvsREal!$C$91,'Gastos Generales'!W:W)</f>
        <v>0</v>
      </c>
      <c r="X91" s="45">
        <f>SUMIF('Gastos Generales'!$B:$B,PPvsREal!$C$91,'Gastos Generales'!X:X)</f>
        <v>2032.11</v>
      </c>
      <c r="Y91" s="45">
        <f>SUMIF('Gastos Generales'!$B:$B,PPvsREal!$C$91,'Gastos Generales'!Y:Y)</f>
        <v>0</v>
      </c>
      <c r="Z91" s="45">
        <f>SUMIF('Gastos Generales'!$B:$B,PPvsREal!$C$91,'Gastos Generales'!Z:Z)</f>
        <v>2032.11</v>
      </c>
      <c r="AA91" s="53">
        <f>SUMIF('Gastos Generales'!$B:$B,PPvsREal!$C$91,'Gastos Generales'!AA:AA)</f>
        <v>0</v>
      </c>
    </row>
    <row r="92" spans="2:27" ht="12.75" customHeight="1" x14ac:dyDescent="0.25">
      <c r="B92" s="44" t="s">
        <v>237</v>
      </c>
      <c r="C92" s="37" t="s">
        <v>216</v>
      </c>
      <c r="D92" s="45">
        <f>SUMIF('Gastos Generales'!$B:$B,PPvsREal!$C$92,'Gastos Generales'!D:D)</f>
        <v>0</v>
      </c>
      <c r="E92" s="45">
        <f>SUMIF('Gastos Generales'!$B:$B,PPvsREal!$C$92,'Gastos Generales'!E:E)</f>
        <v>0</v>
      </c>
      <c r="F92" s="45">
        <f>SUMIF('Gastos Generales'!$B:$B,PPvsREal!$C$92,'Gastos Generales'!F:F)</f>
        <v>0</v>
      </c>
      <c r="G92" s="45">
        <f>SUMIF('Gastos Generales'!$B:$B,PPvsREal!$C$92,'Gastos Generales'!G:G)</f>
        <v>0</v>
      </c>
      <c r="H92" s="45">
        <f>SUMIF('Gastos Generales'!$B:$B,PPvsREal!$C$92,'Gastos Generales'!H:H)</f>
        <v>0</v>
      </c>
      <c r="I92" s="45">
        <f>SUMIF('Gastos Generales'!$B:$B,PPvsREal!$C$92,'Gastos Generales'!I:I)</f>
        <v>0</v>
      </c>
      <c r="J92" s="45">
        <f>SUMIF('Gastos Generales'!$B:$B,PPvsREal!$C$92,'Gastos Generales'!J:J)</f>
        <v>0</v>
      </c>
      <c r="K92" s="45">
        <f>SUMIF('Gastos Generales'!$B:$B,PPvsREal!$C$92,'Gastos Generales'!K:K)</f>
        <v>0</v>
      </c>
      <c r="L92" s="45">
        <f>SUMIF('Gastos Generales'!$B:$B,PPvsREal!$C$92,'Gastos Generales'!L:L)</f>
        <v>0</v>
      </c>
      <c r="M92" s="45">
        <f>SUMIF('Gastos Generales'!$B:$B,PPvsREal!$C$92,'Gastos Generales'!M:M)</f>
        <v>0</v>
      </c>
      <c r="N92" s="45">
        <f>SUMIF('Gastos Generales'!$B:$B,PPvsREal!$C$92,'Gastos Generales'!N:N)</f>
        <v>0</v>
      </c>
      <c r="O92" s="45">
        <f>SUMIF('Gastos Generales'!$B:$B,PPvsREal!$C$92,'Gastos Generales'!O:O)</f>
        <v>0</v>
      </c>
      <c r="P92" s="45">
        <f>SUMIF('Gastos Generales'!$B:$B,PPvsREal!$C$92,'Gastos Generales'!P:P)</f>
        <v>0</v>
      </c>
      <c r="Q92" s="45">
        <f>SUMIF('Gastos Generales'!$B:$B,PPvsREal!$C$92,'Gastos Generales'!Q:Q)</f>
        <v>10220.69</v>
      </c>
      <c r="R92" s="45">
        <f>SUMIF('Gastos Generales'!$B:$B,PPvsREal!$C$92,'Gastos Generales'!R:R)</f>
        <v>0</v>
      </c>
      <c r="S92" s="45">
        <f>SUMIF('Gastos Generales'!$B:$B,PPvsREal!$C$92,'Gastos Generales'!S:S)</f>
        <v>0</v>
      </c>
      <c r="T92" s="45">
        <f>SUMIF('Gastos Generales'!$B:$B,PPvsREal!$C$92,'Gastos Generales'!T:T)</f>
        <v>0</v>
      </c>
      <c r="U92" s="45">
        <f>SUMIF('Gastos Generales'!$B:$B,PPvsREal!$C$92,'Gastos Generales'!U:U)</f>
        <v>0</v>
      </c>
      <c r="V92" s="45">
        <f>SUMIF('Gastos Generales'!$B:$B,PPvsREal!$C$92,'Gastos Generales'!V:V)</f>
        <v>0</v>
      </c>
      <c r="W92" s="45">
        <f>SUMIF('Gastos Generales'!$B:$B,PPvsREal!$C$92,'Gastos Generales'!W:W)</f>
        <v>0</v>
      </c>
      <c r="X92" s="45">
        <f>SUMIF('Gastos Generales'!$B:$B,PPvsREal!$C$92,'Gastos Generales'!X:X)</f>
        <v>0</v>
      </c>
      <c r="Y92" s="45">
        <f>SUMIF('Gastos Generales'!$B:$B,PPvsREal!$C$92,'Gastos Generales'!Y:Y)</f>
        <v>0</v>
      </c>
      <c r="Z92" s="45">
        <f>SUMIF('Gastos Generales'!$B:$B,PPvsREal!$C$92,'Gastos Generales'!Z:Z)</f>
        <v>0</v>
      </c>
      <c r="AA92" s="53">
        <f>SUMIF('Gastos Generales'!$B:$B,PPvsREal!$C$92,'Gastos Generales'!AA:AA)</f>
        <v>0</v>
      </c>
    </row>
    <row r="93" spans="2:27" ht="12.75" customHeight="1" x14ac:dyDescent="0.25">
      <c r="B93" s="44" t="s">
        <v>237</v>
      </c>
      <c r="C93" s="37" t="s">
        <v>298</v>
      </c>
      <c r="D93" s="45">
        <f>SUMIF('Gastos Generales'!$B:$B,PPvsREal!$C$93,'Gastos Generales'!D:D)</f>
        <v>16521.036</v>
      </c>
      <c r="E93" s="45">
        <f>SUMIF('Gastos Generales'!$B:$B,PPvsREal!$C$93,'Gastos Generales'!E:E)</f>
        <v>15734.32</v>
      </c>
      <c r="F93" s="45">
        <f>SUMIF('Gastos Generales'!$B:$B,PPvsREal!$C$93,'Gastos Generales'!F:F)</f>
        <v>16521.036</v>
      </c>
      <c r="G93" s="45">
        <f>SUMIF('Gastos Generales'!$B:$B,PPvsREal!$C$93,'Gastos Generales'!G:G)</f>
        <v>15734.32</v>
      </c>
      <c r="H93" s="45">
        <f>SUMIF('Gastos Generales'!$B:$B,PPvsREal!$C$93,'Gastos Generales'!H:H)</f>
        <v>16521.036</v>
      </c>
      <c r="I93" s="45">
        <f>SUMIF('Gastos Generales'!$B:$B,PPvsREal!$C$93,'Gastos Generales'!I:I)</f>
        <v>15734.32</v>
      </c>
      <c r="J93" s="45">
        <f>SUMIF('Gastos Generales'!$B:$B,PPvsREal!$C$93,'Gastos Generales'!J:J)</f>
        <v>16521.036</v>
      </c>
      <c r="K93" s="45">
        <f>SUMIF('Gastos Generales'!$B:$B,PPvsREal!$C$93,'Gastos Generales'!K:K)</f>
        <v>15734.32</v>
      </c>
      <c r="L93" s="45">
        <f>SUMIF('Gastos Generales'!$B:$B,PPvsREal!$C$93,'Gastos Generales'!L:L)</f>
        <v>16521.036</v>
      </c>
      <c r="M93" s="45">
        <f>SUMIF('Gastos Generales'!$B:$B,PPvsREal!$C$93,'Gastos Generales'!M:M)</f>
        <v>15734.32</v>
      </c>
      <c r="N93" s="45">
        <f>SUMIF('Gastos Generales'!$B:$B,PPvsREal!$C$93,'Gastos Generales'!N:N)</f>
        <v>16521.036</v>
      </c>
      <c r="O93" s="45">
        <f>SUMIF('Gastos Generales'!$B:$B,PPvsREal!$C$93,'Gastos Generales'!O:O)</f>
        <v>15734.32</v>
      </c>
      <c r="P93" s="45">
        <f>SUMIF('Gastos Generales'!$B:$B,PPvsREal!$C$93,'Gastos Generales'!P:P)</f>
        <v>16521.036</v>
      </c>
      <c r="Q93" s="45">
        <f>SUMIF('Gastos Generales'!$B:$B,PPvsREal!$C$93,'Gastos Generales'!Q:Q)</f>
        <v>15734.32</v>
      </c>
      <c r="R93" s="45">
        <f>SUMIF('Gastos Generales'!$B:$B,PPvsREal!$C$93,'Gastos Generales'!R:R)</f>
        <v>16521.036</v>
      </c>
      <c r="S93" s="45">
        <f>SUMIF('Gastos Generales'!$B:$B,PPvsREal!$C$93,'Gastos Generales'!S:S)</f>
        <v>0</v>
      </c>
      <c r="T93" s="45">
        <f>SUMIF('Gastos Generales'!$B:$B,PPvsREal!$C$93,'Gastos Generales'!T:T)</f>
        <v>16521.036</v>
      </c>
      <c r="U93" s="45">
        <f>SUMIF('Gastos Generales'!$B:$B,PPvsREal!$C$93,'Gastos Generales'!U:U)</f>
        <v>0</v>
      </c>
      <c r="V93" s="45">
        <f>SUMIF('Gastos Generales'!$B:$B,PPvsREal!$C$93,'Gastos Generales'!V:V)</f>
        <v>16521.036</v>
      </c>
      <c r="W93" s="45">
        <f>SUMIF('Gastos Generales'!$B:$B,PPvsREal!$C$93,'Gastos Generales'!W:W)</f>
        <v>0</v>
      </c>
      <c r="X93" s="45">
        <f>SUMIF('Gastos Generales'!$B:$B,PPvsREal!$C$93,'Gastos Generales'!X:X)</f>
        <v>16521.036</v>
      </c>
      <c r="Y93" s="45">
        <f>SUMIF('Gastos Generales'!$B:$B,PPvsREal!$C$93,'Gastos Generales'!Y:Y)</f>
        <v>0</v>
      </c>
      <c r="Z93" s="45">
        <f>SUMIF('Gastos Generales'!$B:$B,PPvsREal!$C$93,'Gastos Generales'!Z:Z)</f>
        <v>16521.036</v>
      </c>
      <c r="AA93" s="53">
        <f>SUMIF('Gastos Generales'!$B:$B,PPvsREal!$C$93,'Gastos Generales'!AA:AA)</f>
        <v>0</v>
      </c>
    </row>
    <row r="94" spans="2:27" ht="12.75" customHeight="1" x14ac:dyDescent="0.25">
      <c r="B94" s="44" t="s">
        <v>237</v>
      </c>
      <c r="C94" s="37" t="s">
        <v>300</v>
      </c>
      <c r="D94" s="45">
        <f>SUMIF('Gastos Generales'!$B:$B,PPvsREal!$C$94,'Gastos Generales'!D:D)</f>
        <v>0</v>
      </c>
      <c r="E94" s="45">
        <f>SUMIF('Gastos Generales'!$B:$B,PPvsREal!$C$94,'Gastos Generales'!E:E)</f>
        <v>0</v>
      </c>
      <c r="F94" s="45">
        <f>SUMIF('Gastos Generales'!$B:$B,PPvsREal!$C$94,'Gastos Generales'!F:F)</f>
        <v>1000</v>
      </c>
      <c r="G94" s="45">
        <f>SUMIF('Gastos Generales'!$B:$B,PPvsREal!$C$94,'Gastos Generales'!G:G)</f>
        <v>0</v>
      </c>
      <c r="H94" s="45">
        <f>SUMIF('Gastos Generales'!$B:$B,PPvsREal!$C$94,'Gastos Generales'!H:H)</f>
        <v>0</v>
      </c>
      <c r="I94" s="45">
        <f>SUMIF('Gastos Generales'!$B:$B,PPvsREal!$C$94,'Gastos Generales'!I:I)</f>
        <v>0</v>
      </c>
      <c r="J94" s="45">
        <f>SUMIF('Gastos Generales'!$B:$B,PPvsREal!$C$94,'Gastos Generales'!J:J)</f>
        <v>1000</v>
      </c>
      <c r="K94" s="45">
        <f>SUMIF('Gastos Generales'!$B:$B,PPvsREal!$C$94,'Gastos Generales'!K:K)</f>
        <v>0</v>
      </c>
      <c r="L94" s="45">
        <f>SUMIF('Gastos Generales'!$B:$B,PPvsREal!$C$94,'Gastos Generales'!L:L)</f>
        <v>0</v>
      </c>
      <c r="M94" s="45">
        <f>SUMIF('Gastos Generales'!$B:$B,PPvsREal!$C$94,'Gastos Generales'!M:M)</f>
        <v>0</v>
      </c>
      <c r="N94" s="45">
        <f>SUMIF('Gastos Generales'!$B:$B,PPvsREal!$C$94,'Gastos Generales'!N:N)</f>
        <v>1000</v>
      </c>
      <c r="O94" s="45">
        <f>SUMIF('Gastos Generales'!$B:$B,PPvsREal!$C$94,'Gastos Generales'!O:O)</f>
        <v>0</v>
      </c>
      <c r="P94" s="45">
        <f>SUMIF('Gastos Generales'!$B:$B,PPvsREal!$C$94,'Gastos Generales'!P:P)</f>
        <v>0</v>
      </c>
      <c r="Q94" s="45">
        <f>SUMIF('Gastos Generales'!$B:$B,PPvsREal!$C$94,'Gastos Generales'!Q:Q)</f>
        <v>0</v>
      </c>
      <c r="R94" s="45">
        <f>SUMIF('Gastos Generales'!$B:$B,PPvsREal!$C$94,'Gastos Generales'!R:R)</f>
        <v>1000</v>
      </c>
      <c r="S94" s="45">
        <f>SUMIF('Gastos Generales'!$B:$B,PPvsREal!$C$94,'Gastos Generales'!S:S)</f>
        <v>0</v>
      </c>
      <c r="T94" s="45">
        <f>SUMIF('Gastos Generales'!$B:$B,PPvsREal!$C$94,'Gastos Generales'!T:T)</f>
        <v>0</v>
      </c>
      <c r="U94" s="45">
        <f>SUMIF('Gastos Generales'!$B:$B,PPvsREal!$C$94,'Gastos Generales'!U:U)</f>
        <v>0</v>
      </c>
      <c r="V94" s="45">
        <f>SUMIF('Gastos Generales'!$B:$B,PPvsREal!$C$94,'Gastos Generales'!V:V)</f>
        <v>1000</v>
      </c>
      <c r="W94" s="45">
        <f>SUMIF('Gastos Generales'!$B:$B,PPvsREal!$C$94,'Gastos Generales'!W:W)</f>
        <v>0</v>
      </c>
      <c r="X94" s="45">
        <f>SUMIF('Gastos Generales'!$B:$B,PPvsREal!$C$94,'Gastos Generales'!X:X)</f>
        <v>0</v>
      </c>
      <c r="Y94" s="45">
        <f>SUMIF('Gastos Generales'!$B:$B,PPvsREal!$C$94,'Gastos Generales'!Y:Y)</f>
        <v>0</v>
      </c>
      <c r="Z94" s="45">
        <f>SUMIF('Gastos Generales'!$B:$B,PPvsREal!$C$94,'Gastos Generales'!Z:Z)</f>
        <v>0</v>
      </c>
      <c r="AA94" s="53">
        <f>SUMIF('Gastos Generales'!$B:$B,PPvsREal!$C$94,'Gastos Generales'!AA:AA)</f>
        <v>0</v>
      </c>
    </row>
    <row r="95" spans="2:27" ht="12.75" customHeight="1" x14ac:dyDescent="0.25">
      <c r="B95" s="44" t="s">
        <v>237</v>
      </c>
      <c r="C95" s="37" t="s">
        <v>302</v>
      </c>
      <c r="D95" s="45">
        <f>SUMIF('Gastos Generales'!$B:$B,PPvsREal!$C$95,'Gastos Generales'!D:D)</f>
        <v>0</v>
      </c>
      <c r="E95" s="45">
        <f>SUMIF('Gastos Generales'!$B:$B,PPvsREal!$C$95,'Gastos Generales'!E:E)</f>
        <v>0</v>
      </c>
      <c r="F95" s="45">
        <f>SUMIF('Gastos Generales'!$B:$B,PPvsREal!$C$95,'Gastos Generales'!F:F)</f>
        <v>1666.67</v>
      </c>
      <c r="G95" s="45">
        <f>SUMIF('Gastos Generales'!$B:$B,PPvsREal!$C$95,'Gastos Generales'!G:G)</f>
        <v>0</v>
      </c>
      <c r="H95" s="45">
        <f>SUMIF('Gastos Generales'!$B:$B,PPvsREal!$C$95,'Gastos Generales'!H:H)</f>
        <v>0</v>
      </c>
      <c r="I95" s="45">
        <f>SUMIF('Gastos Generales'!$B:$B,PPvsREal!$C$95,'Gastos Generales'!I:I)</f>
        <v>2850</v>
      </c>
      <c r="J95" s="45">
        <f>SUMIF('Gastos Generales'!$B:$B,PPvsREal!$C$95,'Gastos Generales'!J:J)</f>
        <v>1666.67</v>
      </c>
      <c r="K95" s="45">
        <f>SUMIF('Gastos Generales'!$B:$B,PPvsREal!$C$95,'Gastos Generales'!K:K)</f>
        <v>850</v>
      </c>
      <c r="L95" s="45">
        <f>SUMIF('Gastos Generales'!$B:$B,PPvsREal!$C$95,'Gastos Generales'!L:L)</f>
        <v>0</v>
      </c>
      <c r="M95" s="45">
        <f>SUMIF('Gastos Generales'!$B:$B,PPvsREal!$C$95,'Gastos Generales'!M:M)</f>
        <v>5126.18</v>
      </c>
      <c r="N95" s="45">
        <f>SUMIF('Gastos Generales'!$B:$B,PPvsREal!$C$95,'Gastos Generales'!N:N)</f>
        <v>1666.67</v>
      </c>
      <c r="O95" s="45">
        <f>SUMIF('Gastos Generales'!$B:$B,PPvsREal!$C$95,'Gastos Generales'!O:O)</f>
        <v>4978.45</v>
      </c>
      <c r="P95" s="45">
        <f>SUMIF('Gastos Generales'!$B:$B,PPvsREal!$C$95,'Gastos Generales'!P:P)</f>
        <v>0</v>
      </c>
      <c r="Q95" s="45">
        <f>SUMIF('Gastos Generales'!$B:$B,PPvsREal!$C$95,'Gastos Generales'!Q:Q)</f>
        <v>2194.83</v>
      </c>
      <c r="R95" s="45">
        <f>SUMIF('Gastos Generales'!$B:$B,PPvsREal!$C$95,'Gastos Generales'!R:R)</f>
        <v>1666.67</v>
      </c>
      <c r="S95" s="45">
        <f>SUMIF('Gastos Generales'!$B:$B,PPvsREal!$C$95,'Gastos Generales'!S:S)</f>
        <v>0</v>
      </c>
      <c r="T95" s="45">
        <f>SUMIF('Gastos Generales'!$B:$B,PPvsREal!$C$95,'Gastos Generales'!T:T)</f>
        <v>0</v>
      </c>
      <c r="U95" s="45">
        <f>SUMIF('Gastos Generales'!$B:$B,PPvsREal!$C$95,'Gastos Generales'!U:U)</f>
        <v>0</v>
      </c>
      <c r="V95" s="45">
        <f>SUMIF('Gastos Generales'!$B:$B,PPvsREal!$C$95,'Gastos Generales'!V:V)</f>
        <v>1666.67</v>
      </c>
      <c r="W95" s="45">
        <f>SUMIF('Gastos Generales'!$B:$B,PPvsREal!$C$95,'Gastos Generales'!W:W)</f>
        <v>0</v>
      </c>
      <c r="X95" s="45">
        <f>SUMIF('Gastos Generales'!$B:$B,PPvsREal!$C$95,'Gastos Generales'!X:X)</f>
        <v>0</v>
      </c>
      <c r="Y95" s="45">
        <f>SUMIF('Gastos Generales'!$B:$B,PPvsREal!$C$95,'Gastos Generales'!Y:Y)</f>
        <v>0</v>
      </c>
      <c r="Z95" s="45">
        <f>SUMIF('Gastos Generales'!$B:$B,PPvsREal!$C$95,'Gastos Generales'!Z:Z)</f>
        <v>1666.65</v>
      </c>
      <c r="AA95" s="53">
        <f>SUMIF('Gastos Generales'!$B:$B,PPvsREal!$C$95,'Gastos Generales'!AA:AA)</f>
        <v>0</v>
      </c>
    </row>
    <row r="96" spans="2:27" ht="12.75" customHeight="1" x14ac:dyDescent="0.25">
      <c r="B96" s="44" t="s">
        <v>237</v>
      </c>
      <c r="C96" s="37" t="s">
        <v>304</v>
      </c>
      <c r="D96" s="45">
        <f>SUMIF('Gastos Generales'!$B:$B,PPvsREal!$C$96,'Gastos Generales'!D:D)</f>
        <v>1000</v>
      </c>
      <c r="E96" s="45">
        <f>SUMIF('Gastos Generales'!$B:$B,PPvsREal!$C$96,'Gastos Generales'!E:E)</f>
        <v>0</v>
      </c>
      <c r="F96" s="45">
        <f>SUMIF('Gastos Generales'!$B:$B,PPvsREal!$C$96,'Gastos Generales'!F:F)</f>
        <v>0</v>
      </c>
      <c r="G96" s="45">
        <f>SUMIF('Gastos Generales'!$B:$B,PPvsREal!$C$96,'Gastos Generales'!G:G)</f>
        <v>80</v>
      </c>
      <c r="H96" s="45">
        <f>SUMIF('Gastos Generales'!$B:$B,PPvsREal!$C$96,'Gastos Generales'!H:H)</f>
        <v>1000</v>
      </c>
      <c r="I96" s="45">
        <f>SUMIF('Gastos Generales'!$B:$B,PPvsREal!$C$96,'Gastos Generales'!I:I)</f>
        <v>156</v>
      </c>
      <c r="J96" s="45">
        <f>SUMIF('Gastos Generales'!$B:$B,PPvsREal!$C$96,'Gastos Generales'!J:J)</f>
        <v>0</v>
      </c>
      <c r="K96" s="45">
        <f>SUMIF('Gastos Generales'!$B:$B,PPvsREal!$C$96,'Gastos Generales'!K:K)</f>
        <v>142.22999999999999</v>
      </c>
      <c r="L96" s="45">
        <f>SUMIF('Gastos Generales'!$B:$B,PPvsREal!$C$96,'Gastos Generales'!L:L)</f>
        <v>1000</v>
      </c>
      <c r="M96" s="45">
        <f>SUMIF('Gastos Generales'!$B:$B,PPvsREal!$C$96,'Gastos Generales'!M:M)</f>
        <v>0</v>
      </c>
      <c r="N96" s="45">
        <f>SUMIF('Gastos Generales'!$B:$B,PPvsREal!$C$96,'Gastos Generales'!N:N)</f>
        <v>0</v>
      </c>
      <c r="O96" s="45">
        <f>SUMIF('Gastos Generales'!$B:$B,PPvsREal!$C$96,'Gastos Generales'!O:O)</f>
        <v>0</v>
      </c>
      <c r="P96" s="45">
        <f>SUMIF('Gastos Generales'!$B:$B,PPvsREal!$C$96,'Gastos Generales'!P:P)</f>
        <v>1000</v>
      </c>
      <c r="Q96" s="45">
        <f>SUMIF('Gastos Generales'!$B:$B,PPvsREal!$C$96,'Gastos Generales'!Q:Q)</f>
        <v>0</v>
      </c>
      <c r="R96" s="45">
        <f>SUMIF('Gastos Generales'!$B:$B,PPvsREal!$C$96,'Gastos Generales'!R:R)</f>
        <v>0</v>
      </c>
      <c r="S96" s="45">
        <f>SUMIF('Gastos Generales'!$B:$B,PPvsREal!$C$96,'Gastos Generales'!S:S)</f>
        <v>0</v>
      </c>
      <c r="T96" s="45">
        <f>SUMIF('Gastos Generales'!$B:$B,PPvsREal!$C$96,'Gastos Generales'!T:T)</f>
        <v>1000</v>
      </c>
      <c r="U96" s="45">
        <f>SUMIF('Gastos Generales'!$B:$B,PPvsREal!$C$96,'Gastos Generales'!U:U)</f>
        <v>0</v>
      </c>
      <c r="V96" s="45">
        <f>SUMIF('Gastos Generales'!$B:$B,PPvsREal!$C$96,'Gastos Generales'!V:V)</f>
        <v>0</v>
      </c>
      <c r="W96" s="45">
        <f>SUMIF('Gastos Generales'!$B:$B,PPvsREal!$C$96,'Gastos Generales'!W:W)</f>
        <v>0</v>
      </c>
      <c r="X96" s="45">
        <f>SUMIF('Gastos Generales'!$B:$B,PPvsREal!$C$96,'Gastos Generales'!X:X)</f>
        <v>1000</v>
      </c>
      <c r="Y96" s="45">
        <f>SUMIF('Gastos Generales'!$B:$B,PPvsREal!$C$96,'Gastos Generales'!Y:Y)</f>
        <v>0</v>
      </c>
      <c r="Z96" s="45">
        <f>SUMIF('Gastos Generales'!$B:$B,PPvsREal!$C$96,'Gastos Generales'!Z:Z)</f>
        <v>0</v>
      </c>
      <c r="AA96" s="53">
        <f>SUMIF('Gastos Generales'!$B:$B,PPvsREal!$C$96,'Gastos Generales'!AA:AA)</f>
        <v>0</v>
      </c>
    </row>
    <row r="97" spans="2:27" ht="12.75" customHeight="1" x14ac:dyDescent="0.25">
      <c r="B97" s="44" t="s">
        <v>237</v>
      </c>
      <c r="C97" s="37" t="s">
        <v>306</v>
      </c>
      <c r="D97" s="45">
        <f>SUMIF('Gastos Generales'!$B:$B,PPvsREal!$C$97,'Gastos Generales'!D:D)</f>
        <v>0</v>
      </c>
      <c r="E97" s="45">
        <f>SUMIF('Gastos Generales'!$B:$B,PPvsREal!$C$97,'Gastos Generales'!E:E)</f>
        <v>44</v>
      </c>
      <c r="F97" s="45">
        <f>SUMIF('Gastos Generales'!$B:$B,PPvsREal!$C$97,'Gastos Generales'!F:F)</f>
        <v>0</v>
      </c>
      <c r="G97" s="45">
        <f>SUMIF('Gastos Generales'!$B:$B,PPvsREal!$C$97,'Gastos Generales'!G:G)</f>
        <v>102.59</v>
      </c>
      <c r="H97" s="45">
        <f>SUMIF('Gastos Generales'!$B:$B,PPvsREal!$C$97,'Gastos Generales'!H:H)</f>
        <v>0</v>
      </c>
      <c r="I97" s="45">
        <f>SUMIF('Gastos Generales'!$B:$B,PPvsREal!$C$97,'Gastos Generales'!I:I)</f>
        <v>0</v>
      </c>
      <c r="J97" s="45">
        <f>SUMIF('Gastos Generales'!$B:$B,PPvsREal!$C$97,'Gastos Generales'!J:J)</f>
        <v>0</v>
      </c>
      <c r="K97" s="45">
        <f>SUMIF('Gastos Generales'!$B:$B,PPvsREal!$C$97,'Gastos Generales'!K:K)</f>
        <v>0</v>
      </c>
      <c r="L97" s="45">
        <f>SUMIF('Gastos Generales'!$B:$B,PPvsREal!$C$97,'Gastos Generales'!L:L)</f>
        <v>0</v>
      </c>
      <c r="M97" s="45">
        <f>SUMIF('Gastos Generales'!$B:$B,PPvsREal!$C$97,'Gastos Generales'!M:M)</f>
        <v>0</v>
      </c>
      <c r="N97" s="45">
        <f>SUMIF('Gastos Generales'!$B:$B,PPvsREal!$C$97,'Gastos Generales'!N:N)</f>
        <v>0</v>
      </c>
      <c r="O97" s="45">
        <f>SUMIF('Gastos Generales'!$B:$B,PPvsREal!$C$97,'Gastos Generales'!O:O)</f>
        <v>0</v>
      </c>
      <c r="P97" s="45">
        <f>SUMIF('Gastos Generales'!$B:$B,PPvsREal!$C$97,'Gastos Generales'!P:P)</f>
        <v>0</v>
      </c>
      <c r="Q97" s="45">
        <f>SUMIF('Gastos Generales'!$B:$B,PPvsREal!$C$97,'Gastos Generales'!Q:Q)</f>
        <v>0</v>
      </c>
      <c r="R97" s="45">
        <f>SUMIF('Gastos Generales'!$B:$B,PPvsREal!$C$97,'Gastos Generales'!R:R)</f>
        <v>0</v>
      </c>
      <c r="S97" s="45">
        <f>SUMIF('Gastos Generales'!$B:$B,PPvsREal!$C$97,'Gastos Generales'!S:S)</f>
        <v>0</v>
      </c>
      <c r="T97" s="45">
        <f>SUMIF('Gastos Generales'!$B:$B,PPvsREal!$C$97,'Gastos Generales'!T:T)</f>
        <v>0</v>
      </c>
      <c r="U97" s="45">
        <f>SUMIF('Gastos Generales'!$B:$B,PPvsREal!$C$97,'Gastos Generales'!U:U)</f>
        <v>0</v>
      </c>
      <c r="V97" s="45">
        <f>SUMIF('Gastos Generales'!$B:$B,PPvsREal!$C$97,'Gastos Generales'!V:V)</f>
        <v>0</v>
      </c>
      <c r="W97" s="45">
        <f>SUMIF('Gastos Generales'!$B:$B,PPvsREal!$C$97,'Gastos Generales'!W:W)</f>
        <v>0</v>
      </c>
      <c r="X97" s="45">
        <f>SUMIF('Gastos Generales'!$B:$B,PPvsREal!$C$97,'Gastos Generales'!X:X)</f>
        <v>0</v>
      </c>
      <c r="Y97" s="45">
        <f>SUMIF('Gastos Generales'!$B:$B,PPvsREal!$C$97,'Gastos Generales'!Y:Y)</f>
        <v>0</v>
      </c>
      <c r="Z97" s="45">
        <f>SUMIF('Gastos Generales'!$B:$B,PPvsREal!$C$97,'Gastos Generales'!Z:Z)</f>
        <v>0</v>
      </c>
      <c r="AA97" s="53">
        <f>SUMIF('Gastos Generales'!$B:$B,PPvsREal!$C$97,'Gastos Generales'!AA:AA)</f>
        <v>0</v>
      </c>
    </row>
    <row r="98" spans="2:27" ht="12.75" customHeight="1" x14ac:dyDescent="0.25">
      <c r="B98" s="44" t="s">
        <v>237</v>
      </c>
      <c r="C98" s="37" t="s">
        <v>308</v>
      </c>
      <c r="D98" s="45">
        <f>SUMIF('Gastos Generales'!$B:$B,PPvsREal!$C$98,'Gastos Generales'!D:D)</f>
        <v>476702.14</v>
      </c>
      <c r="E98" s="45">
        <f>SUMIF('Gastos Generales'!$B:$B,PPvsREal!$C$98,'Gastos Generales'!E:E)</f>
        <v>374295.29</v>
      </c>
      <c r="F98" s="45">
        <f>SUMIF('Gastos Generales'!$B:$B,PPvsREal!$C$98,'Gastos Generales'!F:F)</f>
        <v>476702.14</v>
      </c>
      <c r="G98" s="45">
        <f>SUMIF('Gastos Generales'!$B:$B,PPvsREal!$C$98,'Gastos Generales'!G:G)</f>
        <v>454221.51</v>
      </c>
      <c r="H98" s="45">
        <f>SUMIF('Gastos Generales'!$B:$B,PPvsREal!$C$98,'Gastos Generales'!H:H)</f>
        <v>476702.14</v>
      </c>
      <c r="I98" s="45">
        <f>SUMIF('Gastos Generales'!$B:$B,PPvsREal!$C$98,'Gastos Generales'!I:I)</f>
        <v>464140.67</v>
      </c>
      <c r="J98" s="45">
        <f>SUMIF('Gastos Generales'!$B:$B,PPvsREal!$C$98,'Gastos Generales'!J:J)</f>
        <v>476702.14</v>
      </c>
      <c r="K98" s="45">
        <f>SUMIF('Gastos Generales'!$B:$B,PPvsREal!$C$98,'Gastos Generales'!K:K)</f>
        <v>456208.07</v>
      </c>
      <c r="L98" s="45">
        <f>SUMIF('Gastos Generales'!$B:$B,PPvsREal!$C$98,'Gastos Generales'!L:L)</f>
        <v>476702.14</v>
      </c>
      <c r="M98" s="45">
        <f>SUMIF('Gastos Generales'!$B:$B,PPvsREal!$C$98,'Gastos Generales'!M:M)</f>
        <v>683954.99</v>
      </c>
      <c r="N98" s="45">
        <f>SUMIF('Gastos Generales'!$B:$B,PPvsREal!$C$98,'Gastos Generales'!N:N)</f>
        <v>476702.14</v>
      </c>
      <c r="O98" s="45">
        <f>SUMIF('Gastos Generales'!$B:$B,PPvsREal!$C$98,'Gastos Generales'!O:O)</f>
        <v>454501.14</v>
      </c>
      <c r="P98" s="45">
        <f>SUMIF('Gastos Generales'!$B:$B,PPvsREal!$C$98,'Gastos Generales'!P:P)</f>
        <v>476702.14</v>
      </c>
      <c r="Q98" s="45">
        <f>SUMIF('Gastos Generales'!$B:$B,PPvsREal!$C$98,'Gastos Generales'!Q:Q)</f>
        <v>426396.96</v>
      </c>
      <c r="R98" s="45">
        <f>SUMIF('Gastos Generales'!$B:$B,PPvsREal!$C$98,'Gastos Generales'!R:R)</f>
        <v>476702.14</v>
      </c>
      <c r="S98" s="45">
        <f>SUMIF('Gastos Generales'!$B:$B,PPvsREal!$C$98,'Gastos Generales'!S:S)</f>
        <v>0</v>
      </c>
      <c r="T98" s="45">
        <f>SUMIF('Gastos Generales'!$B:$B,PPvsREal!$C$98,'Gastos Generales'!T:T)</f>
        <v>476702.14</v>
      </c>
      <c r="U98" s="45">
        <f>SUMIF('Gastos Generales'!$B:$B,PPvsREal!$C$98,'Gastos Generales'!U:U)</f>
        <v>0</v>
      </c>
      <c r="V98" s="45">
        <f>SUMIF('Gastos Generales'!$B:$B,PPvsREal!$C$98,'Gastos Generales'!V:V)</f>
        <v>476702.14</v>
      </c>
      <c r="W98" s="45">
        <f>SUMIF('Gastos Generales'!$B:$B,PPvsREal!$C$98,'Gastos Generales'!W:W)</f>
        <v>0</v>
      </c>
      <c r="X98" s="45">
        <f>SUMIF('Gastos Generales'!$B:$B,PPvsREal!$C$98,'Gastos Generales'!X:X)</f>
        <v>476702.14</v>
      </c>
      <c r="Y98" s="45">
        <f>SUMIF('Gastos Generales'!$B:$B,PPvsREal!$C$98,'Gastos Generales'!Y:Y)</f>
        <v>0</v>
      </c>
      <c r="Z98" s="45">
        <f>SUMIF('Gastos Generales'!$B:$B,PPvsREal!$C$98,'Gastos Generales'!Z:Z)</f>
        <v>476702.14</v>
      </c>
      <c r="AA98" s="53">
        <f>SUMIF('Gastos Generales'!$B:$B,PPvsREal!$C$98,'Gastos Generales'!AA:AA)</f>
        <v>0</v>
      </c>
    </row>
    <row r="99" spans="2:27" ht="12.75" customHeight="1" x14ac:dyDescent="0.25">
      <c r="B99" s="44" t="s">
        <v>237</v>
      </c>
      <c r="C99" s="37" t="s">
        <v>310</v>
      </c>
      <c r="D99" s="45">
        <f>SUMIF('Gastos Generales'!$B:$B,PPvsREal!$C$99,'Gastos Generales'!D:D)</f>
        <v>6000</v>
      </c>
      <c r="E99" s="45">
        <f>SUMIF('Gastos Generales'!$B:$B,PPvsREal!$C$99,'Gastos Generales'!E:E)</f>
        <v>2000</v>
      </c>
      <c r="F99" s="45">
        <f>SUMIF('Gastos Generales'!$B:$B,PPvsREal!$C$99,'Gastos Generales'!F:F)</f>
        <v>6000</v>
      </c>
      <c r="G99" s="45">
        <f>SUMIF('Gastos Generales'!$B:$B,PPvsREal!$C$99,'Gastos Generales'!G:G)</f>
        <v>0</v>
      </c>
      <c r="H99" s="45">
        <f>SUMIF('Gastos Generales'!$B:$B,PPvsREal!$C$99,'Gastos Generales'!H:H)</f>
        <v>6000</v>
      </c>
      <c r="I99" s="45">
        <f>SUMIF('Gastos Generales'!$B:$B,PPvsREal!$C$99,'Gastos Generales'!I:I)</f>
        <v>2550</v>
      </c>
      <c r="J99" s="45">
        <f>SUMIF('Gastos Generales'!$B:$B,PPvsREal!$C$99,'Gastos Generales'!J:J)</f>
        <v>6000</v>
      </c>
      <c r="K99" s="45">
        <f>SUMIF('Gastos Generales'!$B:$B,PPvsREal!$C$99,'Gastos Generales'!K:K)</f>
        <v>3867</v>
      </c>
      <c r="L99" s="45">
        <f>SUMIF('Gastos Generales'!$B:$B,PPvsREal!$C$99,'Gastos Generales'!L:L)</f>
        <v>6000</v>
      </c>
      <c r="M99" s="45">
        <f>SUMIF('Gastos Generales'!$B:$B,PPvsREal!$C$99,'Gastos Generales'!M:M)</f>
        <v>7068</v>
      </c>
      <c r="N99" s="45">
        <f>SUMIF('Gastos Generales'!$B:$B,PPvsREal!$C$99,'Gastos Generales'!N:N)</f>
        <v>6000</v>
      </c>
      <c r="O99" s="45">
        <f>SUMIF('Gastos Generales'!$B:$B,PPvsREal!$C$99,'Gastos Generales'!O:O)</f>
        <v>6000</v>
      </c>
      <c r="P99" s="45">
        <f>SUMIF('Gastos Generales'!$B:$B,PPvsREal!$C$99,'Gastos Generales'!P:P)</f>
        <v>6000</v>
      </c>
      <c r="Q99" s="45">
        <f>SUMIF('Gastos Generales'!$B:$B,PPvsREal!$C$99,'Gastos Generales'!Q:Q)</f>
        <v>4000</v>
      </c>
      <c r="R99" s="45">
        <f>SUMIF('Gastos Generales'!$B:$B,PPvsREal!$C$99,'Gastos Generales'!R:R)</f>
        <v>6000</v>
      </c>
      <c r="S99" s="45">
        <f>SUMIF('Gastos Generales'!$B:$B,PPvsREal!$C$99,'Gastos Generales'!S:S)</f>
        <v>0</v>
      </c>
      <c r="T99" s="45">
        <f>SUMIF('Gastos Generales'!$B:$B,PPvsREal!$C$99,'Gastos Generales'!T:T)</f>
        <v>6000</v>
      </c>
      <c r="U99" s="45">
        <f>SUMIF('Gastos Generales'!$B:$B,PPvsREal!$C$99,'Gastos Generales'!U:U)</f>
        <v>0</v>
      </c>
      <c r="V99" s="45">
        <f>SUMIF('Gastos Generales'!$B:$B,PPvsREal!$C$99,'Gastos Generales'!V:V)</f>
        <v>6000</v>
      </c>
      <c r="W99" s="45">
        <f>SUMIF('Gastos Generales'!$B:$B,PPvsREal!$C$99,'Gastos Generales'!W:W)</f>
        <v>0</v>
      </c>
      <c r="X99" s="45">
        <f>SUMIF('Gastos Generales'!$B:$B,PPvsREal!$C$99,'Gastos Generales'!X:X)</f>
        <v>6000</v>
      </c>
      <c r="Y99" s="45">
        <f>SUMIF('Gastos Generales'!$B:$B,PPvsREal!$C$99,'Gastos Generales'!Y:Y)</f>
        <v>0</v>
      </c>
      <c r="Z99" s="45">
        <f>SUMIF('Gastos Generales'!$B:$B,PPvsREal!$C$99,'Gastos Generales'!Z:Z)</f>
        <v>6000</v>
      </c>
      <c r="AA99" s="53">
        <f>SUMIF('Gastos Generales'!$B:$B,PPvsREal!$C$99,'Gastos Generales'!AA:AA)</f>
        <v>0</v>
      </c>
    </row>
    <row r="100" spans="2:27" ht="12.75" customHeight="1" x14ac:dyDescent="0.25">
      <c r="B100" s="44" t="s">
        <v>237</v>
      </c>
      <c r="C100" s="37" t="s">
        <v>312</v>
      </c>
      <c r="D100" s="45">
        <f>SUMIF('Gastos Generales'!$B:$B,PPvsREal!$C$100,'Gastos Generales'!D:D)</f>
        <v>4800</v>
      </c>
      <c r="E100" s="45">
        <f>SUMIF('Gastos Generales'!$B:$B,PPvsREal!$C$100,'Gastos Generales'!E:E)</f>
        <v>1239</v>
      </c>
      <c r="F100" s="45">
        <f>SUMIF('Gastos Generales'!$B:$B,PPvsREal!$C$100,'Gastos Generales'!F:F)</f>
        <v>4800</v>
      </c>
      <c r="G100" s="45">
        <f>SUMIF('Gastos Generales'!$B:$B,PPvsREal!$C$100,'Gastos Generales'!G:G)</f>
        <v>2188.83</v>
      </c>
      <c r="H100" s="45">
        <f>SUMIF('Gastos Generales'!$B:$B,PPvsREal!$C$100,'Gastos Generales'!H:H)</f>
        <v>4800</v>
      </c>
      <c r="I100" s="45">
        <f>SUMIF('Gastos Generales'!$B:$B,PPvsREal!$C$100,'Gastos Generales'!I:I)</f>
        <v>3195.16</v>
      </c>
      <c r="J100" s="45">
        <f>SUMIF('Gastos Generales'!$B:$B,PPvsREal!$C$100,'Gastos Generales'!J:J)</f>
        <v>4800</v>
      </c>
      <c r="K100" s="45">
        <f>SUMIF('Gastos Generales'!$B:$B,PPvsREal!$C$100,'Gastos Generales'!K:K)</f>
        <v>2394</v>
      </c>
      <c r="L100" s="45">
        <f>SUMIF('Gastos Generales'!$B:$B,PPvsREal!$C$100,'Gastos Generales'!L:L)</f>
        <v>4800</v>
      </c>
      <c r="M100" s="45">
        <f>SUMIF('Gastos Generales'!$B:$B,PPvsREal!$C$100,'Gastos Generales'!M:M)</f>
        <v>2308</v>
      </c>
      <c r="N100" s="45">
        <f>SUMIF('Gastos Generales'!$B:$B,PPvsREal!$C$100,'Gastos Generales'!N:N)</f>
        <v>4800</v>
      </c>
      <c r="O100" s="45">
        <f>SUMIF('Gastos Generales'!$B:$B,PPvsREal!$C$100,'Gastos Generales'!O:O)</f>
        <v>3303.54</v>
      </c>
      <c r="P100" s="45">
        <f>SUMIF('Gastos Generales'!$B:$B,PPvsREal!$C$100,'Gastos Generales'!P:P)</f>
        <v>4800</v>
      </c>
      <c r="Q100" s="45">
        <f>SUMIF('Gastos Generales'!$B:$B,PPvsREal!$C$100,'Gastos Generales'!Q:Q)</f>
        <v>2794</v>
      </c>
      <c r="R100" s="45">
        <f>SUMIF('Gastos Generales'!$B:$B,PPvsREal!$C$100,'Gastos Generales'!R:R)</f>
        <v>4800</v>
      </c>
      <c r="S100" s="45">
        <f>SUMIF('Gastos Generales'!$B:$B,PPvsREal!$C$100,'Gastos Generales'!S:S)</f>
        <v>0</v>
      </c>
      <c r="T100" s="45">
        <f>SUMIF('Gastos Generales'!$B:$B,PPvsREal!$C$100,'Gastos Generales'!T:T)</f>
        <v>4800</v>
      </c>
      <c r="U100" s="45">
        <f>SUMIF('Gastos Generales'!$B:$B,PPvsREal!$C$100,'Gastos Generales'!U:U)</f>
        <v>0</v>
      </c>
      <c r="V100" s="45">
        <f>SUMIF('Gastos Generales'!$B:$B,PPvsREal!$C$100,'Gastos Generales'!V:V)</f>
        <v>4800</v>
      </c>
      <c r="W100" s="45">
        <f>SUMIF('Gastos Generales'!$B:$B,PPvsREal!$C$100,'Gastos Generales'!W:W)</f>
        <v>0</v>
      </c>
      <c r="X100" s="45">
        <f>SUMIF('Gastos Generales'!$B:$B,PPvsREal!$C$100,'Gastos Generales'!X:X)</f>
        <v>4800</v>
      </c>
      <c r="Y100" s="45">
        <f>SUMIF('Gastos Generales'!$B:$B,PPvsREal!$C$100,'Gastos Generales'!Y:Y)</f>
        <v>0</v>
      </c>
      <c r="Z100" s="45">
        <f>SUMIF('Gastos Generales'!$B:$B,PPvsREal!$C$100,'Gastos Generales'!Z:Z)</f>
        <v>4800</v>
      </c>
      <c r="AA100" s="53">
        <f>SUMIF('Gastos Generales'!$B:$B,PPvsREal!$C$100,'Gastos Generales'!AA:AA)</f>
        <v>0</v>
      </c>
    </row>
    <row r="101" spans="2:27" ht="12.75" customHeight="1" x14ac:dyDescent="0.25">
      <c r="B101" s="44" t="s">
        <v>237</v>
      </c>
      <c r="C101" s="37" t="s">
        <v>314</v>
      </c>
      <c r="D101" s="45">
        <f>SUMIF('Gastos Generales'!$B:$B,PPvsREal!$C$101,'Gastos Generales'!D:D)</f>
        <v>7000</v>
      </c>
      <c r="E101" s="45">
        <f>SUMIF('Gastos Generales'!$B:$B,PPvsREal!$C$101,'Gastos Generales'!E:E)</f>
        <v>5797</v>
      </c>
      <c r="F101" s="45">
        <f>SUMIF('Gastos Generales'!$B:$B,PPvsREal!$C$101,'Gastos Generales'!F:F)</f>
        <v>7000</v>
      </c>
      <c r="G101" s="45">
        <f>SUMIF('Gastos Generales'!$B:$B,PPvsREal!$C$101,'Gastos Generales'!G:G)</f>
        <v>6230</v>
      </c>
      <c r="H101" s="45">
        <f>SUMIF('Gastos Generales'!$B:$B,PPvsREal!$C$101,'Gastos Generales'!H:H)</f>
        <v>7000</v>
      </c>
      <c r="I101" s="45">
        <f>SUMIF('Gastos Generales'!$B:$B,PPvsREal!$C$101,'Gastos Generales'!I:I)</f>
        <v>6953.52</v>
      </c>
      <c r="J101" s="45">
        <f>SUMIF('Gastos Generales'!$B:$B,PPvsREal!$C$101,'Gastos Generales'!J:J)</f>
        <v>7000</v>
      </c>
      <c r="K101" s="45">
        <f>SUMIF('Gastos Generales'!$B:$B,PPvsREal!$C$101,'Gastos Generales'!K:K)</f>
        <v>5600</v>
      </c>
      <c r="L101" s="45">
        <f>SUMIF('Gastos Generales'!$B:$B,PPvsREal!$C$101,'Gastos Generales'!L:L)</f>
        <v>7000</v>
      </c>
      <c r="M101" s="45">
        <f>SUMIF('Gastos Generales'!$B:$B,PPvsREal!$C$101,'Gastos Generales'!M:M)</f>
        <v>6673</v>
      </c>
      <c r="N101" s="45">
        <f>SUMIF('Gastos Generales'!$B:$B,PPvsREal!$C$101,'Gastos Generales'!N:N)</f>
        <v>7000</v>
      </c>
      <c r="O101" s="45">
        <f>SUMIF('Gastos Generales'!$B:$B,PPvsREal!$C$101,'Gastos Generales'!O:O)</f>
        <v>6953.33</v>
      </c>
      <c r="P101" s="45">
        <f>SUMIF('Gastos Generales'!$B:$B,PPvsREal!$C$101,'Gastos Generales'!P:P)</f>
        <v>7000</v>
      </c>
      <c r="Q101" s="45">
        <f>SUMIF('Gastos Generales'!$B:$B,PPvsREal!$C$101,'Gastos Generales'!Q:Q)</f>
        <v>6300</v>
      </c>
      <c r="R101" s="45">
        <f>SUMIF('Gastos Generales'!$B:$B,PPvsREal!$C$101,'Gastos Generales'!R:R)</f>
        <v>7000</v>
      </c>
      <c r="S101" s="45">
        <f>SUMIF('Gastos Generales'!$B:$B,PPvsREal!$C$101,'Gastos Generales'!S:S)</f>
        <v>0</v>
      </c>
      <c r="T101" s="45">
        <f>SUMIF('Gastos Generales'!$B:$B,PPvsREal!$C$101,'Gastos Generales'!T:T)</f>
        <v>7000</v>
      </c>
      <c r="U101" s="45">
        <f>SUMIF('Gastos Generales'!$B:$B,PPvsREal!$C$101,'Gastos Generales'!U:U)</f>
        <v>0</v>
      </c>
      <c r="V101" s="45">
        <f>SUMIF('Gastos Generales'!$B:$B,PPvsREal!$C$101,'Gastos Generales'!V:V)</f>
        <v>7000</v>
      </c>
      <c r="W101" s="45">
        <f>SUMIF('Gastos Generales'!$B:$B,PPvsREal!$C$101,'Gastos Generales'!W:W)</f>
        <v>0</v>
      </c>
      <c r="X101" s="45">
        <f>SUMIF('Gastos Generales'!$B:$B,PPvsREal!$C$101,'Gastos Generales'!X:X)</f>
        <v>7000</v>
      </c>
      <c r="Y101" s="45">
        <f>SUMIF('Gastos Generales'!$B:$B,PPvsREal!$C$101,'Gastos Generales'!Y:Y)</f>
        <v>0</v>
      </c>
      <c r="Z101" s="45">
        <f>SUMIF('Gastos Generales'!$B:$B,PPvsREal!$C$101,'Gastos Generales'!Z:Z)</f>
        <v>7000</v>
      </c>
      <c r="AA101" s="53">
        <f>SUMIF('Gastos Generales'!$B:$B,PPvsREal!$C$101,'Gastos Generales'!AA:AA)</f>
        <v>0</v>
      </c>
    </row>
    <row r="102" spans="2:27" ht="12.75" customHeight="1" x14ac:dyDescent="0.25">
      <c r="B102" s="44" t="s">
        <v>237</v>
      </c>
      <c r="C102" s="37" t="s">
        <v>318</v>
      </c>
      <c r="D102" s="45">
        <f>SUMIF('Gastos Generales'!$B:$B,PPvsREal!$C$102,'Gastos Generales'!D:D)</f>
        <v>6339.3556500000004</v>
      </c>
      <c r="E102" s="45">
        <f>SUMIF('Gastos Generales'!$B:$B,PPvsREal!$C$102,'Gastos Generales'!E:E)</f>
        <v>5563.34</v>
      </c>
      <c r="F102" s="45">
        <f>SUMIF('Gastos Generales'!$B:$B,PPvsREal!$C$102,'Gastos Generales'!F:F)</f>
        <v>6339.3556500000004</v>
      </c>
      <c r="G102" s="45">
        <f>SUMIF('Gastos Generales'!$B:$B,PPvsREal!$C$102,'Gastos Generales'!G:G)</f>
        <v>5563.34</v>
      </c>
      <c r="H102" s="45">
        <f>SUMIF('Gastos Generales'!$B:$B,PPvsREal!$C$102,'Gastos Generales'!H:H)</f>
        <v>6339.3556500000004</v>
      </c>
      <c r="I102" s="45">
        <f>SUMIF('Gastos Generales'!$B:$B,PPvsREal!$C$102,'Gastos Generales'!I:I)</f>
        <v>5563.34</v>
      </c>
      <c r="J102" s="45">
        <f>SUMIF('Gastos Generales'!$B:$B,PPvsREal!$C$102,'Gastos Generales'!J:J)</f>
        <v>6339.3556500000004</v>
      </c>
      <c r="K102" s="45">
        <f>SUMIF('Gastos Generales'!$B:$B,PPvsREal!$C$102,'Gastos Generales'!K:K)</f>
        <v>5563.34</v>
      </c>
      <c r="L102" s="45">
        <f>SUMIF('Gastos Generales'!$B:$B,PPvsREal!$C$102,'Gastos Generales'!L:L)</f>
        <v>6339.3556500000004</v>
      </c>
      <c r="M102" s="45">
        <f>SUMIF('Gastos Generales'!$B:$B,PPvsREal!$C$102,'Gastos Generales'!M:M)</f>
        <v>5563.34</v>
      </c>
      <c r="N102" s="45">
        <f>SUMIF('Gastos Generales'!$B:$B,PPvsREal!$C$102,'Gastos Generales'!N:N)</f>
        <v>6339.3556500000004</v>
      </c>
      <c r="O102" s="45">
        <f>SUMIF('Gastos Generales'!$B:$B,PPvsREal!$C$102,'Gastos Generales'!O:O)</f>
        <v>5563.34</v>
      </c>
      <c r="P102" s="45">
        <f>SUMIF('Gastos Generales'!$B:$B,PPvsREal!$C$102,'Gastos Generales'!P:P)</f>
        <v>6339.3556500000004</v>
      </c>
      <c r="Q102" s="45">
        <f>SUMIF('Gastos Generales'!$B:$B,PPvsREal!$C$102,'Gastos Generales'!Q:Q)</f>
        <v>5563.34</v>
      </c>
      <c r="R102" s="45">
        <f>SUMIF('Gastos Generales'!$B:$B,PPvsREal!$C$102,'Gastos Generales'!R:R)</f>
        <v>6339.3556500000004</v>
      </c>
      <c r="S102" s="45">
        <f>SUMIF('Gastos Generales'!$B:$B,PPvsREal!$C$102,'Gastos Generales'!S:S)</f>
        <v>0</v>
      </c>
      <c r="T102" s="45">
        <f>SUMIF('Gastos Generales'!$B:$B,PPvsREal!$C$102,'Gastos Generales'!T:T)</f>
        <v>6339.3556500000004</v>
      </c>
      <c r="U102" s="45">
        <f>SUMIF('Gastos Generales'!$B:$B,PPvsREal!$C$102,'Gastos Generales'!U:U)</f>
        <v>0</v>
      </c>
      <c r="V102" s="45">
        <f>SUMIF('Gastos Generales'!$B:$B,PPvsREal!$C$102,'Gastos Generales'!V:V)</f>
        <v>6339.3556500000004</v>
      </c>
      <c r="W102" s="45">
        <f>SUMIF('Gastos Generales'!$B:$B,PPvsREal!$C$102,'Gastos Generales'!W:W)</f>
        <v>0</v>
      </c>
      <c r="X102" s="45">
        <f>SUMIF('Gastos Generales'!$B:$B,PPvsREal!$C$102,'Gastos Generales'!X:X)</f>
        <v>6339.3556500000004</v>
      </c>
      <c r="Y102" s="45">
        <f>SUMIF('Gastos Generales'!$B:$B,PPvsREal!$C$102,'Gastos Generales'!Y:Y)</f>
        <v>0</v>
      </c>
      <c r="Z102" s="45">
        <f>SUMIF('Gastos Generales'!$B:$B,PPvsREal!$C$102,'Gastos Generales'!Z:Z)</f>
        <v>6339.3556500000004</v>
      </c>
      <c r="AA102" s="53">
        <f>SUMIF('Gastos Generales'!$B:$B,PPvsREal!$C$102,'Gastos Generales'!AA:AA)</f>
        <v>0</v>
      </c>
    </row>
    <row r="103" spans="2:27" ht="12.75" customHeight="1" x14ac:dyDescent="0.25">
      <c r="B103" s="44" t="s">
        <v>237</v>
      </c>
      <c r="C103" s="37" t="s">
        <v>322</v>
      </c>
      <c r="D103" s="45">
        <f>SUMIF('Gastos Generales'!$B:$B,PPvsREal!$C$103,'Gastos Generales'!D:D)</f>
        <v>3317.6066666666657</v>
      </c>
      <c r="E103" s="45">
        <f>SUMIF('Gastos Generales'!$B:$B,PPvsREal!$C$103,'Gastos Generales'!E:E)</f>
        <v>3317.61</v>
      </c>
      <c r="F103" s="45">
        <f>SUMIF('Gastos Generales'!$B:$B,PPvsREal!$C$103,'Gastos Generales'!F:F)</f>
        <v>3317.6066666666657</v>
      </c>
      <c r="G103" s="45">
        <f>SUMIF('Gastos Generales'!$B:$B,PPvsREal!$C$103,'Gastos Generales'!G:G)</f>
        <v>3317.61</v>
      </c>
      <c r="H103" s="45">
        <f>SUMIF('Gastos Generales'!$B:$B,PPvsREal!$C$103,'Gastos Generales'!H:H)</f>
        <v>3317.6066666666657</v>
      </c>
      <c r="I103" s="45">
        <f>SUMIF('Gastos Generales'!$B:$B,PPvsREal!$C$103,'Gastos Generales'!I:I)</f>
        <v>3317.61</v>
      </c>
      <c r="J103" s="45">
        <f>SUMIF('Gastos Generales'!$B:$B,PPvsREal!$C$103,'Gastos Generales'!J:J)</f>
        <v>3317.6066666666657</v>
      </c>
      <c r="K103" s="45">
        <f>SUMIF('Gastos Generales'!$B:$B,PPvsREal!$C$103,'Gastos Generales'!K:K)</f>
        <v>3317.61</v>
      </c>
      <c r="L103" s="45">
        <f>SUMIF('Gastos Generales'!$B:$B,PPvsREal!$C$103,'Gastos Generales'!L:L)</f>
        <v>3317.6066666666657</v>
      </c>
      <c r="M103" s="45">
        <f>SUMIF('Gastos Generales'!$B:$B,PPvsREal!$C$103,'Gastos Generales'!M:M)</f>
        <v>3317.61</v>
      </c>
      <c r="N103" s="45">
        <f>SUMIF('Gastos Generales'!$B:$B,PPvsREal!$C$103,'Gastos Generales'!N:N)</f>
        <v>3317.6066666666657</v>
      </c>
      <c r="O103" s="45">
        <f>SUMIF('Gastos Generales'!$B:$B,PPvsREal!$C$103,'Gastos Generales'!O:O)</f>
        <v>3317.61</v>
      </c>
      <c r="P103" s="45">
        <f>SUMIF('Gastos Generales'!$B:$B,PPvsREal!$C$103,'Gastos Generales'!P:P)</f>
        <v>3317.6066666666657</v>
      </c>
      <c r="Q103" s="45">
        <f>SUMIF('Gastos Generales'!$B:$B,PPvsREal!$C$103,'Gastos Generales'!Q:Q)</f>
        <v>3317.61</v>
      </c>
      <c r="R103" s="45">
        <f>SUMIF('Gastos Generales'!$B:$B,PPvsREal!$C$103,'Gastos Generales'!R:R)</f>
        <v>3317.6066666666657</v>
      </c>
      <c r="S103" s="45">
        <f>SUMIF('Gastos Generales'!$B:$B,PPvsREal!$C$103,'Gastos Generales'!S:S)</f>
        <v>0</v>
      </c>
      <c r="T103" s="45">
        <f>SUMIF('Gastos Generales'!$B:$B,PPvsREal!$C$103,'Gastos Generales'!T:T)</f>
        <v>3317.6066666666657</v>
      </c>
      <c r="U103" s="45">
        <f>SUMIF('Gastos Generales'!$B:$B,PPvsREal!$C$103,'Gastos Generales'!U:U)</f>
        <v>0</v>
      </c>
      <c r="V103" s="45">
        <f>SUMIF('Gastos Generales'!$B:$B,PPvsREal!$C$103,'Gastos Generales'!V:V)</f>
        <v>3317.6066666666657</v>
      </c>
      <c r="W103" s="45">
        <f>SUMIF('Gastos Generales'!$B:$B,PPvsREal!$C$103,'Gastos Generales'!W:W)</f>
        <v>0</v>
      </c>
      <c r="X103" s="45">
        <f>SUMIF('Gastos Generales'!$B:$B,PPvsREal!$C$103,'Gastos Generales'!X:X)</f>
        <v>3317.6066666666657</v>
      </c>
      <c r="Y103" s="45">
        <f>SUMIF('Gastos Generales'!$B:$B,PPvsREal!$C$103,'Gastos Generales'!Y:Y)</f>
        <v>0</v>
      </c>
      <c r="Z103" s="45">
        <f>SUMIF('Gastos Generales'!$B:$B,PPvsREal!$C$103,'Gastos Generales'!Z:Z)</f>
        <v>3317.6066666666657</v>
      </c>
      <c r="AA103" s="53">
        <f>SUMIF('Gastos Generales'!$B:$B,PPvsREal!$C$103,'Gastos Generales'!AA:AA)</f>
        <v>0</v>
      </c>
    </row>
    <row r="104" spans="2:27" ht="12.75" customHeight="1" x14ac:dyDescent="0.25">
      <c r="B104" s="44" t="s">
        <v>237</v>
      </c>
      <c r="C104" s="37" t="s">
        <v>325</v>
      </c>
      <c r="D104" s="45">
        <f>SUMIF('Gastos Generales'!$B:$B,PPvsREal!$C$104,'Gastos Generales'!D:D)</f>
        <v>326722.30196384934</v>
      </c>
      <c r="E104" s="45">
        <f>SUMIF('Gastos Generales'!$B:$B,PPvsREal!$C$104,'Gastos Generales'!E:E)</f>
        <v>299581.09999999998</v>
      </c>
      <c r="F104" s="45">
        <f>SUMIF('Gastos Generales'!$B:$B,PPvsREal!$C$104,'Gastos Generales'!F:F)</f>
        <v>326722.30196384934</v>
      </c>
      <c r="G104" s="45">
        <f>SUMIF('Gastos Generales'!$B:$B,PPvsREal!$C$104,'Gastos Generales'!G:G)</f>
        <v>298143.42000000004</v>
      </c>
      <c r="H104" s="45">
        <f>SUMIF('Gastos Generales'!$B:$B,PPvsREal!$C$104,'Gastos Generales'!H:H)</f>
        <v>326722.30196384934</v>
      </c>
      <c r="I104" s="45">
        <f>SUMIF('Gastos Generales'!$B:$B,PPvsREal!$C$104,'Gastos Generales'!I:I)</f>
        <v>307809.7</v>
      </c>
      <c r="J104" s="45">
        <f>SUMIF('Gastos Generales'!$B:$B,PPvsREal!$C$104,'Gastos Generales'!J:J)</f>
        <v>326722.30196384934</v>
      </c>
      <c r="K104" s="45">
        <f>SUMIF('Gastos Generales'!$B:$B,PPvsREal!$C$104,'Gastos Generales'!K:K)</f>
        <v>299807.92000000004</v>
      </c>
      <c r="L104" s="45">
        <f>SUMIF('Gastos Generales'!$B:$B,PPvsREal!$C$104,'Gastos Generales'!L:L)</f>
        <v>326722.30196384934</v>
      </c>
      <c r="M104" s="45">
        <f>SUMIF('Gastos Generales'!$B:$B,PPvsREal!$C$104,'Gastos Generales'!M:M)</f>
        <v>311622.34999999998</v>
      </c>
      <c r="N104" s="45">
        <f>SUMIF('Gastos Generales'!$B:$B,PPvsREal!$C$104,'Gastos Generales'!N:N)</f>
        <v>326722.30196384934</v>
      </c>
      <c r="O104" s="45">
        <f>SUMIF('Gastos Generales'!$B:$B,PPvsREal!$C$104,'Gastos Generales'!O:O)</f>
        <v>303994.33</v>
      </c>
      <c r="P104" s="45">
        <f>SUMIF('Gastos Generales'!$B:$B,PPvsREal!$C$104,'Gastos Generales'!P:P)</f>
        <v>326722.30196384934</v>
      </c>
      <c r="Q104" s="45">
        <f>SUMIF('Gastos Generales'!$B:$B,PPvsREal!$C$104,'Gastos Generales'!Q:Q)</f>
        <v>305326.69</v>
      </c>
      <c r="R104" s="45">
        <f>SUMIF('Gastos Generales'!$B:$B,PPvsREal!$C$104,'Gastos Generales'!R:R)</f>
        <v>326722.30196384934</v>
      </c>
      <c r="S104" s="45">
        <f>SUMIF('Gastos Generales'!$B:$B,PPvsREal!$C$104,'Gastos Generales'!S:S)</f>
        <v>0</v>
      </c>
      <c r="T104" s="45">
        <f>SUMIF('Gastos Generales'!$B:$B,PPvsREal!$C$104,'Gastos Generales'!T:T)</f>
        <v>326722.30196384934</v>
      </c>
      <c r="U104" s="45">
        <f>SUMIF('Gastos Generales'!$B:$B,PPvsREal!$C$104,'Gastos Generales'!U:U)</f>
        <v>0</v>
      </c>
      <c r="V104" s="45">
        <f>SUMIF('Gastos Generales'!$B:$B,PPvsREal!$C$104,'Gastos Generales'!V:V)</f>
        <v>326722.30196384934</v>
      </c>
      <c r="W104" s="45">
        <f>SUMIF('Gastos Generales'!$B:$B,PPvsREal!$C$104,'Gastos Generales'!W:W)</f>
        <v>0</v>
      </c>
      <c r="X104" s="45">
        <f>SUMIF('Gastos Generales'!$B:$B,PPvsREal!$C$104,'Gastos Generales'!X:X)</f>
        <v>326722.30196384934</v>
      </c>
      <c r="Y104" s="45">
        <f>SUMIF('Gastos Generales'!$B:$B,PPvsREal!$C$104,'Gastos Generales'!Y:Y)</f>
        <v>0</v>
      </c>
      <c r="Z104" s="45">
        <f>SUMIF('Gastos Generales'!$B:$B,PPvsREal!$C$104,'Gastos Generales'!Z:Z)</f>
        <v>326722.30196384934</v>
      </c>
      <c r="AA104" s="53">
        <f>SUMIF('Gastos Generales'!$B:$B,PPvsREal!$C$104,'Gastos Generales'!AA:AA)</f>
        <v>0</v>
      </c>
    </row>
    <row r="105" spans="2:27" ht="12.75" customHeight="1" x14ac:dyDescent="0.25">
      <c r="B105" s="46" t="s">
        <v>237</v>
      </c>
      <c r="C105" s="47" t="s">
        <v>327</v>
      </c>
      <c r="D105" s="48">
        <f>SUMIF('Gastos Generales'!$B:$B,PPvsREal!$C$105,'Gastos Generales'!D:D)</f>
        <v>0</v>
      </c>
      <c r="E105" s="48">
        <f>SUMIF('Gastos Generales'!$B:$B,PPvsREal!$C$105,'Gastos Generales'!E:E)</f>
        <v>41606.6</v>
      </c>
      <c r="F105" s="48">
        <f>SUMIF('Gastos Generales'!$B:$B,PPvsREal!$C$105,'Gastos Generales'!F:F)</f>
        <v>0</v>
      </c>
      <c r="G105" s="48">
        <f>SUMIF('Gastos Generales'!$B:$B,PPvsREal!$C$105,'Gastos Generales'!G:G)</f>
        <v>17657.62</v>
      </c>
      <c r="H105" s="48">
        <f>SUMIF('Gastos Generales'!$B:$B,PPvsREal!$C$105,'Gastos Generales'!H:H)</f>
        <v>0</v>
      </c>
      <c r="I105" s="48">
        <f>SUMIF('Gastos Generales'!$B:$B,PPvsREal!$C$105,'Gastos Generales'!I:I)</f>
        <v>58913.760000000002</v>
      </c>
      <c r="J105" s="48">
        <f>SUMIF('Gastos Generales'!$B:$B,PPvsREal!$C$105,'Gastos Generales'!J:J)</f>
        <v>0</v>
      </c>
      <c r="K105" s="48">
        <f>SUMIF('Gastos Generales'!$B:$B,PPvsREal!$C$105,'Gastos Generales'!K:K)</f>
        <v>34155.83</v>
      </c>
      <c r="L105" s="48">
        <f>SUMIF('Gastos Generales'!$B:$B,PPvsREal!$C$105,'Gastos Generales'!L:L)</f>
        <v>0</v>
      </c>
      <c r="M105" s="48">
        <f>SUMIF('Gastos Generales'!$B:$B,PPvsREal!$C$105,'Gastos Generales'!M:M)</f>
        <v>35336.78</v>
      </c>
      <c r="N105" s="48">
        <f>SUMIF('Gastos Generales'!$B:$B,PPvsREal!$C$105,'Gastos Generales'!N:N)</f>
        <v>0</v>
      </c>
      <c r="O105" s="48">
        <f>SUMIF('Gastos Generales'!$B:$B,PPvsREal!$C$105,'Gastos Generales'!O:O)</f>
        <v>59646.77</v>
      </c>
      <c r="P105" s="48">
        <f>SUMIF('Gastos Generales'!$B:$B,PPvsREal!$C$105,'Gastos Generales'!P:P)</f>
        <v>0</v>
      </c>
      <c r="Q105" s="48">
        <f>SUMIF('Gastos Generales'!$B:$B,PPvsREal!$C$105,'Gastos Generales'!Q:Q)</f>
        <v>100829.45</v>
      </c>
      <c r="R105" s="48">
        <f>SUMIF('Gastos Generales'!$B:$B,PPvsREal!$C$105,'Gastos Generales'!R:R)</f>
        <v>0</v>
      </c>
      <c r="S105" s="48">
        <f>SUMIF('Gastos Generales'!$B:$B,PPvsREal!$C$105,'Gastos Generales'!S:S)</f>
        <v>0</v>
      </c>
      <c r="T105" s="48">
        <f>SUMIF('Gastos Generales'!$B:$B,PPvsREal!$C$105,'Gastos Generales'!T:T)</f>
        <v>0</v>
      </c>
      <c r="U105" s="48">
        <f>SUMIF('Gastos Generales'!$B:$B,PPvsREal!$C$105,'Gastos Generales'!U:U)</f>
        <v>0</v>
      </c>
      <c r="V105" s="48">
        <f>SUMIF('Gastos Generales'!$B:$B,PPvsREal!$C$105,'Gastos Generales'!V:V)</f>
        <v>0</v>
      </c>
      <c r="W105" s="48">
        <f>SUMIF('Gastos Generales'!$B:$B,PPvsREal!$C$105,'Gastos Generales'!W:W)</f>
        <v>0</v>
      </c>
      <c r="X105" s="48">
        <f>SUMIF('Gastos Generales'!$B:$B,PPvsREal!$C$105,'Gastos Generales'!X:X)</f>
        <v>0</v>
      </c>
      <c r="Y105" s="48">
        <f>SUMIF('Gastos Generales'!$B:$B,PPvsREal!$C$105,'Gastos Generales'!Y:Y)</f>
        <v>0</v>
      </c>
      <c r="Z105" s="48">
        <f>SUMIF('Gastos Generales'!$B:$B,PPvsREal!$C$105,'Gastos Generales'!Z:Z)</f>
        <v>0</v>
      </c>
      <c r="AA105" s="53">
        <f>SUMIF('Gastos Generales'!$B:$B,PPvsREal!$C$105,'Gastos Generales'!AA:AA)</f>
        <v>0</v>
      </c>
    </row>
    <row r="106" spans="2:27" ht="15.75" customHeight="1" x14ac:dyDescent="0.25"/>
    <row r="107" spans="2:27" ht="15.75" customHeight="1" x14ac:dyDescent="0.25"/>
    <row r="108" spans="2:27" ht="15.75" customHeight="1" x14ac:dyDescent="0.25"/>
    <row r="109" spans="2:27" ht="15.75" customHeight="1" x14ac:dyDescent="0.25"/>
    <row r="110" spans="2:27" ht="15.75" customHeight="1" x14ac:dyDescent="0.25"/>
    <row r="111" spans="2:27" ht="15.75" customHeight="1" x14ac:dyDescent="0.25"/>
    <row r="112" spans="2:2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conditionalFormatting sqref="C1:C1048576">
    <cfRule type="duplicateValues" dxfId="1" priority="1"/>
  </conditionalFormatting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B00E-D046-4B3B-AEBC-AB0645910086}">
  <dimension ref="B2:AD1006"/>
  <sheetViews>
    <sheetView showGridLines="0" workbookViewId="0">
      <pane xSplit="3" ySplit="3" topLeftCell="N4" activePane="bottomRight" state="frozen"/>
      <selection activeCell="D2" sqref="D2:AA3"/>
      <selection pane="topRight" activeCell="D2" sqref="D2:AA3"/>
      <selection pane="bottomLeft" activeCell="D2" sqref="D2:AA3"/>
      <selection pane="bottomRight" activeCell="D2" sqref="D2:AA3"/>
    </sheetView>
  </sheetViews>
  <sheetFormatPr baseColWidth="10" defaultColWidth="12.59765625" defaultRowHeight="15" customHeight="1" x14ac:dyDescent="0.25"/>
  <cols>
    <col min="1" max="1" width="2.59765625" style="38" customWidth="1"/>
    <col min="2" max="2" width="9.09765625" style="38" customWidth="1"/>
    <col min="3" max="3" width="20.19921875" style="38" customWidth="1"/>
    <col min="4" max="5" width="11.3984375" style="38" customWidth="1"/>
    <col min="6" max="9" width="11.19921875" style="38" customWidth="1"/>
    <col min="10" max="11" width="12.09765625" style="38" customWidth="1"/>
    <col min="12" max="27" width="11.19921875" style="38" customWidth="1"/>
    <col min="28" max="28" width="5.3984375" style="38" customWidth="1"/>
    <col min="29" max="30" width="13.8984375" style="38" bestFit="1" customWidth="1"/>
    <col min="31" max="16384" width="12.59765625" style="38"/>
  </cols>
  <sheetData>
    <row r="2" spans="2:30" ht="12.75" customHeight="1" x14ac:dyDescent="0.25">
      <c r="B2" s="37"/>
      <c r="C2" s="37"/>
      <c r="D2" s="68" t="s">
        <v>381</v>
      </c>
      <c r="E2" s="69" t="s">
        <v>382</v>
      </c>
      <c r="F2" s="68" t="s">
        <v>381</v>
      </c>
      <c r="G2" s="69" t="s">
        <v>382</v>
      </c>
      <c r="H2" s="68" t="s">
        <v>381</v>
      </c>
      <c r="I2" s="69" t="s">
        <v>382</v>
      </c>
      <c r="J2" s="68" t="s">
        <v>381</v>
      </c>
      <c r="K2" s="69" t="s">
        <v>382</v>
      </c>
      <c r="L2" s="68" t="s">
        <v>381</v>
      </c>
      <c r="M2" s="69" t="s">
        <v>382</v>
      </c>
      <c r="N2" s="68" t="s">
        <v>381</v>
      </c>
      <c r="O2" s="69" t="s">
        <v>382</v>
      </c>
      <c r="P2" s="68" t="s">
        <v>381</v>
      </c>
      <c r="Q2" s="69" t="s">
        <v>382</v>
      </c>
      <c r="R2" s="68" t="s">
        <v>381</v>
      </c>
      <c r="S2" s="69" t="s">
        <v>382</v>
      </c>
      <c r="T2" s="68" t="s">
        <v>381</v>
      </c>
      <c r="U2" s="69" t="s">
        <v>382</v>
      </c>
      <c r="V2" s="68" t="s">
        <v>381</v>
      </c>
      <c r="W2" s="69" t="s">
        <v>382</v>
      </c>
      <c r="X2" s="68" t="s">
        <v>381</v>
      </c>
      <c r="Y2" s="69" t="s">
        <v>382</v>
      </c>
      <c r="Z2" s="68" t="s">
        <v>381</v>
      </c>
      <c r="AA2" s="69" t="s">
        <v>382</v>
      </c>
      <c r="AB2" s="58"/>
      <c r="AC2" s="60" t="s">
        <v>381</v>
      </c>
      <c r="AD2" s="86" t="s">
        <v>382</v>
      </c>
    </row>
    <row r="3" spans="2:30" ht="12.75" customHeight="1" x14ac:dyDescent="0.25">
      <c r="B3" s="70" t="s">
        <v>333</v>
      </c>
      <c r="C3" s="71" t="s">
        <v>334</v>
      </c>
      <c r="D3" s="72" t="s">
        <v>335</v>
      </c>
      <c r="E3" s="71" t="s">
        <v>335</v>
      </c>
      <c r="F3" s="72" t="s">
        <v>336</v>
      </c>
      <c r="G3" s="71" t="s">
        <v>336</v>
      </c>
      <c r="H3" s="72" t="s">
        <v>337</v>
      </c>
      <c r="I3" s="71" t="s">
        <v>337</v>
      </c>
      <c r="J3" s="72" t="s">
        <v>338</v>
      </c>
      <c r="K3" s="71" t="s">
        <v>338</v>
      </c>
      <c r="L3" s="72" t="s">
        <v>339</v>
      </c>
      <c r="M3" s="71" t="s">
        <v>339</v>
      </c>
      <c r="N3" s="72" t="s">
        <v>340</v>
      </c>
      <c r="O3" s="71" t="s">
        <v>340</v>
      </c>
      <c r="P3" s="72" t="s">
        <v>341</v>
      </c>
      <c r="Q3" s="71" t="s">
        <v>341</v>
      </c>
      <c r="R3" s="72" t="s">
        <v>342</v>
      </c>
      <c r="S3" s="71" t="s">
        <v>342</v>
      </c>
      <c r="T3" s="72" t="s">
        <v>343</v>
      </c>
      <c r="U3" s="71" t="s">
        <v>343</v>
      </c>
      <c r="V3" s="72" t="s">
        <v>344</v>
      </c>
      <c r="W3" s="71" t="s">
        <v>344</v>
      </c>
      <c r="X3" s="72" t="s">
        <v>345</v>
      </c>
      <c r="Y3" s="73" t="s">
        <v>345</v>
      </c>
      <c r="Z3" s="72" t="s">
        <v>346</v>
      </c>
      <c r="AA3" s="74" t="s">
        <v>346</v>
      </c>
      <c r="AB3" s="59"/>
      <c r="AC3" s="61" t="s">
        <v>347</v>
      </c>
      <c r="AD3" s="87" t="s">
        <v>383</v>
      </c>
    </row>
    <row r="4" spans="2:30" ht="12.75" customHeight="1" x14ac:dyDescent="0.25">
      <c r="B4" s="75" t="s">
        <v>348</v>
      </c>
      <c r="C4" s="42" t="s">
        <v>83</v>
      </c>
      <c r="D4" s="43">
        <f>SUMIF(PPvsREal!$C:$C,'PPvsREal Summary'!C4,PPvsREal!$D:$D)</f>
        <v>686830.87493939395</v>
      </c>
      <c r="E4" s="53">
        <f>SUMIF(PPvsREal!$C:$C,'PPvsREal Summary'!C4,PPvsREal!$E:$E)</f>
        <v>796918.15999999992</v>
      </c>
      <c r="F4" s="53">
        <f>SUMIF(PPvsREal!$C:$C,'PPvsREal Summary'!C4,PPvsREal!$F:$F)</f>
        <v>703360.04827272729</v>
      </c>
      <c r="G4" s="53">
        <f>SUMIF(PPvsREal!$C:$C,'PPvsREal Summary'!C4,PPvsREal!$G:$G)</f>
        <v>827529.91999999993</v>
      </c>
      <c r="H4" s="53">
        <f>SUMIF(PPvsREal!$C:$C,'PPvsREal Summary'!C4,PPvsREal!$H:$H)</f>
        <v>734319.71327272721</v>
      </c>
      <c r="I4" s="53">
        <f>SUMIF(PPvsREal!$C:$C,'PPvsREal Summary'!C4,PPvsREal!$I:$I)</f>
        <v>835486.42999999993</v>
      </c>
      <c r="J4" s="53">
        <f>SUMIF(PPvsREal!$C:$C,'PPvsREal Summary'!C4,PPvsREal!$J:$J)</f>
        <v>755012.54660606058</v>
      </c>
      <c r="K4" s="53">
        <f>SUMIF(PPvsREal!$C:$C,'PPvsREal Summary'!C4,PPvsREal!$K:$K)</f>
        <v>828972.86</v>
      </c>
      <c r="L4" s="53">
        <f>SUMIF(PPvsREal!$C:$C,'PPvsREal Summary'!C4,PPvsREal!$L:$L)</f>
        <v>771556.29660606058</v>
      </c>
      <c r="M4" s="53">
        <f>SUMIF(PPvsREal!$C:$C,'PPvsREal Summary'!C4,PPvsREal!$M:$M)</f>
        <v>833351.22</v>
      </c>
      <c r="N4" s="53">
        <f>SUMIF(PPvsREal!$C:$C,'PPvsREal Summary'!C4,PPvsREal!$N:$N)</f>
        <v>790687.54727272713</v>
      </c>
      <c r="O4" s="53">
        <f>SUMIF(PPvsREal!$C:$C,'PPvsREal Summary'!C4,PPvsREal!$O:$O)</f>
        <v>852797.1100000001</v>
      </c>
      <c r="P4" s="53">
        <f>SUMIF(PPvsREal!$C:$C,'PPvsREal Summary'!C4,PPvsREal!$P:$P)</f>
        <v>821041.46393939387</v>
      </c>
      <c r="Q4" s="53">
        <f>SUMIF(PPvsREal!$C:$C,'PPvsREal Summary'!C4,PPvsREal!$Q:$Q)</f>
        <v>838071.52</v>
      </c>
      <c r="R4" s="53">
        <f>SUMIF(PPvsREal!$C:$C,'PPvsREal Summary'!C4,PPvsREal!$R:$R)</f>
        <v>842496.91727272724</v>
      </c>
      <c r="S4" s="53">
        <f>SUMIF(PPvsREal!$C:$C,'PPvsREal Summary'!C4,PPvsREal!$S:$S)</f>
        <v>0</v>
      </c>
      <c r="T4" s="53">
        <f>SUMIF(PPvsREal!$C:$C,'PPvsREal Summary'!C4,PPvsREal!$T:$T)</f>
        <v>880129.50060606049</v>
      </c>
      <c r="U4" s="53">
        <f>SUMIF(PPvsREal!$C:$C,'PPvsREal Summary'!C4,PPvsREal!$U:$U)</f>
        <v>0</v>
      </c>
      <c r="V4" s="53">
        <f>SUMIF(PPvsREal!$C:$C,'PPvsREal Summary'!C4,PPvsREal!$V:$V)</f>
        <v>925545.41727272712</v>
      </c>
      <c r="W4" s="53">
        <f>SUMIF(PPvsREal!$C:$C,'PPvsREal Summary'!C4,PPvsREal!$W:$W)</f>
        <v>0</v>
      </c>
      <c r="X4" s="53">
        <f>SUMIF(PPvsREal!$C:$C,'PPvsREal Summary'!C4,PPvsREal!$X:$X)</f>
        <v>1032212.0839393937</v>
      </c>
      <c r="Y4" s="53">
        <f>SUMIF(PPvsREal!$C:$C,'PPvsREal Summary'!C4,PPvsREal!$Y:$Y)</f>
        <v>0</v>
      </c>
      <c r="Z4" s="53">
        <f>SUMIF(PPvsREal!$C:$C,'PPvsREal Summary'!C4,PPvsREal!$Z:$Z)</f>
        <v>1108896.6666666665</v>
      </c>
      <c r="AA4" s="76">
        <f>SUMIF(PPvsREal!$C:$C,'PPvsREal Summary'!C4,PPvsREal!$AA:$AA)</f>
        <v>0</v>
      </c>
      <c r="AB4" s="53"/>
      <c r="AC4" s="62">
        <f>D4+F4+H4+J4+L4+N4+P4</f>
        <v>5262808.4909090903</v>
      </c>
      <c r="AD4" s="62">
        <f>E4+G4+I4+K4+M4+O4+Q4</f>
        <v>5813127.2200000007</v>
      </c>
    </row>
    <row r="5" spans="2:30" ht="12.75" customHeight="1" x14ac:dyDescent="0.25">
      <c r="B5" s="77"/>
      <c r="C5" s="78">
        <v>4E+20</v>
      </c>
      <c r="D5" s="49">
        <f t="shared" ref="D5:AA5" si="0">D4</f>
        <v>686830.87493939395</v>
      </c>
      <c r="E5" s="49">
        <f t="shared" si="0"/>
        <v>796918.15999999992</v>
      </c>
      <c r="F5" s="49">
        <f t="shared" si="0"/>
        <v>703360.04827272729</v>
      </c>
      <c r="G5" s="49">
        <f t="shared" si="0"/>
        <v>827529.91999999993</v>
      </c>
      <c r="H5" s="49">
        <f t="shared" si="0"/>
        <v>734319.71327272721</v>
      </c>
      <c r="I5" s="49">
        <f t="shared" si="0"/>
        <v>835486.42999999993</v>
      </c>
      <c r="J5" s="49">
        <f t="shared" si="0"/>
        <v>755012.54660606058</v>
      </c>
      <c r="K5" s="49">
        <f t="shared" si="0"/>
        <v>828972.86</v>
      </c>
      <c r="L5" s="49">
        <f t="shared" si="0"/>
        <v>771556.29660606058</v>
      </c>
      <c r="M5" s="49">
        <f t="shared" si="0"/>
        <v>833351.22</v>
      </c>
      <c r="N5" s="49">
        <f t="shared" si="0"/>
        <v>790687.54727272713</v>
      </c>
      <c r="O5" s="49">
        <f t="shared" si="0"/>
        <v>852797.1100000001</v>
      </c>
      <c r="P5" s="49">
        <f t="shared" si="0"/>
        <v>821041.46393939387</v>
      </c>
      <c r="Q5" s="49">
        <f t="shared" si="0"/>
        <v>838071.52</v>
      </c>
      <c r="R5" s="49">
        <f t="shared" si="0"/>
        <v>842496.91727272724</v>
      </c>
      <c r="S5" s="49">
        <f t="shared" si="0"/>
        <v>0</v>
      </c>
      <c r="T5" s="49">
        <f t="shared" si="0"/>
        <v>880129.50060606049</v>
      </c>
      <c r="U5" s="49">
        <f t="shared" si="0"/>
        <v>0</v>
      </c>
      <c r="V5" s="49">
        <f t="shared" si="0"/>
        <v>925545.41727272712</v>
      </c>
      <c r="W5" s="49">
        <f t="shared" si="0"/>
        <v>0</v>
      </c>
      <c r="X5" s="49">
        <f t="shared" si="0"/>
        <v>1032212.0839393937</v>
      </c>
      <c r="Y5" s="49">
        <f t="shared" si="0"/>
        <v>0</v>
      </c>
      <c r="Z5" s="49">
        <f t="shared" si="0"/>
        <v>1108896.6666666665</v>
      </c>
      <c r="AA5" s="79">
        <f t="shared" si="0"/>
        <v>0</v>
      </c>
      <c r="AB5" s="53"/>
      <c r="AC5" s="63">
        <f>D5+F5+H5+J5+L5+N5+P5</f>
        <v>5262808.4909090903</v>
      </c>
      <c r="AD5" s="63">
        <f>E5+G5+I5+K5+M5+O5+Q5</f>
        <v>5813127.2200000007</v>
      </c>
    </row>
    <row r="6" spans="2:30" ht="12.75" customHeight="1" x14ac:dyDescent="0.25">
      <c r="B6" s="80"/>
      <c r="C6" s="37"/>
      <c r="D6" s="45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76"/>
      <c r="AB6" s="53"/>
      <c r="AC6" s="64"/>
      <c r="AD6" s="64"/>
    </row>
    <row r="7" spans="2:30" ht="12.75" customHeight="1" x14ac:dyDescent="0.25">
      <c r="B7" s="80" t="s">
        <v>348</v>
      </c>
      <c r="C7" s="37" t="s">
        <v>88</v>
      </c>
      <c r="D7" s="45">
        <f>SUMIF(PPvsREal!$C:$C,'PPvsREal Summary'!C7,PPvsREal!$D:$D)</f>
        <v>54000</v>
      </c>
      <c r="E7" s="53">
        <f>SUMIF(PPvsREal!$C:$C,'PPvsREal Summary'!C7,PPvsREal!$E:$E)</f>
        <v>37200</v>
      </c>
      <c r="F7" s="53">
        <f>SUMIF(PPvsREal!$C:$C,'PPvsREal Summary'!C7,PPvsREal!$F:$F)</f>
        <v>65000</v>
      </c>
      <c r="G7" s="53">
        <f>SUMIF(PPvsREal!$C:$C,'PPvsREal Summary'!C7,PPvsREal!$G:$G)</f>
        <v>65500</v>
      </c>
      <c r="H7" s="53">
        <f>SUMIF(PPvsREal!$C:$C,'PPvsREal Summary'!C7,PPvsREal!$H:$H)</f>
        <v>72500</v>
      </c>
      <c r="I7" s="53">
        <f>SUMIF(PPvsREal!$C:$C,'PPvsREal Summary'!C7,PPvsREal!$I:$I)</f>
        <v>22500</v>
      </c>
      <c r="J7" s="53">
        <f>SUMIF(PPvsREal!$C:$C,'PPvsREal Summary'!C7,PPvsREal!$J:$J)</f>
        <v>82000</v>
      </c>
      <c r="K7" s="53">
        <f>SUMIF(PPvsREal!$C:$C,'PPvsREal Summary'!C7,PPvsREal!$K:$K)</f>
        <v>24500</v>
      </c>
      <c r="L7" s="53">
        <f>SUMIF(PPvsREal!$C:$C,'PPvsREal Summary'!C7,PPvsREal!$L:$L)</f>
        <v>89500</v>
      </c>
      <c r="M7" s="53">
        <f>SUMIF(PPvsREal!$C:$C,'PPvsREal Summary'!C7,PPvsREal!$M:$M)</f>
        <v>0</v>
      </c>
      <c r="N7" s="53">
        <f>SUMIF(PPvsREal!$C:$C,'PPvsREal Summary'!C7,PPvsREal!$N:$N)</f>
        <v>65000</v>
      </c>
      <c r="O7" s="53">
        <f>SUMIF(PPvsREal!$C:$C,'PPvsREal Summary'!C7,PPvsREal!$O:$O)</f>
        <v>29500</v>
      </c>
      <c r="P7" s="53">
        <f>SUMIF(PPvsREal!$C:$C,'PPvsREal Summary'!C7,PPvsREal!$P:$P)</f>
        <v>78500</v>
      </c>
      <c r="Q7" s="53">
        <f>SUMIF(PPvsREal!$C:$C,'PPvsREal Summary'!C7,PPvsREal!$Q:$Q)</f>
        <v>29500</v>
      </c>
      <c r="R7" s="53">
        <f>SUMIF(PPvsREal!$C:$C,'PPvsREal Summary'!C7,PPvsREal!$R:$R)</f>
        <v>100500</v>
      </c>
      <c r="S7" s="53">
        <f>SUMIF(PPvsREal!$C:$C,'PPvsREal Summary'!C7,PPvsREal!$S:$S)</f>
        <v>0</v>
      </c>
      <c r="T7" s="53">
        <f>SUMIF(PPvsREal!$C:$C,'PPvsREal Summary'!C7,PPvsREal!$T:$T)</f>
        <v>54000</v>
      </c>
      <c r="U7" s="53">
        <f>SUMIF(PPvsREal!$C:$C,'PPvsREal Summary'!C7,PPvsREal!$U:$U)</f>
        <v>0</v>
      </c>
      <c r="V7" s="53">
        <f>SUMIF(PPvsREal!$C:$C,'PPvsREal Summary'!C7,PPvsREal!$V:$V)</f>
        <v>60000</v>
      </c>
      <c r="W7" s="53">
        <f>SUMIF(PPvsREal!$C:$C,'PPvsREal Summary'!C7,PPvsREal!$W:$W)</f>
        <v>0</v>
      </c>
      <c r="X7" s="53">
        <f>SUMIF(PPvsREal!$C:$C,'PPvsREal Summary'!C7,PPvsREal!$X:$X)</f>
        <v>71000</v>
      </c>
      <c r="Y7" s="53">
        <f>SUMIF(PPvsREal!$C:$C,'PPvsREal Summary'!C7,PPvsREal!$Y:$Y)</f>
        <v>0</v>
      </c>
      <c r="Z7" s="53">
        <f>SUMIF(PPvsREal!$C:$C,'PPvsREal Summary'!C7,PPvsREal!$Z:$Z)</f>
        <v>65000</v>
      </c>
      <c r="AA7" s="76">
        <f>SUMIF(PPvsREal!$C:$C,'PPvsREal Summary'!C7,PPvsREal!$AA:$AA)</f>
        <v>0</v>
      </c>
      <c r="AB7" s="53"/>
      <c r="AC7" s="64">
        <f t="shared" ref="AC7:AC8" si="1">D7+F7+H7+J7+L7+N7+P7</f>
        <v>506500</v>
      </c>
      <c r="AD7" s="64">
        <f t="shared" ref="AD7:AD8" si="2">E7+G7+I7+K7+M7+O7+Q7</f>
        <v>208700</v>
      </c>
    </row>
    <row r="8" spans="2:30" ht="12.75" customHeight="1" x14ac:dyDescent="0.25">
      <c r="B8" s="77"/>
      <c r="C8" s="78">
        <v>4.01E+20</v>
      </c>
      <c r="D8" s="49">
        <f t="shared" ref="D8:AA8" si="3">D7</f>
        <v>54000</v>
      </c>
      <c r="E8" s="49">
        <f t="shared" si="3"/>
        <v>37200</v>
      </c>
      <c r="F8" s="49">
        <f t="shared" si="3"/>
        <v>65000</v>
      </c>
      <c r="G8" s="49">
        <f t="shared" si="3"/>
        <v>65500</v>
      </c>
      <c r="H8" s="49">
        <f t="shared" si="3"/>
        <v>72500</v>
      </c>
      <c r="I8" s="49">
        <f t="shared" si="3"/>
        <v>22500</v>
      </c>
      <c r="J8" s="49">
        <f t="shared" si="3"/>
        <v>82000</v>
      </c>
      <c r="K8" s="49">
        <f t="shared" si="3"/>
        <v>24500</v>
      </c>
      <c r="L8" s="49">
        <f t="shared" si="3"/>
        <v>89500</v>
      </c>
      <c r="M8" s="49">
        <f t="shared" si="3"/>
        <v>0</v>
      </c>
      <c r="N8" s="49">
        <f t="shared" si="3"/>
        <v>65000</v>
      </c>
      <c r="O8" s="49">
        <f t="shared" si="3"/>
        <v>29500</v>
      </c>
      <c r="P8" s="49">
        <f t="shared" si="3"/>
        <v>78500</v>
      </c>
      <c r="Q8" s="49">
        <f t="shared" si="3"/>
        <v>29500</v>
      </c>
      <c r="R8" s="49">
        <f t="shared" si="3"/>
        <v>100500</v>
      </c>
      <c r="S8" s="49">
        <f t="shared" si="3"/>
        <v>0</v>
      </c>
      <c r="T8" s="49">
        <f t="shared" si="3"/>
        <v>54000</v>
      </c>
      <c r="U8" s="49">
        <f t="shared" si="3"/>
        <v>0</v>
      </c>
      <c r="V8" s="49">
        <f t="shared" si="3"/>
        <v>60000</v>
      </c>
      <c r="W8" s="49">
        <f t="shared" si="3"/>
        <v>0</v>
      </c>
      <c r="X8" s="49">
        <f t="shared" si="3"/>
        <v>71000</v>
      </c>
      <c r="Y8" s="49">
        <f t="shared" si="3"/>
        <v>0</v>
      </c>
      <c r="Z8" s="49">
        <f t="shared" si="3"/>
        <v>65000</v>
      </c>
      <c r="AA8" s="79">
        <f t="shared" si="3"/>
        <v>0</v>
      </c>
      <c r="AB8" s="53"/>
      <c r="AC8" s="63">
        <f t="shared" si="1"/>
        <v>506500</v>
      </c>
      <c r="AD8" s="63">
        <f t="shared" si="2"/>
        <v>208700</v>
      </c>
    </row>
    <row r="9" spans="2:30" ht="12.75" customHeight="1" x14ac:dyDescent="0.25">
      <c r="B9" s="80"/>
      <c r="C9" s="37"/>
      <c r="D9" s="45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76"/>
      <c r="AB9" s="53"/>
      <c r="AC9" s="64"/>
      <c r="AD9" s="64"/>
    </row>
    <row r="10" spans="2:30" ht="12.75" customHeight="1" x14ac:dyDescent="0.25">
      <c r="B10" s="80" t="s">
        <v>237</v>
      </c>
      <c r="C10" s="37" t="s">
        <v>225</v>
      </c>
      <c r="D10" s="45">
        <f>SUMIF(PPvsREal!$C:$C,'PPvsREal Summary'!C10,PPvsREal!$D:$D)</f>
        <v>0</v>
      </c>
      <c r="E10" s="53">
        <f>SUMIF(PPvsREal!$C:$C,'PPvsREal Summary'!C10,PPvsREal!$E:$E)</f>
        <v>29.04</v>
      </c>
      <c r="F10" s="53">
        <f>SUMIF(PPvsREal!$C:$C,'PPvsREal Summary'!C10,PPvsREal!$F:$F)</f>
        <v>0</v>
      </c>
      <c r="G10" s="53">
        <f>SUMIF(PPvsREal!$C:$C,'PPvsREal Summary'!C10,PPvsREal!$G:$G)</f>
        <v>32.869999999999997</v>
      </c>
      <c r="H10" s="53">
        <f>SUMIF(PPvsREal!$C:$C,'PPvsREal Summary'!C10,PPvsREal!$H:$H)</f>
        <v>0</v>
      </c>
      <c r="I10" s="53">
        <f>SUMIF(PPvsREal!$C:$C,'PPvsREal Summary'!C10,PPvsREal!$I:$I)</f>
        <v>10.89</v>
      </c>
      <c r="J10" s="53">
        <f>SUMIF(PPvsREal!$C:$C,'PPvsREal Summary'!C10,PPvsREal!$J:$J)</f>
        <v>0</v>
      </c>
      <c r="K10" s="53">
        <f>SUMIF(PPvsREal!$C:$C,'PPvsREal Summary'!C10,PPvsREal!$K:$K)</f>
        <v>20.27</v>
      </c>
      <c r="L10" s="53">
        <f>SUMIF(PPvsREal!$C:$C,'PPvsREal Summary'!C10,PPvsREal!$L:$L)</f>
        <v>0</v>
      </c>
      <c r="M10" s="53">
        <f>SUMIF(PPvsREal!$C:$C,'PPvsREal Summary'!C10,PPvsREal!$M:$M)</f>
        <v>13.92</v>
      </c>
      <c r="N10" s="53">
        <f>SUMIF(PPvsREal!$C:$C,'PPvsREal Summary'!C10,PPvsREal!$N:$N)</f>
        <v>0</v>
      </c>
      <c r="O10" s="53">
        <f>SUMIF(PPvsREal!$C:$C,'PPvsREal Summary'!C10,PPvsREal!$O:$O)</f>
        <v>21.96</v>
      </c>
      <c r="P10" s="53">
        <f>SUMIF(PPvsREal!$C:$C,'PPvsREal Summary'!C10,PPvsREal!$P:$P)</f>
        <v>0</v>
      </c>
      <c r="Q10" s="53">
        <f>SUMIF(PPvsREal!$C:$C,'PPvsREal Summary'!C10,PPvsREal!$Q:$Q)</f>
        <v>0.01</v>
      </c>
      <c r="R10" s="53">
        <f>SUMIF(PPvsREal!$C:$C,'PPvsREal Summary'!C10,PPvsREal!$R:$R)</f>
        <v>0</v>
      </c>
      <c r="S10" s="53">
        <f>SUMIF(PPvsREal!$C:$C,'PPvsREal Summary'!C10,PPvsREal!$S:$S)</f>
        <v>0</v>
      </c>
      <c r="T10" s="53">
        <f>SUMIF(PPvsREal!$C:$C,'PPvsREal Summary'!C10,PPvsREal!$T:$T)</f>
        <v>0</v>
      </c>
      <c r="U10" s="53">
        <f>SUMIF(PPvsREal!$C:$C,'PPvsREal Summary'!C10,PPvsREal!$U:$U)</f>
        <v>0</v>
      </c>
      <c r="V10" s="53">
        <f>SUMIF(PPvsREal!$C:$C,'PPvsREal Summary'!C10,PPvsREal!$V:$V)</f>
        <v>0</v>
      </c>
      <c r="W10" s="53">
        <f>SUMIF(PPvsREal!$C:$C,'PPvsREal Summary'!C10,PPvsREal!$W:$W)</f>
        <v>0</v>
      </c>
      <c r="X10" s="53">
        <f>SUMIF(PPvsREal!$C:$C,'PPvsREal Summary'!C10,PPvsREal!$X:$X)</f>
        <v>0</v>
      </c>
      <c r="Y10" s="53">
        <f>SUMIF(PPvsREal!$C:$C,'PPvsREal Summary'!C10,PPvsREal!$Y:$Y)</f>
        <v>0</v>
      </c>
      <c r="Z10" s="53">
        <f>SUMIF(PPvsREal!$C:$C,'PPvsREal Summary'!C10,PPvsREal!$Z:$Z)</f>
        <v>0</v>
      </c>
      <c r="AA10" s="76">
        <f>SUMIF(PPvsREal!$C:$C,'PPvsREal Summary'!C10,PPvsREal!$AA:$AA)</f>
        <v>0</v>
      </c>
      <c r="AB10" s="53"/>
      <c r="AC10" s="64">
        <f t="shared" ref="AC10:AC11" si="4">D10+F10+H10+J10+L10+N10+P10</f>
        <v>0</v>
      </c>
      <c r="AD10" s="64">
        <f t="shared" ref="AD10:AD11" si="5">E10+G10+I10+K10+M10+O10+Q10</f>
        <v>128.95999999999998</v>
      </c>
    </row>
    <row r="11" spans="2:30" ht="12.75" customHeight="1" x14ac:dyDescent="0.25">
      <c r="B11" s="77"/>
      <c r="C11" s="78">
        <v>4.02E+20</v>
      </c>
      <c r="D11" s="49">
        <f t="shared" ref="D11:AA11" si="6">D10</f>
        <v>0</v>
      </c>
      <c r="E11" s="49">
        <f t="shared" si="6"/>
        <v>29.04</v>
      </c>
      <c r="F11" s="49">
        <f t="shared" si="6"/>
        <v>0</v>
      </c>
      <c r="G11" s="49">
        <f t="shared" si="6"/>
        <v>32.869999999999997</v>
      </c>
      <c r="H11" s="49">
        <f t="shared" si="6"/>
        <v>0</v>
      </c>
      <c r="I11" s="49">
        <f t="shared" si="6"/>
        <v>10.89</v>
      </c>
      <c r="J11" s="49">
        <f t="shared" si="6"/>
        <v>0</v>
      </c>
      <c r="K11" s="49">
        <f t="shared" si="6"/>
        <v>20.27</v>
      </c>
      <c r="L11" s="49">
        <f t="shared" si="6"/>
        <v>0</v>
      </c>
      <c r="M11" s="49">
        <f t="shared" si="6"/>
        <v>13.92</v>
      </c>
      <c r="N11" s="49">
        <f t="shared" si="6"/>
        <v>0</v>
      </c>
      <c r="O11" s="49">
        <f t="shared" si="6"/>
        <v>21.96</v>
      </c>
      <c r="P11" s="49">
        <f t="shared" si="6"/>
        <v>0</v>
      </c>
      <c r="Q11" s="49">
        <f t="shared" si="6"/>
        <v>0.01</v>
      </c>
      <c r="R11" s="49">
        <f t="shared" si="6"/>
        <v>0</v>
      </c>
      <c r="S11" s="49">
        <f t="shared" si="6"/>
        <v>0</v>
      </c>
      <c r="T11" s="49">
        <f t="shared" si="6"/>
        <v>0</v>
      </c>
      <c r="U11" s="49">
        <f t="shared" si="6"/>
        <v>0</v>
      </c>
      <c r="V11" s="49">
        <f t="shared" si="6"/>
        <v>0</v>
      </c>
      <c r="W11" s="49">
        <f t="shared" si="6"/>
        <v>0</v>
      </c>
      <c r="X11" s="49">
        <f t="shared" si="6"/>
        <v>0</v>
      </c>
      <c r="Y11" s="49">
        <f t="shared" si="6"/>
        <v>0</v>
      </c>
      <c r="Z11" s="49">
        <f t="shared" si="6"/>
        <v>0</v>
      </c>
      <c r="AA11" s="79">
        <f t="shared" si="6"/>
        <v>0</v>
      </c>
      <c r="AB11" s="53"/>
      <c r="AC11" s="63">
        <f t="shared" si="4"/>
        <v>0</v>
      </c>
      <c r="AD11" s="63">
        <f t="shared" si="5"/>
        <v>128.95999999999998</v>
      </c>
    </row>
    <row r="12" spans="2:30" ht="12.75" customHeight="1" x14ac:dyDescent="0.25">
      <c r="B12" s="80"/>
      <c r="C12" s="37"/>
      <c r="D12" s="45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76"/>
      <c r="AB12" s="53"/>
      <c r="AC12" s="64"/>
      <c r="AD12" s="64"/>
    </row>
    <row r="13" spans="2:30" ht="12.75" customHeight="1" x14ac:dyDescent="0.25">
      <c r="B13" s="80" t="s">
        <v>351</v>
      </c>
      <c r="C13" s="37" t="s">
        <v>186</v>
      </c>
      <c r="D13" s="45">
        <f>SUMIF(PPvsREal!$C:$C,'PPvsREal Summary'!C13,PPvsREal!$D:$D)</f>
        <v>47268.9</v>
      </c>
      <c r="E13" s="53">
        <f>SUMIF(PPvsREal!$C:$C,'PPvsREal Summary'!C13,PPvsREal!$E:$E)</f>
        <v>78600</v>
      </c>
      <c r="F13" s="53">
        <f>SUMIF(PPvsREal!$C:$C,'PPvsREal Summary'!C13,PPvsREal!$F:$F)</f>
        <v>47268.9</v>
      </c>
      <c r="G13" s="53">
        <f>SUMIF(PPvsREal!$C:$C,'PPvsREal Summary'!C13,PPvsREal!$G:$G)</f>
        <v>52400</v>
      </c>
      <c r="H13" s="53">
        <f>SUMIF(PPvsREal!$C:$C,'PPvsREal Summary'!C13,PPvsREal!$H:$H)</f>
        <v>47268.9</v>
      </c>
      <c r="I13" s="53">
        <f>SUMIF(PPvsREal!$C:$C,'PPvsREal Summary'!C13,PPvsREal!$I:$I)</f>
        <v>78600</v>
      </c>
      <c r="J13" s="53">
        <f>SUMIF(PPvsREal!$C:$C,'PPvsREal Summary'!C13,PPvsREal!$J:$J)</f>
        <v>47268.9</v>
      </c>
      <c r="K13" s="53">
        <f>SUMIF(PPvsREal!$C:$C,'PPvsREal Summary'!C13,PPvsREal!$K:$K)</f>
        <v>78600</v>
      </c>
      <c r="L13" s="53">
        <f>SUMIF(PPvsREal!$C:$C,'PPvsREal Summary'!C13,PPvsREal!$L:$L)</f>
        <v>47268.9</v>
      </c>
      <c r="M13" s="53">
        <f>SUMIF(PPvsREal!$C:$C,'PPvsREal Summary'!C13,PPvsREal!$M:$M)</f>
        <v>52400</v>
      </c>
      <c r="N13" s="53">
        <f>SUMIF(PPvsREal!$C:$C,'PPvsREal Summary'!C13,PPvsREal!$N:$N)</f>
        <v>47268.9</v>
      </c>
      <c r="O13" s="53">
        <f>SUMIF(PPvsREal!$C:$C,'PPvsREal Summary'!C13,PPvsREal!$O:$O)</f>
        <v>52400</v>
      </c>
      <c r="P13" s="53">
        <f>SUMIF(PPvsREal!$C:$C,'PPvsREal Summary'!C13,PPvsREal!$P:$P)</f>
        <v>47268.9</v>
      </c>
      <c r="Q13" s="53">
        <f>SUMIF(PPvsREal!$C:$C,'PPvsREal Summary'!C13,PPvsREal!$Q:$Q)</f>
        <v>52400</v>
      </c>
      <c r="R13" s="53">
        <f>SUMIF(PPvsREal!$C:$C,'PPvsREal Summary'!C13,PPvsREal!$R:$R)</f>
        <v>47268.9</v>
      </c>
      <c r="S13" s="53">
        <f>SUMIF(PPvsREal!$C:$C,'PPvsREal Summary'!C13,PPvsREal!$S:$S)</f>
        <v>0</v>
      </c>
      <c r="T13" s="53">
        <f>SUMIF(PPvsREal!$C:$C,'PPvsREal Summary'!C13,PPvsREal!$T:$T)</f>
        <v>47268.9</v>
      </c>
      <c r="U13" s="53">
        <f>SUMIF(PPvsREal!$C:$C,'PPvsREal Summary'!C13,PPvsREal!$U:$U)</f>
        <v>0</v>
      </c>
      <c r="V13" s="53">
        <f>SUMIF(PPvsREal!$C:$C,'PPvsREal Summary'!C13,PPvsREal!$V:$V)</f>
        <v>47268.9</v>
      </c>
      <c r="W13" s="53">
        <f>SUMIF(PPvsREal!$C:$C,'PPvsREal Summary'!C13,PPvsREal!$W:$W)</f>
        <v>0</v>
      </c>
      <c r="X13" s="53">
        <f>SUMIF(PPvsREal!$C:$C,'PPvsREal Summary'!C13,PPvsREal!$X:$X)</f>
        <v>47268.9</v>
      </c>
      <c r="Y13" s="53">
        <f>SUMIF(PPvsREal!$C:$C,'PPvsREal Summary'!C13,PPvsREal!$Y:$Y)</f>
        <v>0</v>
      </c>
      <c r="Z13" s="53">
        <f>SUMIF(PPvsREal!$C:$C,'PPvsREal Summary'!C13,PPvsREal!$Z:$Z)</f>
        <v>47268.9</v>
      </c>
      <c r="AA13" s="76">
        <f>SUMIF(PPvsREal!$C:$C,'PPvsREal Summary'!C13,PPvsREal!$AA:$AA)</f>
        <v>0</v>
      </c>
      <c r="AB13" s="53"/>
      <c r="AC13" s="64">
        <f t="shared" ref="AC13:AC14" si="7">D13+F13+H13+J13+L13+N13+P13</f>
        <v>330882.30000000005</v>
      </c>
      <c r="AD13" s="64">
        <f t="shared" ref="AD13:AD14" si="8">E13+G13+I13+K13+M13+O13+Q13</f>
        <v>445400</v>
      </c>
    </row>
    <row r="14" spans="2:30" ht="12.75" customHeight="1" x14ac:dyDescent="0.25">
      <c r="B14" s="77"/>
      <c r="C14" s="78">
        <v>4.03E+20</v>
      </c>
      <c r="D14" s="49">
        <f t="shared" ref="D14:AA14" si="9">D13</f>
        <v>47268.9</v>
      </c>
      <c r="E14" s="49">
        <f t="shared" si="9"/>
        <v>78600</v>
      </c>
      <c r="F14" s="49">
        <f t="shared" si="9"/>
        <v>47268.9</v>
      </c>
      <c r="G14" s="49">
        <f t="shared" si="9"/>
        <v>52400</v>
      </c>
      <c r="H14" s="49">
        <f t="shared" si="9"/>
        <v>47268.9</v>
      </c>
      <c r="I14" s="49">
        <f t="shared" si="9"/>
        <v>78600</v>
      </c>
      <c r="J14" s="49">
        <f t="shared" si="9"/>
        <v>47268.9</v>
      </c>
      <c r="K14" s="49">
        <f t="shared" si="9"/>
        <v>78600</v>
      </c>
      <c r="L14" s="49">
        <f t="shared" si="9"/>
        <v>47268.9</v>
      </c>
      <c r="M14" s="49">
        <f t="shared" si="9"/>
        <v>52400</v>
      </c>
      <c r="N14" s="49">
        <f t="shared" si="9"/>
        <v>47268.9</v>
      </c>
      <c r="O14" s="49">
        <f t="shared" si="9"/>
        <v>52400</v>
      </c>
      <c r="P14" s="49">
        <f t="shared" si="9"/>
        <v>47268.9</v>
      </c>
      <c r="Q14" s="49">
        <f t="shared" si="9"/>
        <v>52400</v>
      </c>
      <c r="R14" s="49">
        <f t="shared" si="9"/>
        <v>47268.9</v>
      </c>
      <c r="S14" s="49">
        <f t="shared" si="9"/>
        <v>0</v>
      </c>
      <c r="T14" s="49">
        <f t="shared" si="9"/>
        <v>47268.9</v>
      </c>
      <c r="U14" s="49">
        <f t="shared" si="9"/>
        <v>0</v>
      </c>
      <c r="V14" s="49">
        <f t="shared" si="9"/>
        <v>47268.9</v>
      </c>
      <c r="W14" s="49">
        <f t="shared" si="9"/>
        <v>0</v>
      </c>
      <c r="X14" s="49">
        <f t="shared" si="9"/>
        <v>47268.9</v>
      </c>
      <c r="Y14" s="49">
        <f t="shared" si="9"/>
        <v>0</v>
      </c>
      <c r="Z14" s="49">
        <f t="shared" si="9"/>
        <v>47268.9</v>
      </c>
      <c r="AA14" s="79">
        <f t="shared" si="9"/>
        <v>0</v>
      </c>
      <c r="AB14" s="53"/>
      <c r="AC14" s="63">
        <f t="shared" si="7"/>
        <v>330882.30000000005</v>
      </c>
      <c r="AD14" s="63">
        <f t="shared" si="8"/>
        <v>445400</v>
      </c>
    </row>
    <row r="15" spans="2:30" ht="12.75" customHeight="1" x14ac:dyDescent="0.25">
      <c r="B15" s="80"/>
      <c r="C15" s="37"/>
      <c r="D15" s="45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76"/>
      <c r="AB15" s="53"/>
      <c r="AC15" s="64"/>
      <c r="AD15" s="64"/>
    </row>
    <row r="16" spans="2:30" ht="12.75" customHeight="1" x14ac:dyDescent="0.25">
      <c r="B16" s="80" t="s">
        <v>349</v>
      </c>
      <c r="C16" s="37" t="s">
        <v>106</v>
      </c>
      <c r="D16" s="45">
        <f>SUMIF(PPvsREal!$C:$C,'PPvsREal Summary'!C16,PPvsREal!$D:$D)</f>
        <v>19600</v>
      </c>
      <c r="E16" s="53">
        <f>SUMIF(PPvsREal!$C:$C,'PPvsREal Summary'!C16,PPvsREal!$E:$E)</f>
        <v>0</v>
      </c>
      <c r="F16" s="53">
        <f>SUMIF(PPvsREal!$C:$C,'PPvsREal Summary'!C16,PPvsREal!$F:$F)</f>
        <v>19600</v>
      </c>
      <c r="G16" s="53">
        <f>SUMIF(PPvsREal!$C:$C,'PPvsREal Summary'!C16,PPvsREal!$G:$G)</f>
        <v>0</v>
      </c>
      <c r="H16" s="53">
        <f>SUMIF(PPvsREal!$C:$C,'PPvsREal Summary'!C16,PPvsREal!$H:$H)</f>
        <v>19600</v>
      </c>
      <c r="I16" s="53">
        <f>SUMIF(PPvsREal!$C:$C,'PPvsREal Summary'!C16,PPvsREal!$I:$I)</f>
        <v>0</v>
      </c>
      <c r="J16" s="53">
        <f>SUMIF(PPvsREal!$C:$C,'PPvsREal Summary'!C16,PPvsREal!$J:$J)</f>
        <v>19600</v>
      </c>
      <c r="K16" s="53">
        <f>SUMIF(PPvsREal!$C:$C,'PPvsREal Summary'!C16,PPvsREal!$K:$K)</f>
        <v>0</v>
      </c>
      <c r="L16" s="53">
        <f>SUMIF(PPvsREal!$C:$C,'PPvsREal Summary'!C16,PPvsREal!$L:$L)</f>
        <v>19600</v>
      </c>
      <c r="M16" s="53">
        <f>SUMIF(PPvsREal!$C:$C,'PPvsREal Summary'!C16,PPvsREal!$M:$M)</f>
        <v>5603.5</v>
      </c>
      <c r="N16" s="53">
        <f>SUMIF(PPvsREal!$C:$C,'PPvsREal Summary'!C16,PPvsREal!$N:$N)</f>
        <v>19600</v>
      </c>
      <c r="O16" s="53">
        <f>SUMIF(PPvsREal!$C:$C,'PPvsREal Summary'!C16,PPvsREal!$O:$O)</f>
        <v>12327.7</v>
      </c>
      <c r="P16" s="53">
        <f>SUMIF(PPvsREal!$C:$C,'PPvsREal Summary'!C16,PPvsREal!$P:$P)</f>
        <v>19600</v>
      </c>
      <c r="Q16" s="53">
        <f>SUMIF(PPvsREal!$C:$C,'PPvsREal Summary'!C16,PPvsREal!$Q:$Q)</f>
        <v>3922.45</v>
      </c>
      <c r="R16" s="53">
        <f>SUMIF(PPvsREal!$C:$C,'PPvsREal Summary'!C16,PPvsREal!$R:$R)</f>
        <v>19600</v>
      </c>
      <c r="S16" s="53">
        <f>SUMIF(PPvsREal!$C:$C,'PPvsREal Summary'!C16,PPvsREal!$S:$S)</f>
        <v>0</v>
      </c>
      <c r="T16" s="53">
        <f>SUMIF(PPvsREal!$C:$C,'PPvsREal Summary'!C16,PPvsREal!$T:$T)</f>
        <v>19600</v>
      </c>
      <c r="U16" s="53">
        <f>SUMIF(PPvsREal!$C:$C,'PPvsREal Summary'!C16,PPvsREal!$U:$U)</f>
        <v>0</v>
      </c>
      <c r="V16" s="53">
        <f>SUMIF(PPvsREal!$C:$C,'PPvsREal Summary'!C16,PPvsREal!$V:$V)</f>
        <v>19600</v>
      </c>
      <c r="W16" s="53">
        <f>SUMIF(PPvsREal!$C:$C,'PPvsREal Summary'!C16,PPvsREal!$W:$W)</f>
        <v>0</v>
      </c>
      <c r="X16" s="53">
        <f>SUMIF(PPvsREal!$C:$C,'PPvsREal Summary'!C16,PPvsREal!$X:$X)</f>
        <v>19600</v>
      </c>
      <c r="Y16" s="53">
        <f>SUMIF(PPvsREal!$C:$C,'PPvsREal Summary'!C16,PPvsREal!$Y:$Y)</f>
        <v>0</v>
      </c>
      <c r="Z16" s="53">
        <f>SUMIF(PPvsREal!$C:$C,'PPvsREal Summary'!C16,PPvsREal!$Z:$Z)</f>
        <v>19600</v>
      </c>
      <c r="AA16" s="76">
        <f>SUMIF(PPvsREal!$C:$C,'PPvsREal Summary'!C16,PPvsREal!$AA:$AA)</f>
        <v>0</v>
      </c>
      <c r="AB16" s="53"/>
      <c r="AC16" s="64">
        <f t="shared" ref="AC16:AC33" si="10">D16+F16+H16+J16+L16+N16+P16</f>
        <v>137200</v>
      </c>
      <c r="AD16" s="64">
        <f t="shared" ref="AD16:AD33" si="11">E16+G16+I16+K16+M16+O16+Q16</f>
        <v>21853.65</v>
      </c>
    </row>
    <row r="17" spans="2:30" ht="12.75" customHeight="1" x14ac:dyDescent="0.25">
      <c r="B17" s="80" t="s">
        <v>349</v>
      </c>
      <c r="C17" s="37" t="s">
        <v>108</v>
      </c>
      <c r="D17" s="45">
        <f>SUMIF(PPvsREal!$C:$C,'PPvsREal Summary'!C17,PPvsREal!$D:$D)</f>
        <v>8400</v>
      </c>
      <c r="E17" s="53">
        <f>SUMIF(PPvsREal!$C:$C,'PPvsREal Summary'!C17,PPvsREal!$E:$E)</f>
        <v>0</v>
      </c>
      <c r="F17" s="53">
        <f>SUMIF(PPvsREal!$C:$C,'PPvsREal Summary'!C17,PPvsREal!$F:$F)</f>
        <v>8400</v>
      </c>
      <c r="G17" s="53">
        <f>SUMIF(PPvsREal!$C:$C,'PPvsREal Summary'!C17,PPvsREal!$G:$G)</f>
        <v>0</v>
      </c>
      <c r="H17" s="53">
        <f>SUMIF(PPvsREal!$C:$C,'PPvsREal Summary'!C17,PPvsREal!$H:$H)</f>
        <v>8400</v>
      </c>
      <c r="I17" s="53">
        <f>SUMIF(PPvsREal!$C:$C,'PPvsREal Summary'!C17,PPvsREal!$I:$I)</f>
        <v>0</v>
      </c>
      <c r="J17" s="53">
        <f>SUMIF(PPvsREal!$C:$C,'PPvsREal Summary'!C17,PPvsREal!$J:$J)</f>
        <v>8400</v>
      </c>
      <c r="K17" s="53">
        <f>SUMIF(PPvsREal!$C:$C,'PPvsREal Summary'!C17,PPvsREal!$K:$K)</f>
        <v>0</v>
      </c>
      <c r="L17" s="53">
        <f>SUMIF(PPvsREal!$C:$C,'PPvsREal Summary'!C17,PPvsREal!$L:$L)</f>
        <v>8400</v>
      </c>
      <c r="M17" s="53">
        <f>SUMIF(PPvsREal!$C:$C,'PPvsREal Summary'!C17,PPvsREal!$M:$M)</f>
        <v>6724.2</v>
      </c>
      <c r="N17" s="53">
        <f>SUMIF(PPvsREal!$C:$C,'PPvsREal Summary'!C17,PPvsREal!$N:$N)</f>
        <v>8400</v>
      </c>
      <c r="O17" s="53">
        <f>SUMIF(PPvsREal!$C:$C,'PPvsREal Summary'!C17,PPvsREal!$O:$O)</f>
        <v>1120.7</v>
      </c>
      <c r="P17" s="53">
        <f>SUMIF(PPvsREal!$C:$C,'PPvsREal Summary'!C17,PPvsREal!$P:$P)</f>
        <v>8400</v>
      </c>
      <c r="Q17" s="53">
        <f>SUMIF(PPvsREal!$C:$C,'PPvsREal Summary'!C17,PPvsREal!$Q:$Q)</f>
        <v>2241.4</v>
      </c>
      <c r="R17" s="53">
        <f>SUMIF(PPvsREal!$C:$C,'PPvsREal Summary'!C17,PPvsREal!$R:$R)</f>
        <v>8400</v>
      </c>
      <c r="S17" s="53">
        <f>SUMIF(PPvsREal!$C:$C,'PPvsREal Summary'!C17,PPvsREal!$S:$S)</f>
        <v>0</v>
      </c>
      <c r="T17" s="53">
        <f>SUMIF(PPvsREal!$C:$C,'PPvsREal Summary'!C17,PPvsREal!$T:$T)</f>
        <v>8400</v>
      </c>
      <c r="U17" s="53">
        <f>SUMIF(PPvsREal!$C:$C,'PPvsREal Summary'!C17,PPvsREal!$U:$U)</f>
        <v>0</v>
      </c>
      <c r="V17" s="53">
        <f>SUMIF(PPvsREal!$C:$C,'PPvsREal Summary'!C17,PPvsREal!$V:$V)</f>
        <v>8400</v>
      </c>
      <c r="W17" s="53">
        <f>SUMIF(PPvsREal!$C:$C,'PPvsREal Summary'!C17,PPvsREal!$W:$W)</f>
        <v>0</v>
      </c>
      <c r="X17" s="53">
        <f>SUMIF(PPvsREal!$C:$C,'PPvsREal Summary'!C17,PPvsREal!$X:$X)</f>
        <v>8400</v>
      </c>
      <c r="Y17" s="53">
        <f>SUMIF(PPvsREal!$C:$C,'PPvsREal Summary'!C17,PPvsREal!$Y:$Y)</f>
        <v>0</v>
      </c>
      <c r="Z17" s="53">
        <f>SUMIF(PPvsREal!$C:$C,'PPvsREal Summary'!C17,PPvsREal!$Z:$Z)</f>
        <v>8400</v>
      </c>
      <c r="AA17" s="76">
        <f>SUMIF(PPvsREal!$C:$C,'PPvsREal Summary'!C17,PPvsREal!$AA:$AA)</f>
        <v>0</v>
      </c>
      <c r="AB17" s="53"/>
      <c r="AC17" s="64">
        <f t="shared" si="10"/>
        <v>58800</v>
      </c>
      <c r="AD17" s="64">
        <f t="shared" si="11"/>
        <v>10086.299999999999</v>
      </c>
    </row>
    <row r="18" spans="2:30" ht="12.75" customHeight="1" x14ac:dyDescent="0.25">
      <c r="B18" s="80" t="s">
        <v>349</v>
      </c>
      <c r="C18" s="37" t="s">
        <v>116</v>
      </c>
      <c r="D18" s="45">
        <f>SUMIF(PPvsREal!$C:$C,'PPvsREal Summary'!C18,PPvsREal!$D:$D)</f>
        <v>8400</v>
      </c>
      <c r="E18" s="53">
        <f>SUMIF(PPvsREal!$C:$C,'PPvsREal Summary'!C18,PPvsREal!$E:$E)</f>
        <v>0</v>
      </c>
      <c r="F18" s="53">
        <f>SUMIF(PPvsREal!$C:$C,'PPvsREal Summary'!C18,PPvsREal!$F:$F)</f>
        <v>8400</v>
      </c>
      <c r="G18" s="53">
        <f>SUMIF(PPvsREal!$C:$C,'PPvsREal Summary'!C18,PPvsREal!$G:$G)</f>
        <v>0</v>
      </c>
      <c r="H18" s="53">
        <f>SUMIF(PPvsREal!$C:$C,'PPvsREal Summary'!C18,PPvsREal!$H:$H)</f>
        <v>8400</v>
      </c>
      <c r="I18" s="53">
        <f>SUMIF(PPvsREal!$C:$C,'PPvsREal Summary'!C18,PPvsREal!$I:$I)</f>
        <v>0</v>
      </c>
      <c r="J18" s="53">
        <f>SUMIF(PPvsREal!$C:$C,'PPvsREal Summary'!C18,PPvsREal!$J:$J)</f>
        <v>8400</v>
      </c>
      <c r="K18" s="53">
        <f>SUMIF(PPvsREal!$C:$C,'PPvsREal Summary'!C18,PPvsREal!$K:$K)</f>
        <v>0</v>
      </c>
      <c r="L18" s="53">
        <f>SUMIF(PPvsREal!$C:$C,'PPvsREal Summary'!C18,PPvsREal!$L:$L)</f>
        <v>8400</v>
      </c>
      <c r="M18" s="53">
        <f>SUMIF(PPvsREal!$C:$C,'PPvsREal Summary'!C18,PPvsREal!$M:$M)</f>
        <v>0</v>
      </c>
      <c r="N18" s="53">
        <f>SUMIF(PPvsREal!$C:$C,'PPvsREal Summary'!C18,PPvsREal!$N:$N)</f>
        <v>8400</v>
      </c>
      <c r="O18" s="53">
        <f>SUMIF(PPvsREal!$C:$C,'PPvsREal Summary'!C18,PPvsREal!$O:$O)</f>
        <v>0</v>
      </c>
      <c r="P18" s="53">
        <f>SUMIF(PPvsREal!$C:$C,'PPvsREal Summary'!C18,PPvsREal!$P:$P)</f>
        <v>8400</v>
      </c>
      <c r="Q18" s="53">
        <f>SUMIF(PPvsREal!$C:$C,'PPvsREal Summary'!C18,PPvsREal!$Q:$Q)</f>
        <v>0</v>
      </c>
      <c r="R18" s="53">
        <f>SUMIF(PPvsREal!$C:$C,'PPvsREal Summary'!C18,PPvsREal!$R:$R)</f>
        <v>8400</v>
      </c>
      <c r="S18" s="53">
        <f>SUMIF(PPvsREal!$C:$C,'PPvsREal Summary'!C18,PPvsREal!$S:$S)</f>
        <v>0</v>
      </c>
      <c r="T18" s="53">
        <f>SUMIF(PPvsREal!$C:$C,'PPvsREal Summary'!C18,PPvsREal!$T:$T)</f>
        <v>8400</v>
      </c>
      <c r="U18" s="53">
        <f>SUMIF(PPvsREal!$C:$C,'PPvsREal Summary'!C18,PPvsREal!$U:$U)</f>
        <v>0</v>
      </c>
      <c r="V18" s="53">
        <f>SUMIF(PPvsREal!$C:$C,'PPvsREal Summary'!C18,PPvsREal!$V:$V)</f>
        <v>8400</v>
      </c>
      <c r="W18" s="53">
        <f>SUMIF(PPvsREal!$C:$C,'PPvsREal Summary'!C18,PPvsREal!$W:$W)</f>
        <v>0</v>
      </c>
      <c r="X18" s="53">
        <f>SUMIF(PPvsREal!$C:$C,'PPvsREal Summary'!C18,PPvsREal!$X:$X)</f>
        <v>8400</v>
      </c>
      <c r="Y18" s="53">
        <f>SUMIF(PPvsREal!$C:$C,'PPvsREal Summary'!C18,PPvsREal!$Y:$Y)</f>
        <v>0</v>
      </c>
      <c r="Z18" s="53">
        <f>SUMIF(PPvsREal!$C:$C,'PPvsREal Summary'!C18,PPvsREal!$Z:$Z)</f>
        <v>8400</v>
      </c>
      <c r="AA18" s="76">
        <f>SUMIF(PPvsREal!$C:$C,'PPvsREal Summary'!C18,PPvsREal!$AA:$AA)</f>
        <v>0</v>
      </c>
      <c r="AB18" s="53"/>
      <c r="AC18" s="64">
        <f t="shared" si="10"/>
        <v>58800</v>
      </c>
      <c r="AD18" s="64">
        <f t="shared" si="11"/>
        <v>0</v>
      </c>
    </row>
    <row r="19" spans="2:30" ht="12.75" customHeight="1" x14ac:dyDescent="0.25">
      <c r="B19" s="80" t="s">
        <v>349</v>
      </c>
      <c r="C19" s="37" t="s">
        <v>104</v>
      </c>
      <c r="D19" s="45">
        <f>SUMIF(PPvsREal!$C:$C,'PPvsREal Summary'!C19,PPvsREal!$D:$D)</f>
        <v>11200</v>
      </c>
      <c r="E19" s="53">
        <f>SUMIF(PPvsREal!$C:$C,'PPvsREal Summary'!C19,PPvsREal!$E:$E)</f>
        <v>0</v>
      </c>
      <c r="F19" s="53">
        <f>SUMIF(PPvsREal!$C:$C,'PPvsREal Summary'!C19,PPvsREal!$F:$F)</f>
        <v>11200</v>
      </c>
      <c r="G19" s="53">
        <f>SUMIF(PPvsREal!$C:$C,'PPvsREal Summary'!C19,PPvsREal!$G:$G)</f>
        <v>0</v>
      </c>
      <c r="H19" s="53">
        <f>SUMIF(PPvsREal!$C:$C,'PPvsREal Summary'!C19,PPvsREal!$H:$H)</f>
        <v>11200</v>
      </c>
      <c r="I19" s="53">
        <f>SUMIF(PPvsREal!$C:$C,'PPvsREal Summary'!C19,PPvsREal!$I:$I)</f>
        <v>0</v>
      </c>
      <c r="J19" s="53">
        <f>SUMIF(PPvsREal!$C:$C,'PPvsREal Summary'!C19,PPvsREal!$J:$J)</f>
        <v>11200</v>
      </c>
      <c r="K19" s="53">
        <f>SUMIF(PPvsREal!$C:$C,'PPvsREal Summary'!C19,PPvsREal!$K:$K)</f>
        <v>0</v>
      </c>
      <c r="L19" s="53">
        <f>SUMIF(PPvsREal!$C:$C,'PPvsREal Summary'!C19,PPvsREal!$L:$L)</f>
        <v>11200</v>
      </c>
      <c r="M19" s="53">
        <f>SUMIF(PPvsREal!$C:$C,'PPvsREal Summary'!C19,PPvsREal!$M:$M)</f>
        <v>12006.98</v>
      </c>
      <c r="N19" s="53">
        <f>SUMIF(PPvsREal!$C:$C,'PPvsREal Summary'!C19,PPvsREal!$N:$N)</f>
        <v>11200</v>
      </c>
      <c r="O19" s="53">
        <f>SUMIF(PPvsREal!$C:$C,'PPvsREal Summary'!C19,PPvsREal!$O:$O)</f>
        <v>1120.7</v>
      </c>
      <c r="P19" s="53">
        <f>SUMIF(PPvsREal!$C:$C,'PPvsREal Summary'!C19,PPvsREal!$P:$P)</f>
        <v>11200</v>
      </c>
      <c r="Q19" s="53">
        <f>SUMIF(PPvsREal!$C:$C,'PPvsREal Summary'!C19,PPvsREal!$Q:$Q)</f>
        <v>0</v>
      </c>
      <c r="R19" s="53">
        <f>SUMIF(PPvsREal!$C:$C,'PPvsREal Summary'!C19,PPvsREal!$R:$R)</f>
        <v>11200</v>
      </c>
      <c r="S19" s="53">
        <f>SUMIF(PPvsREal!$C:$C,'PPvsREal Summary'!C19,PPvsREal!$S:$S)</f>
        <v>0</v>
      </c>
      <c r="T19" s="53">
        <f>SUMIF(PPvsREal!$C:$C,'PPvsREal Summary'!C19,PPvsREal!$T:$T)</f>
        <v>11200</v>
      </c>
      <c r="U19" s="53">
        <f>SUMIF(PPvsREal!$C:$C,'PPvsREal Summary'!C19,PPvsREal!$U:$U)</f>
        <v>0</v>
      </c>
      <c r="V19" s="53">
        <f>SUMIF(PPvsREal!$C:$C,'PPvsREal Summary'!C19,PPvsREal!$V:$V)</f>
        <v>11200</v>
      </c>
      <c r="W19" s="53">
        <f>SUMIF(PPvsREal!$C:$C,'PPvsREal Summary'!C19,PPvsREal!$W:$W)</f>
        <v>0</v>
      </c>
      <c r="X19" s="53">
        <f>SUMIF(PPvsREal!$C:$C,'PPvsREal Summary'!C19,PPvsREal!$X:$X)</f>
        <v>11200</v>
      </c>
      <c r="Y19" s="53">
        <f>SUMIF(PPvsREal!$C:$C,'PPvsREal Summary'!C19,PPvsREal!$Y:$Y)</f>
        <v>0</v>
      </c>
      <c r="Z19" s="53">
        <f>SUMIF(PPvsREal!$C:$C,'PPvsREal Summary'!C19,PPvsREal!$Z:$Z)</f>
        <v>11200</v>
      </c>
      <c r="AA19" s="76">
        <f>SUMIF(PPvsREal!$C:$C,'PPvsREal Summary'!C19,PPvsREal!$AA:$AA)</f>
        <v>0</v>
      </c>
      <c r="AB19" s="53"/>
      <c r="AC19" s="64">
        <f t="shared" si="10"/>
        <v>78400</v>
      </c>
      <c r="AD19" s="64">
        <f t="shared" si="11"/>
        <v>13127.68</v>
      </c>
    </row>
    <row r="20" spans="2:30" ht="12.75" customHeight="1" x14ac:dyDescent="0.25">
      <c r="B20" s="80" t="s">
        <v>209</v>
      </c>
      <c r="C20" s="37" t="s">
        <v>195</v>
      </c>
      <c r="D20" s="45">
        <f>SUMIF(PPvsREal!$C:$C,'PPvsREal Summary'!C20,PPvsREal!$D:$D)</f>
        <v>16250</v>
      </c>
      <c r="E20" s="53">
        <f>SUMIF(PPvsREal!$C:$C,'PPvsREal Summary'!C20,PPvsREal!$E:$E)</f>
        <v>0</v>
      </c>
      <c r="F20" s="53">
        <f>SUMIF(PPvsREal!$C:$C,'PPvsREal Summary'!C20,PPvsREal!$F:$F)</f>
        <v>16250</v>
      </c>
      <c r="G20" s="53">
        <f>SUMIF(PPvsREal!$C:$C,'PPvsREal Summary'!C20,PPvsREal!$G:$G)</f>
        <v>0</v>
      </c>
      <c r="H20" s="53">
        <f>SUMIF(PPvsREal!$C:$C,'PPvsREal Summary'!C20,PPvsREal!$H:$H)</f>
        <v>16250</v>
      </c>
      <c r="I20" s="53">
        <f>SUMIF(PPvsREal!$C:$C,'PPvsREal Summary'!C20,PPvsREal!$I:$I)</f>
        <v>0</v>
      </c>
      <c r="J20" s="53">
        <f>SUMIF(PPvsREal!$C:$C,'PPvsREal Summary'!C20,PPvsREal!$J:$J)</f>
        <v>16250</v>
      </c>
      <c r="K20" s="53">
        <f>SUMIF(PPvsREal!$C:$C,'PPvsREal Summary'!C20,PPvsREal!$K:$K)</f>
        <v>0</v>
      </c>
      <c r="L20" s="53">
        <f>SUMIF(PPvsREal!$C:$C,'PPvsREal Summary'!C20,PPvsREal!$L:$L)</f>
        <v>16250</v>
      </c>
      <c r="M20" s="53">
        <f>SUMIF(PPvsREal!$C:$C,'PPvsREal Summary'!C20,PPvsREal!$M:$M)</f>
        <v>0</v>
      </c>
      <c r="N20" s="53">
        <f>SUMIF(PPvsREal!$C:$C,'PPvsREal Summary'!C20,PPvsREal!$N:$N)</f>
        <v>16250</v>
      </c>
      <c r="O20" s="53">
        <f>SUMIF(PPvsREal!$C:$C,'PPvsREal Summary'!C20,PPvsREal!$O:$O)</f>
        <v>0</v>
      </c>
      <c r="P20" s="53">
        <f>SUMIF(PPvsREal!$C:$C,'PPvsREal Summary'!C20,PPvsREal!$P:$P)</f>
        <v>16250</v>
      </c>
      <c r="Q20" s="53">
        <f>SUMIF(PPvsREal!$C:$C,'PPvsREal Summary'!C20,PPvsREal!$Q:$Q)</f>
        <v>0</v>
      </c>
      <c r="R20" s="53">
        <f>SUMIF(PPvsREal!$C:$C,'PPvsREal Summary'!C20,PPvsREal!$R:$R)</f>
        <v>16250</v>
      </c>
      <c r="S20" s="53">
        <f>SUMIF(PPvsREal!$C:$C,'PPvsREal Summary'!C20,PPvsREal!$S:$S)</f>
        <v>0</v>
      </c>
      <c r="T20" s="53">
        <f>SUMIF(PPvsREal!$C:$C,'PPvsREal Summary'!C20,PPvsREal!$T:$T)</f>
        <v>16250</v>
      </c>
      <c r="U20" s="53">
        <f>SUMIF(PPvsREal!$C:$C,'PPvsREal Summary'!C20,PPvsREal!$U:$U)</f>
        <v>0</v>
      </c>
      <c r="V20" s="53">
        <f>SUMIF(PPvsREal!$C:$C,'PPvsREal Summary'!C20,PPvsREal!$V:$V)</f>
        <v>16250</v>
      </c>
      <c r="W20" s="53">
        <f>SUMIF(PPvsREal!$C:$C,'PPvsREal Summary'!C20,PPvsREal!$W:$W)</f>
        <v>0</v>
      </c>
      <c r="X20" s="53">
        <f>SUMIF(PPvsREal!$C:$C,'PPvsREal Summary'!C20,PPvsREal!$X:$X)</f>
        <v>16250</v>
      </c>
      <c r="Y20" s="53">
        <f>SUMIF(PPvsREal!$C:$C,'PPvsREal Summary'!C20,PPvsREal!$Y:$Y)</f>
        <v>0</v>
      </c>
      <c r="Z20" s="53">
        <f>SUMIF(PPvsREal!$C:$C,'PPvsREal Summary'!C20,PPvsREal!$Z:$Z)</f>
        <v>16250</v>
      </c>
      <c r="AA20" s="76">
        <f>SUMIF(PPvsREal!$C:$C,'PPvsREal Summary'!C20,PPvsREal!$AA:$AA)</f>
        <v>0</v>
      </c>
      <c r="AB20" s="53"/>
      <c r="AC20" s="64">
        <f t="shared" si="10"/>
        <v>113750</v>
      </c>
      <c r="AD20" s="64">
        <f t="shared" si="11"/>
        <v>0</v>
      </c>
    </row>
    <row r="21" spans="2:30" ht="12.75" customHeight="1" x14ac:dyDescent="0.25">
      <c r="B21" s="80" t="s">
        <v>349</v>
      </c>
      <c r="C21" s="37" t="s">
        <v>112</v>
      </c>
      <c r="D21" s="45">
        <f>SUMIF(PPvsREal!$C:$C,'PPvsREal Summary'!C21,PPvsREal!$D:$D)</f>
        <v>11200</v>
      </c>
      <c r="E21" s="53">
        <f>SUMIF(PPvsREal!$C:$C,'PPvsREal Summary'!C21,PPvsREal!$E:$E)</f>
        <v>0</v>
      </c>
      <c r="F21" s="53">
        <f>SUMIF(PPvsREal!$C:$C,'PPvsREal Summary'!C21,PPvsREal!$F:$F)</f>
        <v>11200</v>
      </c>
      <c r="G21" s="53">
        <f>SUMIF(PPvsREal!$C:$C,'PPvsREal Summary'!C21,PPvsREal!$G:$G)</f>
        <v>0</v>
      </c>
      <c r="H21" s="53">
        <f>SUMIF(PPvsREal!$C:$C,'PPvsREal Summary'!C21,PPvsREal!$H:$H)</f>
        <v>11200</v>
      </c>
      <c r="I21" s="53">
        <f>SUMIF(PPvsREal!$C:$C,'PPvsREal Summary'!C21,PPvsREal!$I:$I)</f>
        <v>0</v>
      </c>
      <c r="J21" s="53">
        <f>SUMIF(PPvsREal!$C:$C,'PPvsREal Summary'!C21,PPvsREal!$J:$J)</f>
        <v>11200</v>
      </c>
      <c r="K21" s="53">
        <f>SUMIF(PPvsREal!$C:$C,'PPvsREal Summary'!C21,PPvsREal!$K:$K)</f>
        <v>0</v>
      </c>
      <c r="L21" s="53">
        <f>SUMIF(PPvsREal!$C:$C,'PPvsREal Summary'!C21,PPvsREal!$L:$L)</f>
        <v>11200</v>
      </c>
      <c r="M21" s="53">
        <f>SUMIF(PPvsREal!$C:$C,'PPvsREal Summary'!C21,PPvsREal!$M:$M)</f>
        <v>0</v>
      </c>
      <c r="N21" s="53">
        <f>SUMIF(PPvsREal!$C:$C,'PPvsREal Summary'!C21,PPvsREal!$N:$N)</f>
        <v>11200</v>
      </c>
      <c r="O21" s="53">
        <f>SUMIF(PPvsREal!$C:$C,'PPvsREal Summary'!C21,PPvsREal!$O:$O)</f>
        <v>0</v>
      </c>
      <c r="P21" s="53">
        <f>SUMIF(PPvsREal!$C:$C,'PPvsREal Summary'!C21,PPvsREal!$P:$P)</f>
        <v>11200</v>
      </c>
      <c r="Q21" s="53">
        <f>SUMIF(PPvsREal!$C:$C,'PPvsREal Summary'!C21,PPvsREal!$Q:$Q)</f>
        <v>0</v>
      </c>
      <c r="R21" s="53">
        <f>SUMIF(PPvsREal!$C:$C,'PPvsREal Summary'!C21,PPvsREal!$R:$R)</f>
        <v>11200</v>
      </c>
      <c r="S21" s="53">
        <f>SUMIF(PPvsREal!$C:$C,'PPvsREal Summary'!C21,PPvsREal!$S:$S)</f>
        <v>0</v>
      </c>
      <c r="T21" s="53">
        <f>SUMIF(PPvsREal!$C:$C,'PPvsREal Summary'!C21,PPvsREal!$T:$T)</f>
        <v>11200</v>
      </c>
      <c r="U21" s="53">
        <f>SUMIF(PPvsREal!$C:$C,'PPvsREal Summary'!C21,PPvsREal!$U:$U)</f>
        <v>0</v>
      </c>
      <c r="V21" s="53">
        <f>SUMIF(PPvsREal!$C:$C,'PPvsREal Summary'!C21,PPvsREal!$V:$V)</f>
        <v>11200</v>
      </c>
      <c r="W21" s="53">
        <f>SUMIF(PPvsREal!$C:$C,'PPvsREal Summary'!C21,PPvsREal!$W:$W)</f>
        <v>0</v>
      </c>
      <c r="X21" s="53">
        <f>SUMIF(PPvsREal!$C:$C,'PPvsREal Summary'!C21,PPvsREal!$X:$X)</f>
        <v>11200</v>
      </c>
      <c r="Y21" s="53">
        <f>SUMIF(PPvsREal!$C:$C,'PPvsREal Summary'!C21,PPvsREal!$Y:$Y)</f>
        <v>0</v>
      </c>
      <c r="Z21" s="53">
        <f>SUMIF(PPvsREal!$C:$C,'PPvsREal Summary'!C21,PPvsREal!$Z:$Z)</f>
        <v>11200</v>
      </c>
      <c r="AA21" s="76">
        <f>SUMIF(PPvsREal!$C:$C,'PPvsREal Summary'!C21,PPvsREal!$AA:$AA)</f>
        <v>0</v>
      </c>
      <c r="AB21" s="53"/>
      <c r="AC21" s="64">
        <f t="shared" si="10"/>
        <v>78400</v>
      </c>
      <c r="AD21" s="64">
        <f t="shared" si="11"/>
        <v>0</v>
      </c>
    </row>
    <row r="22" spans="2:30" ht="12.75" customHeight="1" x14ac:dyDescent="0.25">
      <c r="B22" s="80" t="s">
        <v>349</v>
      </c>
      <c r="C22" s="37" t="s">
        <v>356</v>
      </c>
      <c r="D22" s="45">
        <f>SUMIF(PPvsREal!$C:$C,'PPvsREal Summary'!C22,PPvsREal!$D:$D)</f>
        <v>0</v>
      </c>
      <c r="E22" s="53">
        <f>SUMIF(PPvsREal!$C:$C,'PPvsREal Summary'!C22,PPvsREal!$E:$E)</f>
        <v>0</v>
      </c>
      <c r="F22" s="53">
        <f>SUMIF(PPvsREal!$C:$C,'PPvsREal Summary'!C22,PPvsREal!$F:$F)</f>
        <v>0</v>
      </c>
      <c r="G22" s="53">
        <f>SUMIF(PPvsREal!$C:$C,'PPvsREal Summary'!C22,PPvsREal!$G:$G)</f>
        <v>0</v>
      </c>
      <c r="H22" s="53">
        <f>SUMIF(PPvsREal!$C:$C,'PPvsREal Summary'!C22,PPvsREal!$H:$H)</f>
        <v>0</v>
      </c>
      <c r="I22" s="53">
        <f>SUMIF(PPvsREal!$C:$C,'PPvsREal Summary'!C22,PPvsREal!$I:$I)</f>
        <v>0</v>
      </c>
      <c r="J22" s="53">
        <f>SUMIF(PPvsREal!$C:$C,'PPvsREal Summary'!C22,PPvsREal!$J:$J)</f>
        <v>0</v>
      </c>
      <c r="K22" s="53">
        <f>SUMIF(PPvsREal!$C:$C,'PPvsREal Summary'!C22,PPvsREal!$K:$K)</f>
        <v>0</v>
      </c>
      <c r="L22" s="53">
        <f>SUMIF(PPvsREal!$C:$C,'PPvsREal Summary'!C22,PPvsREal!$L:$L)</f>
        <v>0</v>
      </c>
      <c r="M22" s="53">
        <f>SUMIF(PPvsREal!$C:$C,'PPvsREal Summary'!C22,PPvsREal!$M:$M)</f>
        <v>0</v>
      </c>
      <c r="N22" s="53">
        <f>SUMIF(PPvsREal!$C:$C,'PPvsREal Summary'!C22,PPvsREal!$N:$N)</f>
        <v>0</v>
      </c>
      <c r="O22" s="53">
        <f>SUMIF(PPvsREal!$C:$C,'PPvsREal Summary'!C22,PPvsREal!$O:$O)</f>
        <v>0</v>
      </c>
      <c r="P22" s="53">
        <f>SUMIF(PPvsREal!$C:$C,'PPvsREal Summary'!C22,PPvsREal!$P:$P)</f>
        <v>0</v>
      </c>
      <c r="Q22" s="53">
        <f>SUMIF(PPvsREal!$C:$C,'PPvsREal Summary'!C22,PPvsREal!$Q:$Q)</f>
        <v>0</v>
      </c>
      <c r="R22" s="53">
        <f>SUMIF(PPvsREal!$C:$C,'PPvsREal Summary'!C22,PPvsREal!$R:$R)</f>
        <v>0</v>
      </c>
      <c r="S22" s="53">
        <f>SUMIF(PPvsREal!$C:$C,'PPvsREal Summary'!C22,PPvsREal!$S:$S)</f>
        <v>0</v>
      </c>
      <c r="T22" s="53">
        <f>SUMIF(PPvsREal!$C:$C,'PPvsREal Summary'!C22,PPvsREal!$T:$T)</f>
        <v>0</v>
      </c>
      <c r="U22" s="53">
        <f>SUMIF(PPvsREal!$C:$C,'PPvsREal Summary'!C22,PPvsREal!$U:$U)</f>
        <v>0</v>
      </c>
      <c r="V22" s="53">
        <f>SUMIF(PPvsREal!$C:$C,'PPvsREal Summary'!C22,PPvsREal!$V:$V)</f>
        <v>0</v>
      </c>
      <c r="W22" s="53">
        <f>SUMIF(PPvsREal!$C:$C,'PPvsREal Summary'!C22,PPvsREal!$W:$W)</f>
        <v>0</v>
      </c>
      <c r="X22" s="53">
        <f>SUMIF(PPvsREal!$C:$C,'PPvsREal Summary'!C22,PPvsREal!$X:$X)</f>
        <v>0</v>
      </c>
      <c r="Y22" s="53">
        <f>SUMIF(PPvsREal!$C:$C,'PPvsREal Summary'!C22,PPvsREal!$Y:$Y)</f>
        <v>0</v>
      </c>
      <c r="Z22" s="53">
        <f>SUMIF(PPvsREal!$C:$C,'PPvsREal Summary'!C22,PPvsREal!$Z:$Z)</f>
        <v>0</v>
      </c>
      <c r="AA22" s="76">
        <f>SUMIF(PPvsREal!$C:$C,'PPvsREal Summary'!C22,PPvsREal!$AA:$AA)</f>
        <v>0</v>
      </c>
      <c r="AB22" s="53"/>
      <c r="AC22" s="64">
        <f t="shared" si="10"/>
        <v>0</v>
      </c>
      <c r="AD22" s="64">
        <f t="shared" si="11"/>
        <v>0</v>
      </c>
    </row>
    <row r="23" spans="2:30" ht="12.75" customHeight="1" x14ac:dyDescent="0.25">
      <c r="B23" s="80" t="s">
        <v>209</v>
      </c>
      <c r="C23" s="37" t="s">
        <v>197</v>
      </c>
      <c r="D23" s="45">
        <f>SUMIF(PPvsREal!$C:$C,'PPvsREal Summary'!C23,PPvsREal!$D:$D)</f>
        <v>9750</v>
      </c>
      <c r="E23" s="53">
        <f>SUMIF(PPvsREal!$C:$C,'PPvsREal Summary'!C23,PPvsREal!$E:$E)</f>
        <v>0</v>
      </c>
      <c r="F23" s="53">
        <f>SUMIF(PPvsREal!$C:$C,'PPvsREal Summary'!C23,PPvsREal!$F:$F)</f>
        <v>9750</v>
      </c>
      <c r="G23" s="53">
        <f>SUMIF(PPvsREal!$C:$C,'PPvsREal Summary'!C23,PPvsREal!$G:$G)</f>
        <v>0</v>
      </c>
      <c r="H23" s="53">
        <f>SUMIF(PPvsREal!$C:$C,'PPvsREal Summary'!C23,PPvsREal!$H:$H)</f>
        <v>9750</v>
      </c>
      <c r="I23" s="53">
        <f>SUMIF(PPvsREal!$C:$C,'PPvsREal Summary'!C23,PPvsREal!$I:$I)</f>
        <v>5850</v>
      </c>
      <c r="J23" s="53">
        <f>SUMIF(PPvsREal!$C:$C,'PPvsREal Summary'!C23,PPvsREal!$J:$J)</f>
        <v>9750</v>
      </c>
      <c r="K23" s="53">
        <f>SUMIF(PPvsREal!$C:$C,'PPvsREal Summary'!C23,PPvsREal!$K:$K)</f>
        <v>3600</v>
      </c>
      <c r="L23" s="53">
        <f>SUMIF(PPvsREal!$C:$C,'PPvsREal Summary'!C23,PPvsREal!$L:$L)</f>
        <v>9750</v>
      </c>
      <c r="M23" s="53">
        <f>SUMIF(PPvsREal!$C:$C,'PPvsREal Summary'!C23,PPvsREal!$M:$M)</f>
        <v>740</v>
      </c>
      <c r="N23" s="53">
        <f>SUMIF(PPvsREal!$C:$C,'PPvsREal Summary'!C23,PPvsREal!$N:$N)</f>
        <v>9750</v>
      </c>
      <c r="O23" s="53">
        <f>SUMIF(PPvsREal!$C:$C,'PPvsREal Summary'!C23,PPvsREal!$O:$O)</f>
        <v>5850</v>
      </c>
      <c r="P23" s="53">
        <f>SUMIF(PPvsREal!$C:$C,'PPvsREal Summary'!C23,PPvsREal!$P:$P)</f>
        <v>9750</v>
      </c>
      <c r="Q23" s="53">
        <f>SUMIF(PPvsREal!$C:$C,'PPvsREal Summary'!C23,PPvsREal!$Q:$Q)</f>
        <v>6750</v>
      </c>
      <c r="R23" s="53">
        <f>SUMIF(PPvsREal!$C:$C,'PPvsREal Summary'!C23,PPvsREal!$R:$R)</f>
        <v>9750</v>
      </c>
      <c r="S23" s="53">
        <f>SUMIF(PPvsREal!$C:$C,'PPvsREal Summary'!C23,PPvsREal!$S:$S)</f>
        <v>0</v>
      </c>
      <c r="T23" s="53">
        <f>SUMIF(PPvsREal!$C:$C,'PPvsREal Summary'!C23,PPvsREal!$T:$T)</f>
        <v>9750</v>
      </c>
      <c r="U23" s="53">
        <f>SUMIF(PPvsREal!$C:$C,'PPvsREal Summary'!C23,PPvsREal!$U:$U)</f>
        <v>0</v>
      </c>
      <c r="V23" s="53">
        <f>SUMIF(PPvsREal!$C:$C,'PPvsREal Summary'!C23,PPvsREal!$V:$V)</f>
        <v>9750</v>
      </c>
      <c r="W23" s="53">
        <f>SUMIF(PPvsREal!$C:$C,'PPvsREal Summary'!C23,PPvsREal!$W:$W)</f>
        <v>0</v>
      </c>
      <c r="X23" s="53">
        <f>SUMIF(PPvsREal!$C:$C,'PPvsREal Summary'!C23,PPvsREal!$X:$X)</f>
        <v>9750</v>
      </c>
      <c r="Y23" s="53">
        <f>SUMIF(PPvsREal!$C:$C,'PPvsREal Summary'!C23,PPvsREal!$Y:$Y)</f>
        <v>0</v>
      </c>
      <c r="Z23" s="53">
        <f>SUMIF(PPvsREal!$C:$C,'PPvsREal Summary'!C23,PPvsREal!$Z:$Z)</f>
        <v>9750</v>
      </c>
      <c r="AA23" s="76">
        <f>SUMIF(PPvsREal!$C:$C,'PPvsREal Summary'!C23,PPvsREal!$AA:$AA)</f>
        <v>0</v>
      </c>
      <c r="AB23" s="53"/>
      <c r="AC23" s="64">
        <f t="shared" si="10"/>
        <v>68250</v>
      </c>
      <c r="AD23" s="64">
        <f t="shared" si="11"/>
        <v>22790</v>
      </c>
    </row>
    <row r="24" spans="2:30" ht="12.75" customHeight="1" x14ac:dyDescent="0.25">
      <c r="B24" s="80" t="s">
        <v>349</v>
      </c>
      <c r="C24" s="37" t="s">
        <v>357</v>
      </c>
      <c r="D24" s="45">
        <f>SUMIF(PPvsREal!$C:$C,'PPvsREal Summary'!C24,PPvsREal!$D:$D)</f>
        <v>0</v>
      </c>
      <c r="E24" s="53">
        <f>SUMIF(PPvsREal!$C:$C,'PPvsREal Summary'!C24,PPvsREal!$E:$E)</f>
        <v>0</v>
      </c>
      <c r="F24" s="53">
        <f>SUMIF(PPvsREal!$C:$C,'PPvsREal Summary'!C24,PPvsREal!$F:$F)</f>
        <v>0</v>
      </c>
      <c r="G24" s="53">
        <f>SUMIF(PPvsREal!$C:$C,'PPvsREal Summary'!C24,PPvsREal!$G:$G)</f>
        <v>0</v>
      </c>
      <c r="H24" s="53">
        <f>SUMIF(PPvsREal!$C:$C,'PPvsREal Summary'!C24,PPvsREal!$H:$H)</f>
        <v>0</v>
      </c>
      <c r="I24" s="53">
        <f>SUMIF(PPvsREal!$C:$C,'PPvsREal Summary'!C24,PPvsREal!$I:$I)</f>
        <v>0</v>
      </c>
      <c r="J24" s="53">
        <f>SUMIF(PPvsREal!$C:$C,'PPvsREal Summary'!C24,PPvsREal!$J:$J)</f>
        <v>0</v>
      </c>
      <c r="K24" s="53">
        <f>SUMIF(PPvsREal!$C:$C,'PPvsREal Summary'!C24,PPvsREal!$K:$K)</f>
        <v>0</v>
      </c>
      <c r="L24" s="53">
        <f>SUMIF(PPvsREal!$C:$C,'PPvsREal Summary'!C24,PPvsREal!$L:$L)</f>
        <v>0</v>
      </c>
      <c r="M24" s="53">
        <f>SUMIF(PPvsREal!$C:$C,'PPvsREal Summary'!C24,PPvsREal!$M:$M)</f>
        <v>0</v>
      </c>
      <c r="N24" s="53">
        <f>SUMIF(PPvsREal!$C:$C,'PPvsREal Summary'!C24,PPvsREal!$N:$N)</f>
        <v>0</v>
      </c>
      <c r="O24" s="53">
        <f>SUMIF(PPvsREal!$C:$C,'PPvsREal Summary'!C24,PPvsREal!$O:$O)</f>
        <v>0</v>
      </c>
      <c r="P24" s="53">
        <f>SUMIF(PPvsREal!$C:$C,'PPvsREal Summary'!C24,PPvsREal!$P:$P)</f>
        <v>0</v>
      </c>
      <c r="Q24" s="53">
        <f>SUMIF(PPvsREal!$C:$C,'PPvsREal Summary'!C24,PPvsREal!$Q:$Q)</f>
        <v>0</v>
      </c>
      <c r="R24" s="53">
        <f>SUMIF(PPvsREal!$C:$C,'PPvsREal Summary'!C24,PPvsREal!$R:$R)</f>
        <v>0</v>
      </c>
      <c r="S24" s="53">
        <f>SUMIF(PPvsREal!$C:$C,'PPvsREal Summary'!C24,PPvsREal!$S:$S)</f>
        <v>0</v>
      </c>
      <c r="T24" s="53">
        <f>SUMIF(PPvsREal!$C:$C,'PPvsREal Summary'!C24,PPvsREal!$T:$T)</f>
        <v>0</v>
      </c>
      <c r="U24" s="53">
        <f>SUMIF(PPvsREal!$C:$C,'PPvsREal Summary'!C24,PPvsREal!$U:$U)</f>
        <v>0</v>
      </c>
      <c r="V24" s="53">
        <f>SUMIF(PPvsREal!$C:$C,'PPvsREal Summary'!C24,PPvsREal!$V:$V)</f>
        <v>0</v>
      </c>
      <c r="W24" s="53">
        <f>SUMIF(PPvsREal!$C:$C,'PPvsREal Summary'!C24,PPvsREal!$W:$W)</f>
        <v>0</v>
      </c>
      <c r="X24" s="53">
        <f>SUMIF(PPvsREal!$C:$C,'PPvsREal Summary'!C24,PPvsREal!$X:$X)</f>
        <v>0</v>
      </c>
      <c r="Y24" s="53">
        <f>SUMIF(PPvsREal!$C:$C,'PPvsREal Summary'!C24,PPvsREal!$Y:$Y)</f>
        <v>0</v>
      </c>
      <c r="Z24" s="53">
        <f>SUMIF(PPvsREal!$C:$C,'PPvsREal Summary'!C24,PPvsREal!$Z:$Z)</f>
        <v>0</v>
      </c>
      <c r="AA24" s="76">
        <f>SUMIF(PPvsREal!$C:$C,'PPvsREal Summary'!C24,PPvsREal!$AA:$AA)</f>
        <v>0</v>
      </c>
      <c r="AB24" s="53"/>
      <c r="AC24" s="64">
        <f t="shared" si="10"/>
        <v>0</v>
      </c>
      <c r="AD24" s="64">
        <f t="shared" si="11"/>
        <v>0</v>
      </c>
    </row>
    <row r="25" spans="2:30" ht="12.75" customHeight="1" x14ac:dyDescent="0.25">
      <c r="B25" s="80" t="s">
        <v>349</v>
      </c>
      <c r="C25" s="37" t="s">
        <v>114</v>
      </c>
      <c r="D25" s="45">
        <f>SUMIF(PPvsREal!$C:$C,'PPvsREal Summary'!C25,PPvsREal!$D:$D)</f>
        <v>0</v>
      </c>
      <c r="E25" s="53">
        <f>SUMIF(PPvsREal!$C:$C,'PPvsREal Summary'!C25,PPvsREal!$E:$E)</f>
        <v>0</v>
      </c>
      <c r="F25" s="53">
        <f>SUMIF(PPvsREal!$C:$C,'PPvsREal Summary'!C25,PPvsREal!$F:$F)</f>
        <v>0</v>
      </c>
      <c r="G25" s="53">
        <f>SUMIF(PPvsREal!$C:$C,'PPvsREal Summary'!C25,PPvsREal!$G:$G)</f>
        <v>0</v>
      </c>
      <c r="H25" s="53">
        <f>SUMIF(PPvsREal!$C:$C,'PPvsREal Summary'!C25,PPvsREal!$H:$H)</f>
        <v>0</v>
      </c>
      <c r="I25" s="53">
        <f>SUMIF(PPvsREal!$C:$C,'PPvsREal Summary'!C25,PPvsREal!$I:$I)</f>
        <v>0</v>
      </c>
      <c r="J25" s="53">
        <f>SUMIF(PPvsREal!$C:$C,'PPvsREal Summary'!C25,PPvsREal!$J:$J)</f>
        <v>0</v>
      </c>
      <c r="K25" s="53">
        <f>SUMIF(PPvsREal!$C:$C,'PPvsREal Summary'!C25,PPvsREal!$K:$K)</f>
        <v>0</v>
      </c>
      <c r="L25" s="53">
        <f>SUMIF(PPvsREal!$C:$C,'PPvsREal Summary'!C25,PPvsREal!$L:$L)</f>
        <v>0</v>
      </c>
      <c r="M25" s="53">
        <f>SUMIF(PPvsREal!$C:$C,'PPvsREal Summary'!C25,PPvsREal!$M:$M)</f>
        <v>0</v>
      </c>
      <c r="N25" s="53">
        <f>SUMIF(PPvsREal!$C:$C,'PPvsREal Summary'!C25,PPvsREal!$N:$N)</f>
        <v>0</v>
      </c>
      <c r="O25" s="53">
        <f>SUMIF(PPvsREal!$C:$C,'PPvsREal Summary'!C25,PPvsREal!$O:$O)</f>
        <v>0</v>
      </c>
      <c r="P25" s="53">
        <f>SUMIF(PPvsREal!$C:$C,'PPvsREal Summary'!C25,PPvsREal!$P:$P)</f>
        <v>0</v>
      </c>
      <c r="Q25" s="53">
        <f>SUMIF(PPvsREal!$C:$C,'PPvsREal Summary'!C25,PPvsREal!$Q:$Q)</f>
        <v>0</v>
      </c>
      <c r="R25" s="53">
        <f>SUMIF(PPvsREal!$C:$C,'PPvsREal Summary'!C25,PPvsREal!$R:$R)</f>
        <v>0</v>
      </c>
      <c r="S25" s="53">
        <f>SUMIF(PPvsREal!$C:$C,'PPvsREal Summary'!C25,PPvsREal!$S:$S)</f>
        <v>0</v>
      </c>
      <c r="T25" s="53">
        <f>SUMIF(PPvsREal!$C:$C,'PPvsREal Summary'!C25,PPvsREal!$T:$T)</f>
        <v>0</v>
      </c>
      <c r="U25" s="53">
        <f>SUMIF(PPvsREal!$C:$C,'PPvsREal Summary'!C25,PPvsREal!$U:$U)</f>
        <v>0</v>
      </c>
      <c r="V25" s="53">
        <f>SUMIF(PPvsREal!$C:$C,'PPvsREal Summary'!C25,PPvsREal!$V:$V)</f>
        <v>0</v>
      </c>
      <c r="W25" s="53">
        <f>SUMIF(PPvsREal!$C:$C,'PPvsREal Summary'!C25,PPvsREal!$W:$W)</f>
        <v>0</v>
      </c>
      <c r="X25" s="53">
        <f>SUMIF(PPvsREal!$C:$C,'PPvsREal Summary'!C25,PPvsREal!$X:$X)</f>
        <v>0</v>
      </c>
      <c r="Y25" s="53">
        <f>SUMIF(PPvsREal!$C:$C,'PPvsREal Summary'!C25,PPvsREal!$Y:$Y)</f>
        <v>0</v>
      </c>
      <c r="Z25" s="53">
        <f>SUMIF(PPvsREal!$C:$C,'PPvsREal Summary'!C25,PPvsREal!$Z:$Z)</f>
        <v>0</v>
      </c>
      <c r="AA25" s="76">
        <f>SUMIF(PPvsREal!$C:$C,'PPvsREal Summary'!C25,PPvsREal!$AA:$AA)</f>
        <v>0</v>
      </c>
      <c r="AB25" s="53"/>
      <c r="AC25" s="64">
        <f t="shared" si="10"/>
        <v>0</v>
      </c>
      <c r="AD25" s="64">
        <f t="shared" si="11"/>
        <v>0</v>
      </c>
    </row>
    <row r="26" spans="2:30" ht="12.75" customHeight="1" x14ac:dyDescent="0.25">
      <c r="B26" s="80" t="s">
        <v>349</v>
      </c>
      <c r="C26" s="37" t="s">
        <v>102</v>
      </c>
      <c r="D26" s="45">
        <f>SUMIF(PPvsREal!$C:$C,'PPvsREal Summary'!C26,PPvsREal!$D:$D)</f>
        <v>0</v>
      </c>
      <c r="E26" s="53">
        <f>SUMIF(PPvsREal!$C:$C,'PPvsREal Summary'!C26,PPvsREal!$E:$E)</f>
        <v>0</v>
      </c>
      <c r="F26" s="53">
        <f>SUMIF(PPvsREal!$C:$C,'PPvsREal Summary'!C26,PPvsREal!$F:$F)</f>
        <v>8400</v>
      </c>
      <c r="G26" s="53">
        <f>SUMIF(PPvsREal!$C:$C,'PPvsREal Summary'!C26,PPvsREal!$G:$G)</f>
        <v>0</v>
      </c>
      <c r="H26" s="53">
        <f>SUMIF(PPvsREal!$C:$C,'PPvsREal Summary'!C26,PPvsREal!$H:$H)</f>
        <v>0</v>
      </c>
      <c r="I26" s="53">
        <f>SUMIF(PPvsREal!$C:$C,'PPvsREal Summary'!C26,PPvsREal!$I:$I)</f>
        <v>0</v>
      </c>
      <c r="J26" s="53">
        <f>SUMIF(PPvsREal!$C:$C,'PPvsREal Summary'!C26,PPvsREal!$J:$J)</f>
        <v>8400</v>
      </c>
      <c r="K26" s="53">
        <f>SUMIF(PPvsREal!$C:$C,'PPvsREal Summary'!C26,PPvsREal!$K:$K)</f>
        <v>0</v>
      </c>
      <c r="L26" s="53">
        <f>SUMIF(PPvsREal!$C:$C,'PPvsREal Summary'!C26,PPvsREal!$L:$L)</f>
        <v>0</v>
      </c>
      <c r="M26" s="53">
        <f>SUMIF(PPvsREal!$C:$C,'PPvsREal Summary'!C26,PPvsREal!$M:$M)</f>
        <v>0</v>
      </c>
      <c r="N26" s="53">
        <f>SUMIF(PPvsREal!$C:$C,'PPvsREal Summary'!C26,PPvsREal!$N:$N)</f>
        <v>8400</v>
      </c>
      <c r="O26" s="53">
        <f>SUMIF(PPvsREal!$C:$C,'PPvsREal Summary'!C26,PPvsREal!$O:$O)</f>
        <v>1120.7</v>
      </c>
      <c r="P26" s="53">
        <f>SUMIF(PPvsREal!$C:$C,'PPvsREal Summary'!C26,PPvsREal!$P:$P)</f>
        <v>0</v>
      </c>
      <c r="Q26" s="53">
        <f>SUMIF(PPvsREal!$C:$C,'PPvsREal Summary'!C26,PPvsREal!$Q:$Q)</f>
        <v>9525.9500000000007</v>
      </c>
      <c r="R26" s="53">
        <f>SUMIF(PPvsREal!$C:$C,'PPvsREal Summary'!C26,PPvsREal!$R:$R)</f>
        <v>8400</v>
      </c>
      <c r="S26" s="53">
        <f>SUMIF(PPvsREal!$C:$C,'PPvsREal Summary'!C26,PPvsREal!$S:$S)</f>
        <v>0</v>
      </c>
      <c r="T26" s="53">
        <f>SUMIF(PPvsREal!$C:$C,'PPvsREal Summary'!C26,PPvsREal!$T:$T)</f>
        <v>0</v>
      </c>
      <c r="U26" s="53">
        <f>SUMIF(PPvsREal!$C:$C,'PPvsREal Summary'!C26,PPvsREal!$U:$U)</f>
        <v>0</v>
      </c>
      <c r="V26" s="53">
        <f>SUMIF(PPvsREal!$C:$C,'PPvsREal Summary'!C26,PPvsREal!$V:$V)</f>
        <v>8400</v>
      </c>
      <c r="W26" s="53">
        <f>SUMIF(PPvsREal!$C:$C,'PPvsREal Summary'!C26,PPvsREal!$W:$W)</f>
        <v>0</v>
      </c>
      <c r="X26" s="53">
        <f>SUMIF(PPvsREal!$C:$C,'PPvsREal Summary'!C26,PPvsREal!$X:$X)</f>
        <v>0</v>
      </c>
      <c r="Y26" s="53">
        <f>SUMIF(PPvsREal!$C:$C,'PPvsREal Summary'!C26,PPvsREal!$Y:$Y)</f>
        <v>0</v>
      </c>
      <c r="Z26" s="53">
        <f>SUMIF(PPvsREal!$C:$C,'PPvsREal Summary'!C26,PPvsREal!$Z:$Z)</f>
        <v>8400</v>
      </c>
      <c r="AA26" s="76">
        <f>SUMIF(PPvsREal!$C:$C,'PPvsREal Summary'!C26,PPvsREal!$AA:$AA)</f>
        <v>0</v>
      </c>
      <c r="AB26" s="53"/>
      <c r="AC26" s="64">
        <f t="shared" si="10"/>
        <v>25200</v>
      </c>
      <c r="AD26" s="64">
        <f t="shared" si="11"/>
        <v>10646.650000000001</v>
      </c>
    </row>
    <row r="27" spans="2:30" ht="12.75" customHeight="1" x14ac:dyDescent="0.25">
      <c r="B27" s="80" t="s">
        <v>349</v>
      </c>
      <c r="C27" s="37" t="s">
        <v>121</v>
      </c>
      <c r="D27" s="45">
        <f>SUMIF(PPvsREal!$C:$C,'PPvsREal Summary'!C27,PPvsREal!$D:$D)</f>
        <v>0</v>
      </c>
      <c r="E27" s="53">
        <f>SUMIF(PPvsREal!$C:$C,'PPvsREal Summary'!C27,PPvsREal!$E:$E)</f>
        <v>0</v>
      </c>
      <c r="F27" s="53">
        <f>SUMIF(PPvsREal!$C:$C,'PPvsREal Summary'!C27,PPvsREal!$F:$F)</f>
        <v>0</v>
      </c>
      <c r="G27" s="53">
        <f>SUMIF(PPvsREal!$C:$C,'PPvsREal Summary'!C27,PPvsREal!$G:$G)</f>
        <v>0</v>
      </c>
      <c r="H27" s="53">
        <f>SUMIF(PPvsREal!$C:$C,'PPvsREal Summary'!C27,PPvsREal!$H:$H)</f>
        <v>0</v>
      </c>
      <c r="I27" s="53">
        <f>SUMIF(PPvsREal!$C:$C,'PPvsREal Summary'!C27,PPvsREal!$I:$I)</f>
        <v>0</v>
      </c>
      <c r="J27" s="53">
        <f>SUMIF(PPvsREal!$C:$C,'PPvsREal Summary'!C27,PPvsREal!$J:$J)</f>
        <v>0</v>
      </c>
      <c r="K27" s="53">
        <f>SUMIF(PPvsREal!$C:$C,'PPvsREal Summary'!C27,PPvsREal!$K:$K)</f>
        <v>0</v>
      </c>
      <c r="L27" s="53">
        <f>SUMIF(PPvsREal!$C:$C,'PPvsREal Summary'!C27,PPvsREal!$L:$L)</f>
        <v>0</v>
      </c>
      <c r="M27" s="53">
        <f>SUMIF(PPvsREal!$C:$C,'PPvsREal Summary'!C27,PPvsREal!$M:$M)</f>
        <v>65000</v>
      </c>
      <c r="N27" s="53">
        <f>SUMIF(PPvsREal!$C:$C,'PPvsREal Summary'!C27,PPvsREal!$N:$N)</f>
        <v>162500</v>
      </c>
      <c r="O27" s="53">
        <f>SUMIF(PPvsREal!$C:$C,'PPvsREal Summary'!C27,PPvsREal!$O:$O)</f>
        <v>195833.33</v>
      </c>
      <c r="P27" s="53">
        <f>SUMIF(PPvsREal!$C:$C,'PPvsREal Summary'!C27,PPvsREal!$P:$P)</f>
        <v>162500</v>
      </c>
      <c r="Q27" s="53">
        <f>SUMIF(PPvsREal!$C:$C,'PPvsREal Summary'!C27,PPvsREal!$Q:$Q)</f>
        <v>152499.99</v>
      </c>
      <c r="R27" s="53">
        <f>SUMIF(PPvsREal!$C:$C,'PPvsREal Summary'!C27,PPvsREal!$R:$R)</f>
        <v>162500</v>
      </c>
      <c r="S27" s="53">
        <f>SUMIF(PPvsREal!$C:$C,'PPvsREal Summary'!C27,PPvsREal!$S:$S)</f>
        <v>0</v>
      </c>
      <c r="T27" s="53">
        <f>SUMIF(PPvsREal!$C:$C,'PPvsREal Summary'!C27,PPvsREal!$T:$T)</f>
        <v>162500</v>
      </c>
      <c r="U27" s="53">
        <f>SUMIF(PPvsREal!$C:$C,'PPvsREal Summary'!C27,PPvsREal!$U:$U)</f>
        <v>0</v>
      </c>
      <c r="V27" s="53">
        <f>SUMIF(PPvsREal!$C:$C,'PPvsREal Summary'!C27,PPvsREal!$V:$V)</f>
        <v>0</v>
      </c>
      <c r="W27" s="53">
        <f>SUMIF(PPvsREal!$C:$C,'PPvsREal Summary'!C27,PPvsREal!$W:$W)</f>
        <v>0</v>
      </c>
      <c r="X27" s="53">
        <f>SUMIF(PPvsREal!$C:$C,'PPvsREal Summary'!C27,PPvsREal!$X:$X)</f>
        <v>0</v>
      </c>
      <c r="Y27" s="53">
        <f>SUMIF(PPvsREal!$C:$C,'PPvsREal Summary'!C27,PPvsREal!$Y:$Y)</f>
        <v>0</v>
      </c>
      <c r="Z27" s="53">
        <f>SUMIF(PPvsREal!$C:$C,'PPvsREal Summary'!C27,PPvsREal!$Z:$Z)</f>
        <v>0</v>
      </c>
      <c r="AA27" s="76">
        <f>SUMIF(PPvsREal!$C:$C,'PPvsREal Summary'!C27,PPvsREal!$AA:$AA)</f>
        <v>0</v>
      </c>
      <c r="AB27" s="53"/>
      <c r="AC27" s="64">
        <f t="shared" si="10"/>
        <v>325000</v>
      </c>
      <c r="AD27" s="64">
        <f t="shared" si="11"/>
        <v>413333.31999999995</v>
      </c>
    </row>
    <row r="28" spans="2:30" ht="12.75" customHeight="1" x14ac:dyDescent="0.25">
      <c r="B28" s="80" t="s">
        <v>349</v>
      </c>
      <c r="C28" s="37" t="s">
        <v>110</v>
      </c>
      <c r="D28" s="45">
        <f>SUMIF(PPvsREal!$C:$C,'PPvsREal Summary'!C28,PPvsREal!$D:$D)</f>
        <v>0</v>
      </c>
      <c r="E28" s="53">
        <f>SUMIF(PPvsREal!$C:$C,'PPvsREal Summary'!C28,PPvsREal!$E:$E)</f>
        <v>0</v>
      </c>
      <c r="F28" s="53">
        <f>SUMIF(PPvsREal!$C:$C,'PPvsREal Summary'!C28,PPvsREal!$F:$F)</f>
        <v>0</v>
      </c>
      <c r="G28" s="53">
        <f>SUMIF(PPvsREal!$C:$C,'PPvsREal Summary'!C28,PPvsREal!$G:$G)</f>
        <v>0</v>
      </c>
      <c r="H28" s="53">
        <f>SUMIF(PPvsREal!$C:$C,'PPvsREal Summary'!C28,PPvsREal!$H:$H)</f>
        <v>0</v>
      </c>
      <c r="I28" s="53">
        <f>SUMIF(PPvsREal!$C:$C,'PPvsREal Summary'!C28,PPvsREal!$I:$I)</f>
        <v>0</v>
      </c>
      <c r="J28" s="53">
        <f>SUMIF(PPvsREal!$C:$C,'PPvsREal Summary'!C28,PPvsREal!$J:$J)</f>
        <v>0</v>
      </c>
      <c r="K28" s="53">
        <f>SUMIF(PPvsREal!$C:$C,'PPvsREal Summary'!C28,PPvsREal!$K:$K)</f>
        <v>0</v>
      </c>
      <c r="L28" s="53">
        <f>SUMIF(PPvsREal!$C:$C,'PPvsREal Summary'!C28,PPvsREal!$L:$L)</f>
        <v>0</v>
      </c>
      <c r="M28" s="53">
        <f>SUMIF(PPvsREal!$C:$C,'PPvsREal Summary'!C28,PPvsREal!$M:$M)</f>
        <v>2094.33</v>
      </c>
      <c r="N28" s="53">
        <f>SUMIF(PPvsREal!$C:$C,'PPvsREal Summary'!C28,PPvsREal!$N:$N)</f>
        <v>0</v>
      </c>
      <c r="O28" s="53">
        <f>SUMIF(PPvsREal!$C:$C,'PPvsREal Summary'!C28,PPvsREal!$O:$O)</f>
        <v>0</v>
      </c>
      <c r="P28" s="53">
        <f>SUMIF(PPvsREal!$C:$C,'PPvsREal Summary'!C28,PPvsREal!$P:$P)</f>
        <v>0</v>
      </c>
      <c r="Q28" s="53">
        <f>SUMIF(PPvsREal!$C:$C,'PPvsREal Summary'!C28,PPvsREal!$Q:$Q)</f>
        <v>0</v>
      </c>
      <c r="R28" s="53">
        <f>SUMIF(PPvsREal!$C:$C,'PPvsREal Summary'!C28,PPvsREal!$R:$R)</f>
        <v>0</v>
      </c>
      <c r="S28" s="53">
        <f>SUMIF(PPvsREal!$C:$C,'PPvsREal Summary'!C28,PPvsREal!$S:$S)</f>
        <v>0</v>
      </c>
      <c r="T28" s="53">
        <f>SUMIF(PPvsREal!$C:$C,'PPvsREal Summary'!C28,PPvsREal!$T:$T)</f>
        <v>0</v>
      </c>
      <c r="U28" s="53">
        <f>SUMIF(PPvsREal!$C:$C,'PPvsREal Summary'!C28,PPvsREal!$U:$U)</f>
        <v>0</v>
      </c>
      <c r="V28" s="53">
        <f>SUMIF(PPvsREal!$C:$C,'PPvsREal Summary'!C28,PPvsREal!$V:$V)</f>
        <v>0</v>
      </c>
      <c r="W28" s="53">
        <f>SUMIF(PPvsREal!$C:$C,'PPvsREal Summary'!C28,PPvsREal!$W:$W)</f>
        <v>0</v>
      </c>
      <c r="X28" s="53">
        <f>SUMIF(PPvsREal!$C:$C,'PPvsREal Summary'!C28,PPvsREal!$X:$X)</f>
        <v>0</v>
      </c>
      <c r="Y28" s="53">
        <f>SUMIF(PPvsREal!$C:$C,'PPvsREal Summary'!C28,PPvsREal!$Y:$Y)</f>
        <v>0</v>
      </c>
      <c r="Z28" s="53">
        <f>SUMIF(PPvsREal!$C:$C,'PPvsREal Summary'!C28,PPvsREal!$Z:$Z)</f>
        <v>0</v>
      </c>
      <c r="AA28" s="76">
        <f>SUMIF(PPvsREal!$C:$C,'PPvsREal Summary'!C28,PPvsREal!$AA:$AA)</f>
        <v>0</v>
      </c>
      <c r="AB28" s="53"/>
      <c r="AC28" s="64">
        <f t="shared" si="10"/>
        <v>0</v>
      </c>
      <c r="AD28" s="64">
        <f t="shared" si="11"/>
        <v>2094.33</v>
      </c>
    </row>
    <row r="29" spans="2:30" ht="12.75" customHeight="1" x14ac:dyDescent="0.25">
      <c r="B29" s="80"/>
      <c r="C29" s="37" t="s">
        <v>358</v>
      </c>
      <c r="D29" s="45">
        <f>SUMIF(PPvsREal!$C:$C,'PPvsREal Summary'!C29,PPvsREal!$D:$D)</f>
        <v>0</v>
      </c>
      <c r="E29" s="53">
        <f>SUMIF(PPvsREal!$C:$C,'PPvsREal Summary'!C29,PPvsREal!$E:$E)</f>
        <v>0</v>
      </c>
      <c r="F29" s="53">
        <f>SUMIF(PPvsREal!$C:$C,'PPvsREal Summary'!C29,PPvsREal!$F:$F)</f>
        <v>0</v>
      </c>
      <c r="G29" s="53">
        <f>SUMIF(PPvsREal!$C:$C,'PPvsREal Summary'!C29,PPvsREal!$G:$G)</f>
        <v>0</v>
      </c>
      <c r="H29" s="53">
        <f>SUMIF(PPvsREal!$C:$C,'PPvsREal Summary'!C29,PPvsREal!$H:$H)</f>
        <v>0</v>
      </c>
      <c r="I29" s="53">
        <f>SUMIF(PPvsREal!$C:$C,'PPvsREal Summary'!C29,PPvsREal!$I:$I)</f>
        <v>0</v>
      </c>
      <c r="J29" s="53">
        <f>SUMIF(PPvsREal!$C:$C,'PPvsREal Summary'!C29,PPvsREal!$J:$J)</f>
        <v>0</v>
      </c>
      <c r="K29" s="53">
        <f>SUMIF(PPvsREal!$C:$C,'PPvsREal Summary'!C29,PPvsREal!$K:$K)</f>
        <v>0</v>
      </c>
      <c r="L29" s="53">
        <f>SUMIF(PPvsREal!$C:$C,'PPvsREal Summary'!C29,PPvsREal!$L:$L)</f>
        <v>0</v>
      </c>
      <c r="M29" s="53">
        <f>SUMIF(PPvsREal!$C:$C,'PPvsREal Summary'!C29,PPvsREal!$M:$M)</f>
        <v>0</v>
      </c>
      <c r="N29" s="53">
        <f>SUMIF(PPvsREal!$C:$C,'PPvsREal Summary'!C29,PPvsREal!$N:$N)</f>
        <v>0</v>
      </c>
      <c r="O29" s="53">
        <f>SUMIF(PPvsREal!$C:$C,'PPvsREal Summary'!C29,PPvsREal!$O:$O)</f>
        <v>0</v>
      </c>
      <c r="P29" s="53">
        <f>SUMIF(PPvsREal!$C:$C,'PPvsREal Summary'!C29,PPvsREal!$P:$P)</f>
        <v>0</v>
      </c>
      <c r="Q29" s="53">
        <f>SUMIF(PPvsREal!$C:$C,'PPvsREal Summary'!C29,PPvsREal!$Q:$Q)</f>
        <v>0</v>
      </c>
      <c r="R29" s="53">
        <f>SUMIF(PPvsREal!$C:$C,'PPvsREal Summary'!C29,PPvsREal!$R:$R)</f>
        <v>0</v>
      </c>
      <c r="S29" s="53">
        <f>SUMIF(PPvsREal!$C:$C,'PPvsREal Summary'!C29,PPvsREal!$S:$S)</f>
        <v>0</v>
      </c>
      <c r="T29" s="53">
        <f>SUMIF(PPvsREal!$C:$C,'PPvsREal Summary'!C29,PPvsREal!$T:$T)</f>
        <v>0</v>
      </c>
      <c r="U29" s="53">
        <f>SUMIF(PPvsREal!$C:$C,'PPvsREal Summary'!C29,PPvsREal!$U:$U)</f>
        <v>0</v>
      </c>
      <c r="V29" s="53">
        <f>SUMIF(PPvsREal!$C:$C,'PPvsREal Summary'!C29,PPvsREal!$V:$V)</f>
        <v>0</v>
      </c>
      <c r="W29" s="53">
        <f>SUMIF(PPvsREal!$C:$C,'PPvsREal Summary'!C29,PPvsREal!$W:$W)</f>
        <v>0</v>
      </c>
      <c r="X29" s="53">
        <f>SUMIF(PPvsREal!$C:$C,'PPvsREal Summary'!C29,PPvsREal!$X:$X)</f>
        <v>0</v>
      </c>
      <c r="Y29" s="53">
        <f>SUMIF(PPvsREal!$C:$C,'PPvsREal Summary'!C29,PPvsREal!$Y:$Y)</f>
        <v>0</v>
      </c>
      <c r="Z29" s="53">
        <f>SUMIF(PPvsREal!$C:$C,'PPvsREal Summary'!C29,PPvsREal!$Z:$Z)</f>
        <v>0</v>
      </c>
      <c r="AA29" s="76">
        <f>SUMIF(PPvsREal!$C:$C,'PPvsREal Summary'!C29,PPvsREal!$AA:$AA)</f>
        <v>0</v>
      </c>
      <c r="AB29" s="53"/>
      <c r="AC29" s="64">
        <f t="shared" si="10"/>
        <v>0</v>
      </c>
      <c r="AD29" s="64">
        <f t="shared" si="11"/>
        <v>0</v>
      </c>
    </row>
    <row r="30" spans="2:30" ht="12.75" customHeight="1" x14ac:dyDescent="0.25">
      <c r="B30" s="80"/>
      <c r="C30" s="37" t="s">
        <v>359</v>
      </c>
      <c r="D30" s="45">
        <f>SUMIF(PPvsREal!$C:$C,'PPvsREal Summary'!C30,PPvsREal!$D:$D)</f>
        <v>0</v>
      </c>
      <c r="E30" s="53">
        <f>SUMIF(PPvsREal!$C:$C,'PPvsREal Summary'!C30,PPvsREal!$E:$E)</f>
        <v>0</v>
      </c>
      <c r="F30" s="53">
        <f>SUMIF(PPvsREal!$C:$C,'PPvsREal Summary'!C30,PPvsREal!$F:$F)</f>
        <v>0</v>
      </c>
      <c r="G30" s="53">
        <f>SUMIF(PPvsREal!$C:$C,'PPvsREal Summary'!C30,PPvsREal!$G:$G)</f>
        <v>0</v>
      </c>
      <c r="H30" s="53">
        <f>SUMIF(PPvsREal!$C:$C,'PPvsREal Summary'!C30,PPvsREal!$H:$H)</f>
        <v>0</v>
      </c>
      <c r="I30" s="53">
        <f>SUMIF(PPvsREal!$C:$C,'PPvsREal Summary'!C30,PPvsREal!$I:$I)</f>
        <v>0</v>
      </c>
      <c r="J30" s="53">
        <f>SUMIF(PPvsREal!$C:$C,'PPvsREal Summary'!C30,PPvsREal!$J:$J)</f>
        <v>0</v>
      </c>
      <c r="K30" s="53">
        <f>SUMIF(PPvsREal!$C:$C,'PPvsREal Summary'!C30,PPvsREal!$K:$K)</f>
        <v>0</v>
      </c>
      <c r="L30" s="53">
        <f>SUMIF(PPvsREal!$C:$C,'PPvsREal Summary'!C30,PPvsREal!$L:$L)</f>
        <v>0</v>
      </c>
      <c r="M30" s="53">
        <f>SUMIF(PPvsREal!$C:$C,'PPvsREal Summary'!C30,PPvsREal!$M:$M)</f>
        <v>0</v>
      </c>
      <c r="N30" s="53">
        <f>SUMIF(PPvsREal!$C:$C,'PPvsREal Summary'!C30,PPvsREal!$N:$N)</f>
        <v>0</v>
      </c>
      <c r="O30" s="53">
        <f>SUMIF(PPvsREal!$C:$C,'PPvsREal Summary'!C30,PPvsREal!$O:$O)</f>
        <v>0</v>
      </c>
      <c r="P30" s="53">
        <f>SUMIF(PPvsREal!$C:$C,'PPvsREal Summary'!C30,PPvsREal!$P:$P)</f>
        <v>0</v>
      </c>
      <c r="Q30" s="53">
        <f>SUMIF(PPvsREal!$C:$C,'PPvsREal Summary'!C30,PPvsREal!$Q:$Q)</f>
        <v>0</v>
      </c>
      <c r="R30" s="53">
        <f>SUMIF(PPvsREal!$C:$C,'PPvsREal Summary'!C30,PPvsREal!$R:$R)</f>
        <v>0</v>
      </c>
      <c r="S30" s="53">
        <f>SUMIF(PPvsREal!$C:$C,'PPvsREal Summary'!C30,PPvsREal!$S:$S)</f>
        <v>0</v>
      </c>
      <c r="T30" s="53">
        <f>SUMIF(PPvsREal!$C:$C,'PPvsREal Summary'!C30,PPvsREal!$T:$T)</f>
        <v>0</v>
      </c>
      <c r="U30" s="53">
        <f>SUMIF(PPvsREal!$C:$C,'PPvsREal Summary'!C30,PPvsREal!$U:$U)</f>
        <v>0</v>
      </c>
      <c r="V30" s="53">
        <f>SUMIF(PPvsREal!$C:$C,'PPvsREal Summary'!C30,PPvsREal!$V:$V)</f>
        <v>0</v>
      </c>
      <c r="W30" s="53">
        <f>SUMIF(PPvsREal!$C:$C,'PPvsREal Summary'!C30,PPvsREal!$W:$W)</f>
        <v>0</v>
      </c>
      <c r="X30" s="53">
        <f>SUMIF(PPvsREal!$C:$C,'PPvsREal Summary'!C30,PPvsREal!$X:$X)</f>
        <v>0</v>
      </c>
      <c r="Y30" s="53">
        <f>SUMIF(PPvsREal!$C:$C,'PPvsREal Summary'!C30,PPvsREal!$Y:$Y)</f>
        <v>0</v>
      </c>
      <c r="Z30" s="53">
        <f>SUMIF(PPvsREal!$C:$C,'PPvsREal Summary'!C30,PPvsREal!$Z:$Z)</f>
        <v>0</v>
      </c>
      <c r="AA30" s="76">
        <f>SUMIF(PPvsREal!$C:$C,'PPvsREal Summary'!C30,PPvsREal!$AA:$AA)</f>
        <v>0</v>
      </c>
      <c r="AB30" s="53"/>
      <c r="AC30" s="64">
        <f t="shared" si="10"/>
        <v>0</v>
      </c>
      <c r="AD30" s="64">
        <f t="shared" si="11"/>
        <v>0</v>
      </c>
    </row>
    <row r="31" spans="2:30" ht="12.75" customHeight="1" x14ac:dyDescent="0.25">
      <c r="B31" s="80"/>
      <c r="C31" s="37" t="s">
        <v>119</v>
      </c>
      <c r="D31" s="45">
        <f>SUMIF(PPvsREal!$C:$C,'PPvsREal Summary'!C31,PPvsREal!$D:$D)</f>
        <v>0</v>
      </c>
      <c r="E31" s="53">
        <f>SUMIF(PPvsREal!$C:$C,'PPvsREal Summary'!C31,PPvsREal!$E:$E)</f>
        <v>0</v>
      </c>
      <c r="F31" s="53">
        <f>SUMIF(PPvsREal!$C:$C,'PPvsREal Summary'!C31,PPvsREal!$F:$F)</f>
        <v>0</v>
      </c>
      <c r="G31" s="53">
        <f>SUMIF(PPvsREal!$C:$C,'PPvsREal Summary'!C31,PPvsREal!$G:$G)</f>
        <v>0</v>
      </c>
      <c r="H31" s="53">
        <f>SUMIF(PPvsREal!$C:$C,'PPvsREal Summary'!C31,PPvsREal!$H:$H)</f>
        <v>0</v>
      </c>
      <c r="I31" s="53">
        <f>SUMIF(PPvsREal!$C:$C,'PPvsREal Summary'!C31,PPvsREal!$I:$I)</f>
        <v>0</v>
      </c>
      <c r="J31" s="53">
        <f>SUMIF(PPvsREal!$C:$C,'PPvsREal Summary'!C31,PPvsREal!$J:$J)</f>
        <v>0</v>
      </c>
      <c r="K31" s="53">
        <f>SUMIF(PPvsREal!$C:$C,'PPvsREal Summary'!C31,PPvsREal!$K:$K)</f>
        <v>0</v>
      </c>
      <c r="L31" s="53">
        <f>SUMIF(PPvsREal!$C:$C,'PPvsREal Summary'!C31,PPvsREal!$L:$L)</f>
        <v>0</v>
      </c>
      <c r="M31" s="53">
        <f>SUMIF(PPvsREal!$C:$C,'PPvsREal Summary'!C31,PPvsREal!$M:$M)</f>
        <v>0</v>
      </c>
      <c r="N31" s="53">
        <f>SUMIF(PPvsREal!$C:$C,'PPvsREal Summary'!C31,PPvsREal!$N:$N)</f>
        <v>0</v>
      </c>
      <c r="O31" s="53">
        <f>SUMIF(PPvsREal!$C:$C,'PPvsREal Summary'!C31,PPvsREal!$O:$O)</f>
        <v>0</v>
      </c>
      <c r="P31" s="53">
        <f>SUMIF(PPvsREal!$C:$C,'PPvsREal Summary'!C31,PPvsREal!$P:$P)</f>
        <v>0</v>
      </c>
      <c r="Q31" s="53">
        <f>SUMIF(PPvsREal!$C:$C,'PPvsREal Summary'!C31,PPvsREal!$Q:$Q)</f>
        <v>0</v>
      </c>
      <c r="R31" s="53">
        <f>SUMIF(PPvsREal!$C:$C,'PPvsREal Summary'!C31,PPvsREal!$R:$R)</f>
        <v>0</v>
      </c>
      <c r="S31" s="53">
        <f>SUMIF(PPvsREal!$C:$C,'PPvsREal Summary'!C31,PPvsREal!$S:$S)</f>
        <v>0</v>
      </c>
      <c r="T31" s="53">
        <f>SUMIF(PPvsREal!$C:$C,'PPvsREal Summary'!C31,PPvsREal!$T:$T)</f>
        <v>0</v>
      </c>
      <c r="U31" s="53">
        <f>SUMIF(PPvsREal!$C:$C,'PPvsREal Summary'!C31,PPvsREal!$U:$U)</f>
        <v>0</v>
      </c>
      <c r="V31" s="53">
        <f>SUMIF(PPvsREal!$C:$C,'PPvsREal Summary'!C31,PPvsREal!$V:$V)</f>
        <v>0</v>
      </c>
      <c r="W31" s="53">
        <f>SUMIF(PPvsREal!$C:$C,'PPvsREal Summary'!C31,PPvsREal!$W:$W)</f>
        <v>0</v>
      </c>
      <c r="X31" s="53">
        <f>SUMIF(PPvsREal!$C:$C,'PPvsREal Summary'!C31,PPvsREal!$X:$X)</f>
        <v>0</v>
      </c>
      <c r="Y31" s="53">
        <f>SUMIF(PPvsREal!$C:$C,'PPvsREal Summary'!C31,PPvsREal!$Y:$Y)</f>
        <v>0</v>
      </c>
      <c r="Z31" s="53">
        <f>SUMIF(PPvsREal!$C:$C,'PPvsREal Summary'!C31,PPvsREal!$Z:$Z)</f>
        <v>0</v>
      </c>
      <c r="AA31" s="76">
        <f>SUMIF(PPvsREal!$C:$C,'PPvsREal Summary'!C31,PPvsREal!$AA:$AA)</f>
        <v>0</v>
      </c>
      <c r="AB31" s="53"/>
      <c r="AC31" s="64">
        <f t="shared" si="10"/>
        <v>0</v>
      </c>
      <c r="AD31" s="64">
        <f t="shared" si="11"/>
        <v>0</v>
      </c>
    </row>
    <row r="32" spans="2:30" ht="12.75" customHeight="1" x14ac:dyDescent="0.25">
      <c r="B32" s="80"/>
      <c r="C32" s="37" t="s">
        <v>360</v>
      </c>
      <c r="D32" s="45">
        <f>SUMIF(PPvsREal!$C:$C,'PPvsREal Summary'!C32,PPvsREal!$D:$D)</f>
        <v>0</v>
      </c>
      <c r="E32" s="53">
        <f>SUMIF(PPvsREal!$C:$C,'PPvsREal Summary'!C32,PPvsREal!$E:$E)</f>
        <v>0</v>
      </c>
      <c r="F32" s="53">
        <f>SUMIF(PPvsREal!$C:$C,'PPvsREal Summary'!C32,PPvsREal!$F:$F)</f>
        <v>0</v>
      </c>
      <c r="G32" s="53">
        <f>SUMIF(PPvsREal!$C:$C,'PPvsREal Summary'!C32,PPvsREal!$G:$G)</f>
        <v>0</v>
      </c>
      <c r="H32" s="53">
        <f>SUMIF(PPvsREal!$C:$C,'PPvsREal Summary'!C32,PPvsREal!$H:$H)</f>
        <v>0</v>
      </c>
      <c r="I32" s="53">
        <f>SUMIF(PPvsREal!$C:$C,'PPvsREal Summary'!C32,PPvsREal!$I:$I)</f>
        <v>0</v>
      </c>
      <c r="J32" s="53">
        <f>SUMIF(PPvsREal!$C:$C,'PPvsREal Summary'!C32,PPvsREal!$J:$J)</f>
        <v>0</v>
      </c>
      <c r="K32" s="53">
        <f>SUMIF(PPvsREal!$C:$C,'PPvsREal Summary'!C32,PPvsREal!$K:$K)</f>
        <v>0</v>
      </c>
      <c r="L32" s="53">
        <f>SUMIF(PPvsREal!$C:$C,'PPvsREal Summary'!C32,PPvsREal!$L:$L)</f>
        <v>0</v>
      </c>
      <c r="M32" s="53">
        <f>SUMIF(PPvsREal!$C:$C,'PPvsREal Summary'!C32,PPvsREal!$M:$M)</f>
        <v>0</v>
      </c>
      <c r="N32" s="53">
        <f>SUMIF(PPvsREal!$C:$C,'PPvsREal Summary'!C32,PPvsREal!$N:$N)</f>
        <v>0</v>
      </c>
      <c r="O32" s="53">
        <f>SUMIF(PPvsREal!$C:$C,'PPvsREal Summary'!C32,PPvsREal!$O:$O)</f>
        <v>0</v>
      </c>
      <c r="P32" s="53">
        <f>SUMIF(PPvsREal!$C:$C,'PPvsREal Summary'!C32,PPvsREal!$P:$P)</f>
        <v>0</v>
      </c>
      <c r="Q32" s="53">
        <f>SUMIF(PPvsREal!$C:$C,'PPvsREal Summary'!C32,PPvsREal!$Q:$Q)</f>
        <v>0</v>
      </c>
      <c r="R32" s="53">
        <f>SUMIF(PPvsREal!$C:$C,'PPvsREal Summary'!C32,PPvsREal!$R:$R)</f>
        <v>0</v>
      </c>
      <c r="S32" s="53">
        <f>SUMIF(PPvsREal!$C:$C,'PPvsREal Summary'!C32,PPvsREal!$S:$S)</f>
        <v>0</v>
      </c>
      <c r="T32" s="53">
        <f>SUMIF(PPvsREal!$C:$C,'PPvsREal Summary'!C32,PPvsREal!$T:$T)</f>
        <v>0</v>
      </c>
      <c r="U32" s="53">
        <f>SUMIF(PPvsREal!$C:$C,'PPvsREal Summary'!C32,PPvsREal!$U:$U)</f>
        <v>0</v>
      </c>
      <c r="V32" s="53">
        <f>SUMIF(PPvsREal!$C:$C,'PPvsREal Summary'!C32,PPvsREal!$V:$V)</f>
        <v>0</v>
      </c>
      <c r="W32" s="53">
        <f>SUMIF(PPvsREal!$C:$C,'PPvsREal Summary'!C32,PPvsREal!$W:$W)</f>
        <v>0</v>
      </c>
      <c r="X32" s="53">
        <f>SUMIF(PPvsREal!$C:$C,'PPvsREal Summary'!C32,PPvsREal!$X:$X)</f>
        <v>0</v>
      </c>
      <c r="Y32" s="53">
        <f>SUMIF(PPvsREal!$C:$C,'PPvsREal Summary'!C32,PPvsREal!$Y:$Y)</f>
        <v>0</v>
      </c>
      <c r="Z32" s="53">
        <f>SUMIF(PPvsREal!$C:$C,'PPvsREal Summary'!C32,PPvsREal!$Z:$Z)</f>
        <v>0</v>
      </c>
      <c r="AA32" s="76">
        <f>SUMIF(PPvsREal!$C:$C,'PPvsREal Summary'!C32,PPvsREal!$AA:$AA)</f>
        <v>0</v>
      </c>
      <c r="AB32" s="53"/>
      <c r="AC32" s="64">
        <f t="shared" si="10"/>
        <v>0</v>
      </c>
      <c r="AD32" s="64">
        <f t="shared" si="11"/>
        <v>0</v>
      </c>
    </row>
    <row r="33" spans="2:30" ht="12.75" customHeight="1" x14ac:dyDescent="0.25">
      <c r="B33" s="77"/>
      <c r="C33" s="78">
        <v>4.04E+20</v>
      </c>
      <c r="D33" s="49">
        <f t="shared" ref="D33:AA33" si="12">SUM(D16:D32)</f>
        <v>84800</v>
      </c>
      <c r="E33" s="49">
        <f t="shared" si="12"/>
        <v>0</v>
      </c>
      <c r="F33" s="49">
        <f t="shared" si="12"/>
        <v>93200</v>
      </c>
      <c r="G33" s="49">
        <f t="shared" si="12"/>
        <v>0</v>
      </c>
      <c r="H33" s="49">
        <f t="shared" si="12"/>
        <v>84800</v>
      </c>
      <c r="I33" s="49">
        <f t="shared" si="12"/>
        <v>5850</v>
      </c>
      <c r="J33" s="49">
        <f t="shared" si="12"/>
        <v>93200</v>
      </c>
      <c r="K33" s="49">
        <f t="shared" si="12"/>
        <v>3600</v>
      </c>
      <c r="L33" s="49">
        <f t="shared" si="12"/>
        <v>84800</v>
      </c>
      <c r="M33" s="49">
        <f t="shared" si="12"/>
        <v>92169.01</v>
      </c>
      <c r="N33" s="49">
        <f t="shared" si="12"/>
        <v>255700</v>
      </c>
      <c r="O33" s="49">
        <f t="shared" si="12"/>
        <v>217373.13</v>
      </c>
      <c r="P33" s="49">
        <f t="shared" si="12"/>
        <v>247300</v>
      </c>
      <c r="Q33" s="49">
        <f t="shared" si="12"/>
        <v>174939.78999999998</v>
      </c>
      <c r="R33" s="49">
        <f t="shared" si="12"/>
        <v>255700</v>
      </c>
      <c r="S33" s="49">
        <f t="shared" si="12"/>
        <v>0</v>
      </c>
      <c r="T33" s="49">
        <f t="shared" si="12"/>
        <v>247300</v>
      </c>
      <c r="U33" s="49">
        <f t="shared" si="12"/>
        <v>0</v>
      </c>
      <c r="V33" s="49">
        <f t="shared" si="12"/>
        <v>93200</v>
      </c>
      <c r="W33" s="49">
        <f t="shared" si="12"/>
        <v>0</v>
      </c>
      <c r="X33" s="49">
        <f t="shared" si="12"/>
        <v>84800</v>
      </c>
      <c r="Y33" s="49">
        <f t="shared" si="12"/>
        <v>0</v>
      </c>
      <c r="Z33" s="49">
        <f t="shared" si="12"/>
        <v>93200</v>
      </c>
      <c r="AA33" s="79">
        <f t="shared" si="12"/>
        <v>0</v>
      </c>
      <c r="AB33" s="53"/>
      <c r="AC33" s="63">
        <f t="shared" si="10"/>
        <v>943800</v>
      </c>
      <c r="AD33" s="63">
        <f t="shared" si="11"/>
        <v>493931.93</v>
      </c>
    </row>
    <row r="34" spans="2:30" ht="15.75" customHeight="1" x14ac:dyDescent="0.25">
      <c r="B34" s="65"/>
      <c r="AA34" s="66"/>
      <c r="AC34" s="65"/>
      <c r="AD34" s="65"/>
    </row>
    <row r="35" spans="2:30" ht="12.75" customHeight="1" x14ac:dyDescent="0.25">
      <c r="B35" s="80" t="s">
        <v>351</v>
      </c>
      <c r="C35" s="37" t="s">
        <v>160</v>
      </c>
      <c r="D35" s="45">
        <f>SUMIF(PPvsREal!$C:$C,'PPvsREal Summary'!C35,PPvsREal!$D:$D)</f>
        <v>0</v>
      </c>
      <c r="E35" s="53">
        <f>SUMIF(PPvsREal!$C:$C,'PPvsREal Summary'!C35,PPvsREal!$E:$E)</f>
        <v>0</v>
      </c>
      <c r="F35" s="53">
        <f>SUMIF(PPvsREal!$C:$C,'PPvsREal Summary'!C35,PPvsREal!$F:$F)</f>
        <v>0</v>
      </c>
      <c r="G35" s="53">
        <f>SUMIF(PPvsREal!$C:$C,'PPvsREal Summary'!C35,PPvsREal!$G:$G)</f>
        <v>0</v>
      </c>
      <c r="H35" s="53">
        <f>SUMIF(PPvsREal!$C:$C,'PPvsREal Summary'!C35,PPvsREal!$H:$H)</f>
        <v>0</v>
      </c>
      <c r="I35" s="53">
        <f>SUMIF(PPvsREal!$C:$C,'PPvsREal Summary'!C35,PPvsREal!$I:$I)</f>
        <v>0</v>
      </c>
      <c r="J35" s="53">
        <f>SUMIF(PPvsREal!$C:$C,'PPvsREal Summary'!C35,PPvsREal!$J:$J)</f>
        <v>0</v>
      </c>
      <c r="K35" s="53">
        <f>SUMIF(PPvsREal!$C:$C,'PPvsREal Summary'!C35,PPvsREal!$K:$K)</f>
        <v>0</v>
      </c>
      <c r="L35" s="53">
        <f>SUMIF(PPvsREal!$C:$C,'PPvsREal Summary'!C35,PPvsREal!$L:$L)</f>
        <v>0</v>
      </c>
      <c r="M35" s="53">
        <f>SUMIF(PPvsREal!$C:$C,'PPvsREal Summary'!C35,PPvsREal!$M:$M)</f>
        <v>0</v>
      </c>
      <c r="N35" s="53">
        <f>SUMIF(PPvsREal!$C:$C,'PPvsREal Summary'!C35,PPvsREal!$N:$N)</f>
        <v>0</v>
      </c>
      <c r="O35" s="53">
        <f>SUMIF(PPvsREal!$C:$C,'PPvsREal Summary'!C35,PPvsREal!$O:$O)</f>
        <v>0</v>
      </c>
      <c r="P35" s="53">
        <f>SUMIF(PPvsREal!$C:$C,'PPvsREal Summary'!C35,PPvsREal!$P:$P)</f>
        <v>0</v>
      </c>
      <c r="Q35" s="53">
        <f>SUMIF(PPvsREal!$C:$C,'PPvsREal Summary'!C35,PPvsREal!$Q:$Q)</f>
        <v>0</v>
      </c>
      <c r="R35" s="53">
        <f>SUMIF(PPvsREal!$C:$C,'PPvsREal Summary'!C35,PPvsREal!$R:$R)</f>
        <v>0</v>
      </c>
      <c r="S35" s="53">
        <f>SUMIF(PPvsREal!$C:$C,'PPvsREal Summary'!C35,PPvsREal!$S:$S)</f>
        <v>0</v>
      </c>
      <c r="T35" s="53">
        <f>SUMIF(PPvsREal!$C:$C,'PPvsREal Summary'!C35,PPvsREal!$T:$T)</f>
        <v>0</v>
      </c>
      <c r="U35" s="53">
        <f>SUMIF(PPvsREal!$C:$C,'PPvsREal Summary'!C35,PPvsREal!$U:$U)</f>
        <v>0</v>
      </c>
      <c r="V35" s="53">
        <f>SUMIF(PPvsREal!$C:$C,'PPvsREal Summary'!C35,PPvsREal!$V:$V)</f>
        <v>1030000</v>
      </c>
      <c r="W35" s="53">
        <f>SUMIF(PPvsREal!$C:$C,'PPvsREal Summary'!C35,PPvsREal!$W:$W)</f>
        <v>0</v>
      </c>
      <c r="X35" s="53">
        <f>SUMIF(PPvsREal!$C:$C,'PPvsREal Summary'!C35,PPvsREal!$X:$X)</f>
        <v>0</v>
      </c>
      <c r="Y35" s="53">
        <f>SUMIF(PPvsREal!$C:$C,'PPvsREal Summary'!C35,PPvsREal!$Y:$Y)</f>
        <v>0</v>
      </c>
      <c r="Z35" s="53">
        <f>SUMIF(PPvsREal!$C:$C,'PPvsREal Summary'!C35,PPvsREal!$Z:$Z)</f>
        <v>0</v>
      </c>
      <c r="AA35" s="76">
        <f>SUMIF(PPvsREal!$C:$C,'PPvsREal Summary'!C35,PPvsREal!$AA:$AA)</f>
        <v>0</v>
      </c>
      <c r="AB35" s="53"/>
      <c r="AC35" s="64">
        <f t="shared" ref="AC35:AC48" si="13">D35+F35+H35+J35+L35+N35+P35</f>
        <v>0</v>
      </c>
      <c r="AD35" s="64">
        <f t="shared" ref="AD35:AD48" si="14">E35+G35+I35+K35+M35+O35+Q35</f>
        <v>0</v>
      </c>
    </row>
    <row r="36" spans="2:30" ht="12.75" customHeight="1" x14ac:dyDescent="0.25">
      <c r="B36" s="80" t="s">
        <v>351</v>
      </c>
      <c r="C36" s="37" t="s">
        <v>162</v>
      </c>
      <c r="D36" s="45">
        <f>SUMIF(PPvsREal!$C:$C,'PPvsREal Summary'!C36,PPvsREal!$D:$D)</f>
        <v>0</v>
      </c>
      <c r="E36" s="53">
        <f>SUMIF(PPvsREal!$C:$C,'PPvsREal Summary'!C36,PPvsREal!$E:$E)</f>
        <v>0</v>
      </c>
      <c r="F36" s="53">
        <f>SUMIF(PPvsREal!$C:$C,'PPvsREal Summary'!C36,PPvsREal!$F:$F)</f>
        <v>0</v>
      </c>
      <c r="G36" s="53">
        <f>SUMIF(PPvsREal!$C:$C,'PPvsREal Summary'!C36,PPvsREal!$G:$G)</f>
        <v>0</v>
      </c>
      <c r="H36" s="53">
        <f>SUMIF(PPvsREal!$C:$C,'PPvsREal Summary'!C36,PPvsREal!$H:$H)</f>
        <v>0</v>
      </c>
      <c r="I36" s="53">
        <f>SUMIF(PPvsREal!$C:$C,'PPvsREal Summary'!C36,PPvsREal!$I:$I)</f>
        <v>0</v>
      </c>
      <c r="J36" s="53">
        <f>SUMIF(PPvsREal!$C:$C,'PPvsREal Summary'!C36,PPvsREal!$J:$J)</f>
        <v>0</v>
      </c>
      <c r="K36" s="53">
        <f>SUMIF(PPvsREal!$C:$C,'PPvsREal Summary'!C36,PPvsREal!$K:$K)</f>
        <v>0</v>
      </c>
      <c r="L36" s="53">
        <f>SUMIF(PPvsREal!$C:$C,'PPvsREal Summary'!C36,PPvsREal!$L:$L)</f>
        <v>0</v>
      </c>
      <c r="M36" s="53">
        <f>SUMIF(PPvsREal!$C:$C,'PPvsREal Summary'!C36,PPvsREal!$M:$M)</f>
        <v>0</v>
      </c>
      <c r="N36" s="53">
        <f>SUMIF(PPvsREal!$C:$C,'PPvsREal Summary'!C36,PPvsREal!$N:$N)</f>
        <v>0</v>
      </c>
      <c r="O36" s="53">
        <f>SUMIF(PPvsREal!$C:$C,'PPvsREal Summary'!C36,PPvsREal!$O:$O)</f>
        <v>0</v>
      </c>
      <c r="P36" s="53">
        <f>SUMIF(PPvsREal!$C:$C,'PPvsREal Summary'!C36,PPvsREal!$P:$P)</f>
        <v>0</v>
      </c>
      <c r="Q36" s="53">
        <f>SUMIF(PPvsREal!$C:$C,'PPvsREal Summary'!C36,PPvsREal!$Q:$Q)</f>
        <v>0</v>
      </c>
      <c r="R36" s="53">
        <f>SUMIF(PPvsREal!$C:$C,'PPvsREal Summary'!C36,PPvsREal!$R:$R)</f>
        <v>0</v>
      </c>
      <c r="S36" s="53">
        <f>SUMIF(PPvsREal!$C:$C,'PPvsREal Summary'!C36,PPvsREal!$S:$S)</f>
        <v>0</v>
      </c>
      <c r="T36" s="53">
        <f>SUMIF(PPvsREal!$C:$C,'PPvsREal Summary'!C36,PPvsREal!$T:$T)</f>
        <v>0</v>
      </c>
      <c r="U36" s="53">
        <f>SUMIF(PPvsREal!$C:$C,'PPvsREal Summary'!C36,PPvsREal!$U:$U)</f>
        <v>0</v>
      </c>
      <c r="V36" s="53">
        <f>SUMIF(PPvsREal!$C:$C,'PPvsREal Summary'!C36,PPvsREal!$V:$V)</f>
        <v>0</v>
      </c>
      <c r="W36" s="53">
        <f>SUMIF(PPvsREal!$C:$C,'PPvsREal Summary'!C36,PPvsREal!$W:$W)</f>
        <v>0</v>
      </c>
      <c r="X36" s="53">
        <f>SUMIF(PPvsREal!$C:$C,'PPvsREal Summary'!C36,PPvsREal!$X:$X)</f>
        <v>1100000</v>
      </c>
      <c r="Y36" s="53">
        <f>SUMIF(PPvsREal!$C:$C,'PPvsREal Summary'!C36,PPvsREal!$Y:$Y)</f>
        <v>0</v>
      </c>
      <c r="Z36" s="53">
        <f>SUMIF(PPvsREal!$C:$C,'PPvsREal Summary'!C36,PPvsREal!$Z:$Z)</f>
        <v>0</v>
      </c>
      <c r="AA36" s="76">
        <f>SUMIF(PPvsREal!$C:$C,'PPvsREal Summary'!C36,PPvsREal!$AA:$AA)</f>
        <v>0</v>
      </c>
      <c r="AB36" s="53"/>
      <c r="AC36" s="64">
        <f t="shared" si="13"/>
        <v>0</v>
      </c>
      <c r="AD36" s="64">
        <f t="shared" si="14"/>
        <v>0</v>
      </c>
    </row>
    <row r="37" spans="2:30" ht="12.75" customHeight="1" x14ac:dyDescent="0.25">
      <c r="B37" s="80" t="s">
        <v>351</v>
      </c>
      <c r="C37" s="37" t="s">
        <v>156</v>
      </c>
      <c r="D37" s="45">
        <f>SUMIF(PPvsREal!$C:$C,'PPvsREal Summary'!C37,PPvsREal!$D:$D)</f>
        <v>0</v>
      </c>
      <c r="E37" s="53">
        <f>SUMIF(PPvsREal!$C:$C,'PPvsREal Summary'!C37,PPvsREal!$E:$E)</f>
        <v>42382.76</v>
      </c>
      <c r="F37" s="53">
        <f>SUMIF(PPvsREal!$C:$C,'PPvsREal Summary'!C37,PPvsREal!$F:$F)</f>
        <v>0</v>
      </c>
      <c r="G37" s="53">
        <f>SUMIF(PPvsREal!$C:$C,'PPvsREal Summary'!C37,PPvsREal!$G:$G)</f>
        <v>52850</v>
      </c>
      <c r="H37" s="53">
        <f>SUMIF(PPvsREal!$C:$C,'PPvsREal Summary'!C37,PPvsREal!$H:$H)</f>
        <v>0</v>
      </c>
      <c r="I37" s="53">
        <f>SUMIF(PPvsREal!$C:$C,'PPvsREal Summary'!C37,PPvsREal!$I:$I)</f>
        <v>850</v>
      </c>
      <c r="J37" s="53">
        <f>SUMIF(PPvsREal!$C:$C,'PPvsREal Summary'!C37,PPvsREal!$J:$J)</f>
        <v>0</v>
      </c>
      <c r="K37" s="53">
        <f>SUMIF(PPvsREal!$C:$C,'PPvsREal Summary'!C37,PPvsREal!$K:$K)</f>
        <v>0</v>
      </c>
      <c r="L37" s="53">
        <f>SUMIF(PPvsREal!$C:$C,'PPvsREal Summary'!C37,PPvsREal!$L:$L)</f>
        <v>0</v>
      </c>
      <c r="M37" s="53">
        <f>SUMIF(PPvsREal!$C:$C,'PPvsREal Summary'!C37,PPvsREal!$M:$M)</f>
        <v>0</v>
      </c>
      <c r="N37" s="53">
        <f>SUMIF(PPvsREal!$C:$C,'PPvsREal Summary'!C37,PPvsREal!$N:$N)</f>
        <v>0</v>
      </c>
      <c r="O37" s="53">
        <f>SUMIF(PPvsREal!$C:$C,'PPvsREal Summary'!C37,PPvsREal!$O:$O)</f>
        <v>0</v>
      </c>
      <c r="P37" s="53">
        <f>SUMIF(PPvsREal!$C:$C,'PPvsREal Summary'!C37,PPvsREal!$P:$P)</f>
        <v>0</v>
      </c>
      <c r="Q37" s="53">
        <f>SUMIF(PPvsREal!$C:$C,'PPvsREal Summary'!C37,PPvsREal!$Q:$Q)</f>
        <v>0</v>
      </c>
      <c r="R37" s="53">
        <f>SUMIF(PPvsREal!$C:$C,'PPvsREal Summary'!C37,PPvsREal!$R:$R)</f>
        <v>140000</v>
      </c>
      <c r="S37" s="53">
        <f>SUMIF(PPvsREal!$C:$C,'PPvsREal Summary'!C37,PPvsREal!$S:$S)</f>
        <v>0</v>
      </c>
      <c r="T37" s="53">
        <f>SUMIF(PPvsREal!$C:$C,'PPvsREal Summary'!C37,PPvsREal!$T:$T)</f>
        <v>0</v>
      </c>
      <c r="U37" s="53">
        <f>SUMIF(PPvsREal!$C:$C,'PPvsREal Summary'!C37,PPvsREal!$U:$U)</f>
        <v>0</v>
      </c>
      <c r="V37" s="53">
        <f>SUMIF(PPvsREal!$C:$C,'PPvsREal Summary'!C37,PPvsREal!$V:$V)</f>
        <v>0</v>
      </c>
      <c r="W37" s="53">
        <f>SUMIF(PPvsREal!$C:$C,'PPvsREal Summary'!C37,PPvsREal!$W:$W)</f>
        <v>0</v>
      </c>
      <c r="X37" s="53">
        <f>SUMIF(PPvsREal!$C:$C,'PPvsREal Summary'!C37,PPvsREal!$X:$X)</f>
        <v>0</v>
      </c>
      <c r="Y37" s="53">
        <f>SUMIF(PPvsREal!$C:$C,'PPvsREal Summary'!C37,PPvsREal!$Y:$Y)</f>
        <v>0</v>
      </c>
      <c r="Z37" s="53">
        <f>SUMIF(PPvsREal!$C:$C,'PPvsREal Summary'!C37,PPvsREal!$Z:$Z)</f>
        <v>0</v>
      </c>
      <c r="AA37" s="76">
        <f>SUMIF(PPvsREal!$C:$C,'PPvsREal Summary'!C37,PPvsREal!$AA:$AA)</f>
        <v>0</v>
      </c>
      <c r="AB37" s="53"/>
      <c r="AC37" s="64">
        <f t="shared" si="13"/>
        <v>0</v>
      </c>
      <c r="AD37" s="64">
        <f t="shared" si="14"/>
        <v>96082.760000000009</v>
      </c>
    </row>
    <row r="38" spans="2:30" ht="12.75" customHeight="1" x14ac:dyDescent="0.25">
      <c r="B38" s="80" t="s">
        <v>351</v>
      </c>
      <c r="C38" s="37" t="s">
        <v>361</v>
      </c>
      <c r="D38" s="45">
        <f>SUMIF(PPvsREal!$C:$C,'PPvsREal Summary'!C38,PPvsREal!$D:$D)</f>
        <v>0</v>
      </c>
      <c r="E38" s="53">
        <f>SUMIF(PPvsREal!$C:$C,'PPvsREal Summary'!C38,PPvsREal!$E:$E)</f>
        <v>0</v>
      </c>
      <c r="F38" s="53">
        <f>SUMIF(PPvsREal!$C:$C,'PPvsREal Summary'!C38,PPvsREal!$F:$F)</f>
        <v>0</v>
      </c>
      <c r="G38" s="53">
        <f>SUMIF(PPvsREal!$C:$C,'PPvsREal Summary'!C38,PPvsREal!$G:$G)</f>
        <v>0</v>
      </c>
      <c r="H38" s="53">
        <f>SUMIF(PPvsREal!$C:$C,'PPvsREal Summary'!C38,PPvsREal!$H:$H)</f>
        <v>0</v>
      </c>
      <c r="I38" s="53">
        <f>SUMIF(PPvsREal!$C:$C,'PPvsREal Summary'!C38,PPvsREal!$I:$I)</f>
        <v>0</v>
      </c>
      <c r="J38" s="53">
        <f>SUMIF(PPvsREal!$C:$C,'PPvsREal Summary'!C38,PPvsREal!$J:$J)</f>
        <v>0</v>
      </c>
      <c r="K38" s="53">
        <f>SUMIF(PPvsREal!$C:$C,'PPvsREal Summary'!C38,PPvsREal!$K:$K)</f>
        <v>0</v>
      </c>
      <c r="L38" s="53">
        <f>SUMIF(PPvsREal!$C:$C,'PPvsREal Summary'!C38,PPvsREal!$L:$L)</f>
        <v>0</v>
      </c>
      <c r="M38" s="53">
        <f>SUMIF(PPvsREal!$C:$C,'PPvsREal Summary'!C38,PPvsREal!$M:$M)</f>
        <v>0</v>
      </c>
      <c r="N38" s="53">
        <f>SUMIF(PPvsREal!$C:$C,'PPvsREal Summary'!C38,PPvsREal!$N:$N)</f>
        <v>0</v>
      </c>
      <c r="O38" s="53">
        <f>SUMIF(PPvsREal!$C:$C,'PPvsREal Summary'!C38,PPvsREal!$O:$O)</f>
        <v>0</v>
      </c>
      <c r="P38" s="53">
        <f>SUMIF(PPvsREal!$C:$C,'PPvsREal Summary'!C38,PPvsREal!$P:$P)</f>
        <v>0</v>
      </c>
      <c r="Q38" s="53">
        <f>SUMIF(PPvsREal!$C:$C,'PPvsREal Summary'!C38,PPvsREal!$Q:$Q)</f>
        <v>0</v>
      </c>
      <c r="R38" s="53">
        <f>SUMIF(PPvsREal!$C:$C,'PPvsREal Summary'!C38,PPvsREal!$R:$R)</f>
        <v>0</v>
      </c>
      <c r="S38" s="53">
        <f>SUMIF(PPvsREal!$C:$C,'PPvsREal Summary'!C38,PPvsREal!$S:$S)</f>
        <v>0</v>
      </c>
      <c r="T38" s="53">
        <f>SUMIF(PPvsREal!$C:$C,'PPvsREal Summary'!C38,PPvsREal!$T:$T)</f>
        <v>0</v>
      </c>
      <c r="U38" s="53">
        <f>SUMIF(PPvsREal!$C:$C,'PPvsREal Summary'!C38,PPvsREal!$U:$U)</f>
        <v>0</v>
      </c>
      <c r="V38" s="53">
        <f>SUMIF(PPvsREal!$C:$C,'PPvsREal Summary'!C38,PPvsREal!$V:$V)</f>
        <v>0</v>
      </c>
      <c r="W38" s="53">
        <f>SUMIF(PPvsREal!$C:$C,'PPvsREal Summary'!C38,PPvsREal!$W:$W)</f>
        <v>0</v>
      </c>
      <c r="X38" s="53">
        <f>SUMIF(PPvsREal!$C:$C,'PPvsREal Summary'!C38,PPvsREal!$X:$X)</f>
        <v>0</v>
      </c>
      <c r="Y38" s="53">
        <f>SUMIF(PPvsREal!$C:$C,'PPvsREal Summary'!C38,PPvsREal!$Y:$Y)</f>
        <v>0</v>
      </c>
      <c r="Z38" s="53">
        <f>SUMIF(PPvsREal!$C:$C,'PPvsREal Summary'!C38,PPvsREal!$Z:$Z)</f>
        <v>0</v>
      </c>
      <c r="AA38" s="76">
        <f>SUMIF(PPvsREal!$C:$C,'PPvsREal Summary'!C38,PPvsREal!$AA:$AA)</f>
        <v>0</v>
      </c>
      <c r="AB38" s="53"/>
      <c r="AC38" s="64">
        <f t="shared" si="13"/>
        <v>0</v>
      </c>
      <c r="AD38" s="64">
        <f t="shared" si="14"/>
        <v>0</v>
      </c>
    </row>
    <row r="39" spans="2:30" ht="12.75" customHeight="1" x14ac:dyDescent="0.25">
      <c r="B39" s="80" t="s">
        <v>351</v>
      </c>
      <c r="C39" s="37" t="s">
        <v>143</v>
      </c>
      <c r="D39" s="45">
        <f>SUMIF(PPvsREal!$C:$C,'PPvsREal Summary'!C39,PPvsREal!$D:$D)</f>
        <v>60000</v>
      </c>
      <c r="E39" s="53">
        <f>SUMIF(PPvsREal!$C:$C,'PPvsREal Summary'!C39,PPvsREal!$E:$E)</f>
        <v>0</v>
      </c>
      <c r="F39" s="53">
        <f>SUMIF(PPvsREal!$C:$C,'PPvsREal Summary'!C39,PPvsREal!$F:$F)</f>
        <v>0</v>
      </c>
      <c r="G39" s="53">
        <f>SUMIF(PPvsREal!$C:$C,'PPvsREal Summary'!C39,PPvsREal!$G:$G)</f>
        <v>0</v>
      </c>
      <c r="H39" s="53">
        <f>SUMIF(PPvsREal!$C:$C,'PPvsREal Summary'!C39,PPvsREal!$H:$H)</f>
        <v>80000</v>
      </c>
      <c r="I39" s="53">
        <f>SUMIF(PPvsREal!$C:$C,'PPvsREal Summary'!C39,PPvsREal!$I:$I)</f>
        <v>0</v>
      </c>
      <c r="J39" s="53">
        <f>SUMIF(PPvsREal!$C:$C,'PPvsREal Summary'!C39,PPvsREal!$J:$J)</f>
        <v>0</v>
      </c>
      <c r="K39" s="53">
        <f>SUMIF(PPvsREal!$C:$C,'PPvsREal Summary'!C39,PPvsREal!$K:$K)</f>
        <v>0</v>
      </c>
      <c r="L39" s="53">
        <f>SUMIF(PPvsREal!$C:$C,'PPvsREal Summary'!C39,PPvsREal!$L:$L)</f>
        <v>0</v>
      </c>
      <c r="M39" s="53">
        <f>SUMIF(PPvsREal!$C:$C,'PPvsREal Summary'!C39,PPvsREal!$M:$M)</f>
        <v>80000</v>
      </c>
      <c r="N39" s="53">
        <f>SUMIF(PPvsREal!$C:$C,'PPvsREal Summary'!C39,PPvsREal!$N:$N)</f>
        <v>190000</v>
      </c>
      <c r="O39" s="53">
        <f>SUMIF(PPvsREal!$C:$C,'PPvsREal Summary'!C39,PPvsREal!$O:$O)</f>
        <v>0</v>
      </c>
      <c r="P39" s="53">
        <f>SUMIF(PPvsREal!$C:$C,'PPvsREal Summary'!C39,PPvsREal!$P:$P)</f>
        <v>0</v>
      </c>
      <c r="Q39" s="53">
        <f>SUMIF(PPvsREal!$C:$C,'PPvsREal Summary'!C39,PPvsREal!$Q:$Q)</f>
        <v>0</v>
      </c>
      <c r="R39" s="53">
        <f>SUMIF(PPvsREal!$C:$C,'PPvsREal Summary'!C39,PPvsREal!$R:$R)</f>
        <v>0</v>
      </c>
      <c r="S39" s="53">
        <f>SUMIF(PPvsREal!$C:$C,'PPvsREal Summary'!C39,PPvsREal!$S:$S)</f>
        <v>0</v>
      </c>
      <c r="T39" s="53">
        <f>SUMIF(PPvsREal!$C:$C,'PPvsREal Summary'!C39,PPvsREal!$T:$T)</f>
        <v>0</v>
      </c>
      <c r="U39" s="53">
        <f>SUMIF(PPvsREal!$C:$C,'PPvsREal Summary'!C39,PPvsREal!$U:$U)</f>
        <v>0</v>
      </c>
      <c r="V39" s="53">
        <f>SUMIF(PPvsREal!$C:$C,'PPvsREal Summary'!C39,PPvsREal!$V:$V)</f>
        <v>0</v>
      </c>
      <c r="W39" s="53">
        <f>SUMIF(PPvsREal!$C:$C,'PPvsREal Summary'!C39,PPvsREal!$W:$W)</f>
        <v>0</v>
      </c>
      <c r="X39" s="53">
        <f>SUMIF(PPvsREal!$C:$C,'PPvsREal Summary'!C39,PPvsREal!$X:$X)</f>
        <v>0</v>
      </c>
      <c r="Y39" s="53">
        <f>SUMIF(PPvsREal!$C:$C,'PPvsREal Summary'!C39,PPvsREal!$Y:$Y)</f>
        <v>0</v>
      </c>
      <c r="Z39" s="53">
        <f>SUMIF(PPvsREal!$C:$C,'PPvsREal Summary'!C39,PPvsREal!$Z:$Z)</f>
        <v>0</v>
      </c>
      <c r="AA39" s="76">
        <f>SUMIF(PPvsREal!$C:$C,'PPvsREal Summary'!C39,PPvsREal!$AA:$AA)</f>
        <v>0</v>
      </c>
      <c r="AB39" s="53"/>
      <c r="AC39" s="64">
        <f t="shared" si="13"/>
        <v>330000</v>
      </c>
      <c r="AD39" s="64">
        <f t="shared" si="14"/>
        <v>80000</v>
      </c>
    </row>
    <row r="40" spans="2:30" ht="12.75" customHeight="1" x14ac:dyDescent="0.25">
      <c r="B40" s="80" t="s">
        <v>351</v>
      </c>
      <c r="C40" s="37" t="s">
        <v>362</v>
      </c>
      <c r="D40" s="45">
        <f>SUMIF(PPvsREal!$C:$C,'PPvsREal Summary'!C40,PPvsREal!$D:$D)</f>
        <v>0</v>
      </c>
      <c r="E40" s="53">
        <f>SUMIF(PPvsREal!$C:$C,'PPvsREal Summary'!C40,PPvsREal!$E:$E)</f>
        <v>0</v>
      </c>
      <c r="F40" s="53">
        <f>SUMIF(PPvsREal!$C:$C,'PPvsREal Summary'!C40,PPvsREal!$F:$F)</f>
        <v>0</v>
      </c>
      <c r="G40" s="53">
        <f>SUMIF(PPvsREal!$C:$C,'PPvsREal Summary'!C40,PPvsREal!$G:$G)</f>
        <v>0</v>
      </c>
      <c r="H40" s="53">
        <f>SUMIF(PPvsREal!$C:$C,'PPvsREal Summary'!C40,PPvsREal!$H:$H)</f>
        <v>0</v>
      </c>
      <c r="I40" s="53">
        <f>SUMIF(PPvsREal!$C:$C,'PPvsREal Summary'!C40,PPvsREal!$I:$I)</f>
        <v>0</v>
      </c>
      <c r="J40" s="53">
        <f>SUMIF(PPvsREal!$C:$C,'PPvsREal Summary'!C40,PPvsREal!$J:$J)</f>
        <v>0</v>
      </c>
      <c r="K40" s="53">
        <f>SUMIF(PPvsREal!$C:$C,'PPvsREal Summary'!C40,PPvsREal!$K:$K)</f>
        <v>0</v>
      </c>
      <c r="L40" s="53">
        <f>SUMIF(PPvsREal!$C:$C,'PPvsREal Summary'!C40,PPvsREal!$L:$L)</f>
        <v>0</v>
      </c>
      <c r="M40" s="53">
        <f>SUMIF(PPvsREal!$C:$C,'PPvsREal Summary'!C40,PPvsREal!$M:$M)</f>
        <v>0</v>
      </c>
      <c r="N40" s="53">
        <f>SUMIF(PPvsREal!$C:$C,'PPvsREal Summary'!C40,PPvsREal!$N:$N)</f>
        <v>0</v>
      </c>
      <c r="O40" s="53">
        <f>SUMIF(PPvsREal!$C:$C,'PPvsREal Summary'!C40,PPvsREal!$O:$O)</f>
        <v>0</v>
      </c>
      <c r="P40" s="53">
        <f>SUMIF(PPvsREal!$C:$C,'PPvsREal Summary'!C40,PPvsREal!$P:$P)</f>
        <v>0</v>
      </c>
      <c r="Q40" s="53">
        <f>SUMIF(PPvsREal!$C:$C,'PPvsREal Summary'!C40,PPvsREal!$Q:$Q)</f>
        <v>0</v>
      </c>
      <c r="R40" s="53">
        <f>SUMIF(PPvsREal!$C:$C,'PPvsREal Summary'!C40,PPvsREal!$R:$R)</f>
        <v>0</v>
      </c>
      <c r="S40" s="53">
        <f>SUMIF(PPvsREal!$C:$C,'PPvsREal Summary'!C40,PPvsREal!$S:$S)</f>
        <v>0</v>
      </c>
      <c r="T40" s="53">
        <f>SUMIF(PPvsREal!$C:$C,'PPvsREal Summary'!C40,PPvsREal!$T:$T)</f>
        <v>0</v>
      </c>
      <c r="U40" s="53">
        <f>SUMIF(PPvsREal!$C:$C,'PPvsREal Summary'!C40,PPvsREal!$U:$U)</f>
        <v>0</v>
      </c>
      <c r="V40" s="53">
        <f>SUMIF(PPvsREal!$C:$C,'PPvsREal Summary'!C40,PPvsREal!$V:$V)</f>
        <v>0</v>
      </c>
      <c r="W40" s="53">
        <f>SUMIF(PPvsREal!$C:$C,'PPvsREal Summary'!C40,PPvsREal!$W:$W)</f>
        <v>0</v>
      </c>
      <c r="X40" s="53">
        <f>SUMIF(PPvsREal!$C:$C,'PPvsREal Summary'!C40,PPvsREal!$X:$X)</f>
        <v>0</v>
      </c>
      <c r="Y40" s="53">
        <f>SUMIF(PPvsREal!$C:$C,'PPvsREal Summary'!C40,PPvsREal!$Y:$Y)</f>
        <v>0</v>
      </c>
      <c r="Z40" s="53">
        <f>SUMIF(PPvsREal!$C:$C,'PPvsREal Summary'!C40,PPvsREal!$Z:$Z)</f>
        <v>0</v>
      </c>
      <c r="AA40" s="76">
        <f>SUMIF(PPvsREal!$C:$C,'PPvsREal Summary'!C40,PPvsREal!$AA:$AA)</f>
        <v>0</v>
      </c>
      <c r="AB40" s="53"/>
      <c r="AC40" s="64">
        <f t="shared" si="13"/>
        <v>0</v>
      </c>
      <c r="AD40" s="64">
        <f t="shared" si="14"/>
        <v>0</v>
      </c>
    </row>
    <row r="41" spans="2:30" ht="12.75" customHeight="1" x14ac:dyDescent="0.25">
      <c r="B41" s="80" t="s">
        <v>351</v>
      </c>
      <c r="C41" s="37" t="s">
        <v>147</v>
      </c>
      <c r="D41" s="45">
        <f>SUMIF(PPvsREal!$C:$C,'PPvsREal Summary'!C41,PPvsREal!$D:$D)</f>
        <v>0</v>
      </c>
      <c r="E41" s="53">
        <f>SUMIF(PPvsREal!$C:$C,'PPvsREal Summary'!C41,PPvsREal!$E:$E)</f>
        <v>0</v>
      </c>
      <c r="F41" s="53">
        <f>SUMIF(PPvsREal!$C:$C,'PPvsREal Summary'!C41,PPvsREal!$F:$F)</f>
        <v>25000</v>
      </c>
      <c r="G41" s="53">
        <f>SUMIF(PPvsREal!$C:$C,'PPvsREal Summary'!C41,PPvsREal!$G:$G)</f>
        <v>0</v>
      </c>
      <c r="H41" s="53">
        <f>SUMIF(PPvsREal!$C:$C,'PPvsREal Summary'!C41,PPvsREal!$H:$H)</f>
        <v>0</v>
      </c>
      <c r="I41" s="53">
        <f>SUMIF(PPvsREal!$C:$C,'PPvsREal Summary'!C41,PPvsREal!$I:$I)</f>
        <v>0</v>
      </c>
      <c r="J41" s="53">
        <f>SUMIF(PPvsREal!$C:$C,'PPvsREal Summary'!C41,PPvsREal!$J:$J)</f>
        <v>25000</v>
      </c>
      <c r="K41" s="53">
        <f>SUMIF(PPvsREal!$C:$C,'PPvsREal Summary'!C41,PPvsREal!$K:$K)</f>
        <v>0</v>
      </c>
      <c r="L41" s="53">
        <f>SUMIF(PPvsREal!$C:$C,'PPvsREal Summary'!C41,PPvsREal!$L:$L)</f>
        <v>150000</v>
      </c>
      <c r="M41" s="53">
        <f>SUMIF(PPvsREal!$C:$C,'PPvsREal Summary'!C41,PPvsREal!$M:$M)</f>
        <v>0</v>
      </c>
      <c r="N41" s="53">
        <f>SUMIF(PPvsREal!$C:$C,'PPvsREal Summary'!C41,PPvsREal!$N:$N)</f>
        <v>25000</v>
      </c>
      <c r="O41" s="53">
        <f>SUMIF(PPvsREal!$C:$C,'PPvsREal Summary'!C41,PPvsREal!$O:$O)</f>
        <v>0</v>
      </c>
      <c r="P41" s="53">
        <f>SUMIF(PPvsREal!$C:$C,'PPvsREal Summary'!C41,PPvsREal!$P:$P)</f>
        <v>0</v>
      </c>
      <c r="Q41" s="53">
        <f>SUMIF(PPvsREal!$C:$C,'PPvsREal Summary'!C41,PPvsREal!$Q:$Q)</f>
        <v>0</v>
      </c>
      <c r="R41" s="53">
        <f>SUMIF(PPvsREal!$C:$C,'PPvsREal Summary'!C41,PPvsREal!$R:$R)</f>
        <v>0</v>
      </c>
      <c r="S41" s="53">
        <f>SUMIF(PPvsREal!$C:$C,'PPvsREal Summary'!C41,PPvsREal!$S:$S)</f>
        <v>0</v>
      </c>
      <c r="T41" s="53">
        <f>SUMIF(PPvsREal!$C:$C,'PPvsREal Summary'!C41,PPvsREal!$T:$T)</f>
        <v>25000</v>
      </c>
      <c r="U41" s="53">
        <f>SUMIF(PPvsREal!$C:$C,'PPvsREal Summary'!C41,PPvsREal!$U:$U)</f>
        <v>0</v>
      </c>
      <c r="V41" s="53">
        <f>SUMIF(PPvsREal!$C:$C,'PPvsREal Summary'!C41,PPvsREal!$V:$V)</f>
        <v>0</v>
      </c>
      <c r="W41" s="53">
        <f>SUMIF(PPvsREal!$C:$C,'PPvsREal Summary'!C41,PPvsREal!$W:$W)</f>
        <v>0</v>
      </c>
      <c r="X41" s="53">
        <f>SUMIF(PPvsREal!$C:$C,'PPvsREal Summary'!C41,PPvsREal!$X:$X)</f>
        <v>0</v>
      </c>
      <c r="Y41" s="53">
        <f>SUMIF(PPvsREal!$C:$C,'PPvsREal Summary'!C41,PPvsREal!$Y:$Y)</f>
        <v>0</v>
      </c>
      <c r="Z41" s="53">
        <f>SUMIF(PPvsREal!$C:$C,'PPvsREal Summary'!C41,PPvsREal!$Z:$Z)</f>
        <v>0</v>
      </c>
      <c r="AA41" s="76">
        <f>SUMIF(PPvsREal!$C:$C,'PPvsREal Summary'!C41,PPvsREal!$AA:$AA)</f>
        <v>0</v>
      </c>
      <c r="AB41" s="53"/>
      <c r="AC41" s="64">
        <f t="shared" si="13"/>
        <v>225000</v>
      </c>
      <c r="AD41" s="64">
        <f t="shared" si="14"/>
        <v>0</v>
      </c>
    </row>
    <row r="42" spans="2:30" ht="12.75" customHeight="1" x14ac:dyDescent="0.25">
      <c r="B42" s="80" t="s">
        <v>351</v>
      </c>
      <c r="C42" s="37" t="s">
        <v>154</v>
      </c>
      <c r="D42" s="45">
        <f>SUMIF(PPvsREal!$C:$C,'PPvsREal Summary'!C42,PPvsREal!$D:$D)</f>
        <v>0</v>
      </c>
      <c r="E42" s="53">
        <f>SUMIF(PPvsREal!$C:$C,'PPvsREal Summary'!C42,PPvsREal!$E:$E)</f>
        <v>0</v>
      </c>
      <c r="F42" s="53">
        <f>SUMIF(PPvsREal!$C:$C,'PPvsREal Summary'!C42,PPvsREal!$F:$F)</f>
        <v>0</v>
      </c>
      <c r="G42" s="53">
        <f>SUMIF(PPvsREal!$C:$C,'PPvsREal Summary'!C42,PPvsREal!$G:$G)</f>
        <v>0</v>
      </c>
      <c r="H42" s="53">
        <f>SUMIF(PPvsREal!$C:$C,'PPvsREal Summary'!C42,PPvsREal!$H:$H)</f>
        <v>0</v>
      </c>
      <c r="I42" s="53">
        <f>SUMIF(PPvsREal!$C:$C,'PPvsREal Summary'!C42,PPvsREal!$I:$I)</f>
        <v>0</v>
      </c>
      <c r="J42" s="53">
        <f>SUMIF(PPvsREal!$C:$C,'PPvsREal Summary'!C42,PPvsREal!$J:$J)</f>
        <v>0</v>
      </c>
      <c r="K42" s="53">
        <f>SUMIF(PPvsREal!$C:$C,'PPvsREal Summary'!C42,PPvsREal!$K:$K)</f>
        <v>0</v>
      </c>
      <c r="L42" s="53">
        <f>SUMIF(PPvsREal!$C:$C,'PPvsREal Summary'!C42,PPvsREal!$L:$L)</f>
        <v>0</v>
      </c>
      <c r="M42" s="53">
        <f>SUMIF(PPvsREal!$C:$C,'PPvsREal Summary'!C42,PPvsREal!$M:$M)</f>
        <v>0</v>
      </c>
      <c r="N42" s="53">
        <f>SUMIF(PPvsREal!$C:$C,'PPvsREal Summary'!C42,PPvsREal!$N:$N)</f>
        <v>0</v>
      </c>
      <c r="O42" s="53">
        <f>SUMIF(PPvsREal!$C:$C,'PPvsREal Summary'!C42,PPvsREal!$O:$O)</f>
        <v>0</v>
      </c>
      <c r="P42" s="53">
        <f>SUMIF(PPvsREal!$C:$C,'PPvsREal Summary'!C42,PPvsREal!$P:$P)</f>
        <v>85000</v>
      </c>
      <c r="Q42" s="53">
        <f>SUMIF(PPvsREal!$C:$C,'PPvsREal Summary'!C42,PPvsREal!$Q:$Q)</f>
        <v>0</v>
      </c>
      <c r="R42" s="53">
        <f>SUMIF(PPvsREal!$C:$C,'PPvsREal Summary'!C42,PPvsREal!$R:$R)</f>
        <v>0</v>
      </c>
      <c r="S42" s="53">
        <f>SUMIF(PPvsREal!$C:$C,'PPvsREal Summary'!C42,PPvsREal!$S:$S)</f>
        <v>0</v>
      </c>
      <c r="T42" s="53">
        <f>SUMIF(PPvsREal!$C:$C,'PPvsREal Summary'!C42,PPvsREal!$T:$T)</f>
        <v>0</v>
      </c>
      <c r="U42" s="53">
        <f>SUMIF(PPvsREal!$C:$C,'PPvsREal Summary'!C42,PPvsREal!$U:$U)</f>
        <v>0</v>
      </c>
      <c r="V42" s="53">
        <f>SUMIF(PPvsREal!$C:$C,'PPvsREal Summary'!C42,PPvsREal!$V:$V)</f>
        <v>0</v>
      </c>
      <c r="W42" s="53">
        <f>SUMIF(PPvsREal!$C:$C,'PPvsREal Summary'!C42,PPvsREal!$W:$W)</f>
        <v>0</v>
      </c>
      <c r="X42" s="53">
        <f>SUMIF(PPvsREal!$C:$C,'PPvsREal Summary'!C42,PPvsREal!$X:$X)</f>
        <v>0</v>
      </c>
      <c r="Y42" s="53">
        <f>SUMIF(PPvsREal!$C:$C,'PPvsREal Summary'!C42,PPvsREal!$Y:$Y)</f>
        <v>0</v>
      </c>
      <c r="Z42" s="53">
        <f>SUMIF(PPvsREal!$C:$C,'PPvsREal Summary'!C42,PPvsREal!$Z:$Z)</f>
        <v>0</v>
      </c>
      <c r="AA42" s="76">
        <f>SUMIF(PPvsREal!$C:$C,'PPvsREal Summary'!C42,PPvsREal!$AA:$AA)</f>
        <v>0</v>
      </c>
      <c r="AB42" s="53"/>
      <c r="AC42" s="64">
        <f t="shared" si="13"/>
        <v>85000</v>
      </c>
      <c r="AD42" s="64">
        <f t="shared" si="14"/>
        <v>0</v>
      </c>
    </row>
    <row r="43" spans="2:30" ht="12.75" customHeight="1" x14ac:dyDescent="0.25">
      <c r="B43" s="80" t="s">
        <v>351</v>
      </c>
      <c r="C43" s="37" t="s">
        <v>158</v>
      </c>
      <c r="D43" s="45">
        <f>SUMIF(PPvsREal!$C:$C,'PPvsREal Summary'!C43,PPvsREal!$D:$D)</f>
        <v>0</v>
      </c>
      <c r="E43" s="53">
        <f>SUMIF(PPvsREal!$C:$C,'PPvsREal Summary'!C43,PPvsREal!$E:$E)</f>
        <v>0</v>
      </c>
      <c r="F43" s="53">
        <f>SUMIF(PPvsREal!$C:$C,'PPvsREal Summary'!C43,PPvsREal!$F:$F)</f>
        <v>0</v>
      </c>
      <c r="G43" s="53">
        <f>SUMIF(PPvsREal!$C:$C,'PPvsREal Summary'!C43,PPvsREal!$G:$G)</f>
        <v>0</v>
      </c>
      <c r="H43" s="53">
        <f>SUMIF(PPvsREal!$C:$C,'PPvsREal Summary'!C43,PPvsREal!$H:$H)</f>
        <v>0</v>
      </c>
      <c r="I43" s="53">
        <f>SUMIF(PPvsREal!$C:$C,'PPvsREal Summary'!C43,PPvsREal!$I:$I)</f>
        <v>0</v>
      </c>
      <c r="J43" s="53">
        <f>SUMIF(PPvsREal!$C:$C,'PPvsREal Summary'!C43,PPvsREal!$J:$J)</f>
        <v>0</v>
      </c>
      <c r="K43" s="53">
        <f>SUMIF(PPvsREal!$C:$C,'PPvsREal Summary'!C43,PPvsREal!$K:$K)</f>
        <v>0</v>
      </c>
      <c r="L43" s="53">
        <f>SUMIF(PPvsREal!$C:$C,'PPvsREal Summary'!C43,PPvsREal!$L:$L)</f>
        <v>0</v>
      </c>
      <c r="M43" s="53">
        <f>SUMIF(PPvsREal!$C:$C,'PPvsREal Summary'!C43,PPvsREal!$M:$M)</f>
        <v>0</v>
      </c>
      <c r="N43" s="53">
        <f>SUMIF(PPvsREal!$C:$C,'PPvsREal Summary'!C43,PPvsREal!$N:$N)</f>
        <v>0</v>
      </c>
      <c r="O43" s="53">
        <f>SUMIF(PPvsREal!$C:$C,'PPvsREal Summary'!C43,PPvsREal!$O:$O)</f>
        <v>0</v>
      </c>
      <c r="P43" s="53">
        <f>SUMIF(PPvsREal!$C:$C,'PPvsREal Summary'!C43,PPvsREal!$P:$P)</f>
        <v>0</v>
      </c>
      <c r="Q43" s="53">
        <f>SUMIF(PPvsREal!$C:$C,'PPvsREal Summary'!C43,PPvsREal!$Q:$Q)</f>
        <v>0</v>
      </c>
      <c r="R43" s="53">
        <f>SUMIF(PPvsREal!$C:$C,'PPvsREal Summary'!C43,PPvsREal!$R:$R)</f>
        <v>0</v>
      </c>
      <c r="S43" s="53">
        <f>SUMIF(PPvsREal!$C:$C,'PPvsREal Summary'!C43,PPvsREal!$S:$S)</f>
        <v>0</v>
      </c>
      <c r="T43" s="53">
        <f>SUMIF(PPvsREal!$C:$C,'PPvsREal Summary'!C43,PPvsREal!$T:$T)</f>
        <v>860000</v>
      </c>
      <c r="U43" s="53">
        <f>SUMIF(PPvsREal!$C:$C,'PPvsREal Summary'!C43,PPvsREal!$U:$U)</f>
        <v>0</v>
      </c>
      <c r="V43" s="53">
        <f>SUMIF(PPvsREal!$C:$C,'PPvsREal Summary'!C43,PPvsREal!$V:$V)</f>
        <v>0</v>
      </c>
      <c r="W43" s="53">
        <f>SUMIF(PPvsREal!$C:$C,'PPvsREal Summary'!C43,PPvsREal!$W:$W)</f>
        <v>0</v>
      </c>
      <c r="X43" s="53">
        <f>SUMIF(PPvsREal!$C:$C,'PPvsREal Summary'!C43,PPvsREal!$X:$X)</f>
        <v>0</v>
      </c>
      <c r="Y43" s="53">
        <f>SUMIF(PPvsREal!$C:$C,'PPvsREal Summary'!C43,PPvsREal!$Y:$Y)</f>
        <v>0</v>
      </c>
      <c r="Z43" s="53">
        <f>SUMIF(PPvsREal!$C:$C,'PPvsREal Summary'!C43,PPvsREal!$Z:$Z)</f>
        <v>0</v>
      </c>
      <c r="AA43" s="76">
        <f>SUMIF(PPvsREal!$C:$C,'PPvsREal Summary'!C43,PPvsREal!$AA:$AA)</f>
        <v>0</v>
      </c>
      <c r="AB43" s="53"/>
      <c r="AC43" s="64">
        <f t="shared" si="13"/>
        <v>0</v>
      </c>
      <c r="AD43" s="64">
        <f t="shared" si="14"/>
        <v>0</v>
      </c>
    </row>
    <row r="44" spans="2:30" ht="12.75" customHeight="1" x14ac:dyDescent="0.25">
      <c r="B44" s="80" t="s">
        <v>351</v>
      </c>
      <c r="C44" s="37" t="s">
        <v>145</v>
      </c>
      <c r="D44" s="45">
        <f>SUMIF(PPvsREal!$C:$C,'PPvsREal Summary'!C44,PPvsREal!$D:$D)</f>
        <v>0</v>
      </c>
      <c r="E44" s="53">
        <f>SUMIF(PPvsREal!$C:$C,'PPvsREal Summary'!C44,PPvsREal!$E:$E)</f>
        <v>0</v>
      </c>
      <c r="F44" s="53">
        <f>SUMIF(PPvsREal!$C:$C,'PPvsREal Summary'!C44,PPvsREal!$F:$F)</f>
        <v>70000</v>
      </c>
      <c r="G44" s="53">
        <f>SUMIF(PPvsREal!$C:$C,'PPvsREal Summary'!C44,PPvsREal!$G:$G)</f>
        <v>73800</v>
      </c>
      <c r="H44" s="53">
        <f>SUMIF(PPvsREal!$C:$C,'PPvsREal Summary'!C44,PPvsREal!$H:$H)</f>
        <v>0</v>
      </c>
      <c r="I44" s="53">
        <f>SUMIF(PPvsREal!$C:$C,'PPvsREal Summary'!C44,PPvsREal!$I:$I)</f>
        <v>7650</v>
      </c>
      <c r="J44" s="53">
        <f>SUMIF(PPvsREal!$C:$C,'PPvsREal Summary'!C44,PPvsREal!$J:$J)</f>
        <v>0</v>
      </c>
      <c r="K44" s="53">
        <f>SUMIF(PPvsREal!$C:$C,'PPvsREal Summary'!C44,PPvsREal!$K:$K)</f>
        <v>3400</v>
      </c>
      <c r="L44" s="53">
        <f>SUMIF(PPvsREal!$C:$C,'PPvsREal Summary'!C44,PPvsREal!$L:$L)</f>
        <v>0</v>
      </c>
      <c r="M44" s="53">
        <f>SUMIF(PPvsREal!$C:$C,'PPvsREal Summary'!C44,PPvsREal!$M:$M)</f>
        <v>0</v>
      </c>
      <c r="N44" s="53">
        <f>SUMIF(PPvsREal!$C:$C,'PPvsREal Summary'!C44,PPvsREal!$N:$N)</f>
        <v>0</v>
      </c>
      <c r="O44" s="53">
        <f>SUMIF(PPvsREal!$C:$C,'PPvsREal Summary'!C44,PPvsREal!$O:$O)</f>
        <v>850</v>
      </c>
      <c r="P44" s="53">
        <f>SUMIF(PPvsREal!$C:$C,'PPvsREal Summary'!C44,PPvsREal!$P:$P)</f>
        <v>0</v>
      </c>
      <c r="Q44" s="53">
        <f>SUMIF(PPvsREal!$C:$C,'PPvsREal Summary'!C44,PPvsREal!$Q:$Q)</f>
        <v>0</v>
      </c>
      <c r="R44" s="53">
        <f>SUMIF(PPvsREal!$C:$C,'PPvsREal Summary'!C44,PPvsREal!$R:$R)</f>
        <v>0</v>
      </c>
      <c r="S44" s="53">
        <f>SUMIF(PPvsREal!$C:$C,'PPvsREal Summary'!C44,PPvsREal!$S:$S)</f>
        <v>0</v>
      </c>
      <c r="T44" s="53">
        <f>SUMIF(PPvsREal!$C:$C,'PPvsREal Summary'!C44,PPvsREal!$T:$T)</f>
        <v>0</v>
      </c>
      <c r="U44" s="53">
        <f>SUMIF(PPvsREal!$C:$C,'PPvsREal Summary'!C44,PPvsREal!$U:$U)</f>
        <v>0</v>
      </c>
      <c r="V44" s="53">
        <f>SUMIF(PPvsREal!$C:$C,'PPvsREal Summary'!C44,PPvsREal!$V:$V)</f>
        <v>0</v>
      </c>
      <c r="W44" s="53">
        <f>SUMIF(PPvsREal!$C:$C,'PPvsREal Summary'!C44,PPvsREal!$W:$W)</f>
        <v>0</v>
      </c>
      <c r="X44" s="53">
        <f>SUMIF(PPvsREal!$C:$C,'PPvsREal Summary'!C44,PPvsREal!$X:$X)</f>
        <v>0</v>
      </c>
      <c r="Y44" s="53">
        <f>SUMIF(PPvsREal!$C:$C,'PPvsREal Summary'!C44,PPvsREal!$Y:$Y)</f>
        <v>0</v>
      </c>
      <c r="Z44" s="53">
        <f>SUMIF(PPvsREal!$C:$C,'PPvsREal Summary'!C44,PPvsREal!$Z:$Z)</f>
        <v>0</v>
      </c>
      <c r="AA44" s="76">
        <f>SUMIF(PPvsREal!$C:$C,'PPvsREal Summary'!C44,PPvsREal!$AA:$AA)</f>
        <v>0</v>
      </c>
      <c r="AB44" s="53"/>
      <c r="AC44" s="64">
        <f t="shared" si="13"/>
        <v>70000</v>
      </c>
      <c r="AD44" s="64">
        <f t="shared" si="14"/>
        <v>85700</v>
      </c>
    </row>
    <row r="45" spans="2:30" ht="12.75" customHeight="1" x14ac:dyDescent="0.25">
      <c r="B45" s="80"/>
      <c r="C45" s="37" t="s">
        <v>363</v>
      </c>
      <c r="D45" s="45">
        <f>SUMIF(PPvsREal!$C:$C,'PPvsREal Summary'!C45,PPvsREal!$D:$D)</f>
        <v>0</v>
      </c>
      <c r="E45" s="53">
        <f>SUMIF(PPvsREal!$C:$C,'PPvsREal Summary'!C45,PPvsREal!$E:$E)</f>
        <v>0</v>
      </c>
      <c r="F45" s="53">
        <f>SUMIF(PPvsREal!$C:$C,'PPvsREal Summary'!C45,PPvsREal!$F:$F)</f>
        <v>0</v>
      </c>
      <c r="G45" s="53">
        <f>SUMIF(PPvsREal!$C:$C,'PPvsREal Summary'!C45,PPvsREal!$G:$G)</f>
        <v>0</v>
      </c>
      <c r="H45" s="53">
        <f>SUMIF(PPvsREal!$C:$C,'PPvsREal Summary'!C45,PPvsREal!$H:$H)</f>
        <v>0</v>
      </c>
      <c r="I45" s="53">
        <f>SUMIF(PPvsREal!$C:$C,'PPvsREal Summary'!C45,PPvsREal!$I:$I)</f>
        <v>0</v>
      </c>
      <c r="J45" s="53">
        <f>SUMIF(PPvsREal!$C:$C,'PPvsREal Summary'!C45,PPvsREal!$J:$J)</f>
        <v>0</v>
      </c>
      <c r="K45" s="53">
        <f>SUMIF(PPvsREal!$C:$C,'PPvsREal Summary'!C45,PPvsREal!$K:$K)</f>
        <v>0</v>
      </c>
      <c r="L45" s="53">
        <f>SUMIF(PPvsREal!$C:$C,'PPvsREal Summary'!C45,PPvsREal!$L:$L)</f>
        <v>0</v>
      </c>
      <c r="M45" s="53">
        <f>SUMIF(PPvsREal!$C:$C,'PPvsREal Summary'!C45,PPvsREal!$M:$M)</f>
        <v>0</v>
      </c>
      <c r="N45" s="53">
        <f>SUMIF(PPvsREal!$C:$C,'PPvsREal Summary'!C45,PPvsREal!$N:$N)</f>
        <v>0</v>
      </c>
      <c r="O45" s="53">
        <f>SUMIF(PPvsREal!$C:$C,'PPvsREal Summary'!C45,PPvsREal!$O:$O)</f>
        <v>0</v>
      </c>
      <c r="P45" s="53">
        <f>SUMIF(PPvsREal!$C:$C,'PPvsREal Summary'!C45,PPvsREal!$P:$P)</f>
        <v>0</v>
      </c>
      <c r="Q45" s="53">
        <f>SUMIF(PPvsREal!$C:$C,'PPvsREal Summary'!C45,PPvsREal!$Q:$Q)</f>
        <v>0</v>
      </c>
      <c r="R45" s="53">
        <f>SUMIF(PPvsREal!$C:$C,'PPvsREal Summary'!C45,PPvsREal!$R:$R)</f>
        <v>0</v>
      </c>
      <c r="S45" s="53">
        <f>SUMIF(PPvsREal!$C:$C,'PPvsREal Summary'!C45,PPvsREal!$S:$S)</f>
        <v>0</v>
      </c>
      <c r="T45" s="53">
        <f>SUMIF(PPvsREal!$C:$C,'PPvsREal Summary'!C45,PPvsREal!$T:$T)</f>
        <v>0</v>
      </c>
      <c r="U45" s="53">
        <f>SUMIF(PPvsREal!$C:$C,'PPvsREal Summary'!C45,PPvsREal!$U:$U)</f>
        <v>0</v>
      </c>
      <c r="V45" s="53">
        <f>SUMIF(PPvsREal!$C:$C,'PPvsREal Summary'!C45,PPvsREal!$V:$V)</f>
        <v>0</v>
      </c>
      <c r="W45" s="53">
        <f>SUMIF(PPvsREal!$C:$C,'PPvsREal Summary'!C45,PPvsREal!$W:$W)</f>
        <v>0</v>
      </c>
      <c r="X45" s="53">
        <f>SUMIF(PPvsREal!$C:$C,'PPvsREal Summary'!C45,PPvsREal!$X:$X)</f>
        <v>0</v>
      </c>
      <c r="Y45" s="53">
        <f>SUMIF(PPvsREal!$C:$C,'PPvsREal Summary'!C45,PPvsREal!$Y:$Y)</f>
        <v>0</v>
      </c>
      <c r="Z45" s="53">
        <f>SUMIF(PPvsREal!$C:$C,'PPvsREal Summary'!C45,PPvsREal!$Z:$Z)</f>
        <v>0</v>
      </c>
      <c r="AA45" s="76">
        <f>SUMIF(PPvsREal!$C:$C,'PPvsREal Summary'!C45,PPvsREal!$AA:$AA)</f>
        <v>0</v>
      </c>
      <c r="AB45" s="53"/>
      <c r="AC45" s="64">
        <f t="shared" si="13"/>
        <v>0</v>
      </c>
      <c r="AD45" s="64">
        <f t="shared" si="14"/>
        <v>0</v>
      </c>
    </row>
    <row r="46" spans="2:30" ht="12.75" customHeight="1" x14ac:dyDescent="0.25">
      <c r="B46" s="80" t="s">
        <v>351</v>
      </c>
      <c r="C46" s="37" t="s">
        <v>150</v>
      </c>
      <c r="D46" s="45">
        <f>SUMIF(PPvsREal!$C:$C,'PPvsREal Summary'!C46,PPvsREal!$D:$D)</f>
        <v>0</v>
      </c>
      <c r="E46" s="53">
        <f>SUMIF(PPvsREal!$C:$C,'PPvsREal Summary'!C46,PPvsREal!$E:$E)</f>
        <v>0</v>
      </c>
      <c r="F46" s="53">
        <f>SUMIF(PPvsREal!$C:$C,'PPvsREal Summary'!C46,PPvsREal!$F:$F)</f>
        <v>0</v>
      </c>
      <c r="G46" s="53">
        <f>SUMIF(PPvsREal!$C:$C,'PPvsREal Summary'!C46,PPvsREal!$G:$G)</f>
        <v>0</v>
      </c>
      <c r="H46" s="53">
        <f>SUMIF(PPvsREal!$C:$C,'PPvsREal Summary'!C46,PPvsREal!$H:$H)</f>
        <v>0</v>
      </c>
      <c r="I46" s="53">
        <f>SUMIF(PPvsREal!$C:$C,'PPvsREal Summary'!C46,PPvsREal!$I:$I)</f>
        <v>0</v>
      </c>
      <c r="J46" s="53">
        <f>SUMIF(PPvsREal!$C:$C,'PPvsREal Summary'!C46,PPvsREal!$J:$J)</f>
        <v>235000</v>
      </c>
      <c r="K46" s="53">
        <f>SUMIF(PPvsREal!$C:$C,'PPvsREal Summary'!C46,PPvsREal!$K:$K)</f>
        <v>0</v>
      </c>
      <c r="L46" s="53">
        <f>SUMIF(PPvsREal!$C:$C,'PPvsREal Summary'!C46,PPvsREal!$L:$L)</f>
        <v>0</v>
      </c>
      <c r="M46" s="53">
        <f>SUMIF(PPvsREal!$C:$C,'PPvsREal Summary'!C46,PPvsREal!$M:$M)</f>
        <v>0</v>
      </c>
      <c r="N46" s="53">
        <f>SUMIF(PPvsREal!$C:$C,'PPvsREal Summary'!C46,PPvsREal!$N:$N)</f>
        <v>0</v>
      </c>
      <c r="O46" s="53">
        <f>SUMIF(PPvsREal!$C:$C,'PPvsREal Summary'!C46,PPvsREal!$O:$O)</f>
        <v>160200</v>
      </c>
      <c r="P46" s="53">
        <f>SUMIF(PPvsREal!$C:$C,'PPvsREal Summary'!C46,PPvsREal!$P:$P)</f>
        <v>0</v>
      </c>
      <c r="Q46" s="53">
        <f>SUMIF(PPvsREal!$C:$C,'PPvsREal Summary'!C46,PPvsREal!$Q:$Q)</f>
        <v>46800</v>
      </c>
      <c r="R46" s="53">
        <f>SUMIF(PPvsREal!$C:$C,'PPvsREal Summary'!C46,PPvsREal!$R:$R)</f>
        <v>0</v>
      </c>
      <c r="S46" s="53">
        <f>SUMIF(PPvsREal!$C:$C,'PPvsREal Summary'!C46,PPvsREal!$S:$S)</f>
        <v>0</v>
      </c>
      <c r="T46" s="53">
        <f>SUMIF(PPvsREal!$C:$C,'PPvsREal Summary'!C46,PPvsREal!$T:$T)</f>
        <v>0</v>
      </c>
      <c r="U46" s="53">
        <f>SUMIF(PPvsREal!$C:$C,'PPvsREal Summary'!C46,PPvsREal!$U:$U)</f>
        <v>0</v>
      </c>
      <c r="V46" s="53">
        <f>SUMIF(PPvsREal!$C:$C,'PPvsREal Summary'!C46,PPvsREal!$V:$V)</f>
        <v>0</v>
      </c>
      <c r="W46" s="53">
        <f>SUMIF(PPvsREal!$C:$C,'PPvsREal Summary'!C46,PPvsREal!$W:$W)</f>
        <v>0</v>
      </c>
      <c r="X46" s="53">
        <f>SUMIF(PPvsREal!$C:$C,'PPvsREal Summary'!C46,PPvsREal!$X:$X)</f>
        <v>0</v>
      </c>
      <c r="Y46" s="53">
        <f>SUMIF(PPvsREal!$C:$C,'PPvsREal Summary'!C46,PPvsREal!$Y:$Y)</f>
        <v>0</v>
      </c>
      <c r="Z46" s="53">
        <f>SUMIF(PPvsREal!$C:$C,'PPvsREal Summary'!C46,PPvsREal!$Z:$Z)</f>
        <v>0</v>
      </c>
      <c r="AA46" s="76">
        <f>SUMIF(PPvsREal!$C:$C,'PPvsREal Summary'!C46,PPvsREal!$AA:$AA)</f>
        <v>0</v>
      </c>
      <c r="AB46" s="53"/>
      <c r="AC46" s="64">
        <f t="shared" si="13"/>
        <v>235000</v>
      </c>
      <c r="AD46" s="64">
        <f t="shared" si="14"/>
        <v>207000</v>
      </c>
    </row>
    <row r="47" spans="2:30" ht="12.75" customHeight="1" x14ac:dyDescent="0.25">
      <c r="B47" s="80" t="s">
        <v>351</v>
      </c>
      <c r="C47" s="37" t="s">
        <v>352</v>
      </c>
      <c r="D47" s="45">
        <f>SUMIF(PPvsREal!$C:$C,'PPvsREal Summary'!C47,PPvsREal!$D:$D)</f>
        <v>0</v>
      </c>
      <c r="E47" s="53">
        <f>SUMIF(PPvsREal!$C:$C,'PPvsREal Summary'!C47,PPvsREal!$E:$E)</f>
        <v>0</v>
      </c>
      <c r="F47" s="53">
        <f>SUMIF(PPvsREal!$C:$C,'PPvsREal Summary'!C47,PPvsREal!$F:$F)</f>
        <v>0</v>
      </c>
      <c r="G47" s="53">
        <f>SUMIF(PPvsREal!$C:$C,'PPvsREal Summary'!C47,PPvsREal!$G:$G)</f>
        <v>0</v>
      </c>
      <c r="H47" s="53">
        <f>SUMIF(PPvsREal!$C:$C,'PPvsREal Summary'!C47,PPvsREal!$H:$H)</f>
        <v>0</v>
      </c>
      <c r="I47" s="53">
        <f>SUMIF(PPvsREal!$C:$C,'PPvsREal Summary'!C47,PPvsREal!$I:$I)</f>
        <v>0</v>
      </c>
      <c r="J47" s="53">
        <f>SUMIF(PPvsREal!$C:$C,'PPvsREal Summary'!C47,PPvsREal!$J:$J)</f>
        <v>0</v>
      </c>
      <c r="K47" s="53">
        <f>SUMIF(PPvsREal!$C:$C,'PPvsREal Summary'!C47,PPvsREal!$K:$K)</f>
        <v>0</v>
      </c>
      <c r="L47" s="53">
        <f>SUMIF(PPvsREal!$C:$C,'PPvsREal Summary'!C47,PPvsREal!$L:$L)</f>
        <v>0</v>
      </c>
      <c r="M47" s="53">
        <f>SUMIF(PPvsREal!$C:$C,'PPvsREal Summary'!C47,PPvsREal!$M:$M)</f>
        <v>0</v>
      </c>
      <c r="N47" s="53">
        <f>SUMIF(PPvsREal!$C:$C,'PPvsREal Summary'!C47,PPvsREal!$N:$N)</f>
        <v>0</v>
      </c>
      <c r="O47" s="53">
        <f>SUMIF(PPvsREal!$C:$C,'PPvsREal Summary'!C47,PPvsREal!$O:$O)</f>
        <v>0</v>
      </c>
      <c r="P47" s="53">
        <f>SUMIF(PPvsREal!$C:$C,'PPvsREal Summary'!C47,PPvsREal!$P:$P)</f>
        <v>0</v>
      </c>
      <c r="Q47" s="53">
        <f>SUMIF(PPvsREal!$C:$C,'PPvsREal Summary'!C47,PPvsREal!$Q:$Q)</f>
        <v>0</v>
      </c>
      <c r="R47" s="53">
        <f>SUMIF(PPvsREal!$C:$C,'PPvsREal Summary'!C47,PPvsREal!$R:$R)</f>
        <v>0</v>
      </c>
      <c r="S47" s="53">
        <f>SUMIF(PPvsREal!$C:$C,'PPvsREal Summary'!C47,PPvsREal!$S:$S)</f>
        <v>0</v>
      </c>
      <c r="T47" s="53">
        <f>SUMIF(PPvsREal!$C:$C,'PPvsREal Summary'!C47,PPvsREal!$T:$T)</f>
        <v>0</v>
      </c>
      <c r="U47" s="53">
        <f>SUMIF(PPvsREal!$C:$C,'PPvsREal Summary'!C47,PPvsREal!$U:$U)</f>
        <v>0</v>
      </c>
      <c r="V47" s="53">
        <f>SUMIF(PPvsREal!$C:$C,'PPvsREal Summary'!C47,PPvsREal!$V:$V)</f>
        <v>0</v>
      </c>
      <c r="W47" s="53">
        <f>SUMIF(PPvsREal!$C:$C,'PPvsREal Summary'!C47,PPvsREal!$W:$W)</f>
        <v>0</v>
      </c>
      <c r="X47" s="53">
        <f>SUMIF(PPvsREal!$C:$C,'PPvsREal Summary'!C47,PPvsREal!$X:$X)</f>
        <v>0</v>
      </c>
      <c r="Y47" s="53">
        <f>SUMIF(PPvsREal!$C:$C,'PPvsREal Summary'!C47,PPvsREal!$Y:$Y)</f>
        <v>0</v>
      </c>
      <c r="Z47" s="53">
        <f>SUMIF(PPvsREal!$C:$C,'PPvsREal Summary'!C47,PPvsREal!$Z:$Z)</f>
        <v>0</v>
      </c>
      <c r="AA47" s="76">
        <f>SUMIF(PPvsREal!$C:$C,'PPvsREal Summary'!C47,PPvsREal!$AA:$AA)</f>
        <v>0</v>
      </c>
      <c r="AB47" s="53"/>
      <c r="AC47" s="64">
        <f t="shared" si="13"/>
        <v>0</v>
      </c>
      <c r="AD47" s="64">
        <f t="shared" si="14"/>
        <v>0</v>
      </c>
    </row>
    <row r="48" spans="2:30" ht="12.75" customHeight="1" x14ac:dyDescent="0.25">
      <c r="B48" s="77"/>
      <c r="C48" s="78">
        <v>4.05E+20</v>
      </c>
      <c r="D48" s="49">
        <f>SUM(D35:D47)</f>
        <v>60000</v>
      </c>
      <c r="E48" s="49">
        <f t="shared" ref="E48:AA48" si="15">SUM(E35:E47)</f>
        <v>42382.76</v>
      </c>
      <c r="F48" s="49">
        <f t="shared" si="15"/>
        <v>95000</v>
      </c>
      <c r="G48" s="49">
        <f t="shared" si="15"/>
        <v>126650</v>
      </c>
      <c r="H48" s="49">
        <f t="shared" si="15"/>
        <v>80000</v>
      </c>
      <c r="I48" s="49">
        <f t="shared" si="15"/>
        <v>8500</v>
      </c>
      <c r="J48" s="49">
        <f t="shared" si="15"/>
        <v>260000</v>
      </c>
      <c r="K48" s="49">
        <f t="shared" si="15"/>
        <v>3400</v>
      </c>
      <c r="L48" s="49">
        <f t="shared" si="15"/>
        <v>150000</v>
      </c>
      <c r="M48" s="49">
        <f t="shared" si="15"/>
        <v>80000</v>
      </c>
      <c r="N48" s="49">
        <f t="shared" si="15"/>
        <v>215000</v>
      </c>
      <c r="O48" s="49">
        <f t="shared" si="15"/>
        <v>161050</v>
      </c>
      <c r="P48" s="49">
        <f t="shared" si="15"/>
        <v>85000</v>
      </c>
      <c r="Q48" s="49">
        <f t="shared" si="15"/>
        <v>46800</v>
      </c>
      <c r="R48" s="49">
        <f t="shared" si="15"/>
        <v>140000</v>
      </c>
      <c r="S48" s="49">
        <f t="shared" si="15"/>
        <v>0</v>
      </c>
      <c r="T48" s="49">
        <f t="shared" si="15"/>
        <v>885000</v>
      </c>
      <c r="U48" s="49">
        <f t="shared" si="15"/>
        <v>0</v>
      </c>
      <c r="V48" s="49">
        <f t="shared" si="15"/>
        <v>1030000</v>
      </c>
      <c r="W48" s="49">
        <f t="shared" si="15"/>
        <v>0</v>
      </c>
      <c r="X48" s="49">
        <f t="shared" si="15"/>
        <v>1100000</v>
      </c>
      <c r="Y48" s="49">
        <f t="shared" si="15"/>
        <v>0</v>
      </c>
      <c r="Z48" s="49">
        <f t="shared" si="15"/>
        <v>0</v>
      </c>
      <c r="AA48" s="79">
        <f t="shared" si="15"/>
        <v>0</v>
      </c>
      <c r="AB48" s="53"/>
      <c r="AC48" s="63">
        <f t="shared" si="13"/>
        <v>945000</v>
      </c>
      <c r="AD48" s="63">
        <f t="shared" si="14"/>
        <v>468782.76</v>
      </c>
    </row>
    <row r="49" spans="2:30" ht="12.75" customHeight="1" x14ac:dyDescent="0.25">
      <c r="B49" s="80"/>
      <c r="C49" s="37"/>
      <c r="D49" s="45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76"/>
      <c r="AB49" s="53"/>
      <c r="AC49" s="64"/>
      <c r="AD49" s="64"/>
    </row>
    <row r="50" spans="2:30" ht="12.75" customHeight="1" x14ac:dyDescent="0.25">
      <c r="B50" s="80" t="s">
        <v>351</v>
      </c>
      <c r="C50" s="37" t="s">
        <v>364</v>
      </c>
      <c r="D50" s="45">
        <f>SUMIF(PPvsREal!$C:$C,'PPvsREal Summary'!C50,PPvsREal!$D:$D)</f>
        <v>0</v>
      </c>
      <c r="E50" s="53">
        <f>SUMIF(PPvsREal!$C:$C,'PPvsREal Summary'!C50,PPvsREal!$E:$E)</f>
        <v>0</v>
      </c>
      <c r="F50" s="53">
        <f>SUMIF(PPvsREal!$C:$C,'PPvsREal Summary'!C50,PPvsREal!$F:$F)</f>
        <v>0</v>
      </c>
      <c r="G50" s="53">
        <f>SUMIF(PPvsREal!$C:$C,'PPvsREal Summary'!C50,PPvsREal!$G:$G)</f>
        <v>0</v>
      </c>
      <c r="H50" s="53">
        <f>SUMIF(PPvsREal!$C:$C,'PPvsREal Summary'!C50,PPvsREal!$H:$H)</f>
        <v>0</v>
      </c>
      <c r="I50" s="53">
        <f>SUMIF(PPvsREal!$C:$C,'PPvsREal Summary'!C50,PPvsREal!$I:$I)</f>
        <v>0</v>
      </c>
      <c r="J50" s="53">
        <f>SUMIF(PPvsREal!$C:$C,'PPvsREal Summary'!C50,PPvsREal!$J:$J)</f>
        <v>0</v>
      </c>
      <c r="K50" s="53">
        <f>SUMIF(PPvsREal!$C:$C,'PPvsREal Summary'!C50,PPvsREal!$K:$K)</f>
        <v>0</v>
      </c>
      <c r="L50" s="53">
        <f>SUMIF(PPvsREal!$C:$C,'PPvsREal Summary'!C50,PPvsREal!$L:$L)</f>
        <v>0</v>
      </c>
      <c r="M50" s="53">
        <f>SUMIF(PPvsREal!$C:$C,'PPvsREal Summary'!C50,PPvsREal!$M:$M)</f>
        <v>0</v>
      </c>
      <c r="N50" s="53">
        <f>SUMIF(PPvsREal!$C:$C,'PPvsREal Summary'!C50,PPvsREal!$N:$N)</f>
        <v>0</v>
      </c>
      <c r="O50" s="53">
        <f>SUMIF(PPvsREal!$C:$C,'PPvsREal Summary'!C50,PPvsREal!$O:$O)</f>
        <v>0</v>
      </c>
      <c r="P50" s="53">
        <f>SUMIF(PPvsREal!$C:$C,'PPvsREal Summary'!C50,PPvsREal!$P:$P)</f>
        <v>0</v>
      </c>
      <c r="Q50" s="53">
        <f>SUMIF(PPvsREal!$C:$C,'PPvsREal Summary'!C50,PPvsREal!$Q:$Q)</f>
        <v>0</v>
      </c>
      <c r="R50" s="53">
        <f>SUMIF(PPvsREal!$C:$C,'PPvsREal Summary'!C50,PPvsREal!$R:$R)</f>
        <v>0</v>
      </c>
      <c r="S50" s="53">
        <f>SUMIF(PPvsREal!$C:$C,'PPvsREal Summary'!C50,PPvsREal!$S:$S)</f>
        <v>0</v>
      </c>
      <c r="T50" s="53">
        <f>SUMIF(PPvsREal!$C:$C,'PPvsREal Summary'!C50,PPvsREal!$T:$T)</f>
        <v>0</v>
      </c>
      <c r="U50" s="53">
        <f>SUMIF(PPvsREal!$C:$C,'PPvsREal Summary'!C50,PPvsREal!$U:$U)</f>
        <v>0</v>
      </c>
      <c r="V50" s="53">
        <f>SUMIF(PPvsREal!$C:$C,'PPvsREal Summary'!C50,PPvsREal!$V:$V)</f>
        <v>0</v>
      </c>
      <c r="W50" s="53">
        <f>SUMIF(PPvsREal!$C:$C,'PPvsREal Summary'!C50,PPvsREal!$W:$W)</f>
        <v>0</v>
      </c>
      <c r="X50" s="53">
        <f>SUMIF(PPvsREal!$C:$C,'PPvsREal Summary'!C50,PPvsREal!$X:$X)</f>
        <v>0</v>
      </c>
      <c r="Y50" s="53">
        <f>SUMIF(PPvsREal!$C:$C,'PPvsREal Summary'!C50,PPvsREal!$Y:$Y)</f>
        <v>0</v>
      </c>
      <c r="Z50" s="53">
        <f>SUMIF(PPvsREal!$C:$C,'PPvsREal Summary'!C50,PPvsREal!$Z:$Z)</f>
        <v>0</v>
      </c>
      <c r="AA50" s="76">
        <f>SUMIF(PPvsREal!$C:$C,'PPvsREal Summary'!C50,PPvsREal!$AA:$AA)</f>
        <v>0</v>
      </c>
      <c r="AB50" s="53"/>
      <c r="AC50" s="64">
        <f t="shared" ref="AC50:AC51" si="16">D50+F50+H50+J50+L50+N50+P50</f>
        <v>0</v>
      </c>
      <c r="AD50" s="64">
        <f t="shared" ref="AD50:AD51" si="17">E50+G50+I50+K50+M50+O50+Q50</f>
        <v>0</v>
      </c>
    </row>
    <row r="51" spans="2:30" ht="12.75" customHeight="1" x14ac:dyDescent="0.25">
      <c r="B51" s="77"/>
      <c r="C51" s="78">
        <v>4.08E+20</v>
      </c>
      <c r="D51" s="49">
        <f t="shared" ref="D51:AA51" si="18">D50</f>
        <v>0</v>
      </c>
      <c r="E51" s="49">
        <f t="shared" si="18"/>
        <v>0</v>
      </c>
      <c r="F51" s="49">
        <f t="shared" si="18"/>
        <v>0</v>
      </c>
      <c r="G51" s="49">
        <f t="shared" si="18"/>
        <v>0</v>
      </c>
      <c r="H51" s="49">
        <f t="shared" si="18"/>
        <v>0</v>
      </c>
      <c r="I51" s="49">
        <f t="shared" si="18"/>
        <v>0</v>
      </c>
      <c r="J51" s="49">
        <f t="shared" si="18"/>
        <v>0</v>
      </c>
      <c r="K51" s="49">
        <f t="shared" si="18"/>
        <v>0</v>
      </c>
      <c r="L51" s="49">
        <f t="shared" si="18"/>
        <v>0</v>
      </c>
      <c r="M51" s="49">
        <f t="shared" si="18"/>
        <v>0</v>
      </c>
      <c r="N51" s="49">
        <f t="shared" si="18"/>
        <v>0</v>
      </c>
      <c r="O51" s="49">
        <f t="shared" si="18"/>
        <v>0</v>
      </c>
      <c r="P51" s="49">
        <f t="shared" si="18"/>
        <v>0</v>
      </c>
      <c r="Q51" s="49">
        <f t="shared" si="18"/>
        <v>0</v>
      </c>
      <c r="R51" s="49">
        <f t="shared" si="18"/>
        <v>0</v>
      </c>
      <c r="S51" s="49">
        <f t="shared" si="18"/>
        <v>0</v>
      </c>
      <c r="T51" s="49">
        <f t="shared" si="18"/>
        <v>0</v>
      </c>
      <c r="U51" s="49">
        <f t="shared" si="18"/>
        <v>0</v>
      </c>
      <c r="V51" s="49">
        <f t="shared" si="18"/>
        <v>0</v>
      </c>
      <c r="W51" s="49">
        <f t="shared" si="18"/>
        <v>0</v>
      </c>
      <c r="X51" s="49">
        <f t="shared" si="18"/>
        <v>0</v>
      </c>
      <c r="Y51" s="49">
        <f t="shared" si="18"/>
        <v>0</v>
      </c>
      <c r="Z51" s="49">
        <f t="shared" si="18"/>
        <v>0</v>
      </c>
      <c r="AA51" s="79">
        <f t="shared" si="18"/>
        <v>0</v>
      </c>
      <c r="AB51" s="53"/>
      <c r="AC51" s="63">
        <f t="shared" si="16"/>
        <v>0</v>
      </c>
      <c r="AD51" s="63">
        <f t="shared" si="17"/>
        <v>0</v>
      </c>
    </row>
    <row r="52" spans="2:30" ht="15.75" customHeight="1" x14ac:dyDescent="0.25">
      <c r="B52" s="65"/>
      <c r="AA52" s="66"/>
      <c r="AC52" s="65"/>
      <c r="AD52" s="65"/>
    </row>
    <row r="53" spans="2:30" ht="12.75" customHeight="1" x14ac:dyDescent="0.25">
      <c r="B53" s="80" t="s">
        <v>237</v>
      </c>
      <c r="C53" s="37" t="s">
        <v>229</v>
      </c>
      <c r="D53" s="45">
        <f>SUMIF(PPvsREal!$C:$C,'PPvsREal Summary'!C53,PPvsREal!$D:$D)</f>
        <v>0</v>
      </c>
      <c r="E53" s="53">
        <f>SUMIF(PPvsREal!$C:$C,'PPvsREal Summary'!C53,PPvsREal!$E:$E)</f>
        <v>0</v>
      </c>
      <c r="F53" s="53">
        <f>SUMIF(PPvsREal!$C:$C,'PPvsREal Summary'!C53,PPvsREal!$F:$F)</f>
        <v>0</v>
      </c>
      <c r="G53" s="53">
        <f>SUMIF(PPvsREal!$C:$C,'PPvsREal Summary'!C53,PPvsREal!$G:$G)</f>
        <v>0</v>
      </c>
      <c r="H53" s="53">
        <f>SUMIF(PPvsREal!$C:$C,'PPvsREal Summary'!C53,PPvsREal!$H:$H)</f>
        <v>0</v>
      </c>
      <c r="I53" s="53">
        <f>SUMIF(PPvsREal!$C:$C,'PPvsREal Summary'!C53,PPvsREal!$I:$I)</f>
        <v>0</v>
      </c>
      <c r="J53" s="53">
        <f>SUMIF(PPvsREal!$C:$C,'PPvsREal Summary'!C53,PPvsREal!$J:$J)</f>
        <v>0</v>
      </c>
      <c r="K53" s="53">
        <f>SUMIF(PPvsREal!$C:$C,'PPvsREal Summary'!C53,PPvsREal!$K:$K)</f>
        <v>0</v>
      </c>
      <c r="L53" s="53">
        <f>SUMIF(PPvsREal!$C:$C,'PPvsREal Summary'!C53,PPvsREal!$L:$L)</f>
        <v>0</v>
      </c>
      <c r="M53" s="53">
        <f>SUMIF(PPvsREal!$C:$C,'PPvsREal Summary'!C53,PPvsREal!$M:$M)</f>
        <v>0</v>
      </c>
      <c r="N53" s="53">
        <f>SUMIF(PPvsREal!$C:$C,'PPvsREal Summary'!C53,PPvsREal!$N:$N)</f>
        <v>0</v>
      </c>
      <c r="O53" s="53">
        <f>SUMIF(PPvsREal!$C:$C,'PPvsREal Summary'!C53,PPvsREal!$O:$O)</f>
        <v>0</v>
      </c>
      <c r="P53" s="53">
        <f>SUMIF(PPvsREal!$C:$C,'PPvsREal Summary'!C53,PPvsREal!$P:$P)</f>
        <v>0</v>
      </c>
      <c r="Q53" s="53">
        <f>SUMIF(PPvsREal!$C:$C,'PPvsREal Summary'!C53,PPvsREal!$Q:$Q)</f>
        <v>0</v>
      </c>
      <c r="R53" s="53">
        <f>SUMIF(PPvsREal!$C:$C,'PPvsREal Summary'!C53,PPvsREal!$R:$R)</f>
        <v>0</v>
      </c>
      <c r="S53" s="53">
        <f>SUMIF(PPvsREal!$C:$C,'PPvsREal Summary'!C53,PPvsREal!$S:$S)</f>
        <v>0</v>
      </c>
      <c r="T53" s="53">
        <f>SUMIF(PPvsREal!$C:$C,'PPvsREal Summary'!C53,PPvsREal!$T:$T)</f>
        <v>0</v>
      </c>
      <c r="U53" s="53">
        <f>SUMIF(PPvsREal!$C:$C,'PPvsREal Summary'!C53,PPvsREal!$U:$U)</f>
        <v>0</v>
      </c>
      <c r="V53" s="53">
        <f>SUMIF(PPvsREal!$C:$C,'PPvsREal Summary'!C53,PPvsREal!$V:$V)</f>
        <v>0</v>
      </c>
      <c r="W53" s="53">
        <f>SUMIF(PPvsREal!$C:$C,'PPvsREal Summary'!C53,PPvsREal!$W:$W)</f>
        <v>0</v>
      </c>
      <c r="X53" s="53">
        <f>SUMIF(PPvsREal!$C:$C,'PPvsREal Summary'!C53,PPvsREal!$X:$X)</f>
        <v>0</v>
      </c>
      <c r="Y53" s="53">
        <f>SUMIF(PPvsREal!$C:$C,'PPvsREal Summary'!C53,PPvsREal!$Y:$Y)</f>
        <v>0</v>
      </c>
      <c r="Z53" s="53">
        <f>SUMIF(PPvsREal!$C:$C,'PPvsREal Summary'!C53,PPvsREal!$Z:$Z)</f>
        <v>0</v>
      </c>
      <c r="AA53" s="76">
        <f>SUMIF(PPvsREal!$C:$C,'PPvsREal Summary'!C53,PPvsREal!$AA:$AA)</f>
        <v>0</v>
      </c>
      <c r="AB53" s="53"/>
      <c r="AC53" s="64">
        <f t="shared" ref="AC53:AC54" si="19">D53+F53+H53+J53+L53+N53+P53</f>
        <v>0</v>
      </c>
      <c r="AD53" s="64">
        <f t="shared" ref="AD53:AD54" si="20">E53+G53+I53+K53+M53+O53+Q53</f>
        <v>0</v>
      </c>
    </row>
    <row r="54" spans="2:30" ht="12.75" customHeight="1" x14ac:dyDescent="0.25">
      <c r="B54" s="77"/>
      <c r="C54" s="78">
        <v>4.1E+20</v>
      </c>
      <c r="D54" s="49">
        <f t="shared" ref="D54:AA54" si="21">D53</f>
        <v>0</v>
      </c>
      <c r="E54" s="49">
        <f t="shared" si="21"/>
        <v>0</v>
      </c>
      <c r="F54" s="49">
        <f t="shared" si="21"/>
        <v>0</v>
      </c>
      <c r="G54" s="49">
        <f t="shared" si="21"/>
        <v>0</v>
      </c>
      <c r="H54" s="49">
        <f t="shared" si="21"/>
        <v>0</v>
      </c>
      <c r="I54" s="49">
        <f t="shared" si="21"/>
        <v>0</v>
      </c>
      <c r="J54" s="49">
        <f t="shared" si="21"/>
        <v>0</v>
      </c>
      <c r="K54" s="49">
        <f t="shared" si="21"/>
        <v>0</v>
      </c>
      <c r="L54" s="49">
        <f t="shared" si="21"/>
        <v>0</v>
      </c>
      <c r="M54" s="49">
        <f t="shared" si="21"/>
        <v>0</v>
      </c>
      <c r="N54" s="49">
        <f t="shared" si="21"/>
        <v>0</v>
      </c>
      <c r="O54" s="49">
        <f t="shared" si="21"/>
        <v>0</v>
      </c>
      <c r="P54" s="49">
        <f t="shared" si="21"/>
        <v>0</v>
      </c>
      <c r="Q54" s="49">
        <f t="shared" si="21"/>
        <v>0</v>
      </c>
      <c r="R54" s="49">
        <f t="shared" si="21"/>
        <v>0</v>
      </c>
      <c r="S54" s="49">
        <f t="shared" si="21"/>
        <v>0</v>
      </c>
      <c r="T54" s="49">
        <f t="shared" si="21"/>
        <v>0</v>
      </c>
      <c r="U54" s="49">
        <f t="shared" si="21"/>
        <v>0</v>
      </c>
      <c r="V54" s="49">
        <f t="shared" si="21"/>
        <v>0</v>
      </c>
      <c r="W54" s="49">
        <f t="shared" si="21"/>
        <v>0</v>
      </c>
      <c r="X54" s="49">
        <f t="shared" si="21"/>
        <v>0</v>
      </c>
      <c r="Y54" s="49">
        <f t="shared" si="21"/>
        <v>0</v>
      </c>
      <c r="Z54" s="49">
        <f t="shared" si="21"/>
        <v>0</v>
      </c>
      <c r="AA54" s="79">
        <f t="shared" si="21"/>
        <v>0</v>
      </c>
      <c r="AB54" s="53"/>
      <c r="AC54" s="63">
        <f t="shared" si="19"/>
        <v>0</v>
      </c>
      <c r="AD54" s="63">
        <f t="shared" si="20"/>
        <v>0</v>
      </c>
    </row>
    <row r="55" spans="2:30" ht="12.75" customHeight="1" x14ac:dyDescent="0.25">
      <c r="B55" s="80"/>
      <c r="C55" s="37"/>
      <c r="D55" s="45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76"/>
      <c r="AB55" s="53"/>
      <c r="AC55" s="64"/>
      <c r="AD55" s="64"/>
    </row>
    <row r="56" spans="2:30" ht="12.75" customHeight="1" x14ac:dyDescent="0.25">
      <c r="B56" s="80" t="s">
        <v>348</v>
      </c>
      <c r="C56" s="37" t="s">
        <v>94</v>
      </c>
      <c r="D56" s="45">
        <f>SUMIF(PPvsREal!$C:$C,'PPvsREal Summary'!C56,PPvsREal!$D:$D)</f>
        <v>46322.55</v>
      </c>
      <c r="E56" s="53">
        <f>SUMIF(PPvsREal!$C:$C,'PPvsREal Summary'!C56,PPvsREal!$E:$E)</f>
        <v>3000</v>
      </c>
      <c r="F56" s="53">
        <f>SUMIF(PPvsREal!$C:$C,'PPvsREal Summary'!C56,PPvsREal!$F:$F)</f>
        <v>46322.55</v>
      </c>
      <c r="G56" s="53">
        <f>SUMIF(PPvsREal!$C:$C,'PPvsREal Summary'!C56,PPvsREal!$G:$G)</f>
        <v>66863</v>
      </c>
      <c r="H56" s="53">
        <f>SUMIF(PPvsREal!$C:$C,'PPvsREal Summary'!C56,PPvsREal!$H:$H)</f>
        <v>46322.55</v>
      </c>
      <c r="I56" s="53">
        <f>SUMIF(PPvsREal!$C:$C,'PPvsREal Summary'!C56,PPvsREal!$I:$I)</f>
        <v>41841</v>
      </c>
      <c r="J56" s="53">
        <f>SUMIF(PPvsREal!$C:$C,'PPvsREal Summary'!C56,PPvsREal!$J:$J)</f>
        <v>46322.55</v>
      </c>
      <c r="K56" s="53">
        <f>SUMIF(PPvsREal!$C:$C,'PPvsREal Summary'!C56,PPvsREal!$K:$K)</f>
        <v>13745</v>
      </c>
      <c r="L56" s="53">
        <f>SUMIF(PPvsREal!$C:$C,'PPvsREal Summary'!C56,PPvsREal!$L:$L)</f>
        <v>46322.55</v>
      </c>
      <c r="M56" s="53">
        <f>SUMIF(PPvsREal!$C:$C,'PPvsREal Summary'!C56,PPvsREal!$M:$M)</f>
        <v>36975</v>
      </c>
      <c r="N56" s="53">
        <f>SUMIF(PPvsREal!$C:$C,'PPvsREal Summary'!C56,PPvsREal!$N:$N)</f>
        <v>46322.55</v>
      </c>
      <c r="O56" s="53">
        <f>SUMIF(PPvsREal!$C:$C,'PPvsREal Summary'!C56,PPvsREal!$O:$O)</f>
        <v>5400</v>
      </c>
      <c r="P56" s="53">
        <f>SUMIF(PPvsREal!$C:$C,'PPvsREal Summary'!C56,PPvsREal!$P:$P)</f>
        <v>46322.55</v>
      </c>
      <c r="Q56" s="53">
        <f>SUMIF(PPvsREal!$C:$C,'PPvsREal Summary'!C56,PPvsREal!$Q:$Q)</f>
        <v>85650</v>
      </c>
      <c r="R56" s="53">
        <f>SUMIF(PPvsREal!$C:$C,'PPvsREal Summary'!C56,PPvsREal!$R:$R)</f>
        <v>46322.55</v>
      </c>
      <c r="S56" s="53">
        <f>SUMIF(PPvsREal!$C:$C,'PPvsREal Summary'!C56,PPvsREal!$S:$S)</f>
        <v>0</v>
      </c>
      <c r="T56" s="53">
        <f>SUMIF(PPvsREal!$C:$C,'PPvsREal Summary'!C56,PPvsREal!$T:$T)</f>
        <v>46322.55</v>
      </c>
      <c r="U56" s="53">
        <f>SUMIF(PPvsREal!$C:$C,'PPvsREal Summary'!C56,PPvsREal!$U:$U)</f>
        <v>0</v>
      </c>
      <c r="V56" s="53">
        <f>SUMIF(PPvsREal!$C:$C,'PPvsREal Summary'!C56,PPvsREal!$V:$V)</f>
        <v>46322.55</v>
      </c>
      <c r="W56" s="53">
        <f>SUMIF(PPvsREal!$C:$C,'PPvsREal Summary'!C56,PPvsREal!$W:$W)</f>
        <v>0</v>
      </c>
      <c r="X56" s="53">
        <f>SUMIF(PPvsREal!$C:$C,'PPvsREal Summary'!C56,PPvsREal!$X:$X)</f>
        <v>46322.55</v>
      </c>
      <c r="Y56" s="53">
        <f>SUMIF(PPvsREal!$C:$C,'PPvsREal Summary'!C56,PPvsREal!$Y:$Y)</f>
        <v>0</v>
      </c>
      <c r="Z56" s="53">
        <f>SUMIF(PPvsREal!$C:$C,'PPvsREal Summary'!C56,PPvsREal!$Z:$Z)</f>
        <v>46322.55</v>
      </c>
      <c r="AA56" s="76">
        <f>SUMIF(PPvsREal!$C:$C,'PPvsREal Summary'!C56,PPvsREal!$AA:$AA)</f>
        <v>0</v>
      </c>
      <c r="AB56" s="53"/>
      <c r="AC56" s="64">
        <f t="shared" ref="AC56:AC57" si="22">D56+F56+H56+J56+L56+N56+P56</f>
        <v>324257.84999999998</v>
      </c>
      <c r="AD56" s="64">
        <f t="shared" ref="AD56:AD57" si="23">E56+G56+I56+K56+M56+O56+Q56</f>
        <v>253474</v>
      </c>
    </row>
    <row r="57" spans="2:30" ht="12.75" customHeight="1" x14ac:dyDescent="0.25">
      <c r="B57" s="77"/>
      <c r="C57" s="78">
        <v>5.01001009E+20</v>
      </c>
      <c r="D57" s="49">
        <f t="shared" ref="D57:AA57" si="24">D56</f>
        <v>46322.55</v>
      </c>
      <c r="E57" s="49">
        <f t="shared" si="24"/>
        <v>3000</v>
      </c>
      <c r="F57" s="49">
        <f t="shared" si="24"/>
        <v>46322.55</v>
      </c>
      <c r="G57" s="49">
        <f t="shared" si="24"/>
        <v>66863</v>
      </c>
      <c r="H57" s="49">
        <f t="shared" si="24"/>
        <v>46322.55</v>
      </c>
      <c r="I57" s="49">
        <f t="shared" si="24"/>
        <v>41841</v>
      </c>
      <c r="J57" s="49">
        <f t="shared" si="24"/>
        <v>46322.55</v>
      </c>
      <c r="K57" s="49">
        <f t="shared" si="24"/>
        <v>13745</v>
      </c>
      <c r="L57" s="49">
        <f t="shared" si="24"/>
        <v>46322.55</v>
      </c>
      <c r="M57" s="49">
        <f t="shared" si="24"/>
        <v>36975</v>
      </c>
      <c r="N57" s="49">
        <f t="shared" si="24"/>
        <v>46322.55</v>
      </c>
      <c r="O57" s="49">
        <f t="shared" si="24"/>
        <v>5400</v>
      </c>
      <c r="P57" s="49">
        <f t="shared" si="24"/>
        <v>46322.55</v>
      </c>
      <c r="Q57" s="49">
        <f t="shared" si="24"/>
        <v>85650</v>
      </c>
      <c r="R57" s="49">
        <f t="shared" si="24"/>
        <v>46322.55</v>
      </c>
      <c r="S57" s="49">
        <f t="shared" si="24"/>
        <v>0</v>
      </c>
      <c r="T57" s="49">
        <f t="shared" si="24"/>
        <v>46322.55</v>
      </c>
      <c r="U57" s="49">
        <f t="shared" si="24"/>
        <v>0</v>
      </c>
      <c r="V57" s="49">
        <f t="shared" si="24"/>
        <v>46322.55</v>
      </c>
      <c r="W57" s="49">
        <f t="shared" si="24"/>
        <v>0</v>
      </c>
      <c r="X57" s="49">
        <f t="shared" si="24"/>
        <v>46322.55</v>
      </c>
      <c r="Y57" s="49">
        <f t="shared" si="24"/>
        <v>0</v>
      </c>
      <c r="Z57" s="49">
        <f t="shared" si="24"/>
        <v>46322.55</v>
      </c>
      <c r="AA57" s="79">
        <f t="shared" si="24"/>
        <v>0</v>
      </c>
      <c r="AB57" s="53"/>
      <c r="AC57" s="63">
        <f t="shared" si="22"/>
        <v>324257.84999999998</v>
      </c>
      <c r="AD57" s="63">
        <f t="shared" si="23"/>
        <v>253474</v>
      </c>
    </row>
    <row r="58" spans="2:30" ht="12.75" customHeight="1" x14ac:dyDescent="0.25">
      <c r="B58" s="80"/>
      <c r="C58" s="37"/>
      <c r="D58" s="45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76"/>
      <c r="AB58" s="53"/>
      <c r="AC58" s="64"/>
      <c r="AD58" s="64"/>
    </row>
    <row r="59" spans="2:30" ht="12.75" customHeight="1" x14ac:dyDescent="0.25">
      <c r="B59" s="80" t="s">
        <v>237</v>
      </c>
      <c r="C59" s="37" t="s">
        <v>308</v>
      </c>
      <c r="D59" s="45">
        <f>SUMIF(PPvsREal!$C:$C,'PPvsREal Summary'!C59,PPvsREal!$D:$D)</f>
        <v>476702.14</v>
      </c>
      <c r="E59" s="53">
        <f>SUMIF(PPvsREal!$C:$C,'PPvsREal Summary'!C59,PPvsREal!$E:$E)</f>
        <v>374295.29</v>
      </c>
      <c r="F59" s="53">
        <f>SUMIF(PPvsREal!$C:$C,'PPvsREal Summary'!C59,PPvsREal!$F:$F)</f>
        <v>476702.14</v>
      </c>
      <c r="G59" s="53">
        <f>SUMIF(PPvsREal!$C:$C,'PPvsREal Summary'!C59,PPvsREal!$G:$G)</f>
        <v>454221.51</v>
      </c>
      <c r="H59" s="53">
        <f>SUMIF(PPvsREal!$C:$C,'PPvsREal Summary'!C59,PPvsREal!$H:$H)</f>
        <v>476702.14</v>
      </c>
      <c r="I59" s="53">
        <f>SUMIF(PPvsREal!$C:$C,'PPvsREal Summary'!C59,PPvsREal!$I:$I)</f>
        <v>464140.67</v>
      </c>
      <c r="J59" s="53">
        <f>SUMIF(PPvsREal!$C:$C,'PPvsREal Summary'!C59,PPvsREal!$J:$J)</f>
        <v>476702.14</v>
      </c>
      <c r="K59" s="53">
        <f>SUMIF(PPvsREal!$C:$C,'PPvsREal Summary'!C59,PPvsREal!$K:$K)</f>
        <v>456208.07</v>
      </c>
      <c r="L59" s="53">
        <f>SUMIF(PPvsREal!$C:$C,'PPvsREal Summary'!C59,PPvsREal!$L:$L)</f>
        <v>476702.14</v>
      </c>
      <c r="M59" s="53">
        <f>SUMIF(PPvsREal!$C:$C,'PPvsREal Summary'!C59,PPvsREal!$M:$M)</f>
        <v>683954.99</v>
      </c>
      <c r="N59" s="53">
        <f>SUMIF(PPvsREal!$C:$C,'PPvsREal Summary'!C59,PPvsREal!$N:$N)</f>
        <v>476702.14</v>
      </c>
      <c r="O59" s="53">
        <f>SUMIF(PPvsREal!$C:$C,'PPvsREal Summary'!C59,PPvsREal!$O:$O)</f>
        <v>454501.14</v>
      </c>
      <c r="P59" s="53">
        <f>SUMIF(PPvsREal!$C:$C,'PPvsREal Summary'!C59,PPvsREal!$P:$P)</f>
        <v>476702.14</v>
      </c>
      <c r="Q59" s="53">
        <f>SUMIF(PPvsREal!$C:$C,'PPvsREal Summary'!C59,PPvsREal!$Q:$Q)</f>
        <v>426396.96</v>
      </c>
      <c r="R59" s="53">
        <f>SUMIF(PPvsREal!$C:$C,'PPvsREal Summary'!C59,PPvsREal!$R:$R)</f>
        <v>476702.14</v>
      </c>
      <c r="S59" s="53">
        <f>SUMIF(PPvsREal!$C:$C,'PPvsREal Summary'!C59,PPvsREal!$S:$S)</f>
        <v>0</v>
      </c>
      <c r="T59" s="53">
        <f>SUMIF(PPvsREal!$C:$C,'PPvsREal Summary'!C59,PPvsREal!$T:$T)</f>
        <v>476702.14</v>
      </c>
      <c r="U59" s="53">
        <f>SUMIF(PPvsREal!$C:$C,'PPvsREal Summary'!C59,PPvsREal!$U:$U)</f>
        <v>0</v>
      </c>
      <c r="V59" s="53">
        <f>SUMIF(PPvsREal!$C:$C,'PPvsREal Summary'!C59,PPvsREal!$V:$V)</f>
        <v>476702.14</v>
      </c>
      <c r="W59" s="53">
        <f>SUMIF(PPvsREal!$C:$C,'PPvsREal Summary'!C59,PPvsREal!$W:$W)</f>
        <v>0</v>
      </c>
      <c r="X59" s="53">
        <f>SUMIF(PPvsREal!$C:$C,'PPvsREal Summary'!C59,PPvsREal!$X:$X)</f>
        <v>476702.14</v>
      </c>
      <c r="Y59" s="53">
        <f>SUMIF(PPvsREal!$C:$C,'PPvsREal Summary'!C59,PPvsREal!$Y:$Y)</f>
        <v>0</v>
      </c>
      <c r="Z59" s="53">
        <f>SUMIF(PPvsREal!$C:$C,'PPvsREal Summary'!C59,PPvsREal!$Z:$Z)</f>
        <v>476702.14</v>
      </c>
      <c r="AA59" s="76">
        <f>SUMIF(PPvsREal!$C:$C,'PPvsREal Summary'!C59,PPvsREal!$AA:$AA)</f>
        <v>0</v>
      </c>
      <c r="AB59" s="53"/>
      <c r="AC59" s="64">
        <f t="shared" ref="AC59:AC60" si="25">D59+F59+H59+J59+L59+N59+P59</f>
        <v>3336914.9800000004</v>
      </c>
      <c r="AD59" s="64">
        <f t="shared" ref="AD59:AD60" si="26">E59+G59+I59+K59+M59+O59+Q59</f>
        <v>3313718.6300000004</v>
      </c>
    </row>
    <row r="60" spans="2:30" ht="12.75" customHeight="1" x14ac:dyDescent="0.25">
      <c r="B60" s="77"/>
      <c r="C60" s="78">
        <v>5.01E+20</v>
      </c>
      <c r="D60" s="49">
        <f t="shared" ref="D60:AA60" si="27">D59</f>
        <v>476702.14</v>
      </c>
      <c r="E60" s="49">
        <f t="shared" si="27"/>
        <v>374295.29</v>
      </c>
      <c r="F60" s="49">
        <f t="shared" si="27"/>
        <v>476702.14</v>
      </c>
      <c r="G60" s="49">
        <f t="shared" si="27"/>
        <v>454221.51</v>
      </c>
      <c r="H60" s="49">
        <f t="shared" si="27"/>
        <v>476702.14</v>
      </c>
      <c r="I60" s="49">
        <f t="shared" si="27"/>
        <v>464140.67</v>
      </c>
      <c r="J60" s="49">
        <f t="shared" si="27"/>
        <v>476702.14</v>
      </c>
      <c r="K60" s="49">
        <f t="shared" si="27"/>
        <v>456208.07</v>
      </c>
      <c r="L60" s="49">
        <f t="shared" si="27"/>
        <v>476702.14</v>
      </c>
      <c r="M60" s="49">
        <f t="shared" si="27"/>
        <v>683954.99</v>
      </c>
      <c r="N60" s="49">
        <f t="shared" si="27"/>
        <v>476702.14</v>
      </c>
      <c r="O60" s="49">
        <f t="shared" si="27"/>
        <v>454501.14</v>
      </c>
      <c r="P60" s="49">
        <f t="shared" si="27"/>
        <v>476702.14</v>
      </c>
      <c r="Q60" s="49">
        <f t="shared" si="27"/>
        <v>426396.96</v>
      </c>
      <c r="R60" s="49">
        <f t="shared" si="27"/>
        <v>476702.14</v>
      </c>
      <c r="S60" s="49">
        <f t="shared" si="27"/>
        <v>0</v>
      </c>
      <c r="T60" s="49">
        <f t="shared" si="27"/>
        <v>476702.14</v>
      </c>
      <c r="U60" s="49">
        <f t="shared" si="27"/>
        <v>0</v>
      </c>
      <c r="V60" s="49">
        <f t="shared" si="27"/>
        <v>476702.14</v>
      </c>
      <c r="W60" s="49">
        <f t="shared" si="27"/>
        <v>0</v>
      </c>
      <c r="X60" s="49">
        <f t="shared" si="27"/>
        <v>476702.14</v>
      </c>
      <c r="Y60" s="49">
        <f t="shared" si="27"/>
        <v>0</v>
      </c>
      <c r="Z60" s="49">
        <f t="shared" si="27"/>
        <v>476702.14</v>
      </c>
      <c r="AA60" s="79">
        <f t="shared" si="27"/>
        <v>0</v>
      </c>
      <c r="AB60" s="53"/>
      <c r="AC60" s="63">
        <f t="shared" si="25"/>
        <v>3336914.9800000004</v>
      </c>
      <c r="AD60" s="63">
        <f t="shared" si="26"/>
        <v>3313718.6300000004</v>
      </c>
    </row>
    <row r="61" spans="2:30" ht="12.75" customHeight="1" x14ac:dyDescent="0.25">
      <c r="B61" s="80"/>
      <c r="C61" s="37"/>
      <c r="D61" s="45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76"/>
      <c r="AB61" s="53"/>
      <c r="AC61" s="64"/>
      <c r="AD61" s="64"/>
    </row>
    <row r="62" spans="2:30" ht="12.75" customHeight="1" x14ac:dyDescent="0.25">
      <c r="B62" s="80" t="s">
        <v>349</v>
      </c>
      <c r="C62" s="37" t="s">
        <v>128</v>
      </c>
      <c r="D62" s="45">
        <f>SUMIF(PPvsREal!$C:$C,'PPvsREal Summary'!C62,PPvsREal!$D:$D)</f>
        <v>0</v>
      </c>
      <c r="E62" s="53">
        <f>SUMIF(PPvsREal!$C:$C,'PPvsREal Summary'!C62,PPvsREal!$E:$E)</f>
        <v>0</v>
      </c>
      <c r="F62" s="53">
        <f>SUMIF(PPvsREal!$C:$C,'PPvsREal Summary'!C62,PPvsREal!$F:$F)</f>
        <v>0</v>
      </c>
      <c r="G62" s="53">
        <f>SUMIF(PPvsREal!$C:$C,'PPvsREal Summary'!C62,PPvsREal!$G:$G)</f>
        <v>0</v>
      </c>
      <c r="H62" s="53">
        <f>SUMIF(PPvsREal!$C:$C,'PPvsREal Summary'!C62,PPvsREal!$H:$H)</f>
        <v>0</v>
      </c>
      <c r="I62" s="53">
        <f>SUMIF(PPvsREal!$C:$C,'PPvsREal Summary'!C62,PPvsREal!$I:$I)</f>
        <v>0</v>
      </c>
      <c r="J62" s="53">
        <f>SUMIF(PPvsREal!$C:$C,'PPvsREal Summary'!C62,PPvsREal!$J:$J)</f>
        <v>0</v>
      </c>
      <c r="K62" s="53">
        <f>SUMIF(PPvsREal!$C:$C,'PPvsREal Summary'!C62,PPvsREal!$K:$K)</f>
        <v>0</v>
      </c>
      <c r="L62" s="53">
        <f>SUMIF(PPvsREal!$C:$C,'PPvsREal Summary'!C62,PPvsREal!$L:$L)</f>
        <v>0</v>
      </c>
      <c r="M62" s="53">
        <f>SUMIF(PPvsREal!$C:$C,'PPvsREal Summary'!C62,PPvsREal!$M:$M)</f>
        <v>113.9</v>
      </c>
      <c r="N62" s="53">
        <f>SUMIF(PPvsREal!$C:$C,'PPvsREal Summary'!C62,PPvsREal!$N:$N)</f>
        <v>0</v>
      </c>
      <c r="O62" s="53">
        <f>SUMIF(PPvsREal!$C:$C,'PPvsREal Summary'!C62,PPvsREal!$O:$O)</f>
        <v>30001.66</v>
      </c>
      <c r="P62" s="53">
        <f>SUMIF(PPvsREal!$C:$C,'PPvsREal Summary'!C62,PPvsREal!$P:$P)</f>
        <v>0</v>
      </c>
      <c r="Q62" s="53">
        <f>SUMIF(PPvsREal!$C:$C,'PPvsREal Summary'!C62,PPvsREal!$Q:$Q)</f>
        <v>375.03</v>
      </c>
      <c r="R62" s="53">
        <f>SUMIF(PPvsREal!$C:$C,'PPvsREal Summary'!C62,PPvsREal!$R:$R)</f>
        <v>0</v>
      </c>
      <c r="S62" s="53">
        <f>SUMIF(PPvsREal!$C:$C,'PPvsREal Summary'!C62,PPvsREal!$S:$S)</f>
        <v>0</v>
      </c>
      <c r="T62" s="53">
        <f>SUMIF(PPvsREal!$C:$C,'PPvsREal Summary'!C62,PPvsREal!$T:$T)</f>
        <v>0</v>
      </c>
      <c r="U62" s="53">
        <f>SUMIF(PPvsREal!$C:$C,'PPvsREal Summary'!C62,PPvsREal!$U:$U)</f>
        <v>0</v>
      </c>
      <c r="V62" s="53">
        <f>SUMIF(PPvsREal!$C:$C,'PPvsREal Summary'!C62,PPvsREal!$V:$V)</f>
        <v>0</v>
      </c>
      <c r="W62" s="53">
        <f>SUMIF(PPvsREal!$C:$C,'PPvsREal Summary'!C62,PPvsREal!$W:$W)</f>
        <v>0</v>
      </c>
      <c r="X62" s="53">
        <f>SUMIF(PPvsREal!$C:$C,'PPvsREal Summary'!C62,PPvsREal!$X:$X)</f>
        <v>0</v>
      </c>
      <c r="Y62" s="53">
        <f>SUMIF(PPvsREal!$C:$C,'PPvsREal Summary'!C62,PPvsREal!$Y:$Y)</f>
        <v>0</v>
      </c>
      <c r="Z62" s="53">
        <f>SUMIF(PPvsREal!$C:$C,'PPvsREal Summary'!C62,PPvsREal!$Z:$Z)</f>
        <v>0</v>
      </c>
      <c r="AA62" s="76">
        <f>SUMIF(PPvsREal!$C:$C,'PPvsREal Summary'!C62,PPvsREal!$AA:$AA)</f>
        <v>0</v>
      </c>
      <c r="AB62" s="53"/>
      <c r="AC62" s="64">
        <f t="shared" ref="AC62:AC78" si="28">D62+F62+H62+J62+L62+N62+P62</f>
        <v>0</v>
      </c>
      <c r="AD62" s="64">
        <f t="shared" ref="AD62:AD78" si="29">E62+G62+I62+K62+M62+O62+Q62</f>
        <v>30490.59</v>
      </c>
    </row>
    <row r="63" spans="2:30" ht="12.75" customHeight="1" x14ac:dyDescent="0.25">
      <c r="B63" s="80" t="s">
        <v>349</v>
      </c>
      <c r="C63" s="37" t="s">
        <v>129</v>
      </c>
      <c r="D63" s="45">
        <f>SUMIF(PPvsREal!$C:$C,'PPvsREal Summary'!C63,PPvsREal!$D:$D)</f>
        <v>6000</v>
      </c>
      <c r="E63" s="53">
        <f>SUMIF(PPvsREal!$C:$C,'PPvsREal Summary'!C63,PPvsREal!$E:$E)</f>
        <v>0</v>
      </c>
      <c r="F63" s="53">
        <f>SUMIF(PPvsREal!$C:$C,'PPvsREal Summary'!C63,PPvsREal!$F:$F)</f>
        <v>6000</v>
      </c>
      <c r="G63" s="53">
        <f>SUMIF(PPvsREal!$C:$C,'PPvsREal Summary'!C63,PPvsREal!$G:$G)</f>
        <v>0</v>
      </c>
      <c r="H63" s="53">
        <f>SUMIF(PPvsREal!$C:$C,'PPvsREal Summary'!C63,PPvsREal!$H:$H)</f>
        <v>6000</v>
      </c>
      <c r="I63" s="53">
        <f>SUMIF(PPvsREal!$C:$C,'PPvsREal Summary'!C63,PPvsREal!$I:$I)</f>
        <v>768</v>
      </c>
      <c r="J63" s="53">
        <f>SUMIF(PPvsREal!$C:$C,'PPvsREal Summary'!C63,PPvsREal!$J:$J)</f>
        <v>6000</v>
      </c>
      <c r="K63" s="53">
        <f>SUMIF(PPvsREal!$C:$C,'PPvsREal Summary'!C63,PPvsREal!$K:$K)</f>
        <v>0</v>
      </c>
      <c r="L63" s="53">
        <f>SUMIF(PPvsREal!$C:$C,'PPvsREal Summary'!C63,PPvsREal!$L:$L)</f>
        <v>6000</v>
      </c>
      <c r="M63" s="53">
        <f>SUMIF(PPvsREal!$C:$C,'PPvsREal Summary'!C63,PPvsREal!$M:$M)</f>
        <v>91.12</v>
      </c>
      <c r="N63" s="53">
        <f>SUMIF(PPvsREal!$C:$C,'PPvsREal Summary'!C63,PPvsREal!$N:$N)</f>
        <v>6000</v>
      </c>
      <c r="O63" s="53">
        <f>SUMIF(PPvsREal!$C:$C,'PPvsREal Summary'!C63,PPvsREal!$O:$O)</f>
        <v>11512.78</v>
      </c>
      <c r="P63" s="53">
        <f>SUMIF(PPvsREal!$C:$C,'PPvsREal Summary'!C63,PPvsREal!$P:$P)</f>
        <v>6000</v>
      </c>
      <c r="Q63" s="53">
        <f>SUMIF(PPvsREal!$C:$C,'PPvsREal Summary'!C63,PPvsREal!$Q:$Q)</f>
        <v>0</v>
      </c>
      <c r="R63" s="53">
        <f>SUMIF(PPvsREal!$C:$C,'PPvsREal Summary'!C63,PPvsREal!$R:$R)</f>
        <v>6000</v>
      </c>
      <c r="S63" s="53">
        <f>SUMIF(PPvsREal!$C:$C,'PPvsREal Summary'!C63,PPvsREal!$S:$S)</f>
        <v>0</v>
      </c>
      <c r="T63" s="53">
        <f>SUMIF(PPvsREal!$C:$C,'PPvsREal Summary'!C63,PPvsREal!$T:$T)</f>
        <v>6000</v>
      </c>
      <c r="U63" s="53">
        <f>SUMIF(PPvsREal!$C:$C,'PPvsREal Summary'!C63,PPvsREal!$U:$U)</f>
        <v>0</v>
      </c>
      <c r="V63" s="53">
        <f>SUMIF(PPvsREal!$C:$C,'PPvsREal Summary'!C63,PPvsREal!$V:$V)</f>
        <v>6000</v>
      </c>
      <c r="W63" s="53">
        <f>SUMIF(PPvsREal!$C:$C,'PPvsREal Summary'!C63,PPvsREal!$W:$W)</f>
        <v>0</v>
      </c>
      <c r="X63" s="53">
        <f>SUMIF(PPvsREal!$C:$C,'PPvsREal Summary'!C63,PPvsREal!$X:$X)</f>
        <v>6000</v>
      </c>
      <c r="Y63" s="53">
        <f>SUMIF(PPvsREal!$C:$C,'PPvsREal Summary'!C63,PPvsREal!$Y:$Y)</f>
        <v>0</v>
      </c>
      <c r="Z63" s="53">
        <f>SUMIF(PPvsREal!$C:$C,'PPvsREal Summary'!C63,PPvsREal!$Z:$Z)</f>
        <v>6000</v>
      </c>
      <c r="AA63" s="76">
        <f>SUMIF(PPvsREal!$C:$C,'PPvsREal Summary'!C63,PPvsREal!$AA:$AA)</f>
        <v>0</v>
      </c>
      <c r="AB63" s="53"/>
      <c r="AC63" s="64">
        <f t="shared" si="28"/>
        <v>42000</v>
      </c>
      <c r="AD63" s="64">
        <f t="shared" si="29"/>
        <v>12371.900000000001</v>
      </c>
    </row>
    <row r="64" spans="2:30" ht="12.75" customHeight="1" x14ac:dyDescent="0.25">
      <c r="B64" s="80" t="s">
        <v>349</v>
      </c>
      <c r="C64" s="37" t="s">
        <v>133</v>
      </c>
      <c r="D64" s="45">
        <f>SUMIF(PPvsREal!$C:$C,'PPvsREal Summary'!C64,PPvsREal!$D:$D)</f>
        <v>6000</v>
      </c>
      <c r="E64" s="53">
        <f>SUMIF(PPvsREal!$C:$C,'PPvsREal Summary'!C64,PPvsREal!$E:$E)</f>
        <v>0</v>
      </c>
      <c r="F64" s="53">
        <f>SUMIF(PPvsREal!$C:$C,'PPvsREal Summary'!C64,PPvsREal!$F:$F)</f>
        <v>6000</v>
      </c>
      <c r="G64" s="53">
        <f>SUMIF(PPvsREal!$C:$C,'PPvsREal Summary'!C64,PPvsREal!$G:$G)</f>
        <v>0</v>
      </c>
      <c r="H64" s="53">
        <f>SUMIF(PPvsREal!$C:$C,'PPvsREal Summary'!C64,PPvsREal!$H:$H)</f>
        <v>6000</v>
      </c>
      <c r="I64" s="53">
        <f>SUMIF(PPvsREal!$C:$C,'PPvsREal Summary'!C64,PPvsREal!$I:$I)</f>
        <v>109.38</v>
      </c>
      <c r="J64" s="53">
        <f>SUMIF(PPvsREal!$C:$C,'PPvsREal Summary'!C64,PPvsREal!$J:$J)</f>
        <v>6000</v>
      </c>
      <c r="K64" s="53">
        <f>SUMIF(PPvsREal!$C:$C,'PPvsREal Summary'!C64,PPvsREal!$K:$K)</f>
        <v>0</v>
      </c>
      <c r="L64" s="53">
        <f>SUMIF(PPvsREal!$C:$C,'PPvsREal Summary'!C64,PPvsREal!$L:$L)</f>
        <v>6000</v>
      </c>
      <c r="M64" s="53">
        <f>SUMIF(PPvsREal!$C:$C,'PPvsREal Summary'!C64,PPvsREal!$M:$M)</f>
        <v>0</v>
      </c>
      <c r="N64" s="53">
        <f>SUMIF(PPvsREal!$C:$C,'PPvsREal Summary'!C64,PPvsREal!$N:$N)</f>
        <v>6000</v>
      </c>
      <c r="O64" s="53">
        <f>SUMIF(PPvsREal!$C:$C,'PPvsREal Summary'!C64,PPvsREal!$O:$O)</f>
        <v>769.91</v>
      </c>
      <c r="P64" s="53">
        <f>SUMIF(PPvsREal!$C:$C,'PPvsREal Summary'!C64,PPvsREal!$P:$P)</f>
        <v>6000</v>
      </c>
      <c r="Q64" s="53">
        <f>SUMIF(PPvsREal!$C:$C,'PPvsREal Summary'!C64,PPvsREal!$Q:$Q)</f>
        <v>0</v>
      </c>
      <c r="R64" s="53">
        <f>SUMIF(PPvsREal!$C:$C,'PPvsREal Summary'!C64,PPvsREal!$R:$R)</f>
        <v>6000</v>
      </c>
      <c r="S64" s="53">
        <f>SUMIF(PPvsREal!$C:$C,'PPvsREal Summary'!C64,PPvsREal!$S:$S)</f>
        <v>0</v>
      </c>
      <c r="T64" s="53">
        <f>SUMIF(PPvsREal!$C:$C,'PPvsREal Summary'!C64,PPvsREal!$T:$T)</f>
        <v>6000</v>
      </c>
      <c r="U64" s="53">
        <f>SUMIF(PPvsREal!$C:$C,'PPvsREal Summary'!C64,PPvsREal!$U:$U)</f>
        <v>0</v>
      </c>
      <c r="V64" s="53">
        <f>SUMIF(PPvsREal!$C:$C,'PPvsREal Summary'!C64,PPvsREal!$V:$V)</f>
        <v>6000</v>
      </c>
      <c r="W64" s="53">
        <f>SUMIF(PPvsREal!$C:$C,'PPvsREal Summary'!C64,PPvsREal!$W:$W)</f>
        <v>0</v>
      </c>
      <c r="X64" s="53">
        <f>SUMIF(PPvsREal!$C:$C,'PPvsREal Summary'!C64,PPvsREal!$X:$X)</f>
        <v>6000</v>
      </c>
      <c r="Y64" s="53">
        <f>SUMIF(PPvsREal!$C:$C,'PPvsREal Summary'!C64,PPvsREal!$Y:$Y)</f>
        <v>0</v>
      </c>
      <c r="Z64" s="53">
        <f>SUMIF(PPvsREal!$C:$C,'PPvsREal Summary'!C64,PPvsREal!$Z:$Z)</f>
        <v>6000</v>
      </c>
      <c r="AA64" s="76">
        <f>SUMIF(PPvsREal!$C:$C,'PPvsREal Summary'!C64,PPvsREal!$AA:$AA)</f>
        <v>0</v>
      </c>
      <c r="AB64" s="53"/>
      <c r="AC64" s="64">
        <f t="shared" si="28"/>
        <v>42000</v>
      </c>
      <c r="AD64" s="64">
        <f t="shared" si="29"/>
        <v>879.29</v>
      </c>
    </row>
    <row r="65" spans="2:30" ht="12.75" customHeight="1" x14ac:dyDescent="0.25">
      <c r="B65" s="80" t="s">
        <v>349</v>
      </c>
      <c r="C65" s="37" t="s">
        <v>127</v>
      </c>
      <c r="D65" s="45">
        <f>SUMIF(PPvsREal!$C:$C,'PPvsREal Summary'!C65,PPvsREal!$D:$D)</f>
        <v>8000</v>
      </c>
      <c r="E65" s="53">
        <f>SUMIF(PPvsREal!$C:$C,'PPvsREal Summary'!C65,PPvsREal!$E:$E)</f>
        <v>0</v>
      </c>
      <c r="F65" s="53">
        <f>SUMIF(PPvsREal!$C:$C,'PPvsREal Summary'!C65,PPvsREal!$F:$F)</f>
        <v>8000</v>
      </c>
      <c r="G65" s="53">
        <f>SUMIF(PPvsREal!$C:$C,'PPvsREal Summary'!C65,PPvsREal!$G:$G)</f>
        <v>0</v>
      </c>
      <c r="H65" s="53">
        <f>SUMIF(PPvsREal!$C:$C,'PPvsREal Summary'!C65,PPvsREal!$H:$H)</f>
        <v>8000</v>
      </c>
      <c r="I65" s="53">
        <f>SUMIF(PPvsREal!$C:$C,'PPvsREal Summary'!C65,PPvsREal!$I:$I)</f>
        <v>0</v>
      </c>
      <c r="J65" s="53">
        <f>SUMIF(PPvsREal!$C:$C,'PPvsREal Summary'!C65,PPvsREal!$J:$J)</f>
        <v>8000</v>
      </c>
      <c r="K65" s="53">
        <f>SUMIF(PPvsREal!$C:$C,'PPvsREal Summary'!C65,PPvsREal!$K:$K)</f>
        <v>0</v>
      </c>
      <c r="L65" s="53">
        <f>SUMIF(PPvsREal!$C:$C,'PPvsREal Summary'!C65,PPvsREal!$L:$L)</f>
        <v>8000</v>
      </c>
      <c r="M65" s="53">
        <f>SUMIF(PPvsREal!$C:$C,'PPvsREal Summary'!C65,PPvsREal!$M:$M)</f>
        <v>10815.12</v>
      </c>
      <c r="N65" s="53">
        <f>SUMIF(PPvsREal!$C:$C,'PPvsREal Summary'!C65,PPvsREal!$N:$N)</f>
        <v>8000</v>
      </c>
      <c r="O65" s="53">
        <f>SUMIF(PPvsREal!$C:$C,'PPvsREal Summary'!C65,PPvsREal!$O:$O)</f>
        <v>0</v>
      </c>
      <c r="P65" s="53">
        <f>SUMIF(PPvsREal!$C:$C,'PPvsREal Summary'!C65,PPvsREal!$P:$P)</f>
        <v>8000</v>
      </c>
      <c r="Q65" s="53">
        <f>SUMIF(PPvsREal!$C:$C,'PPvsREal Summary'!C65,PPvsREal!$Q:$Q)</f>
        <v>420</v>
      </c>
      <c r="R65" s="53">
        <f>SUMIF(PPvsREal!$C:$C,'PPvsREal Summary'!C65,PPvsREal!$R:$R)</f>
        <v>8000</v>
      </c>
      <c r="S65" s="53">
        <f>SUMIF(PPvsREal!$C:$C,'PPvsREal Summary'!C65,PPvsREal!$S:$S)</f>
        <v>0</v>
      </c>
      <c r="T65" s="53">
        <f>SUMIF(PPvsREal!$C:$C,'PPvsREal Summary'!C65,PPvsREal!$T:$T)</f>
        <v>8000</v>
      </c>
      <c r="U65" s="53">
        <f>SUMIF(PPvsREal!$C:$C,'PPvsREal Summary'!C65,PPvsREal!$U:$U)</f>
        <v>0</v>
      </c>
      <c r="V65" s="53">
        <f>SUMIF(PPvsREal!$C:$C,'PPvsREal Summary'!C65,PPvsREal!$V:$V)</f>
        <v>8000</v>
      </c>
      <c r="W65" s="53">
        <f>SUMIF(PPvsREal!$C:$C,'PPvsREal Summary'!C65,PPvsREal!$W:$W)</f>
        <v>0</v>
      </c>
      <c r="X65" s="53">
        <f>SUMIF(PPvsREal!$C:$C,'PPvsREal Summary'!C65,PPvsREal!$X:$X)</f>
        <v>8000</v>
      </c>
      <c r="Y65" s="53">
        <f>SUMIF(PPvsREal!$C:$C,'PPvsREal Summary'!C65,PPvsREal!$Y:$Y)</f>
        <v>0</v>
      </c>
      <c r="Z65" s="53">
        <f>SUMIF(PPvsREal!$C:$C,'PPvsREal Summary'!C65,PPvsREal!$Z:$Z)</f>
        <v>8000</v>
      </c>
      <c r="AA65" s="76">
        <f>SUMIF(PPvsREal!$C:$C,'PPvsREal Summary'!C65,PPvsREal!$AA:$AA)</f>
        <v>0</v>
      </c>
      <c r="AB65" s="53"/>
      <c r="AC65" s="64">
        <f t="shared" si="28"/>
        <v>56000</v>
      </c>
      <c r="AD65" s="64">
        <f t="shared" si="29"/>
        <v>11235.12</v>
      </c>
    </row>
    <row r="66" spans="2:30" ht="12.75" customHeight="1" x14ac:dyDescent="0.25">
      <c r="B66" s="80" t="s">
        <v>209</v>
      </c>
      <c r="C66" s="37" t="s">
        <v>201</v>
      </c>
      <c r="D66" s="45">
        <f>SUMIF(PPvsREal!$C:$C,'PPvsREal Summary'!C66,PPvsREal!$D:$D)</f>
        <v>18000</v>
      </c>
      <c r="E66" s="53">
        <f>SUMIF(PPvsREal!$C:$C,'PPvsREal Summary'!C66,PPvsREal!$E:$E)</f>
        <v>0</v>
      </c>
      <c r="F66" s="53">
        <f>SUMIF(PPvsREal!$C:$C,'PPvsREal Summary'!C66,PPvsREal!$F:$F)</f>
        <v>18000</v>
      </c>
      <c r="G66" s="53">
        <f>SUMIF(PPvsREal!$C:$C,'PPvsREal Summary'!C66,PPvsREal!$G:$G)</f>
        <v>0</v>
      </c>
      <c r="H66" s="53">
        <f>SUMIF(PPvsREal!$C:$C,'PPvsREal Summary'!C66,PPvsREal!$H:$H)</f>
        <v>18000</v>
      </c>
      <c r="I66" s="53">
        <f>SUMIF(PPvsREal!$C:$C,'PPvsREal Summary'!C66,PPvsREal!$I:$I)</f>
        <v>0</v>
      </c>
      <c r="J66" s="53">
        <f>SUMIF(PPvsREal!$C:$C,'PPvsREal Summary'!C66,PPvsREal!$J:$J)</f>
        <v>18000</v>
      </c>
      <c r="K66" s="53">
        <f>SUMIF(PPvsREal!$C:$C,'PPvsREal Summary'!C66,PPvsREal!$K:$K)</f>
        <v>0</v>
      </c>
      <c r="L66" s="53">
        <f>SUMIF(PPvsREal!$C:$C,'PPvsREal Summary'!C66,PPvsREal!$L:$L)</f>
        <v>18000</v>
      </c>
      <c r="M66" s="53">
        <f>SUMIF(PPvsREal!$C:$C,'PPvsREal Summary'!C66,PPvsREal!$M:$M)</f>
        <v>0</v>
      </c>
      <c r="N66" s="53">
        <f>SUMIF(PPvsREal!$C:$C,'PPvsREal Summary'!C66,PPvsREal!$N:$N)</f>
        <v>18000</v>
      </c>
      <c r="O66" s="53">
        <f>SUMIF(PPvsREal!$C:$C,'PPvsREal Summary'!C66,PPvsREal!$O:$O)</f>
        <v>0</v>
      </c>
      <c r="P66" s="53">
        <f>SUMIF(PPvsREal!$C:$C,'PPvsREal Summary'!C66,PPvsREal!$P:$P)</f>
        <v>18000</v>
      </c>
      <c r="Q66" s="53">
        <f>SUMIF(PPvsREal!$C:$C,'PPvsREal Summary'!C66,PPvsREal!$Q:$Q)</f>
        <v>372.75</v>
      </c>
      <c r="R66" s="53">
        <f>SUMIF(PPvsREal!$C:$C,'PPvsREal Summary'!C66,PPvsREal!$R:$R)</f>
        <v>18000</v>
      </c>
      <c r="S66" s="53">
        <f>SUMIF(PPvsREal!$C:$C,'PPvsREal Summary'!C66,PPvsREal!$S:$S)</f>
        <v>0</v>
      </c>
      <c r="T66" s="53">
        <f>SUMIF(PPvsREal!$C:$C,'PPvsREal Summary'!C66,PPvsREal!$T:$T)</f>
        <v>18000</v>
      </c>
      <c r="U66" s="53">
        <f>SUMIF(PPvsREal!$C:$C,'PPvsREal Summary'!C66,PPvsREal!$U:$U)</f>
        <v>0</v>
      </c>
      <c r="V66" s="53">
        <f>SUMIF(PPvsREal!$C:$C,'PPvsREal Summary'!C66,PPvsREal!$V:$V)</f>
        <v>18000</v>
      </c>
      <c r="W66" s="53">
        <f>SUMIF(PPvsREal!$C:$C,'PPvsREal Summary'!C66,PPvsREal!$W:$W)</f>
        <v>0</v>
      </c>
      <c r="X66" s="53">
        <f>SUMIF(PPvsREal!$C:$C,'PPvsREal Summary'!C66,PPvsREal!$X:$X)</f>
        <v>18000</v>
      </c>
      <c r="Y66" s="53">
        <f>SUMIF(PPvsREal!$C:$C,'PPvsREal Summary'!C66,PPvsREal!$Y:$Y)</f>
        <v>0</v>
      </c>
      <c r="Z66" s="53">
        <f>SUMIF(PPvsREal!$C:$C,'PPvsREal Summary'!C66,PPvsREal!$Z:$Z)</f>
        <v>18000</v>
      </c>
      <c r="AA66" s="76">
        <f>SUMIF(PPvsREal!$C:$C,'PPvsREal Summary'!C66,PPvsREal!$AA:$AA)</f>
        <v>0</v>
      </c>
      <c r="AB66" s="53"/>
      <c r="AC66" s="64">
        <f t="shared" si="28"/>
        <v>126000</v>
      </c>
      <c r="AD66" s="64">
        <f t="shared" si="29"/>
        <v>372.75</v>
      </c>
    </row>
    <row r="67" spans="2:30" ht="12.75" customHeight="1" x14ac:dyDescent="0.25">
      <c r="B67" s="80" t="s">
        <v>349</v>
      </c>
      <c r="C67" s="37" t="s">
        <v>131</v>
      </c>
      <c r="D67" s="45">
        <f>SUMIF(PPvsREal!$C:$C,'PPvsREal Summary'!C67,PPvsREal!$D:$D)</f>
        <v>11200</v>
      </c>
      <c r="E67" s="53">
        <f>SUMIF(PPvsREal!$C:$C,'PPvsREal Summary'!C67,PPvsREal!$E:$E)</f>
        <v>0</v>
      </c>
      <c r="F67" s="53">
        <f>SUMIF(PPvsREal!$C:$C,'PPvsREal Summary'!C67,PPvsREal!$F:$F)</f>
        <v>11200</v>
      </c>
      <c r="G67" s="53">
        <f>SUMIF(PPvsREal!$C:$C,'PPvsREal Summary'!C67,PPvsREal!$G:$G)</f>
        <v>0</v>
      </c>
      <c r="H67" s="53">
        <f>SUMIF(PPvsREal!$C:$C,'PPvsREal Summary'!C67,PPvsREal!$H:$H)</f>
        <v>11200</v>
      </c>
      <c r="I67" s="53">
        <f>SUMIF(PPvsREal!$C:$C,'PPvsREal Summary'!C67,PPvsREal!$I:$I)</f>
        <v>0</v>
      </c>
      <c r="J67" s="53">
        <f>SUMIF(PPvsREal!$C:$C,'PPvsREal Summary'!C67,PPvsREal!$J:$J)</f>
        <v>11200</v>
      </c>
      <c r="K67" s="53">
        <f>SUMIF(PPvsREal!$C:$C,'PPvsREal Summary'!C67,PPvsREal!$K:$K)</f>
        <v>0</v>
      </c>
      <c r="L67" s="53">
        <f>SUMIF(PPvsREal!$C:$C,'PPvsREal Summary'!C67,PPvsREal!$L:$L)</f>
        <v>11200</v>
      </c>
      <c r="M67" s="53">
        <f>SUMIF(PPvsREal!$C:$C,'PPvsREal Summary'!C67,PPvsREal!$M:$M)</f>
        <v>745.43</v>
      </c>
      <c r="N67" s="53">
        <f>SUMIF(PPvsREal!$C:$C,'PPvsREal Summary'!C67,PPvsREal!$N:$N)</f>
        <v>11200</v>
      </c>
      <c r="O67" s="53">
        <f>SUMIF(PPvsREal!$C:$C,'PPvsREal Summary'!C67,PPvsREal!$O:$O)</f>
        <v>0</v>
      </c>
      <c r="P67" s="53">
        <f>SUMIF(PPvsREal!$C:$C,'PPvsREal Summary'!C67,PPvsREal!$P:$P)</f>
        <v>11200</v>
      </c>
      <c r="Q67" s="53">
        <f>SUMIF(PPvsREal!$C:$C,'PPvsREal Summary'!C67,PPvsREal!$Q:$Q)</f>
        <v>0</v>
      </c>
      <c r="R67" s="53">
        <f>SUMIF(PPvsREal!$C:$C,'PPvsREal Summary'!C67,PPvsREal!$R:$R)</f>
        <v>11200</v>
      </c>
      <c r="S67" s="53">
        <f>SUMIF(PPvsREal!$C:$C,'PPvsREal Summary'!C67,PPvsREal!$S:$S)</f>
        <v>0</v>
      </c>
      <c r="T67" s="53">
        <f>SUMIF(PPvsREal!$C:$C,'PPvsREal Summary'!C67,PPvsREal!$T:$T)</f>
        <v>11200</v>
      </c>
      <c r="U67" s="53">
        <f>SUMIF(PPvsREal!$C:$C,'PPvsREal Summary'!C67,PPvsREal!$U:$U)</f>
        <v>0</v>
      </c>
      <c r="V67" s="53">
        <f>SUMIF(PPvsREal!$C:$C,'PPvsREal Summary'!C67,PPvsREal!$V:$V)</f>
        <v>11200</v>
      </c>
      <c r="W67" s="53">
        <f>SUMIF(PPvsREal!$C:$C,'PPvsREal Summary'!C67,PPvsREal!$W:$W)</f>
        <v>0</v>
      </c>
      <c r="X67" s="53">
        <f>SUMIF(PPvsREal!$C:$C,'PPvsREal Summary'!C67,PPvsREal!$X:$X)</f>
        <v>11200</v>
      </c>
      <c r="Y67" s="53">
        <f>SUMIF(PPvsREal!$C:$C,'PPvsREal Summary'!C67,PPvsREal!$Y:$Y)</f>
        <v>0</v>
      </c>
      <c r="Z67" s="53">
        <f>SUMIF(PPvsREal!$C:$C,'PPvsREal Summary'!C67,PPvsREal!$Z:$Z)</f>
        <v>11200</v>
      </c>
      <c r="AA67" s="76">
        <f>SUMIF(PPvsREal!$C:$C,'PPvsREal Summary'!C67,PPvsREal!$AA:$AA)</f>
        <v>0</v>
      </c>
      <c r="AB67" s="53"/>
      <c r="AC67" s="64">
        <f t="shared" si="28"/>
        <v>78400</v>
      </c>
      <c r="AD67" s="64">
        <f t="shared" si="29"/>
        <v>745.43</v>
      </c>
    </row>
    <row r="68" spans="2:30" ht="12.75" customHeight="1" x14ac:dyDescent="0.25">
      <c r="B68" s="80" t="s">
        <v>349</v>
      </c>
      <c r="C68" s="37" t="s">
        <v>365</v>
      </c>
      <c r="D68" s="45">
        <f>SUMIF(PPvsREal!$C:$C,'PPvsREal Summary'!C68,PPvsREal!$D:$D)</f>
        <v>0</v>
      </c>
      <c r="E68" s="53">
        <f>SUMIF(PPvsREal!$C:$C,'PPvsREal Summary'!C68,PPvsREal!$E:$E)</f>
        <v>0</v>
      </c>
      <c r="F68" s="53">
        <f>SUMIF(PPvsREal!$C:$C,'PPvsREal Summary'!C68,PPvsREal!$F:$F)</f>
        <v>0</v>
      </c>
      <c r="G68" s="53">
        <f>SUMIF(PPvsREal!$C:$C,'PPvsREal Summary'!C68,PPvsREal!$G:$G)</f>
        <v>0</v>
      </c>
      <c r="H68" s="53">
        <f>SUMIF(PPvsREal!$C:$C,'PPvsREal Summary'!C68,PPvsREal!$H:$H)</f>
        <v>0</v>
      </c>
      <c r="I68" s="53">
        <f>SUMIF(PPvsREal!$C:$C,'PPvsREal Summary'!C68,PPvsREal!$I:$I)</f>
        <v>0</v>
      </c>
      <c r="J68" s="53">
        <f>SUMIF(PPvsREal!$C:$C,'PPvsREal Summary'!C68,PPvsREal!$J:$J)</f>
        <v>0</v>
      </c>
      <c r="K68" s="53">
        <f>SUMIF(PPvsREal!$C:$C,'PPvsREal Summary'!C68,PPvsREal!$K:$K)</f>
        <v>0</v>
      </c>
      <c r="L68" s="53">
        <f>SUMIF(PPvsREal!$C:$C,'PPvsREal Summary'!C68,PPvsREal!$L:$L)</f>
        <v>0</v>
      </c>
      <c r="M68" s="53">
        <f>SUMIF(PPvsREal!$C:$C,'PPvsREal Summary'!C68,PPvsREal!$M:$M)</f>
        <v>0</v>
      </c>
      <c r="N68" s="53">
        <f>SUMIF(PPvsREal!$C:$C,'PPvsREal Summary'!C68,PPvsREal!$N:$N)</f>
        <v>0</v>
      </c>
      <c r="O68" s="53">
        <f>SUMIF(PPvsREal!$C:$C,'PPvsREal Summary'!C68,PPvsREal!$O:$O)</f>
        <v>0</v>
      </c>
      <c r="P68" s="53">
        <f>SUMIF(PPvsREal!$C:$C,'PPvsREal Summary'!C68,PPvsREal!$P:$P)</f>
        <v>0</v>
      </c>
      <c r="Q68" s="53">
        <f>SUMIF(PPvsREal!$C:$C,'PPvsREal Summary'!C68,PPvsREal!$Q:$Q)</f>
        <v>0</v>
      </c>
      <c r="R68" s="53">
        <f>SUMIF(PPvsREal!$C:$C,'PPvsREal Summary'!C68,PPvsREal!$R:$R)</f>
        <v>0</v>
      </c>
      <c r="S68" s="53">
        <f>SUMIF(PPvsREal!$C:$C,'PPvsREal Summary'!C68,PPvsREal!$S:$S)</f>
        <v>0</v>
      </c>
      <c r="T68" s="53">
        <f>SUMIF(PPvsREal!$C:$C,'PPvsREal Summary'!C68,PPvsREal!$T:$T)</f>
        <v>0</v>
      </c>
      <c r="U68" s="53">
        <f>SUMIF(PPvsREal!$C:$C,'PPvsREal Summary'!C68,PPvsREal!$U:$U)</f>
        <v>0</v>
      </c>
      <c r="V68" s="53">
        <f>SUMIF(PPvsREal!$C:$C,'PPvsREal Summary'!C68,PPvsREal!$V:$V)</f>
        <v>0</v>
      </c>
      <c r="W68" s="53">
        <f>SUMIF(PPvsREal!$C:$C,'PPvsREal Summary'!C68,PPvsREal!$W:$W)</f>
        <v>0</v>
      </c>
      <c r="X68" s="53">
        <f>SUMIF(PPvsREal!$C:$C,'PPvsREal Summary'!C68,PPvsREal!$X:$X)</f>
        <v>0</v>
      </c>
      <c r="Y68" s="53">
        <f>SUMIF(PPvsREal!$C:$C,'PPvsREal Summary'!C68,PPvsREal!$Y:$Y)</f>
        <v>0</v>
      </c>
      <c r="Z68" s="53">
        <f>SUMIF(PPvsREal!$C:$C,'PPvsREal Summary'!C68,PPvsREal!$Z:$Z)</f>
        <v>0</v>
      </c>
      <c r="AA68" s="76">
        <f>SUMIF(PPvsREal!$C:$C,'PPvsREal Summary'!C68,PPvsREal!$AA:$AA)</f>
        <v>0</v>
      </c>
      <c r="AB68" s="53"/>
      <c r="AC68" s="64">
        <f t="shared" si="28"/>
        <v>0</v>
      </c>
      <c r="AD68" s="64">
        <f t="shared" si="29"/>
        <v>0</v>
      </c>
    </row>
    <row r="69" spans="2:30" ht="12.75" customHeight="1" x14ac:dyDescent="0.25">
      <c r="B69" s="80" t="s">
        <v>349</v>
      </c>
      <c r="C69" s="37" t="s">
        <v>366</v>
      </c>
      <c r="D69" s="45">
        <f>SUMIF(PPvsREal!$C:$C,'PPvsREal Summary'!C69,PPvsREal!$D:$D)</f>
        <v>0</v>
      </c>
      <c r="E69" s="53">
        <f>SUMIF(PPvsREal!$C:$C,'PPvsREal Summary'!C69,PPvsREal!$E:$E)</f>
        <v>0</v>
      </c>
      <c r="F69" s="53">
        <f>SUMIF(PPvsREal!$C:$C,'PPvsREal Summary'!C69,PPvsREal!$F:$F)</f>
        <v>0</v>
      </c>
      <c r="G69" s="53">
        <f>SUMIF(PPvsREal!$C:$C,'PPvsREal Summary'!C69,PPvsREal!$G:$G)</f>
        <v>0</v>
      </c>
      <c r="H69" s="53">
        <f>SUMIF(PPvsREal!$C:$C,'PPvsREal Summary'!C69,PPvsREal!$H:$H)</f>
        <v>0</v>
      </c>
      <c r="I69" s="53">
        <f>SUMIF(PPvsREal!$C:$C,'PPvsREal Summary'!C69,PPvsREal!$I:$I)</f>
        <v>0</v>
      </c>
      <c r="J69" s="53">
        <f>SUMIF(PPvsREal!$C:$C,'PPvsREal Summary'!C69,PPvsREal!$J:$J)</f>
        <v>0</v>
      </c>
      <c r="K69" s="53">
        <f>SUMIF(PPvsREal!$C:$C,'PPvsREal Summary'!C69,PPvsREal!$K:$K)</f>
        <v>0</v>
      </c>
      <c r="L69" s="53">
        <f>SUMIF(PPvsREal!$C:$C,'PPvsREal Summary'!C69,PPvsREal!$L:$L)</f>
        <v>0</v>
      </c>
      <c r="M69" s="53">
        <f>SUMIF(PPvsREal!$C:$C,'PPvsREal Summary'!C69,PPvsREal!$M:$M)</f>
        <v>0</v>
      </c>
      <c r="N69" s="53">
        <f>SUMIF(PPvsREal!$C:$C,'PPvsREal Summary'!C69,PPvsREal!$N:$N)</f>
        <v>0</v>
      </c>
      <c r="O69" s="53">
        <f>SUMIF(PPvsREal!$C:$C,'PPvsREal Summary'!C69,PPvsREal!$O:$O)</f>
        <v>0</v>
      </c>
      <c r="P69" s="53">
        <f>SUMIF(PPvsREal!$C:$C,'PPvsREal Summary'!C69,PPvsREal!$P:$P)</f>
        <v>0</v>
      </c>
      <c r="Q69" s="53">
        <f>SUMIF(PPvsREal!$C:$C,'PPvsREal Summary'!C69,PPvsREal!$Q:$Q)</f>
        <v>0</v>
      </c>
      <c r="R69" s="53">
        <f>SUMIF(PPvsREal!$C:$C,'PPvsREal Summary'!C69,PPvsREal!$R:$R)</f>
        <v>0</v>
      </c>
      <c r="S69" s="53">
        <f>SUMIF(PPvsREal!$C:$C,'PPvsREal Summary'!C69,PPvsREal!$S:$S)</f>
        <v>0</v>
      </c>
      <c r="T69" s="53">
        <f>SUMIF(PPvsREal!$C:$C,'PPvsREal Summary'!C69,PPvsREal!$T:$T)</f>
        <v>0</v>
      </c>
      <c r="U69" s="53">
        <f>SUMIF(PPvsREal!$C:$C,'PPvsREal Summary'!C69,PPvsREal!$U:$U)</f>
        <v>0</v>
      </c>
      <c r="V69" s="53">
        <f>SUMIF(PPvsREal!$C:$C,'PPvsREal Summary'!C69,PPvsREal!$V:$V)</f>
        <v>0</v>
      </c>
      <c r="W69" s="53">
        <f>SUMIF(PPvsREal!$C:$C,'PPvsREal Summary'!C69,PPvsREal!$W:$W)</f>
        <v>0</v>
      </c>
      <c r="X69" s="53">
        <f>SUMIF(PPvsREal!$C:$C,'PPvsREal Summary'!C69,PPvsREal!$X:$X)</f>
        <v>0</v>
      </c>
      <c r="Y69" s="53">
        <f>SUMIF(PPvsREal!$C:$C,'PPvsREal Summary'!C69,PPvsREal!$Y:$Y)</f>
        <v>0</v>
      </c>
      <c r="Z69" s="53">
        <f>SUMIF(PPvsREal!$C:$C,'PPvsREal Summary'!C69,PPvsREal!$Z:$Z)</f>
        <v>0</v>
      </c>
      <c r="AA69" s="76">
        <f>SUMIF(PPvsREal!$C:$C,'PPvsREal Summary'!C69,PPvsREal!$AA:$AA)</f>
        <v>0</v>
      </c>
      <c r="AB69" s="53"/>
      <c r="AC69" s="64">
        <f t="shared" si="28"/>
        <v>0</v>
      </c>
      <c r="AD69" s="64">
        <f t="shared" si="29"/>
        <v>0</v>
      </c>
    </row>
    <row r="70" spans="2:30" ht="12.75" customHeight="1" x14ac:dyDescent="0.25">
      <c r="B70" s="80" t="s">
        <v>209</v>
      </c>
      <c r="C70" s="37" t="s">
        <v>203</v>
      </c>
      <c r="D70" s="45">
        <f>SUMIF(PPvsREal!$C:$C,'PPvsREal Summary'!C70,PPvsREal!$D:$D)</f>
        <v>7840</v>
      </c>
      <c r="E70" s="53">
        <f>SUMIF(PPvsREal!$C:$C,'PPvsREal Summary'!C70,PPvsREal!$E:$E)</f>
        <v>0</v>
      </c>
      <c r="F70" s="53">
        <f>SUMIF(PPvsREal!$C:$C,'PPvsREal Summary'!C70,PPvsREal!$F:$F)</f>
        <v>7840</v>
      </c>
      <c r="G70" s="53">
        <f>SUMIF(PPvsREal!$C:$C,'PPvsREal Summary'!C70,PPvsREal!$G:$G)</f>
        <v>0</v>
      </c>
      <c r="H70" s="53">
        <f>SUMIF(PPvsREal!$C:$C,'PPvsREal Summary'!C70,PPvsREal!$H:$H)</f>
        <v>7840</v>
      </c>
      <c r="I70" s="53">
        <f>SUMIF(PPvsREal!$C:$C,'PPvsREal Summary'!C70,PPvsREal!$I:$I)</f>
        <v>656.5</v>
      </c>
      <c r="J70" s="53">
        <f>SUMIF(PPvsREal!$C:$C,'PPvsREal Summary'!C70,PPvsREal!$J:$J)</f>
        <v>7840</v>
      </c>
      <c r="K70" s="53">
        <f>SUMIF(PPvsREal!$C:$C,'PPvsREal Summary'!C70,PPvsREal!$K:$K)</f>
        <v>20698.439999999999</v>
      </c>
      <c r="L70" s="53">
        <f>SUMIF(PPvsREal!$C:$C,'PPvsREal Summary'!C70,PPvsREal!$L:$L)</f>
        <v>7840</v>
      </c>
      <c r="M70" s="53">
        <f>SUMIF(PPvsREal!$C:$C,'PPvsREal Summary'!C70,PPvsREal!$M:$M)</f>
        <v>8908.76</v>
      </c>
      <c r="N70" s="53">
        <f>SUMIF(PPvsREal!$C:$C,'PPvsREal Summary'!C70,PPvsREal!$N:$N)</f>
        <v>7840</v>
      </c>
      <c r="O70" s="53">
        <f>SUMIF(PPvsREal!$C:$C,'PPvsREal Summary'!C70,PPvsREal!$O:$O)</f>
        <v>8460.24</v>
      </c>
      <c r="P70" s="53">
        <f>SUMIF(PPvsREal!$C:$C,'PPvsREal Summary'!C70,PPvsREal!$P:$P)</f>
        <v>7840</v>
      </c>
      <c r="Q70" s="53">
        <f>SUMIF(PPvsREal!$C:$C,'PPvsREal Summary'!C70,PPvsREal!$Q:$Q)</f>
        <v>2200</v>
      </c>
      <c r="R70" s="53">
        <f>SUMIF(PPvsREal!$C:$C,'PPvsREal Summary'!C70,PPvsREal!$R:$R)</f>
        <v>7840</v>
      </c>
      <c r="S70" s="53">
        <f>SUMIF(PPvsREal!$C:$C,'PPvsREal Summary'!C70,PPvsREal!$S:$S)</f>
        <v>0</v>
      </c>
      <c r="T70" s="53">
        <f>SUMIF(PPvsREal!$C:$C,'PPvsREal Summary'!C70,PPvsREal!$T:$T)</f>
        <v>7840</v>
      </c>
      <c r="U70" s="53">
        <f>SUMIF(PPvsREal!$C:$C,'PPvsREal Summary'!C70,PPvsREal!$U:$U)</f>
        <v>0</v>
      </c>
      <c r="V70" s="53">
        <f>SUMIF(PPvsREal!$C:$C,'PPvsREal Summary'!C70,PPvsREal!$V:$V)</f>
        <v>7840</v>
      </c>
      <c r="W70" s="53">
        <f>SUMIF(PPvsREal!$C:$C,'PPvsREal Summary'!C70,PPvsREal!$W:$W)</f>
        <v>0</v>
      </c>
      <c r="X70" s="53">
        <f>SUMIF(PPvsREal!$C:$C,'PPvsREal Summary'!C70,PPvsREal!$X:$X)</f>
        <v>7840</v>
      </c>
      <c r="Y70" s="53">
        <f>SUMIF(PPvsREal!$C:$C,'PPvsREal Summary'!C70,PPvsREal!$Y:$Y)</f>
        <v>0</v>
      </c>
      <c r="Z70" s="53">
        <f>SUMIF(PPvsREal!$C:$C,'PPvsREal Summary'!C70,PPvsREal!$Z:$Z)</f>
        <v>7840</v>
      </c>
      <c r="AA70" s="76">
        <f>SUMIF(PPvsREal!$C:$C,'PPvsREal Summary'!C70,PPvsREal!$AA:$AA)</f>
        <v>0</v>
      </c>
      <c r="AB70" s="53"/>
      <c r="AC70" s="64">
        <f t="shared" si="28"/>
        <v>54880</v>
      </c>
      <c r="AD70" s="64">
        <f t="shared" si="29"/>
        <v>40923.939999999995</v>
      </c>
    </row>
    <row r="71" spans="2:30" ht="12.75" customHeight="1" x14ac:dyDescent="0.25">
      <c r="B71" s="80" t="s">
        <v>349</v>
      </c>
      <c r="C71" s="37" t="s">
        <v>130</v>
      </c>
      <c r="D71" s="45">
        <f>SUMIF(PPvsREal!$C:$C,'PPvsREal Summary'!C71,PPvsREal!$D:$D)</f>
        <v>0</v>
      </c>
      <c r="E71" s="53">
        <f>SUMIF(PPvsREal!$C:$C,'PPvsREal Summary'!C71,PPvsREal!$E:$E)</f>
        <v>0</v>
      </c>
      <c r="F71" s="53">
        <f>SUMIF(PPvsREal!$C:$C,'PPvsREal Summary'!C71,PPvsREal!$F:$F)</f>
        <v>0</v>
      </c>
      <c r="G71" s="53">
        <f>SUMIF(PPvsREal!$C:$C,'PPvsREal Summary'!C71,PPvsREal!$G:$G)</f>
        <v>916</v>
      </c>
      <c r="H71" s="53">
        <f>SUMIF(PPvsREal!$C:$C,'PPvsREal Summary'!C71,PPvsREal!$H:$H)</f>
        <v>0</v>
      </c>
      <c r="I71" s="53">
        <f>SUMIF(PPvsREal!$C:$C,'PPvsREal Summary'!C71,PPvsREal!$I:$I)</f>
        <v>0</v>
      </c>
      <c r="J71" s="53">
        <f>SUMIF(PPvsREal!$C:$C,'PPvsREal Summary'!C71,PPvsREal!$J:$J)</f>
        <v>0</v>
      </c>
      <c r="K71" s="53">
        <f>SUMIF(PPvsREal!$C:$C,'PPvsREal Summary'!C71,PPvsREal!$K:$K)</f>
        <v>0</v>
      </c>
      <c r="L71" s="53">
        <f>SUMIF(PPvsREal!$C:$C,'PPvsREal Summary'!C71,PPvsREal!$L:$L)</f>
        <v>0</v>
      </c>
      <c r="M71" s="53">
        <f>SUMIF(PPvsREal!$C:$C,'PPvsREal Summary'!C71,PPvsREal!$M:$M)</f>
        <v>623.36</v>
      </c>
      <c r="N71" s="53">
        <f>SUMIF(PPvsREal!$C:$C,'PPvsREal Summary'!C71,PPvsREal!$N:$N)</f>
        <v>0</v>
      </c>
      <c r="O71" s="53">
        <f>SUMIF(PPvsREal!$C:$C,'PPvsREal Summary'!C71,PPvsREal!$O:$O)</f>
        <v>0</v>
      </c>
      <c r="P71" s="53">
        <f>SUMIF(PPvsREal!$C:$C,'PPvsREal Summary'!C71,PPvsREal!$P:$P)</f>
        <v>0</v>
      </c>
      <c r="Q71" s="53">
        <f>SUMIF(PPvsREal!$C:$C,'PPvsREal Summary'!C71,PPvsREal!$Q:$Q)</f>
        <v>0</v>
      </c>
      <c r="R71" s="53">
        <f>SUMIF(PPvsREal!$C:$C,'PPvsREal Summary'!C71,PPvsREal!$R:$R)</f>
        <v>0</v>
      </c>
      <c r="S71" s="53">
        <f>SUMIF(PPvsREal!$C:$C,'PPvsREal Summary'!C71,PPvsREal!$S:$S)</f>
        <v>0</v>
      </c>
      <c r="T71" s="53">
        <f>SUMIF(PPvsREal!$C:$C,'PPvsREal Summary'!C71,PPvsREal!$T:$T)</f>
        <v>0</v>
      </c>
      <c r="U71" s="53">
        <f>SUMIF(PPvsREal!$C:$C,'PPvsREal Summary'!C71,PPvsREal!$U:$U)</f>
        <v>0</v>
      </c>
      <c r="V71" s="53">
        <f>SUMIF(PPvsREal!$C:$C,'PPvsREal Summary'!C71,PPvsREal!$V:$V)</f>
        <v>0</v>
      </c>
      <c r="W71" s="53">
        <f>SUMIF(PPvsREal!$C:$C,'PPvsREal Summary'!C71,PPvsREal!$W:$W)</f>
        <v>0</v>
      </c>
      <c r="X71" s="53">
        <f>SUMIF(PPvsREal!$C:$C,'PPvsREal Summary'!C71,PPvsREal!$X:$X)</f>
        <v>0</v>
      </c>
      <c r="Y71" s="53">
        <f>SUMIF(PPvsREal!$C:$C,'PPvsREal Summary'!C71,PPvsREal!$Y:$Y)</f>
        <v>0</v>
      </c>
      <c r="Z71" s="53">
        <f>SUMIF(PPvsREal!$C:$C,'PPvsREal Summary'!C71,PPvsREal!$Z:$Z)</f>
        <v>0</v>
      </c>
      <c r="AA71" s="76">
        <f>SUMIF(PPvsREal!$C:$C,'PPvsREal Summary'!C71,PPvsREal!$AA:$AA)</f>
        <v>0</v>
      </c>
      <c r="AB71" s="53"/>
      <c r="AC71" s="64">
        <f t="shared" si="28"/>
        <v>0</v>
      </c>
      <c r="AD71" s="64">
        <f t="shared" si="29"/>
        <v>1539.3600000000001</v>
      </c>
    </row>
    <row r="72" spans="2:30" ht="12.75" customHeight="1" x14ac:dyDescent="0.25">
      <c r="B72" s="80" t="s">
        <v>349</v>
      </c>
      <c r="C72" s="37" t="s">
        <v>367</v>
      </c>
      <c r="D72" s="45">
        <f>SUMIF(PPvsREal!$C:$C,'PPvsREal Summary'!C72,PPvsREal!$D:$D)</f>
        <v>0</v>
      </c>
      <c r="E72" s="53">
        <f>SUMIF(PPvsREal!$C:$C,'PPvsREal Summary'!C72,PPvsREal!$E:$E)</f>
        <v>0</v>
      </c>
      <c r="F72" s="53">
        <f>SUMIF(PPvsREal!$C:$C,'PPvsREal Summary'!C72,PPvsREal!$F:$F)</f>
        <v>0</v>
      </c>
      <c r="G72" s="53">
        <f>SUMIF(PPvsREal!$C:$C,'PPvsREal Summary'!C72,PPvsREal!$G:$G)</f>
        <v>0</v>
      </c>
      <c r="H72" s="53">
        <f>SUMIF(PPvsREal!$C:$C,'PPvsREal Summary'!C72,PPvsREal!$H:$H)</f>
        <v>0</v>
      </c>
      <c r="I72" s="53">
        <f>SUMIF(PPvsREal!$C:$C,'PPvsREal Summary'!C72,PPvsREal!$I:$I)</f>
        <v>0</v>
      </c>
      <c r="J72" s="53">
        <f>SUMIF(PPvsREal!$C:$C,'PPvsREal Summary'!C72,PPvsREal!$J:$J)</f>
        <v>0</v>
      </c>
      <c r="K72" s="53">
        <f>SUMIF(PPvsREal!$C:$C,'PPvsREal Summary'!C72,PPvsREal!$K:$K)</f>
        <v>0</v>
      </c>
      <c r="L72" s="53">
        <f>SUMIF(PPvsREal!$C:$C,'PPvsREal Summary'!C72,PPvsREal!$L:$L)</f>
        <v>0</v>
      </c>
      <c r="M72" s="53">
        <f>SUMIF(PPvsREal!$C:$C,'PPvsREal Summary'!C72,PPvsREal!$M:$M)</f>
        <v>0</v>
      </c>
      <c r="N72" s="53">
        <f>SUMIF(PPvsREal!$C:$C,'PPvsREal Summary'!C72,PPvsREal!$N:$N)</f>
        <v>0</v>
      </c>
      <c r="O72" s="53">
        <f>SUMIF(PPvsREal!$C:$C,'PPvsREal Summary'!C72,PPvsREal!$O:$O)</f>
        <v>0</v>
      </c>
      <c r="P72" s="53">
        <f>SUMIF(PPvsREal!$C:$C,'PPvsREal Summary'!C72,PPvsREal!$P:$P)</f>
        <v>0</v>
      </c>
      <c r="Q72" s="53">
        <f>SUMIF(PPvsREal!$C:$C,'PPvsREal Summary'!C72,PPvsREal!$Q:$Q)</f>
        <v>0</v>
      </c>
      <c r="R72" s="53">
        <f>SUMIF(PPvsREal!$C:$C,'PPvsREal Summary'!C72,PPvsREal!$R:$R)</f>
        <v>0</v>
      </c>
      <c r="S72" s="53">
        <f>SUMIF(PPvsREal!$C:$C,'PPvsREal Summary'!C72,PPvsREal!$S:$S)</f>
        <v>0</v>
      </c>
      <c r="T72" s="53">
        <f>SUMIF(PPvsREal!$C:$C,'PPvsREal Summary'!C72,PPvsREal!$T:$T)</f>
        <v>0</v>
      </c>
      <c r="U72" s="53">
        <f>SUMIF(PPvsREal!$C:$C,'PPvsREal Summary'!C72,PPvsREal!$U:$U)</f>
        <v>0</v>
      </c>
      <c r="V72" s="53">
        <f>SUMIF(PPvsREal!$C:$C,'PPvsREal Summary'!C72,PPvsREal!$V:$V)</f>
        <v>0</v>
      </c>
      <c r="W72" s="53">
        <f>SUMIF(PPvsREal!$C:$C,'PPvsREal Summary'!C72,PPvsREal!$W:$W)</f>
        <v>0</v>
      </c>
      <c r="X72" s="53">
        <f>SUMIF(PPvsREal!$C:$C,'PPvsREal Summary'!C72,PPvsREal!$X:$X)</f>
        <v>0</v>
      </c>
      <c r="Y72" s="53">
        <f>SUMIF(PPvsREal!$C:$C,'PPvsREal Summary'!C72,PPvsREal!$Y:$Y)</f>
        <v>0</v>
      </c>
      <c r="Z72" s="53">
        <f>SUMIF(PPvsREal!$C:$C,'PPvsREal Summary'!C72,PPvsREal!$Z:$Z)</f>
        <v>0</v>
      </c>
      <c r="AA72" s="76">
        <f>SUMIF(PPvsREal!$C:$C,'PPvsREal Summary'!C72,PPvsREal!$AA:$AA)</f>
        <v>0</v>
      </c>
      <c r="AB72" s="53"/>
      <c r="AC72" s="64">
        <f t="shared" si="28"/>
        <v>0</v>
      </c>
      <c r="AD72" s="64">
        <f t="shared" si="29"/>
        <v>0</v>
      </c>
    </row>
    <row r="73" spans="2:30" ht="12.75" customHeight="1" x14ac:dyDescent="0.25">
      <c r="B73" s="80" t="s">
        <v>349</v>
      </c>
      <c r="C73" s="37" t="s">
        <v>132</v>
      </c>
      <c r="D73" s="45">
        <f>SUMIF(PPvsREal!$C:$C,'PPvsREal Summary'!C73,PPvsREal!$D:$D)</f>
        <v>0</v>
      </c>
      <c r="E73" s="53">
        <f>SUMIF(PPvsREal!$C:$C,'PPvsREal Summary'!C73,PPvsREal!$E:$E)</f>
        <v>0</v>
      </c>
      <c r="F73" s="53">
        <f>SUMIF(PPvsREal!$C:$C,'PPvsREal Summary'!C73,PPvsREal!$F:$F)</f>
        <v>0</v>
      </c>
      <c r="G73" s="53">
        <f>SUMIF(PPvsREal!$C:$C,'PPvsREal Summary'!C73,PPvsREal!$G:$G)</f>
        <v>0</v>
      </c>
      <c r="H73" s="53">
        <f>SUMIF(PPvsREal!$C:$C,'PPvsREal Summary'!C73,PPvsREal!$H:$H)</f>
        <v>0</v>
      </c>
      <c r="I73" s="53">
        <f>SUMIF(PPvsREal!$C:$C,'PPvsREal Summary'!C73,PPvsREal!$I:$I)</f>
        <v>0</v>
      </c>
      <c r="J73" s="53">
        <f>SUMIF(PPvsREal!$C:$C,'PPvsREal Summary'!C73,PPvsREal!$J:$J)</f>
        <v>0</v>
      </c>
      <c r="K73" s="53">
        <f>SUMIF(PPvsREal!$C:$C,'PPvsREal Summary'!C73,PPvsREal!$K:$K)</f>
        <v>185.01</v>
      </c>
      <c r="L73" s="53">
        <f>SUMIF(PPvsREal!$C:$C,'PPvsREal Summary'!C73,PPvsREal!$L:$L)</f>
        <v>0</v>
      </c>
      <c r="M73" s="53">
        <f>SUMIF(PPvsREal!$C:$C,'PPvsREal Summary'!C73,PPvsREal!$M:$M)</f>
        <v>0</v>
      </c>
      <c r="N73" s="53">
        <f>SUMIF(PPvsREal!$C:$C,'PPvsREal Summary'!C73,PPvsREal!$N:$N)</f>
        <v>0</v>
      </c>
      <c r="O73" s="53">
        <f>SUMIF(PPvsREal!$C:$C,'PPvsREal Summary'!C73,PPvsREal!$O:$O)</f>
        <v>0</v>
      </c>
      <c r="P73" s="53">
        <f>SUMIF(PPvsREal!$C:$C,'PPvsREal Summary'!C73,PPvsREal!$P:$P)</f>
        <v>0</v>
      </c>
      <c r="Q73" s="53">
        <f>SUMIF(PPvsREal!$C:$C,'PPvsREal Summary'!C73,PPvsREal!$Q:$Q)</f>
        <v>0</v>
      </c>
      <c r="R73" s="53">
        <f>SUMIF(PPvsREal!$C:$C,'PPvsREal Summary'!C73,PPvsREal!$R:$R)</f>
        <v>0</v>
      </c>
      <c r="S73" s="53">
        <f>SUMIF(PPvsREal!$C:$C,'PPvsREal Summary'!C73,PPvsREal!$S:$S)</f>
        <v>0</v>
      </c>
      <c r="T73" s="53">
        <f>SUMIF(PPvsREal!$C:$C,'PPvsREal Summary'!C73,PPvsREal!$T:$T)</f>
        <v>0</v>
      </c>
      <c r="U73" s="53">
        <f>SUMIF(PPvsREal!$C:$C,'PPvsREal Summary'!C73,PPvsREal!$U:$U)</f>
        <v>0</v>
      </c>
      <c r="V73" s="53">
        <f>SUMIF(PPvsREal!$C:$C,'PPvsREal Summary'!C73,PPvsREal!$V:$V)</f>
        <v>0</v>
      </c>
      <c r="W73" s="53">
        <f>SUMIF(PPvsREal!$C:$C,'PPvsREal Summary'!C73,PPvsREal!$W:$W)</f>
        <v>0</v>
      </c>
      <c r="X73" s="53">
        <f>SUMIF(PPvsREal!$C:$C,'PPvsREal Summary'!C73,PPvsREal!$X:$X)</f>
        <v>0</v>
      </c>
      <c r="Y73" s="53">
        <f>SUMIF(PPvsREal!$C:$C,'PPvsREal Summary'!C73,PPvsREal!$Y:$Y)</f>
        <v>0</v>
      </c>
      <c r="Z73" s="53">
        <f>SUMIF(PPvsREal!$C:$C,'PPvsREal Summary'!C73,PPvsREal!$Z:$Z)</f>
        <v>0</v>
      </c>
      <c r="AA73" s="76">
        <f>SUMIF(PPvsREal!$C:$C,'PPvsREal Summary'!C73,PPvsREal!$AA:$AA)</f>
        <v>0</v>
      </c>
      <c r="AB73" s="53"/>
      <c r="AC73" s="64">
        <f t="shared" si="28"/>
        <v>0</v>
      </c>
      <c r="AD73" s="64">
        <f t="shared" si="29"/>
        <v>185.01</v>
      </c>
    </row>
    <row r="74" spans="2:30" ht="12.75" customHeight="1" x14ac:dyDescent="0.25">
      <c r="B74" s="80" t="s">
        <v>349</v>
      </c>
      <c r="C74" s="37" t="s">
        <v>135</v>
      </c>
      <c r="D74" s="45">
        <f>SUMIF(PPvsREal!$C:$C,'PPvsREal Summary'!C74,PPvsREal!$D:$D)</f>
        <v>0</v>
      </c>
      <c r="E74" s="53">
        <f>SUMIF(PPvsREal!$C:$C,'PPvsREal Summary'!C74,PPvsREal!$E:$E)</f>
        <v>0</v>
      </c>
      <c r="F74" s="53">
        <f>SUMIF(PPvsREal!$C:$C,'PPvsREal Summary'!C74,PPvsREal!$F:$F)</f>
        <v>0</v>
      </c>
      <c r="G74" s="53">
        <f>SUMIF(PPvsREal!$C:$C,'PPvsREal Summary'!C74,PPvsREal!$G:$G)</f>
        <v>0</v>
      </c>
      <c r="H74" s="53">
        <f>SUMIF(PPvsREal!$C:$C,'PPvsREal Summary'!C74,PPvsREal!$H:$H)</f>
        <v>0</v>
      </c>
      <c r="I74" s="53">
        <f>SUMIF(PPvsREal!$C:$C,'PPvsREal Summary'!C74,PPvsREal!$I:$I)</f>
        <v>0</v>
      </c>
      <c r="J74" s="53">
        <f>SUMIF(PPvsREal!$C:$C,'PPvsREal Summary'!C74,PPvsREal!$J:$J)</f>
        <v>0</v>
      </c>
      <c r="K74" s="53">
        <f>SUMIF(PPvsREal!$C:$C,'PPvsREal Summary'!C74,PPvsREal!$K:$K)</f>
        <v>0</v>
      </c>
      <c r="L74" s="53">
        <f>SUMIF(PPvsREal!$C:$C,'PPvsREal Summary'!C74,PPvsREal!$L:$L)</f>
        <v>0</v>
      </c>
      <c r="M74" s="53">
        <f>SUMIF(PPvsREal!$C:$C,'PPvsREal Summary'!C74,PPvsREal!$M:$M)</f>
        <v>325059</v>
      </c>
      <c r="N74" s="53">
        <f>SUMIF(PPvsREal!$C:$C,'PPvsREal Summary'!C74,PPvsREal!$N:$N)</f>
        <v>36000</v>
      </c>
      <c r="O74" s="53">
        <f>SUMIF(PPvsREal!$C:$C,'PPvsREal Summary'!C74,PPvsREal!$O:$O)</f>
        <v>3047.95</v>
      </c>
      <c r="P74" s="53">
        <f>SUMIF(PPvsREal!$C:$C,'PPvsREal Summary'!C74,PPvsREal!$P:$P)</f>
        <v>32000</v>
      </c>
      <c r="Q74" s="53">
        <f>SUMIF(PPvsREal!$C:$C,'PPvsREal Summary'!C74,PPvsREal!$Q:$Q)</f>
        <v>3693.21</v>
      </c>
      <c r="R74" s="53">
        <f>SUMIF(PPvsREal!$C:$C,'PPvsREal Summary'!C74,PPvsREal!$R:$R)</f>
        <v>36000</v>
      </c>
      <c r="S74" s="53">
        <f>SUMIF(PPvsREal!$C:$C,'PPvsREal Summary'!C74,PPvsREal!$S:$S)</f>
        <v>0</v>
      </c>
      <c r="T74" s="53">
        <f>SUMIF(PPvsREal!$C:$C,'PPvsREal Summary'!C74,PPvsREal!$T:$T)</f>
        <v>32000</v>
      </c>
      <c r="U74" s="53">
        <f>SUMIF(PPvsREal!$C:$C,'PPvsREal Summary'!C74,PPvsREal!$U:$U)</f>
        <v>0</v>
      </c>
      <c r="V74" s="53">
        <f>SUMIF(PPvsREal!$C:$C,'PPvsREal Summary'!C74,PPvsREal!$V:$V)</f>
        <v>0</v>
      </c>
      <c r="W74" s="53">
        <f>SUMIF(PPvsREal!$C:$C,'PPvsREal Summary'!C74,PPvsREal!$W:$W)</f>
        <v>0</v>
      </c>
      <c r="X74" s="53">
        <f>SUMIF(PPvsREal!$C:$C,'PPvsREal Summary'!C74,PPvsREal!$X:$X)</f>
        <v>0</v>
      </c>
      <c r="Y74" s="53">
        <f>SUMIF(PPvsREal!$C:$C,'PPvsREal Summary'!C74,PPvsREal!$Y:$Y)</f>
        <v>0</v>
      </c>
      <c r="Z74" s="53">
        <f>SUMIF(PPvsREal!$C:$C,'PPvsREal Summary'!C74,PPvsREal!$Z:$Z)</f>
        <v>40000</v>
      </c>
      <c r="AA74" s="76">
        <f>SUMIF(PPvsREal!$C:$C,'PPvsREal Summary'!C74,PPvsREal!$AA:$AA)</f>
        <v>0</v>
      </c>
      <c r="AB74" s="53"/>
      <c r="AC74" s="64">
        <f t="shared" si="28"/>
        <v>68000</v>
      </c>
      <c r="AD74" s="64">
        <f t="shared" si="29"/>
        <v>331800.16000000003</v>
      </c>
    </row>
    <row r="75" spans="2:30" ht="12.75" customHeight="1" x14ac:dyDescent="0.25">
      <c r="B75" s="80" t="s">
        <v>349</v>
      </c>
      <c r="C75" s="37" t="s">
        <v>350</v>
      </c>
      <c r="D75" s="45">
        <f>SUMIF(PPvsREal!$C:$C,'PPvsREal Summary'!C75,PPvsREal!$D:$D)</f>
        <v>0</v>
      </c>
      <c r="E75" s="53">
        <f>SUMIF(PPvsREal!$C:$C,'PPvsREal Summary'!C75,PPvsREal!$E:$E)</f>
        <v>0</v>
      </c>
      <c r="F75" s="53">
        <f>SUMIF(PPvsREal!$C:$C,'PPvsREal Summary'!C75,PPvsREal!$F:$F)</f>
        <v>0</v>
      </c>
      <c r="G75" s="53">
        <f>SUMIF(PPvsREal!$C:$C,'PPvsREal Summary'!C75,PPvsREal!$G:$G)</f>
        <v>0</v>
      </c>
      <c r="H75" s="53">
        <f>SUMIF(PPvsREal!$C:$C,'PPvsREal Summary'!C75,PPvsREal!$H:$H)</f>
        <v>0</v>
      </c>
      <c r="I75" s="53">
        <f>SUMIF(PPvsREal!$C:$C,'PPvsREal Summary'!C75,PPvsREal!$I:$I)</f>
        <v>0</v>
      </c>
      <c r="J75" s="53">
        <f>SUMIF(PPvsREal!$C:$C,'PPvsREal Summary'!C75,PPvsREal!$J:$J)</f>
        <v>0</v>
      </c>
      <c r="K75" s="53">
        <f>SUMIF(PPvsREal!$C:$C,'PPvsREal Summary'!C75,PPvsREal!$K:$K)</f>
        <v>0</v>
      </c>
      <c r="L75" s="53">
        <f>SUMIF(PPvsREal!$C:$C,'PPvsREal Summary'!C75,PPvsREal!$L:$L)</f>
        <v>0</v>
      </c>
      <c r="M75" s="53">
        <f>SUMIF(PPvsREal!$C:$C,'PPvsREal Summary'!C75,PPvsREal!$M:$M)</f>
        <v>0</v>
      </c>
      <c r="N75" s="53">
        <f>SUMIF(PPvsREal!$C:$C,'PPvsREal Summary'!C75,PPvsREal!$N:$N)</f>
        <v>0</v>
      </c>
      <c r="O75" s="53">
        <f>SUMIF(PPvsREal!$C:$C,'PPvsREal Summary'!C75,PPvsREal!$O:$O)</f>
        <v>0</v>
      </c>
      <c r="P75" s="53">
        <f>SUMIF(PPvsREal!$C:$C,'PPvsREal Summary'!C75,PPvsREal!$P:$P)</f>
        <v>0</v>
      </c>
      <c r="Q75" s="53">
        <f>SUMIF(PPvsREal!$C:$C,'PPvsREal Summary'!C75,PPvsREal!$Q:$Q)</f>
        <v>511.66</v>
      </c>
      <c r="R75" s="53">
        <f>SUMIF(PPvsREal!$C:$C,'PPvsREal Summary'!C75,PPvsREal!$R:$R)</f>
        <v>0</v>
      </c>
      <c r="S75" s="53">
        <f>SUMIF(PPvsREal!$C:$C,'PPvsREal Summary'!C75,PPvsREal!$S:$S)</f>
        <v>0</v>
      </c>
      <c r="T75" s="53">
        <f>SUMIF(PPvsREal!$C:$C,'PPvsREal Summary'!C75,PPvsREal!$T:$T)</f>
        <v>0</v>
      </c>
      <c r="U75" s="53">
        <f>SUMIF(PPvsREal!$C:$C,'PPvsREal Summary'!C75,PPvsREal!$U:$U)</f>
        <v>0</v>
      </c>
      <c r="V75" s="53">
        <f>SUMIF(PPvsREal!$C:$C,'PPvsREal Summary'!C75,PPvsREal!$V:$V)</f>
        <v>0</v>
      </c>
      <c r="W75" s="53">
        <f>SUMIF(PPvsREal!$C:$C,'PPvsREal Summary'!C75,PPvsREal!$W:$W)</f>
        <v>0</v>
      </c>
      <c r="X75" s="53">
        <f>SUMIF(PPvsREal!$C:$C,'PPvsREal Summary'!C75,PPvsREal!$X:$X)</f>
        <v>0</v>
      </c>
      <c r="Y75" s="53">
        <f>SUMIF(PPvsREal!$C:$C,'PPvsREal Summary'!C75,PPvsREal!$Y:$Y)</f>
        <v>0</v>
      </c>
      <c r="Z75" s="53">
        <f>SUMIF(PPvsREal!$C:$C,'PPvsREal Summary'!C75,PPvsREal!$Z:$Z)</f>
        <v>0</v>
      </c>
      <c r="AA75" s="76">
        <f>SUMIF(PPvsREal!$C:$C,'PPvsREal Summary'!C75,PPvsREal!$AA:$AA)</f>
        <v>0</v>
      </c>
      <c r="AB75" s="53"/>
      <c r="AC75" s="64">
        <f t="shared" si="28"/>
        <v>0</v>
      </c>
      <c r="AD75" s="64">
        <f t="shared" si="29"/>
        <v>511.66</v>
      </c>
    </row>
    <row r="76" spans="2:30" ht="12.75" customHeight="1" x14ac:dyDescent="0.25">
      <c r="B76" s="80"/>
      <c r="C76" s="37" t="s">
        <v>134</v>
      </c>
      <c r="D76" s="45">
        <f>SUMIF(PPvsREal!$C:$C,'PPvsREal Summary'!C76,PPvsREal!$D:$D)</f>
        <v>0</v>
      </c>
      <c r="E76" s="53">
        <f>SUMIF(PPvsREal!$C:$C,'PPvsREal Summary'!C76,PPvsREal!$E:$E)</f>
        <v>0</v>
      </c>
      <c r="F76" s="53">
        <f>SUMIF(PPvsREal!$C:$C,'PPvsREal Summary'!C76,PPvsREal!$F:$F)</f>
        <v>0</v>
      </c>
      <c r="G76" s="53">
        <f>SUMIF(PPvsREal!$C:$C,'PPvsREal Summary'!C76,PPvsREal!$G:$G)</f>
        <v>0</v>
      </c>
      <c r="H76" s="53">
        <f>SUMIF(PPvsREal!$C:$C,'PPvsREal Summary'!C76,PPvsREal!$H:$H)</f>
        <v>0</v>
      </c>
      <c r="I76" s="53">
        <f>SUMIF(PPvsREal!$C:$C,'PPvsREal Summary'!C76,PPvsREal!$I:$I)</f>
        <v>0</v>
      </c>
      <c r="J76" s="53">
        <f>SUMIF(PPvsREal!$C:$C,'PPvsREal Summary'!C76,PPvsREal!$J:$J)</f>
        <v>0</v>
      </c>
      <c r="K76" s="53">
        <f>SUMIF(PPvsREal!$C:$C,'PPvsREal Summary'!C76,PPvsREal!$K:$K)</f>
        <v>0</v>
      </c>
      <c r="L76" s="53">
        <f>SUMIF(PPvsREal!$C:$C,'PPvsREal Summary'!C76,PPvsREal!$L:$L)</f>
        <v>0</v>
      </c>
      <c r="M76" s="53">
        <f>SUMIF(PPvsREal!$C:$C,'PPvsREal Summary'!C76,PPvsREal!$M:$M)</f>
        <v>0</v>
      </c>
      <c r="N76" s="53">
        <f>SUMIF(PPvsREal!$C:$C,'PPvsREal Summary'!C76,PPvsREal!$N:$N)</f>
        <v>0</v>
      </c>
      <c r="O76" s="53">
        <f>SUMIF(PPvsREal!$C:$C,'PPvsREal Summary'!C76,PPvsREal!$O:$O)</f>
        <v>0</v>
      </c>
      <c r="P76" s="53">
        <f>SUMIF(PPvsREal!$C:$C,'PPvsREal Summary'!C76,PPvsREal!$P:$P)</f>
        <v>0</v>
      </c>
      <c r="Q76" s="53">
        <f>SUMIF(PPvsREal!$C:$C,'PPvsREal Summary'!C76,PPvsREal!$Q:$Q)</f>
        <v>0</v>
      </c>
      <c r="R76" s="53">
        <f>SUMIF(PPvsREal!$C:$C,'PPvsREal Summary'!C76,PPvsREal!$R:$R)</f>
        <v>0</v>
      </c>
      <c r="S76" s="53">
        <f>SUMIF(PPvsREal!$C:$C,'PPvsREal Summary'!C76,PPvsREal!$S:$S)</f>
        <v>0</v>
      </c>
      <c r="T76" s="53">
        <f>SUMIF(PPvsREal!$C:$C,'PPvsREal Summary'!C76,PPvsREal!$T:$T)</f>
        <v>0</v>
      </c>
      <c r="U76" s="53">
        <f>SUMIF(PPvsREal!$C:$C,'PPvsREal Summary'!C76,PPvsREal!$U:$U)</f>
        <v>0</v>
      </c>
      <c r="V76" s="53">
        <f>SUMIF(PPvsREal!$C:$C,'PPvsREal Summary'!C76,PPvsREal!$V:$V)</f>
        <v>0</v>
      </c>
      <c r="W76" s="53">
        <f>SUMIF(PPvsREal!$C:$C,'PPvsREal Summary'!C76,PPvsREal!$W:$W)</f>
        <v>0</v>
      </c>
      <c r="X76" s="53">
        <f>SUMIF(PPvsREal!$C:$C,'PPvsREal Summary'!C76,PPvsREal!$X:$X)</f>
        <v>0</v>
      </c>
      <c r="Y76" s="53">
        <f>SUMIF(PPvsREal!$C:$C,'PPvsREal Summary'!C76,PPvsREal!$Y:$Y)</f>
        <v>0</v>
      </c>
      <c r="Z76" s="53">
        <f>SUMIF(PPvsREal!$C:$C,'PPvsREal Summary'!C76,PPvsREal!$Z:$Z)</f>
        <v>0</v>
      </c>
      <c r="AA76" s="76">
        <f>SUMIF(PPvsREal!$C:$C,'PPvsREal Summary'!C76,PPvsREal!$AA:$AA)</f>
        <v>0</v>
      </c>
      <c r="AB76" s="53"/>
      <c r="AC76" s="64">
        <f t="shared" si="28"/>
        <v>0</v>
      </c>
      <c r="AD76" s="64">
        <f t="shared" si="29"/>
        <v>0</v>
      </c>
    </row>
    <row r="77" spans="2:30" ht="12.75" customHeight="1" x14ac:dyDescent="0.25">
      <c r="B77" s="80"/>
      <c r="C77" s="37" t="s">
        <v>125</v>
      </c>
      <c r="D77" s="45">
        <f>SUMIF(PPvsREal!$C:$C,'PPvsREal Summary'!C77,PPvsREal!$D:$D)</f>
        <v>0</v>
      </c>
      <c r="E77" s="53">
        <f>SUMIF(PPvsREal!$C:$C,'PPvsREal Summary'!C77,PPvsREal!$E:$E)</f>
        <v>0</v>
      </c>
      <c r="F77" s="53">
        <f>SUMIF(PPvsREal!$C:$C,'PPvsREal Summary'!C77,PPvsREal!$F:$F)</f>
        <v>6000</v>
      </c>
      <c r="G77" s="53">
        <f>SUMIF(PPvsREal!$C:$C,'PPvsREal Summary'!C77,PPvsREal!$G:$G)</f>
        <v>0</v>
      </c>
      <c r="H77" s="53">
        <f>SUMIF(PPvsREal!$C:$C,'PPvsREal Summary'!C77,PPvsREal!$H:$H)</f>
        <v>0</v>
      </c>
      <c r="I77" s="53">
        <f>SUMIF(PPvsREal!$C:$C,'PPvsREal Summary'!C77,PPvsREal!$I:$I)</f>
        <v>0</v>
      </c>
      <c r="J77" s="53">
        <f>SUMIF(PPvsREal!$C:$C,'PPvsREal Summary'!C77,PPvsREal!$J:$J)</f>
        <v>6000</v>
      </c>
      <c r="K77" s="53">
        <f>SUMIF(PPvsREal!$C:$C,'PPvsREal Summary'!C77,PPvsREal!$K:$K)</f>
        <v>0</v>
      </c>
      <c r="L77" s="53">
        <f>SUMIF(PPvsREal!$C:$C,'PPvsREal Summary'!C77,PPvsREal!$L:$L)</f>
        <v>0</v>
      </c>
      <c r="M77" s="53">
        <f>SUMIF(PPvsREal!$C:$C,'PPvsREal Summary'!C77,PPvsREal!$M:$M)</f>
        <v>0</v>
      </c>
      <c r="N77" s="53">
        <f>SUMIF(PPvsREal!$C:$C,'PPvsREal Summary'!C77,PPvsREal!$N:$N)</f>
        <v>6000</v>
      </c>
      <c r="O77" s="53">
        <f>SUMIF(PPvsREal!$C:$C,'PPvsREal Summary'!C77,PPvsREal!$O:$O)</f>
        <v>45.56</v>
      </c>
      <c r="P77" s="53">
        <f>SUMIF(PPvsREal!$C:$C,'PPvsREal Summary'!C77,PPvsREal!$P:$P)</f>
        <v>0</v>
      </c>
      <c r="Q77" s="53">
        <f>SUMIF(PPvsREal!$C:$C,'PPvsREal Summary'!C77,PPvsREal!$Q:$Q)</f>
        <v>5651.27</v>
      </c>
      <c r="R77" s="53">
        <f>SUMIF(PPvsREal!$C:$C,'PPvsREal Summary'!C77,PPvsREal!$R:$R)</f>
        <v>6000</v>
      </c>
      <c r="S77" s="53">
        <f>SUMIF(PPvsREal!$C:$C,'PPvsREal Summary'!C77,PPvsREal!$S:$S)</f>
        <v>0</v>
      </c>
      <c r="T77" s="53">
        <f>SUMIF(PPvsREal!$C:$C,'PPvsREal Summary'!C77,PPvsREal!$T:$T)</f>
        <v>0</v>
      </c>
      <c r="U77" s="53">
        <f>SUMIF(PPvsREal!$C:$C,'PPvsREal Summary'!C77,PPvsREal!$U:$U)</f>
        <v>0</v>
      </c>
      <c r="V77" s="53">
        <f>SUMIF(PPvsREal!$C:$C,'PPvsREal Summary'!C77,PPvsREal!$V:$V)</f>
        <v>6000</v>
      </c>
      <c r="W77" s="53">
        <f>SUMIF(PPvsREal!$C:$C,'PPvsREal Summary'!C77,PPvsREal!$W:$W)</f>
        <v>0</v>
      </c>
      <c r="X77" s="53">
        <f>SUMIF(PPvsREal!$C:$C,'PPvsREal Summary'!C77,PPvsREal!$X:$X)</f>
        <v>0</v>
      </c>
      <c r="Y77" s="53">
        <f>SUMIF(PPvsREal!$C:$C,'PPvsREal Summary'!C77,PPvsREal!$Y:$Y)</f>
        <v>0</v>
      </c>
      <c r="Z77" s="53">
        <f>SUMIF(PPvsREal!$C:$C,'PPvsREal Summary'!C77,PPvsREal!$Z:$Z)</f>
        <v>6000</v>
      </c>
      <c r="AA77" s="76">
        <f>SUMIF(PPvsREal!$C:$C,'PPvsREal Summary'!C77,PPvsREal!$AA:$AA)</f>
        <v>0</v>
      </c>
      <c r="AB77" s="53"/>
      <c r="AC77" s="64">
        <f t="shared" si="28"/>
        <v>18000</v>
      </c>
      <c r="AD77" s="64">
        <f t="shared" si="29"/>
        <v>5696.8300000000008</v>
      </c>
    </row>
    <row r="78" spans="2:30" ht="12.75" customHeight="1" x14ac:dyDescent="0.25">
      <c r="B78" s="77"/>
      <c r="C78" s="78">
        <v>5.02E+20</v>
      </c>
      <c r="D78" s="49">
        <f t="shared" ref="D78:AA78" si="30">SUM(D62:D77)</f>
        <v>57040</v>
      </c>
      <c r="E78" s="49">
        <f t="shared" si="30"/>
        <v>0</v>
      </c>
      <c r="F78" s="49">
        <f t="shared" si="30"/>
        <v>63040</v>
      </c>
      <c r="G78" s="49">
        <f t="shared" si="30"/>
        <v>916</v>
      </c>
      <c r="H78" s="49">
        <f t="shared" si="30"/>
        <v>57040</v>
      </c>
      <c r="I78" s="49">
        <f t="shared" si="30"/>
        <v>1533.88</v>
      </c>
      <c r="J78" s="49">
        <f t="shared" si="30"/>
        <v>63040</v>
      </c>
      <c r="K78" s="49">
        <f t="shared" si="30"/>
        <v>20883.449999999997</v>
      </c>
      <c r="L78" s="49">
        <f t="shared" si="30"/>
        <v>57040</v>
      </c>
      <c r="M78" s="49">
        <f t="shared" si="30"/>
        <v>346356.69</v>
      </c>
      <c r="N78" s="49">
        <f t="shared" si="30"/>
        <v>99040</v>
      </c>
      <c r="O78" s="49">
        <f t="shared" si="30"/>
        <v>53838.1</v>
      </c>
      <c r="P78" s="49">
        <f t="shared" si="30"/>
        <v>89040</v>
      </c>
      <c r="Q78" s="49">
        <f t="shared" si="30"/>
        <v>13223.92</v>
      </c>
      <c r="R78" s="49">
        <f t="shared" si="30"/>
        <v>99040</v>
      </c>
      <c r="S78" s="49">
        <f t="shared" si="30"/>
        <v>0</v>
      </c>
      <c r="T78" s="49">
        <f t="shared" si="30"/>
        <v>89040</v>
      </c>
      <c r="U78" s="49">
        <f t="shared" si="30"/>
        <v>0</v>
      </c>
      <c r="V78" s="49">
        <f t="shared" si="30"/>
        <v>63040</v>
      </c>
      <c r="W78" s="49">
        <f t="shared" si="30"/>
        <v>0</v>
      </c>
      <c r="X78" s="49">
        <f t="shared" si="30"/>
        <v>57040</v>
      </c>
      <c r="Y78" s="49">
        <f t="shared" si="30"/>
        <v>0</v>
      </c>
      <c r="Z78" s="49">
        <f t="shared" si="30"/>
        <v>103040</v>
      </c>
      <c r="AA78" s="79">
        <f t="shared" si="30"/>
        <v>0</v>
      </c>
      <c r="AB78" s="53"/>
      <c r="AC78" s="63">
        <f t="shared" si="28"/>
        <v>485280</v>
      </c>
      <c r="AD78" s="63">
        <f t="shared" si="29"/>
        <v>436752.04</v>
      </c>
    </row>
    <row r="79" spans="2:30" ht="12.75" customHeight="1" x14ac:dyDescent="0.25">
      <c r="B79" s="80"/>
      <c r="C79" s="37"/>
      <c r="D79" s="45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76"/>
      <c r="AB79" s="53"/>
      <c r="AC79" s="64"/>
      <c r="AD79" s="64"/>
    </row>
    <row r="80" spans="2:30" ht="12.75" customHeight="1" x14ac:dyDescent="0.25">
      <c r="B80" s="80" t="s">
        <v>351</v>
      </c>
      <c r="C80" s="37" t="s">
        <v>190</v>
      </c>
      <c r="D80" s="45">
        <f>SUMIF(PPvsREal!$C:$C,'PPvsREal Summary'!C80,PPvsREal!$D:$D)</f>
        <v>23634.45</v>
      </c>
      <c r="E80" s="53">
        <f>SUMIF(PPvsREal!$C:$C,'PPvsREal Summary'!C80,PPvsREal!$E:$E)</f>
        <v>39300</v>
      </c>
      <c r="F80" s="53">
        <f>SUMIF(PPvsREal!$C:$C,'PPvsREal Summary'!C80,PPvsREal!$F:$F)</f>
        <v>23634.45</v>
      </c>
      <c r="G80" s="53">
        <f>SUMIF(PPvsREal!$C:$C,'PPvsREal Summary'!C80,PPvsREal!$G:$G)</f>
        <v>26200</v>
      </c>
      <c r="H80" s="53">
        <f>SUMIF(PPvsREal!$C:$C,'PPvsREal Summary'!C80,PPvsREal!$H:$H)</f>
        <v>23634.45</v>
      </c>
      <c r="I80" s="53">
        <f>SUMIF(PPvsREal!$C:$C,'PPvsREal Summary'!C80,PPvsREal!$I:$I)</f>
        <v>39300</v>
      </c>
      <c r="J80" s="53">
        <f>SUMIF(PPvsREal!$C:$C,'PPvsREal Summary'!C80,PPvsREal!$J:$J)</f>
        <v>23634.45</v>
      </c>
      <c r="K80" s="53">
        <f>SUMIF(PPvsREal!$C:$C,'PPvsREal Summary'!C80,PPvsREal!$K:$K)</f>
        <v>39300</v>
      </c>
      <c r="L80" s="53">
        <f>SUMIF(PPvsREal!$C:$C,'PPvsREal Summary'!C80,PPvsREal!$L:$L)</f>
        <v>23634.45</v>
      </c>
      <c r="M80" s="53">
        <f>SUMIF(PPvsREal!$C:$C,'PPvsREal Summary'!C80,PPvsREal!$M:$M)</f>
        <v>26200</v>
      </c>
      <c r="N80" s="53">
        <f>SUMIF(PPvsREal!$C:$C,'PPvsREal Summary'!C80,PPvsREal!$N:$N)</f>
        <v>23634.45</v>
      </c>
      <c r="O80" s="53">
        <f>SUMIF(PPvsREal!$C:$C,'PPvsREal Summary'!C80,PPvsREal!$O:$O)</f>
        <v>26200</v>
      </c>
      <c r="P80" s="53">
        <f>SUMIF(PPvsREal!$C:$C,'PPvsREal Summary'!C80,PPvsREal!$P:$P)</f>
        <v>23634.45</v>
      </c>
      <c r="Q80" s="53">
        <f>SUMIF(PPvsREal!$C:$C,'PPvsREal Summary'!C80,PPvsREal!$Q:$Q)</f>
        <v>26200</v>
      </c>
      <c r="R80" s="53">
        <f>SUMIF(PPvsREal!$C:$C,'PPvsREal Summary'!C80,PPvsREal!$R:$R)</f>
        <v>23634.45</v>
      </c>
      <c r="S80" s="53">
        <f>SUMIF(PPvsREal!$C:$C,'PPvsREal Summary'!C80,PPvsREal!$S:$S)</f>
        <v>0</v>
      </c>
      <c r="T80" s="53">
        <f>SUMIF(PPvsREal!$C:$C,'PPvsREal Summary'!C80,PPvsREal!$T:$T)</f>
        <v>23634.45</v>
      </c>
      <c r="U80" s="53">
        <f>SUMIF(PPvsREal!$C:$C,'PPvsREal Summary'!C80,PPvsREal!$U:$U)</f>
        <v>0</v>
      </c>
      <c r="V80" s="53">
        <f>SUMIF(PPvsREal!$C:$C,'PPvsREal Summary'!C80,PPvsREal!$V:$V)</f>
        <v>23634.45</v>
      </c>
      <c r="W80" s="53">
        <f>SUMIF(PPvsREal!$C:$C,'PPvsREal Summary'!C80,PPvsREal!$W:$W)</f>
        <v>0</v>
      </c>
      <c r="X80" s="53">
        <f>SUMIF(PPvsREal!$C:$C,'PPvsREal Summary'!C80,PPvsREal!$X:$X)</f>
        <v>23634.45</v>
      </c>
      <c r="Y80" s="53">
        <f>SUMIF(PPvsREal!$C:$C,'PPvsREal Summary'!C80,PPvsREal!$Y:$Y)</f>
        <v>0</v>
      </c>
      <c r="Z80" s="53">
        <f>SUMIF(PPvsREal!$C:$C,'PPvsREal Summary'!C80,PPvsREal!$Z:$Z)</f>
        <v>23634.45</v>
      </c>
      <c r="AA80" s="76">
        <f>SUMIF(PPvsREal!$C:$C,'PPvsREal Summary'!C80,PPvsREal!$AA:$AA)</f>
        <v>0</v>
      </c>
      <c r="AB80" s="53"/>
      <c r="AC80" s="64">
        <f t="shared" ref="AC80:AC81" si="31">D80+F80+H80+J80+L80+N80+P80</f>
        <v>165441.15000000002</v>
      </c>
      <c r="AD80" s="64">
        <f t="shared" ref="AD80:AD81" si="32">E80+G80+I80+K80+M80+O80+Q80</f>
        <v>222700</v>
      </c>
    </row>
    <row r="81" spans="2:30" ht="12.75" customHeight="1" x14ac:dyDescent="0.25">
      <c r="B81" s="77"/>
      <c r="C81" s="78">
        <v>6.01E+20</v>
      </c>
      <c r="D81" s="49">
        <f t="shared" ref="D81:AA81" si="33">D80</f>
        <v>23634.45</v>
      </c>
      <c r="E81" s="49">
        <f t="shared" si="33"/>
        <v>39300</v>
      </c>
      <c r="F81" s="49">
        <f t="shared" si="33"/>
        <v>23634.45</v>
      </c>
      <c r="G81" s="49">
        <f t="shared" si="33"/>
        <v>26200</v>
      </c>
      <c r="H81" s="49">
        <f t="shared" si="33"/>
        <v>23634.45</v>
      </c>
      <c r="I81" s="49">
        <f t="shared" si="33"/>
        <v>39300</v>
      </c>
      <c r="J81" s="49">
        <f t="shared" si="33"/>
        <v>23634.45</v>
      </c>
      <c r="K81" s="49">
        <f t="shared" si="33"/>
        <v>39300</v>
      </c>
      <c r="L81" s="49">
        <f t="shared" si="33"/>
        <v>23634.45</v>
      </c>
      <c r="M81" s="49">
        <f t="shared" si="33"/>
        <v>26200</v>
      </c>
      <c r="N81" s="49">
        <f t="shared" si="33"/>
        <v>23634.45</v>
      </c>
      <c r="O81" s="49">
        <f t="shared" si="33"/>
        <v>26200</v>
      </c>
      <c r="P81" s="49">
        <f t="shared" si="33"/>
        <v>23634.45</v>
      </c>
      <c r="Q81" s="49">
        <f t="shared" si="33"/>
        <v>26200</v>
      </c>
      <c r="R81" s="49">
        <f t="shared" si="33"/>
        <v>23634.45</v>
      </c>
      <c r="S81" s="49">
        <f t="shared" si="33"/>
        <v>0</v>
      </c>
      <c r="T81" s="49">
        <f t="shared" si="33"/>
        <v>23634.45</v>
      </c>
      <c r="U81" s="49">
        <f t="shared" si="33"/>
        <v>0</v>
      </c>
      <c r="V81" s="49">
        <f t="shared" si="33"/>
        <v>23634.45</v>
      </c>
      <c r="W81" s="49">
        <f t="shared" si="33"/>
        <v>0</v>
      </c>
      <c r="X81" s="49">
        <f t="shared" si="33"/>
        <v>23634.45</v>
      </c>
      <c r="Y81" s="49">
        <f t="shared" si="33"/>
        <v>0</v>
      </c>
      <c r="Z81" s="49">
        <f t="shared" si="33"/>
        <v>23634.45</v>
      </c>
      <c r="AA81" s="79">
        <f t="shared" si="33"/>
        <v>0</v>
      </c>
      <c r="AB81" s="53"/>
      <c r="AC81" s="63">
        <f t="shared" si="31"/>
        <v>165441.15000000002</v>
      </c>
      <c r="AD81" s="63">
        <f t="shared" si="32"/>
        <v>222700</v>
      </c>
    </row>
    <row r="82" spans="2:30" ht="12.75" customHeight="1" x14ac:dyDescent="0.25">
      <c r="B82" s="80"/>
      <c r="C82" s="37"/>
      <c r="D82" s="45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76"/>
      <c r="AB82" s="53"/>
      <c r="AC82" s="64"/>
      <c r="AD82" s="64"/>
    </row>
    <row r="83" spans="2:30" ht="12.75" customHeight="1" x14ac:dyDescent="0.25">
      <c r="B83" s="80" t="s">
        <v>351</v>
      </c>
      <c r="C83" s="37" t="s">
        <v>177</v>
      </c>
      <c r="D83" s="45">
        <f>SUMIF(PPvsREal!$C:$C,'PPvsREal Summary'!C83,PPvsREal!$D:$D)</f>
        <v>0</v>
      </c>
      <c r="E83" s="53">
        <f>SUMIF(PPvsREal!$C:$C,'PPvsREal Summary'!C83,PPvsREal!$E:$E)</f>
        <v>0</v>
      </c>
      <c r="F83" s="53">
        <f>SUMIF(PPvsREal!$C:$C,'PPvsREal Summary'!C83,PPvsREal!$F:$F)</f>
        <v>0</v>
      </c>
      <c r="G83" s="53">
        <f>SUMIF(PPvsREal!$C:$C,'PPvsREal Summary'!C83,PPvsREal!$G:$G)</f>
        <v>0</v>
      </c>
      <c r="H83" s="53">
        <f>SUMIF(PPvsREal!$C:$C,'PPvsREal Summary'!C83,PPvsREal!$H:$H)</f>
        <v>0</v>
      </c>
      <c r="I83" s="53">
        <f>SUMIF(PPvsREal!$C:$C,'PPvsREal Summary'!C83,PPvsREal!$I:$I)</f>
        <v>0</v>
      </c>
      <c r="J83" s="53">
        <f>SUMIF(PPvsREal!$C:$C,'PPvsREal Summary'!C83,PPvsREal!$J:$J)</f>
        <v>0</v>
      </c>
      <c r="K83" s="53">
        <f>SUMIF(PPvsREal!$C:$C,'PPvsREal Summary'!C83,PPvsREal!$K:$K)</f>
        <v>0</v>
      </c>
      <c r="L83" s="53">
        <f>SUMIF(PPvsREal!$C:$C,'PPvsREal Summary'!C83,PPvsREal!$L:$L)</f>
        <v>0</v>
      </c>
      <c r="M83" s="53">
        <f>SUMIF(PPvsREal!$C:$C,'PPvsREal Summary'!C83,PPvsREal!$M:$M)</f>
        <v>0</v>
      </c>
      <c r="N83" s="53">
        <f>SUMIF(PPvsREal!$C:$C,'PPvsREal Summary'!C83,PPvsREal!$N:$N)</f>
        <v>0</v>
      </c>
      <c r="O83" s="53">
        <f>SUMIF(PPvsREal!$C:$C,'PPvsREal Summary'!C83,PPvsREal!$O:$O)</f>
        <v>0</v>
      </c>
      <c r="P83" s="53">
        <f>SUMIF(PPvsREal!$C:$C,'PPvsREal Summary'!C83,PPvsREal!$P:$P)</f>
        <v>0</v>
      </c>
      <c r="Q83" s="53">
        <f>SUMIF(PPvsREal!$C:$C,'PPvsREal Summary'!C83,PPvsREal!$Q:$Q)</f>
        <v>0</v>
      </c>
      <c r="R83" s="53">
        <f>SUMIF(PPvsREal!$C:$C,'PPvsREal Summary'!C83,PPvsREal!$R:$R)</f>
        <v>0</v>
      </c>
      <c r="S83" s="53">
        <f>SUMIF(PPvsREal!$C:$C,'PPvsREal Summary'!C83,PPvsREal!$S:$S)</f>
        <v>0</v>
      </c>
      <c r="T83" s="53">
        <f>SUMIF(PPvsREal!$C:$C,'PPvsREal Summary'!C83,PPvsREal!$T:$T)</f>
        <v>0</v>
      </c>
      <c r="U83" s="53">
        <f>SUMIF(PPvsREal!$C:$C,'PPvsREal Summary'!C83,PPvsREal!$U:$U)</f>
        <v>0</v>
      </c>
      <c r="V83" s="53">
        <f>SUMIF(PPvsREal!$C:$C,'PPvsREal Summary'!C83,PPvsREal!$V:$V)</f>
        <v>700000</v>
      </c>
      <c r="W83" s="53">
        <f>SUMIF(PPvsREal!$C:$C,'PPvsREal Summary'!C83,PPvsREal!$W:$W)</f>
        <v>0</v>
      </c>
      <c r="X83" s="53">
        <f>SUMIF(PPvsREal!$C:$C,'PPvsREal Summary'!C83,PPvsREal!$X:$X)</f>
        <v>0</v>
      </c>
      <c r="Y83" s="53">
        <f>SUMIF(PPvsREal!$C:$C,'PPvsREal Summary'!C83,PPvsREal!$Y:$Y)</f>
        <v>0</v>
      </c>
      <c r="Z83" s="53">
        <f>SUMIF(PPvsREal!$C:$C,'PPvsREal Summary'!C83,PPvsREal!$Z:$Z)</f>
        <v>0</v>
      </c>
      <c r="AA83" s="76">
        <f>SUMIF(PPvsREal!$C:$C,'PPvsREal Summary'!C83,PPvsREal!$AA:$AA)</f>
        <v>0</v>
      </c>
      <c r="AB83" s="53"/>
      <c r="AC83" s="64">
        <f t="shared" ref="AC83:AC98" si="34">D83+F83+H83+J83+L83+N83+P83</f>
        <v>0</v>
      </c>
      <c r="AD83" s="64">
        <f t="shared" ref="AD83:AD98" si="35">E83+G83+I83+K83+M83+O83+Q83</f>
        <v>0</v>
      </c>
    </row>
    <row r="84" spans="2:30" ht="12.75" customHeight="1" x14ac:dyDescent="0.25">
      <c r="B84" s="80" t="s">
        <v>351</v>
      </c>
      <c r="C84" s="37" t="s">
        <v>178</v>
      </c>
      <c r="D84" s="45">
        <f>SUMIF(PPvsREal!$C:$C,'PPvsREal Summary'!C84,PPvsREal!$D:$D)</f>
        <v>0</v>
      </c>
      <c r="E84" s="53">
        <f>SUMIF(PPvsREal!$C:$C,'PPvsREal Summary'!C84,PPvsREal!$E:$E)</f>
        <v>0</v>
      </c>
      <c r="F84" s="53">
        <f>SUMIF(PPvsREal!$C:$C,'PPvsREal Summary'!C84,PPvsREal!$F:$F)</f>
        <v>0</v>
      </c>
      <c r="G84" s="53">
        <f>SUMIF(PPvsREal!$C:$C,'PPvsREal Summary'!C84,PPvsREal!$G:$G)</f>
        <v>0</v>
      </c>
      <c r="H84" s="53">
        <f>SUMIF(PPvsREal!$C:$C,'PPvsREal Summary'!C84,PPvsREal!$H:$H)</f>
        <v>0</v>
      </c>
      <c r="I84" s="53">
        <f>SUMIF(PPvsREal!$C:$C,'PPvsREal Summary'!C84,PPvsREal!$I:$I)</f>
        <v>0</v>
      </c>
      <c r="J84" s="53">
        <f>SUMIF(PPvsREal!$C:$C,'PPvsREal Summary'!C84,PPvsREal!$J:$J)</f>
        <v>0</v>
      </c>
      <c r="K84" s="53">
        <f>SUMIF(PPvsREal!$C:$C,'PPvsREal Summary'!C84,PPvsREal!$K:$K)</f>
        <v>0</v>
      </c>
      <c r="L84" s="53">
        <f>SUMIF(PPvsREal!$C:$C,'PPvsREal Summary'!C84,PPvsREal!$L:$L)</f>
        <v>0</v>
      </c>
      <c r="M84" s="53">
        <f>SUMIF(PPvsREal!$C:$C,'PPvsREal Summary'!C84,PPvsREal!$M:$M)</f>
        <v>0</v>
      </c>
      <c r="N84" s="53">
        <f>SUMIF(PPvsREal!$C:$C,'PPvsREal Summary'!C84,PPvsREal!$N:$N)</f>
        <v>0</v>
      </c>
      <c r="O84" s="53">
        <f>SUMIF(PPvsREal!$C:$C,'PPvsREal Summary'!C84,PPvsREal!$O:$O)</f>
        <v>0</v>
      </c>
      <c r="P84" s="53">
        <f>SUMIF(PPvsREal!$C:$C,'PPvsREal Summary'!C84,PPvsREal!$P:$P)</f>
        <v>0</v>
      </c>
      <c r="Q84" s="53">
        <f>SUMIF(PPvsREal!$C:$C,'PPvsREal Summary'!C84,PPvsREal!$Q:$Q)</f>
        <v>0</v>
      </c>
      <c r="R84" s="53">
        <f>SUMIF(PPvsREal!$C:$C,'PPvsREal Summary'!C84,PPvsREal!$R:$R)</f>
        <v>0</v>
      </c>
      <c r="S84" s="53">
        <f>SUMIF(PPvsREal!$C:$C,'PPvsREal Summary'!C84,PPvsREal!$S:$S)</f>
        <v>0</v>
      </c>
      <c r="T84" s="53">
        <f>SUMIF(PPvsREal!$C:$C,'PPvsREal Summary'!C84,PPvsREal!$T:$T)</f>
        <v>0</v>
      </c>
      <c r="U84" s="53">
        <f>SUMIF(PPvsREal!$C:$C,'PPvsREal Summary'!C84,PPvsREal!$U:$U)</f>
        <v>0</v>
      </c>
      <c r="V84" s="53">
        <f>SUMIF(PPvsREal!$C:$C,'PPvsREal Summary'!C84,PPvsREal!$V:$V)</f>
        <v>0</v>
      </c>
      <c r="W84" s="53">
        <f>SUMIF(PPvsREal!$C:$C,'PPvsREal Summary'!C84,PPvsREal!$W:$W)</f>
        <v>0</v>
      </c>
      <c r="X84" s="53">
        <f>SUMIF(PPvsREal!$C:$C,'PPvsREal Summary'!C84,PPvsREal!$X:$X)</f>
        <v>700000</v>
      </c>
      <c r="Y84" s="53">
        <f>SUMIF(PPvsREal!$C:$C,'PPvsREal Summary'!C84,PPvsREal!$Y:$Y)</f>
        <v>0</v>
      </c>
      <c r="Z84" s="53">
        <f>SUMIF(PPvsREal!$C:$C,'PPvsREal Summary'!C84,PPvsREal!$Z:$Z)</f>
        <v>0</v>
      </c>
      <c r="AA84" s="76">
        <f>SUMIF(PPvsREal!$C:$C,'PPvsREal Summary'!C84,PPvsREal!$AA:$AA)</f>
        <v>0</v>
      </c>
      <c r="AB84" s="53"/>
      <c r="AC84" s="64">
        <f t="shared" si="34"/>
        <v>0</v>
      </c>
      <c r="AD84" s="64">
        <f t="shared" si="35"/>
        <v>0</v>
      </c>
    </row>
    <row r="85" spans="2:30" ht="12.75" customHeight="1" x14ac:dyDescent="0.25">
      <c r="B85" s="80" t="s">
        <v>351</v>
      </c>
      <c r="C85" s="37" t="s">
        <v>368</v>
      </c>
      <c r="D85" s="45">
        <f>SUMIF(PPvsREal!$C:$C,'PPvsREal Summary'!C85,PPvsREal!$D:$D)</f>
        <v>0</v>
      </c>
      <c r="E85" s="53">
        <f>SUMIF(PPvsREal!$C:$C,'PPvsREal Summary'!C85,PPvsREal!$E:$E)</f>
        <v>0</v>
      </c>
      <c r="F85" s="53">
        <f>SUMIF(PPvsREal!$C:$C,'PPvsREal Summary'!C85,PPvsREal!$F:$F)</f>
        <v>0</v>
      </c>
      <c r="G85" s="53">
        <f>SUMIF(PPvsREal!$C:$C,'PPvsREal Summary'!C85,PPvsREal!$G:$G)</f>
        <v>0</v>
      </c>
      <c r="H85" s="53">
        <f>SUMIF(PPvsREal!$C:$C,'PPvsREal Summary'!C85,PPvsREal!$H:$H)</f>
        <v>0</v>
      </c>
      <c r="I85" s="53">
        <f>SUMIF(PPvsREal!$C:$C,'PPvsREal Summary'!C85,PPvsREal!$I:$I)</f>
        <v>0</v>
      </c>
      <c r="J85" s="53">
        <f>SUMIF(PPvsREal!$C:$C,'PPvsREal Summary'!C85,PPvsREal!$J:$J)</f>
        <v>0</v>
      </c>
      <c r="K85" s="53">
        <f>SUMIF(PPvsREal!$C:$C,'PPvsREal Summary'!C85,PPvsREal!$K:$K)</f>
        <v>0</v>
      </c>
      <c r="L85" s="53">
        <f>SUMIF(PPvsREal!$C:$C,'PPvsREal Summary'!C85,PPvsREal!$L:$L)</f>
        <v>0</v>
      </c>
      <c r="M85" s="53">
        <f>SUMIF(PPvsREal!$C:$C,'PPvsREal Summary'!C85,PPvsREal!$M:$M)</f>
        <v>0</v>
      </c>
      <c r="N85" s="53">
        <f>SUMIF(PPvsREal!$C:$C,'PPvsREal Summary'!C85,PPvsREal!$N:$N)</f>
        <v>0</v>
      </c>
      <c r="O85" s="53">
        <f>SUMIF(PPvsREal!$C:$C,'PPvsREal Summary'!C85,PPvsREal!$O:$O)</f>
        <v>0</v>
      </c>
      <c r="P85" s="53">
        <f>SUMIF(PPvsREal!$C:$C,'PPvsREal Summary'!C85,PPvsREal!$P:$P)</f>
        <v>0</v>
      </c>
      <c r="Q85" s="53">
        <f>SUMIF(PPvsREal!$C:$C,'PPvsREal Summary'!C85,PPvsREal!$Q:$Q)</f>
        <v>0</v>
      </c>
      <c r="R85" s="53">
        <f>SUMIF(PPvsREal!$C:$C,'PPvsREal Summary'!C85,PPvsREal!$R:$R)</f>
        <v>0</v>
      </c>
      <c r="S85" s="53">
        <f>SUMIF(PPvsREal!$C:$C,'PPvsREal Summary'!C85,PPvsREal!$S:$S)</f>
        <v>0</v>
      </c>
      <c r="T85" s="53">
        <f>SUMIF(PPvsREal!$C:$C,'PPvsREal Summary'!C85,PPvsREal!$T:$T)</f>
        <v>0</v>
      </c>
      <c r="U85" s="53">
        <f>SUMIF(PPvsREal!$C:$C,'PPvsREal Summary'!C85,PPvsREal!$U:$U)</f>
        <v>0</v>
      </c>
      <c r="V85" s="53">
        <f>SUMIF(PPvsREal!$C:$C,'PPvsREal Summary'!C85,PPvsREal!$V:$V)</f>
        <v>0</v>
      </c>
      <c r="W85" s="53">
        <f>SUMIF(PPvsREal!$C:$C,'PPvsREal Summary'!C85,PPvsREal!$W:$W)</f>
        <v>0</v>
      </c>
      <c r="X85" s="53">
        <f>SUMIF(PPvsREal!$C:$C,'PPvsREal Summary'!C85,PPvsREal!$X:$X)</f>
        <v>0</v>
      </c>
      <c r="Y85" s="53">
        <f>SUMIF(PPvsREal!$C:$C,'PPvsREal Summary'!C85,PPvsREal!$Y:$Y)</f>
        <v>0</v>
      </c>
      <c r="Z85" s="53">
        <f>SUMIF(PPvsREal!$C:$C,'PPvsREal Summary'!C85,PPvsREal!$Z:$Z)</f>
        <v>0</v>
      </c>
      <c r="AA85" s="76">
        <f>SUMIF(PPvsREal!$C:$C,'PPvsREal Summary'!C85,PPvsREal!$AA:$AA)</f>
        <v>0</v>
      </c>
      <c r="AB85" s="53"/>
      <c r="AC85" s="64">
        <f t="shared" si="34"/>
        <v>0</v>
      </c>
      <c r="AD85" s="64">
        <f t="shared" si="35"/>
        <v>0</v>
      </c>
    </row>
    <row r="86" spans="2:30" ht="12.75" customHeight="1" x14ac:dyDescent="0.25">
      <c r="B86" s="80" t="s">
        <v>351</v>
      </c>
      <c r="C86" s="37" t="s">
        <v>179</v>
      </c>
      <c r="D86" s="45">
        <f>SUMIF(PPvsREal!$C:$C,'PPvsREal Summary'!C86,PPvsREal!$D:$D)</f>
        <v>0</v>
      </c>
      <c r="E86" s="53">
        <f>SUMIF(PPvsREal!$C:$C,'PPvsREal Summary'!C86,PPvsREal!$E:$E)</f>
        <v>0</v>
      </c>
      <c r="F86" s="53">
        <f>SUMIF(PPvsREal!$C:$C,'PPvsREal Summary'!C86,PPvsREal!$F:$F)</f>
        <v>0</v>
      </c>
      <c r="G86" s="53">
        <f>SUMIF(PPvsREal!$C:$C,'PPvsREal Summary'!C86,PPvsREal!$G:$G)</f>
        <v>0</v>
      </c>
      <c r="H86" s="53">
        <f>SUMIF(PPvsREal!$C:$C,'PPvsREal Summary'!C86,PPvsREal!$H:$H)</f>
        <v>0</v>
      </c>
      <c r="I86" s="53">
        <f>SUMIF(PPvsREal!$C:$C,'PPvsREal Summary'!C86,PPvsREal!$I:$I)</f>
        <v>0</v>
      </c>
      <c r="J86" s="53">
        <f>SUMIF(PPvsREal!$C:$C,'PPvsREal Summary'!C86,PPvsREal!$J:$J)</f>
        <v>0</v>
      </c>
      <c r="K86" s="53">
        <f>SUMIF(PPvsREal!$C:$C,'PPvsREal Summary'!C86,PPvsREal!$K:$K)</f>
        <v>0</v>
      </c>
      <c r="L86" s="53">
        <f>SUMIF(PPvsREal!$C:$C,'PPvsREal Summary'!C86,PPvsREal!$L:$L)</f>
        <v>0</v>
      </c>
      <c r="M86" s="53">
        <f>SUMIF(PPvsREal!$C:$C,'PPvsREal Summary'!C86,PPvsREal!$M:$M)</f>
        <v>22332.47</v>
      </c>
      <c r="N86" s="53">
        <f>SUMIF(PPvsREal!$C:$C,'PPvsREal Summary'!C86,PPvsREal!$N:$N)</f>
        <v>0</v>
      </c>
      <c r="O86" s="53">
        <f>SUMIF(PPvsREal!$C:$C,'PPvsREal Summary'!C86,PPvsREal!$O:$O)</f>
        <v>0</v>
      </c>
      <c r="P86" s="53">
        <f>SUMIF(PPvsREal!$C:$C,'PPvsREal Summary'!C86,PPvsREal!$P:$P)</f>
        <v>0</v>
      </c>
      <c r="Q86" s="53">
        <f>SUMIF(PPvsREal!$C:$C,'PPvsREal Summary'!C86,PPvsREal!$Q:$Q)</f>
        <v>0</v>
      </c>
      <c r="R86" s="53">
        <f>SUMIF(PPvsREal!$C:$C,'PPvsREal Summary'!C86,PPvsREal!$R:$R)</f>
        <v>0</v>
      </c>
      <c r="S86" s="53">
        <f>SUMIF(PPvsREal!$C:$C,'PPvsREal Summary'!C86,PPvsREal!$S:$S)</f>
        <v>0</v>
      </c>
      <c r="T86" s="53">
        <f>SUMIF(PPvsREal!$C:$C,'PPvsREal Summary'!C86,PPvsREal!$T:$T)</f>
        <v>0</v>
      </c>
      <c r="U86" s="53">
        <f>SUMIF(PPvsREal!$C:$C,'PPvsREal Summary'!C86,PPvsREal!$U:$U)</f>
        <v>0</v>
      </c>
      <c r="V86" s="53">
        <f>SUMIF(PPvsREal!$C:$C,'PPvsREal Summary'!C86,PPvsREal!$V:$V)</f>
        <v>0</v>
      </c>
      <c r="W86" s="53">
        <f>SUMIF(PPvsREal!$C:$C,'PPvsREal Summary'!C86,PPvsREal!$W:$W)</f>
        <v>0</v>
      </c>
      <c r="X86" s="53">
        <f>SUMIF(PPvsREal!$C:$C,'PPvsREal Summary'!C86,PPvsREal!$X:$X)</f>
        <v>700000</v>
      </c>
      <c r="Y86" s="53">
        <f>SUMIF(PPvsREal!$C:$C,'PPvsREal Summary'!C86,PPvsREal!$Y:$Y)</f>
        <v>0</v>
      </c>
      <c r="Z86" s="53">
        <f>SUMIF(PPvsREal!$C:$C,'PPvsREal Summary'!C86,PPvsREal!$Z:$Z)</f>
        <v>0</v>
      </c>
      <c r="AA86" s="76">
        <f>SUMIF(PPvsREal!$C:$C,'PPvsREal Summary'!C86,PPvsREal!$AA:$AA)</f>
        <v>0</v>
      </c>
      <c r="AB86" s="53"/>
      <c r="AC86" s="64">
        <f t="shared" si="34"/>
        <v>0</v>
      </c>
      <c r="AD86" s="64">
        <f t="shared" si="35"/>
        <v>22332.47</v>
      </c>
    </row>
    <row r="87" spans="2:30" ht="12.75" customHeight="1" x14ac:dyDescent="0.25">
      <c r="B87" s="80" t="s">
        <v>351</v>
      </c>
      <c r="C87" s="37" t="s">
        <v>369</v>
      </c>
      <c r="D87" s="45">
        <f>SUMIF(PPvsREal!$C:$C,'PPvsREal Summary'!C87,PPvsREal!$D:$D)</f>
        <v>0</v>
      </c>
      <c r="E87" s="53">
        <f>SUMIF(PPvsREal!$C:$C,'PPvsREal Summary'!C87,PPvsREal!$E:$E)</f>
        <v>0</v>
      </c>
      <c r="F87" s="53">
        <f>SUMIF(PPvsREal!$C:$C,'PPvsREal Summary'!C87,PPvsREal!$F:$F)</f>
        <v>0</v>
      </c>
      <c r="G87" s="53">
        <f>SUMIF(PPvsREal!$C:$C,'PPvsREal Summary'!C87,PPvsREal!$G:$G)</f>
        <v>0</v>
      </c>
      <c r="H87" s="53">
        <f>SUMIF(PPvsREal!$C:$C,'PPvsREal Summary'!C87,PPvsREal!$H:$H)</f>
        <v>0</v>
      </c>
      <c r="I87" s="53">
        <f>SUMIF(PPvsREal!$C:$C,'PPvsREal Summary'!C87,PPvsREal!$I:$I)</f>
        <v>0</v>
      </c>
      <c r="J87" s="53">
        <f>SUMIF(PPvsREal!$C:$C,'PPvsREal Summary'!C87,PPvsREal!$J:$J)</f>
        <v>0</v>
      </c>
      <c r="K87" s="53">
        <f>SUMIF(PPvsREal!$C:$C,'PPvsREal Summary'!C87,PPvsREal!$K:$K)</f>
        <v>0</v>
      </c>
      <c r="L87" s="53">
        <f>SUMIF(PPvsREal!$C:$C,'PPvsREal Summary'!C87,PPvsREal!$L:$L)</f>
        <v>0</v>
      </c>
      <c r="M87" s="53">
        <f>SUMIF(PPvsREal!$C:$C,'PPvsREal Summary'!C87,PPvsREal!$M:$M)</f>
        <v>0</v>
      </c>
      <c r="N87" s="53">
        <f>SUMIF(PPvsREal!$C:$C,'PPvsREal Summary'!C87,PPvsREal!$N:$N)</f>
        <v>0</v>
      </c>
      <c r="O87" s="53">
        <f>SUMIF(PPvsREal!$C:$C,'PPvsREal Summary'!C87,PPvsREal!$O:$O)</f>
        <v>0</v>
      </c>
      <c r="P87" s="53">
        <f>SUMIF(PPvsREal!$C:$C,'PPvsREal Summary'!C87,PPvsREal!$P:$P)</f>
        <v>0</v>
      </c>
      <c r="Q87" s="53">
        <f>SUMIF(PPvsREal!$C:$C,'PPvsREal Summary'!C87,PPvsREal!$Q:$Q)</f>
        <v>0</v>
      </c>
      <c r="R87" s="53">
        <f>SUMIF(PPvsREal!$C:$C,'PPvsREal Summary'!C87,PPvsREal!$R:$R)</f>
        <v>0</v>
      </c>
      <c r="S87" s="53">
        <f>SUMIF(PPvsREal!$C:$C,'PPvsREal Summary'!C87,PPvsREal!$S:$S)</f>
        <v>0</v>
      </c>
      <c r="T87" s="53">
        <f>SUMIF(PPvsREal!$C:$C,'PPvsREal Summary'!C87,PPvsREal!$T:$T)</f>
        <v>0</v>
      </c>
      <c r="U87" s="53">
        <f>SUMIF(PPvsREal!$C:$C,'PPvsREal Summary'!C87,PPvsREal!$U:$U)</f>
        <v>0</v>
      </c>
      <c r="V87" s="53">
        <f>SUMIF(PPvsREal!$C:$C,'PPvsREal Summary'!C87,PPvsREal!$V:$V)</f>
        <v>0</v>
      </c>
      <c r="W87" s="53">
        <f>SUMIF(PPvsREal!$C:$C,'PPvsREal Summary'!C87,PPvsREal!$W:$W)</f>
        <v>0</v>
      </c>
      <c r="X87" s="53">
        <f>SUMIF(PPvsREal!$C:$C,'PPvsREal Summary'!C87,PPvsREal!$X:$X)</f>
        <v>0</v>
      </c>
      <c r="Y87" s="53">
        <f>SUMIF(PPvsREal!$C:$C,'PPvsREal Summary'!C87,PPvsREal!$Y:$Y)</f>
        <v>0</v>
      </c>
      <c r="Z87" s="53">
        <f>SUMIF(PPvsREal!$C:$C,'PPvsREal Summary'!C87,PPvsREal!$Z:$Z)</f>
        <v>0</v>
      </c>
      <c r="AA87" s="76">
        <f>SUMIF(PPvsREal!$C:$C,'PPvsREal Summary'!C87,PPvsREal!$AA:$AA)</f>
        <v>0</v>
      </c>
      <c r="AB87" s="53"/>
      <c r="AC87" s="64">
        <f t="shared" si="34"/>
        <v>0</v>
      </c>
      <c r="AD87" s="64">
        <f t="shared" si="35"/>
        <v>0</v>
      </c>
    </row>
    <row r="88" spans="2:30" ht="12.75" customHeight="1" x14ac:dyDescent="0.25">
      <c r="B88" s="80" t="s">
        <v>351</v>
      </c>
      <c r="C88" s="37" t="s">
        <v>172</v>
      </c>
      <c r="D88" s="45">
        <f>SUMIF(PPvsREal!$C:$C,'PPvsREal Summary'!C88,PPvsREal!$D:$D)</f>
        <v>0</v>
      </c>
      <c r="E88" s="53">
        <f>SUMIF(PPvsREal!$C:$C,'PPvsREal Summary'!C88,PPvsREal!$E:$E)</f>
        <v>0</v>
      </c>
      <c r="F88" s="53">
        <f>SUMIF(PPvsREal!$C:$C,'PPvsREal Summary'!C88,PPvsREal!$F:$F)</f>
        <v>60000</v>
      </c>
      <c r="G88" s="53">
        <f>SUMIF(PPvsREal!$C:$C,'PPvsREal Summary'!C88,PPvsREal!$G:$G)</f>
        <v>0</v>
      </c>
      <c r="H88" s="53">
        <f>SUMIF(PPvsREal!$C:$C,'PPvsREal Summary'!C88,PPvsREal!$H:$H)</f>
        <v>0</v>
      </c>
      <c r="I88" s="53">
        <f>SUMIF(PPvsREal!$C:$C,'PPvsREal Summary'!C88,PPvsREal!$I:$I)</f>
        <v>0</v>
      </c>
      <c r="J88" s="53">
        <f>SUMIF(PPvsREal!$C:$C,'PPvsREal Summary'!C88,PPvsREal!$J:$J)</f>
        <v>60000</v>
      </c>
      <c r="K88" s="53">
        <f>SUMIF(PPvsREal!$C:$C,'PPvsREal Summary'!C88,PPvsREal!$K:$K)</f>
        <v>0</v>
      </c>
      <c r="L88" s="53">
        <f>SUMIF(PPvsREal!$C:$C,'PPvsREal Summary'!C88,PPvsREal!$L:$L)</f>
        <v>100000</v>
      </c>
      <c r="M88" s="53">
        <f>SUMIF(PPvsREal!$C:$C,'PPvsREal Summary'!C88,PPvsREal!$M:$M)</f>
        <v>1419.03</v>
      </c>
      <c r="N88" s="53">
        <f>SUMIF(PPvsREal!$C:$C,'PPvsREal Summary'!C88,PPvsREal!$N:$N)</f>
        <v>60000</v>
      </c>
      <c r="O88" s="53">
        <f>SUMIF(PPvsREal!$C:$C,'PPvsREal Summary'!C88,PPvsREal!$O:$O)</f>
        <v>0</v>
      </c>
      <c r="P88" s="53">
        <f>SUMIF(PPvsREal!$C:$C,'PPvsREal Summary'!C88,PPvsREal!$P:$P)</f>
        <v>0</v>
      </c>
      <c r="Q88" s="53">
        <f>SUMIF(PPvsREal!$C:$C,'PPvsREal Summary'!C88,PPvsREal!$Q:$Q)</f>
        <v>1857.23</v>
      </c>
      <c r="R88" s="53">
        <f>SUMIF(PPvsREal!$C:$C,'PPvsREal Summary'!C88,PPvsREal!$R:$R)</f>
        <v>0</v>
      </c>
      <c r="S88" s="53">
        <f>SUMIF(PPvsREal!$C:$C,'PPvsREal Summary'!C88,PPvsREal!$S:$S)</f>
        <v>0</v>
      </c>
      <c r="T88" s="53">
        <f>SUMIF(PPvsREal!$C:$C,'PPvsREal Summary'!C88,PPvsREal!$T:$T)</f>
        <v>60000</v>
      </c>
      <c r="U88" s="53">
        <f>SUMIF(PPvsREal!$C:$C,'PPvsREal Summary'!C88,PPvsREal!$U:$U)</f>
        <v>0</v>
      </c>
      <c r="V88" s="53">
        <f>SUMIF(PPvsREal!$C:$C,'PPvsREal Summary'!C88,PPvsREal!$V:$V)</f>
        <v>0</v>
      </c>
      <c r="W88" s="53">
        <f>SUMIF(PPvsREal!$C:$C,'PPvsREal Summary'!C88,PPvsREal!$W:$W)</f>
        <v>0</v>
      </c>
      <c r="X88" s="53">
        <f>SUMIF(PPvsREal!$C:$C,'PPvsREal Summary'!C88,PPvsREal!$X:$X)</f>
        <v>0</v>
      </c>
      <c r="Y88" s="53">
        <f>SUMIF(PPvsREal!$C:$C,'PPvsREal Summary'!C88,PPvsREal!$Y:$Y)</f>
        <v>0</v>
      </c>
      <c r="Z88" s="53">
        <f>SUMIF(PPvsREal!$C:$C,'PPvsREal Summary'!C88,PPvsREal!$Z:$Z)</f>
        <v>0</v>
      </c>
      <c r="AA88" s="76">
        <f>SUMIF(PPvsREal!$C:$C,'PPvsREal Summary'!C88,PPvsREal!$AA:$AA)</f>
        <v>0</v>
      </c>
      <c r="AB88" s="53"/>
      <c r="AC88" s="64">
        <f t="shared" si="34"/>
        <v>280000</v>
      </c>
      <c r="AD88" s="64">
        <f t="shared" si="35"/>
        <v>3276.26</v>
      </c>
    </row>
    <row r="89" spans="2:30" ht="12.75" customHeight="1" x14ac:dyDescent="0.25">
      <c r="B89" s="80" t="s">
        <v>351</v>
      </c>
      <c r="C89" s="37" t="s">
        <v>176</v>
      </c>
      <c r="D89" s="45">
        <f>SUMIF(PPvsREal!$C:$C,'PPvsREal Summary'!C89,PPvsREal!$D:$D)</f>
        <v>0</v>
      </c>
      <c r="E89" s="53">
        <f>SUMIF(PPvsREal!$C:$C,'PPvsREal Summary'!C89,PPvsREal!$E:$E)</f>
        <v>0</v>
      </c>
      <c r="F89" s="53">
        <f>SUMIF(PPvsREal!$C:$C,'PPvsREal Summary'!C89,PPvsREal!$F:$F)</f>
        <v>0</v>
      </c>
      <c r="G89" s="53">
        <f>SUMIF(PPvsREal!$C:$C,'PPvsREal Summary'!C89,PPvsREal!$G:$G)</f>
        <v>0</v>
      </c>
      <c r="H89" s="53">
        <f>SUMIF(PPvsREal!$C:$C,'PPvsREal Summary'!C89,PPvsREal!$H:$H)</f>
        <v>0</v>
      </c>
      <c r="I89" s="53">
        <f>SUMIF(PPvsREal!$C:$C,'PPvsREal Summary'!C89,PPvsREal!$I:$I)</f>
        <v>0</v>
      </c>
      <c r="J89" s="53">
        <f>SUMIF(PPvsREal!$C:$C,'PPvsREal Summary'!C89,PPvsREal!$J:$J)</f>
        <v>0</v>
      </c>
      <c r="K89" s="53">
        <f>SUMIF(PPvsREal!$C:$C,'PPvsREal Summary'!C89,PPvsREal!$K:$K)</f>
        <v>0</v>
      </c>
      <c r="L89" s="53">
        <f>SUMIF(PPvsREal!$C:$C,'PPvsREal Summary'!C89,PPvsREal!$L:$L)</f>
        <v>0</v>
      </c>
      <c r="M89" s="53">
        <f>SUMIF(PPvsREal!$C:$C,'PPvsREal Summary'!C89,PPvsREal!$M:$M)</f>
        <v>0</v>
      </c>
      <c r="N89" s="53">
        <f>SUMIF(PPvsREal!$C:$C,'PPvsREal Summary'!C89,PPvsREal!$N:$N)</f>
        <v>0</v>
      </c>
      <c r="O89" s="53">
        <f>SUMIF(PPvsREal!$C:$C,'PPvsREal Summary'!C89,PPvsREal!$O:$O)</f>
        <v>0</v>
      </c>
      <c r="P89" s="53">
        <f>SUMIF(PPvsREal!$C:$C,'PPvsREal Summary'!C89,PPvsREal!$P:$P)</f>
        <v>0</v>
      </c>
      <c r="Q89" s="53">
        <f>SUMIF(PPvsREal!$C:$C,'PPvsREal Summary'!C89,PPvsREal!$Q:$Q)</f>
        <v>0</v>
      </c>
      <c r="R89" s="53">
        <f>SUMIF(PPvsREal!$C:$C,'PPvsREal Summary'!C89,PPvsREal!$R:$R)</f>
        <v>0</v>
      </c>
      <c r="S89" s="53">
        <f>SUMIF(PPvsREal!$C:$C,'PPvsREal Summary'!C89,PPvsREal!$S:$S)</f>
        <v>0</v>
      </c>
      <c r="T89" s="53">
        <f>SUMIF(PPvsREal!$C:$C,'PPvsREal Summary'!C89,PPvsREal!$T:$T)</f>
        <v>630000</v>
      </c>
      <c r="U89" s="53">
        <f>SUMIF(PPvsREal!$C:$C,'PPvsREal Summary'!C89,PPvsREal!$U:$U)</f>
        <v>0</v>
      </c>
      <c r="V89" s="53">
        <f>SUMIF(PPvsREal!$C:$C,'PPvsREal Summary'!C89,PPvsREal!$V:$V)</f>
        <v>0</v>
      </c>
      <c r="W89" s="53">
        <f>SUMIF(PPvsREal!$C:$C,'PPvsREal Summary'!C89,PPvsREal!$W:$W)</f>
        <v>0</v>
      </c>
      <c r="X89" s="53">
        <f>SUMIF(PPvsREal!$C:$C,'PPvsREal Summary'!C89,PPvsREal!$X:$X)</f>
        <v>0</v>
      </c>
      <c r="Y89" s="53">
        <f>SUMIF(PPvsREal!$C:$C,'PPvsREal Summary'!C89,PPvsREal!$Y:$Y)</f>
        <v>0</v>
      </c>
      <c r="Z89" s="53">
        <f>SUMIF(PPvsREal!$C:$C,'PPvsREal Summary'!C89,PPvsREal!$Z:$Z)</f>
        <v>0</v>
      </c>
      <c r="AA89" s="76">
        <f>SUMIF(PPvsREal!$C:$C,'PPvsREal Summary'!C89,PPvsREal!$AA:$AA)</f>
        <v>0</v>
      </c>
      <c r="AB89" s="53"/>
      <c r="AC89" s="64">
        <f t="shared" si="34"/>
        <v>0</v>
      </c>
      <c r="AD89" s="64">
        <f t="shared" si="35"/>
        <v>0</v>
      </c>
    </row>
    <row r="90" spans="2:30" ht="12.75" customHeight="1" x14ac:dyDescent="0.25">
      <c r="B90" s="80" t="s">
        <v>351</v>
      </c>
      <c r="C90" s="37" t="s">
        <v>175</v>
      </c>
      <c r="D90" s="45">
        <f>SUMIF(PPvsREal!$C:$C,'PPvsREal Summary'!C90,PPvsREal!$D:$D)</f>
        <v>0</v>
      </c>
      <c r="E90" s="53">
        <f>SUMIF(PPvsREal!$C:$C,'PPvsREal Summary'!C90,PPvsREal!$E:$E)</f>
        <v>24047.83</v>
      </c>
      <c r="F90" s="53">
        <f>SUMIF(PPvsREal!$C:$C,'PPvsREal Summary'!C90,PPvsREal!$F:$F)</f>
        <v>0</v>
      </c>
      <c r="G90" s="53">
        <f>SUMIF(PPvsREal!$C:$C,'PPvsREal Summary'!C90,PPvsREal!$G:$G)</f>
        <v>56472.77</v>
      </c>
      <c r="H90" s="53">
        <f>SUMIF(PPvsREal!$C:$C,'PPvsREal Summary'!C90,PPvsREal!$H:$H)</f>
        <v>0</v>
      </c>
      <c r="I90" s="53">
        <f>SUMIF(PPvsREal!$C:$C,'PPvsREal Summary'!C90,PPvsREal!$I:$I)</f>
        <v>1118.97</v>
      </c>
      <c r="J90" s="53">
        <f>SUMIF(PPvsREal!$C:$C,'PPvsREal Summary'!C90,PPvsREal!$J:$J)</f>
        <v>0</v>
      </c>
      <c r="K90" s="53">
        <f>SUMIF(PPvsREal!$C:$C,'PPvsREal Summary'!C90,PPvsREal!$K:$K)</f>
        <v>0</v>
      </c>
      <c r="L90" s="53">
        <f>SUMIF(PPvsREal!$C:$C,'PPvsREal Summary'!C90,PPvsREal!$L:$L)</f>
        <v>0</v>
      </c>
      <c r="M90" s="53">
        <f>SUMIF(PPvsREal!$C:$C,'PPvsREal Summary'!C90,PPvsREal!$M:$M)</f>
        <v>0</v>
      </c>
      <c r="N90" s="53">
        <f>SUMIF(PPvsREal!$C:$C,'PPvsREal Summary'!C90,PPvsREal!$N:$N)</f>
        <v>0</v>
      </c>
      <c r="O90" s="53">
        <f>SUMIF(PPvsREal!$C:$C,'PPvsREal Summary'!C90,PPvsREal!$O:$O)</f>
        <v>0</v>
      </c>
      <c r="P90" s="53">
        <f>SUMIF(PPvsREal!$C:$C,'PPvsREal Summary'!C90,PPvsREal!$P:$P)</f>
        <v>0</v>
      </c>
      <c r="Q90" s="53">
        <f>SUMIF(PPvsREal!$C:$C,'PPvsREal Summary'!C90,PPvsREal!$Q:$Q)</f>
        <v>0</v>
      </c>
      <c r="R90" s="53">
        <f>SUMIF(PPvsREal!$C:$C,'PPvsREal Summary'!C90,PPvsREal!$R:$R)</f>
        <v>110000</v>
      </c>
      <c r="S90" s="53">
        <f>SUMIF(PPvsREal!$C:$C,'PPvsREal Summary'!C90,PPvsREal!$S:$S)</f>
        <v>0</v>
      </c>
      <c r="T90" s="53">
        <f>SUMIF(PPvsREal!$C:$C,'PPvsREal Summary'!C90,PPvsREal!$T:$T)</f>
        <v>0</v>
      </c>
      <c r="U90" s="53">
        <f>SUMIF(PPvsREal!$C:$C,'PPvsREal Summary'!C90,PPvsREal!$U:$U)</f>
        <v>0</v>
      </c>
      <c r="V90" s="53">
        <f>SUMIF(PPvsREal!$C:$C,'PPvsREal Summary'!C90,PPvsREal!$V:$V)</f>
        <v>0</v>
      </c>
      <c r="W90" s="53">
        <f>SUMIF(PPvsREal!$C:$C,'PPvsREal Summary'!C90,PPvsREal!$W:$W)</f>
        <v>0</v>
      </c>
      <c r="X90" s="53">
        <f>SUMIF(PPvsREal!$C:$C,'PPvsREal Summary'!C90,PPvsREal!$X:$X)</f>
        <v>0</v>
      </c>
      <c r="Y90" s="53">
        <f>SUMIF(PPvsREal!$C:$C,'PPvsREal Summary'!C90,PPvsREal!$Y:$Y)</f>
        <v>0</v>
      </c>
      <c r="Z90" s="53">
        <f>SUMIF(PPvsREal!$C:$C,'PPvsREal Summary'!C90,PPvsREal!$Z:$Z)</f>
        <v>0</v>
      </c>
      <c r="AA90" s="76">
        <f>SUMIF(PPvsREal!$C:$C,'PPvsREal Summary'!C90,PPvsREal!$AA:$AA)</f>
        <v>0</v>
      </c>
      <c r="AB90" s="53"/>
      <c r="AC90" s="64">
        <f t="shared" si="34"/>
        <v>0</v>
      </c>
      <c r="AD90" s="64">
        <f t="shared" si="35"/>
        <v>81639.570000000007</v>
      </c>
    </row>
    <row r="91" spans="2:30" ht="12.75" customHeight="1" x14ac:dyDescent="0.25">
      <c r="B91" s="80" t="s">
        <v>351</v>
      </c>
      <c r="C91" s="37" t="s">
        <v>174</v>
      </c>
      <c r="D91" s="45">
        <f>SUMIF(PPvsREal!$C:$C,'PPvsREal Summary'!C91,PPvsREal!$D:$D)</f>
        <v>0</v>
      </c>
      <c r="E91" s="53">
        <f>SUMIF(PPvsREal!$C:$C,'PPvsREal Summary'!C91,PPvsREal!$E:$E)</f>
        <v>0</v>
      </c>
      <c r="F91" s="53">
        <f>SUMIF(PPvsREal!$C:$C,'PPvsREal Summary'!C91,PPvsREal!$F:$F)</f>
        <v>0</v>
      </c>
      <c r="G91" s="53">
        <f>SUMIF(PPvsREal!$C:$C,'PPvsREal Summary'!C91,PPvsREal!$G:$G)</f>
        <v>0</v>
      </c>
      <c r="H91" s="53">
        <f>SUMIF(PPvsREal!$C:$C,'PPvsREal Summary'!C91,PPvsREal!$H:$H)</f>
        <v>0</v>
      </c>
      <c r="I91" s="53">
        <f>SUMIF(PPvsREal!$C:$C,'PPvsREal Summary'!C91,PPvsREal!$I:$I)</f>
        <v>0</v>
      </c>
      <c r="J91" s="53">
        <f>SUMIF(PPvsREal!$C:$C,'PPvsREal Summary'!C91,PPvsREal!$J:$J)</f>
        <v>0</v>
      </c>
      <c r="K91" s="53">
        <f>SUMIF(PPvsREal!$C:$C,'PPvsREal Summary'!C91,PPvsREal!$K:$K)</f>
        <v>0</v>
      </c>
      <c r="L91" s="53">
        <f>SUMIF(PPvsREal!$C:$C,'PPvsREal Summary'!C91,PPvsREal!$L:$L)</f>
        <v>0</v>
      </c>
      <c r="M91" s="53">
        <f>SUMIF(PPvsREal!$C:$C,'PPvsREal Summary'!C91,PPvsREal!$M:$M)</f>
        <v>0</v>
      </c>
      <c r="N91" s="53">
        <f>SUMIF(PPvsREal!$C:$C,'PPvsREal Summary'!C91,PPvsREal!$N:$N)</f>
        <v>0</v>
      </c>
      <c r="O91" s="53">
        <f>SUMIF(PPvsREal!$C:$C,'PPvsREal Summary'!C91,PPvsREal!$O:$O)</f>
        <v>0</v>
      </c>
      <c r="P91" s="53">
        <f>SUMIF(PPvsREal!$C:$C,'PPvsREal Summary'!C91,PPvsREal!$P:$P)</f>
        <v>55000</v>
      </c>
      <c r="Q91" s="53">
        <f>SUMIF(PPvsREal!$C:$C,'PPvsREal Summary'!C91,PPvsREal!$Q:$Q)</f>
        <v>0</v>
      </c>
      <c r="R91" s="53">
        <f>SUMIF(PPvsREal!$C:$C,'PPvsREal Summary'!C91,PPvsREal!$R:$R)</f>
        <v>0</v>
      </c>
      <c r="S91" s="53">
        <f>SUMIF(PPvsREal!$C:$C,'PPvsREal Summary'!C91,PPvsREal!$S:$S)</f>
        <v>0</v>
      </c>
      <c r="T91" s="53">
        <f>SUMIF(PPvsREal!$C:$C,'PPvsREal Summary'!C91,PPvsREal!$T:$T)</f>
        <v>0</v>
      </c>
      <c r="U91" s="53">
        <f>SUMIF(PPvsREal!$C:$C,'PPvsREal Summary'!C91,PPvsREal!$U:$U)</f>
        <v>0</v>
      </c>
      <c r="V91" s="53">
        <f>SUMIF(PPvsREal!$C:$C,'PPvsREal Summary'!C91,PPvsREal!$V:$V)</f>
        <v>0</v>
      </c>
      <c r="W91" s="53">
        <f>SUMIF(PPvsREal!$C:$C,'PPvsREal Summary'!C91,PPvsREal!$W:$W)</f>
        <v>0</v>
      </c>
      <c r="X91" s="53">
        <f>SUMIF(PPvsREal!$C:$C,'PPvsREal Summary'!C91,PPvsREal!$X:$X)</f>
        <v>0</v>
      </c>
      <c r="Y91" s="53">
        <f>SUMIF(PPvsREal!$C:$C,'PPvsREal Summary'!C91,PPvsREal!$Y:$Y)</f>
        <v>0</v>
      </c>
      <c r="Z91" s="53">
        <f>SUMIF(PPvsREal!$C:$C,'PPvsREal Summary'!C91,PPvsREal!$Z:$Z)</f>
        <v>0</v>
      </c>
      <c r="AA91" s="76">
        <f>SUMIF(PPvsREal!$C:$C,'PPvsREal Summary'!C91,PPvsREal!$AA:$AA)</f>
        <v>0</v>
      </c>
      <c r="AB91" s="53"/>
      <c r="AC91" s="64">
        <f t="shared" si="34"/>
        <v>55000</v>
      </c>
      <c r="AD91" s="64">
        <f t="shared" si="35"/>
        <v>0</v>
      </c>
    </row>
    <row r="92" spans="2:30" ht="12.75" customHeight="1" x14ac:dyDescent="0.25">
      <c r="B92" s="80" t="s">
        <v>351</v>
      </c>
      <c r="C92" s="37" t="s">
        <v>370</v>
      </c>
      <c r="D92" s="45">
        <f>SUMIF(PPvsREal!$C:$C,'PPvsREal Summary'!C92,PPvsREal!$D:$D)</f>
        <v>0</v>
      </c>
      <c r="E92" s="53">
        <f>SUMIF(PPvsREal!$C:$C,'PPvsREal Summary'!C92,PPvsREal!$E:$E)</f>
        <v>0</v>
      </c>
      <c r="F92" s="53">
        <f>SUMIF(PPvsREal!$C:$C,'PPvsREal Summary'!C92,PPvsREal!$F:$F)</f>
        <v>0</v>
      </c>
      <c r="G92" s="53">
        <f>SUMIF(PPvsREal!$C:$C,'PPvsREal Summary'!C92,PPvsREal!$G:$G)</f>
        <v>0</v>
      </c>
      <c r="H92" s="53">
        <f>SUMIF(PPvsREal!$C:$C,'PPvsREal Summary'!C92,PPvsREal!$H:$H)</f>
        <v>0</v>
      </c>
      <c r="I92" s="53">
        <f>SUMIF(PPvsREal!$C:$C,'PPvsREal Summary'!C92,PPvsREal!$I:$I)</f>
        <v>0</v>
      </c>
      <c r="J92" s="53">
        <f>SUMIF(PPvsREal!$C:$C,'PPvsREal Summary'!C92,PPvsREal!$J:$J)</f>
        <v>0</v>
      </c>
      <c r="K92" s="53">
        <f>SUMIF(PPvsREal!$C:$C,'PPvsREal Summary'!C92,PPvsREal!$K:$K)</f>
        <v>0</v>
      </c>
      <c r="L92" s="53">
        <f>SUMIF(PPvsREal!$C:$C,'PPvsREal Summary'!C92,PPvsREal!$L:$L)</f>
        <v>0</v>
      </c>
      <c r="M92" s="53">
        <f>SUMIF(PPvsREal!$C:$C,'PPvsREal Summary'!C92,PPvsREal!$M:$M)</f>
        <v>0</v>
      </c>
      <c r="N92" s="53">
        <f>SUMIF(PPvsREal!$C:$C,'PPvsREal Summary'!C92,PPvsREal!$N:$N)</f>
        <v>0</v>
      </c>
      <c r="O92" s="53">
        <f>SUMIF(PPvsREal!$C:$C,'PPvsREal Summary'!C92,PPvsREal!$O:$O)</f>
        <v>0</v>
      </c>
      <c r="P92" s="53">
        <f>SUMIF(PPvsREal!$C:$C,'PPvsREal Summary'!C92,PPvsREal!$P:$P)</f>
        <v>0</v>
      </c>
      <c r="Q92" s="53">
        <f>SUMIF(PPvsREal!$C:$C,'PPvsREal Summary'!C92,PPvsREal!$Q:$Q)</f>
        <v>0</v>
      </c>
      <c r="R92" s="53">
        <f>SUMIF(PPvsREal!$C:$C,'PPvsREal Summary'!C92,PPvsREal!$R:$R)</f>
        <v>0</v>
      </c>
      <c r="S92" s="53">
        <f>SUMIF(PPvsREal!$C:$C,'PPvsREal Summary'!C92,PPvsREal!$S:$S)</f>
        <v>0</v>
      </c>
      <c r="T92" s="53">
        <f>SUMIF(PPvsREal!$C:$C,'PPvsREal Summary'!C92,PPvsREal!$T:$T)</f>
        <v>0</v>
      </c>
      <c r="U92" s="53">
        <f>SUMIF(PPvsREal!$C:$C,'PPvsREal Summary'!C92,PPvsREal!$U:$U)</f>
        <v>0</v>
      </c>
      <c r="V92" s="53">
        <f>SUMIF(PPvsREal!$C:$C,'PPvsREal Summary'!C92,PPvsREal!$V:$V)</f>
        <v>0</v>
      </c>
      <c r="W92" s="53">
        <f>SUMIF(PPvsREal!$C:$C,'PPvsREal Summary'!C92,PPvsREal!$W:$W)</f>
        <v>0</v>
      </c>
      <c r="X92" s="53">
        <f>SUMIF(PPvsREal!$C:$C,'PPvsREal Summary'!C92,PPvsREal!$X:$X)</f>
        <v>0</v>
      </c>
      <c r="Y92" s="53">
        <f>SUMIF(PPvsREal!$C:$C,'PPvsREal Summary'!C92,PPvsREal!$Y:$Y)</f>
        <v>0</v>
      </c>
      <c r="Z92" s="53">
        <f>SUMIF(PPvsREal!$C:$C,'PPvsREal Summary'!C92,PPvsREal!$Z:$Z)</f>
        <v>0</v>
      </c>
      <c r="AA92" s="76">
        <f>SUMIF(PPvsREal!$C:$C,'PPvsREal Summary'!C92,PPvsREal!$AA:$AA)</f>
        <v>0</v>
      </c>
      <c r="AB92" s="53"/>
      <c r="AC92" s="64">
        <f t="shared" si="34"/>
        <v>0</v>
      </c>
      <c r="AD92" s="64">
        <f t="shared" si="35"/>
        <v>0</v>
      </c>
    </row>
    <row r="93" spans="2:30" ht="12.75" customHeight="1" x14ac:dyDescent="0.25">
      <c r="B93" s="80" t="s">
        <v>351</v>
      </c>
      <c r="C93" s="37" t="s">
        <v>170</v>
      </c>
      <c r="D93" s="45">
        <f>SUMIF(PPvsREal!$C:$C,'PPvsREal Summary'!C93,PPvsREal!$D:$D)</f>
        <v>40000</v>
      </c>
      <c r="E93" s="53">
        <f>SUMIF(PPvsREal!$C:$C,'PPvsREal Summary'!C93,PPvsREal!$E:$E)</f>
        <v>0</v>
      </c>
      <c r="F93" s="53">
        <f>SUMIF(PPvsREal!$C:$C,'PPvsREal Summary'!C93,PPvsREal!$F:$F)</f>
        <v>53045</v>
      </c>
      <c r="G93" s="53">
        <f>SUMIF(PPvsREal!$C:$C,'PPvsREal Summary'!C93,PPvsREal!$G:$G)</f>
        <v>0</v>
      </c>
      <c r="H93" s="53">
        <f>SUMIF(PPvsREal!$C:$C,'PPvsREal Summary'!C93,PPvsREal!$H:$H)</f>
        <v>35000</v>
      </c>
      <c r="I93" s="53">
        <f>SUMIF(PPvsREal!$C:$C,'PPvsREal Summary'!C93,PPvsREal!$I:$I)</f>
        <v>14340</v>
      </c>
      <c r="J93" s="53">
        <f>SUMIF(PPvsREal!$C:$C,'PPvsREal Summary'!C93,PPvsREal!$J:$J)</f>
        <v>0</v>
      </c>
      <c r="K93" s="53">
        <f>SUMIF(PPvsREal!$C:$C,'PPvsREal Summary'!C93,PPvsREal!$K:$K)</f>
        <v>0</v>
      </c>
      <c r="L93" s="53">
        <f>SUMIF(PPvsREal!$C:$C,'PPvsREal Summary'!C93,PPvsREal!$L:$L)</f>
        <v>0</v>
      </c>
      <c r="M93" s="53">
        <f>SUMIF(PPvsREal!$C:$C,'PPvsREal Summary'!C93,PPvsREal!$M:$M)</f>
        <v>10309.84</v>
      </c>
      <c r="N93" s="53">
        <f>SUMIF(PPvsREal!$C:$C,'PPvsREal Summary'!C93,PPvsREal!$N:$N)</f>
        <v>125000</v>
      </c>
      <c r="O93" s="53">
        <f>SUMIF(PPvsREal!$C:$C,'PPvsREal Summary'!C93,PPvsREal!$O:$O)</f>
        <v>0</v>
      </c>
      <c r="P93" s="53">
        <f>SUMIF(PPvsREal!$C:$C,'PPvsREal Summary'!C93,PPvsREal!$P:$P)</f>
        <v>0</v>
      </c>
      <c r="Q93" s="53">
        <f>SUMIF(PPvsREal!$C:$C,'PPvsREal Summary'!C93,PPvsREal!$Q:$Q)</f>
        <v>0</v>
      </c>
      <c r="R93" s="53">
        <f>SUMIF(PPvsREal!$C:$C,'PPvsREal Summary'!C93,PPvsREal!$R:$R)</f>
        <v>0</v>
      </c>
      <c r="S93" s="53">
        <f>SUMIF(PPvsREal!$C:$C,'PPvsREal Summary'!C93,PPvsREal!$S:$S)</f>
        <v>0</v>
      </c>
      <c r="T93" s="53">
        <f>SUMIF(PPvsREal!$C:$C,'PPvsREal Summary'!C93,PPvsREal!$T:$T)</f>
        <v>0</v>
      </c>
      <c r="U93" s="53">
        <f>SUMIF(PPvsREal!$C:$C,'PPvsREal Summary'!C93,PPvsREal!$U:$U)</f>
        <v>0</v>
      </c>
      <c r="V93" s="53">
        <f>SUMIF(PPvsREal!$C:$C,'PPvsREal Summary'!C93,PPvsREal!$V:$V)</f>
        <v>0</v>
      </c>
      <c r="W93" s="53">
        <f>SUMIF(PPvsREal!$C:$C,'PPvsREal Summary'!C93,PPvsREal!$W:$W)</f>
        <v>0</v>
      </c>
      <c r="X93" s="53">
        <f>SUMIF(PPvsREal!$C:$C,'PPvsREal Summary'!C93,PPvsREal!$X:$X)</f>
        <v>0</v>
      </c>
      <c r="Y93" s="53">
        <f>SUMIF(PPvsREal!$C:$C,'PPvsREal Summary'!C93,PPvsREal!$Y:$Y)</f>
        <v>0</v>
      </c>
      <c r="Z93" s="53">
        <f>SUMIF(PPvsREal!$C:$C,'PPvsREal Summary'!C93,PPvsREal!$Z:$Z)</f>
        <v>0</v>
      </c>
      <c r="AA93" s="76">
        <f>SUMIF(PPvsREal!$C:$C,'PPvsREal Summary'!C93,PPvsREal!$AA:$AA)</f>
        <v>0</v>
      </c>
      <c r="AB93" s="53"/>
      <c r="AC93" s="64">
        <f t="shared" si="34"/>
        <v>253045</v>
      </c>
      <c r="AD93" s="64">
        <f t="shared" si="35"/>
        <v>24649.84</v>
      </c>
    </row>
    <row r="94" spans="2:30" ht="12.75" customHeight="1" x14ac:dyDescent="0.25">
      <c r="B94" s="80" t="s">
        <v>351</v>
      </c>
      <c r="C94" s="37" t="s">
        <v>173</v>
      </c>
      <c r="D94" s="45">
        <f>SUMIF(PPvsREal!$C:$C,'PPvsREal Summary'!C94,PPvsREal!$D:$D)</f>
        <v>0</v>
      </c>
      <c r="E94" s="53">
        <f>SUMIF(PPvsREal!$C:$C,'PPvsREal Summary'!C94,PPvsREal!$E:$E)</f>
        <v>0</v>
      </c>
      <c r="F94" s="53">
        <f>SUMIF(PPvsREal!$C:$C,'PPvsREal Summary'!C94,PPvsREal!$F:$F)</f>
        <v>0</v>
      </c>
      <c r="G94" s="53">
        <f>SUMIF(PPvsREal!$C:$C,'PPvsREal Summary'!C94,PPvsREal!$G:$G)</f>
        <v>0</v>
      </c>
      <c r="H94" s="53">
        <f>SUMIF(PPvsREal!$C:$C,'PPvsREal Summary'!C94,PPvsREal!$H:$H)</f>
        <v>0</v>
      </c>
      <c r="I94" s="53">
        <f>SUMIF(PPvsREal!$C:$C,'PPvsREal Summary'!C94,PPvsREal!$I:$I)</f>
        <v>0</v>
      </c>
      <c r="J94" s="53">
        <f>SUMIF(PPvsREal!$C:$C,'PPvsREal Summary'!C94,PPvsREal!$J:$J)</f>
        <v>130000</v>
      </c>
      <c r="K94" s="53">
        <f>SUMIF(PPvsREal!$C:$C,'PPvsREal Summary'!C94,PPvsREal!$K:$K)</f>
        <v>0</v>
      </c>
      <c r="L94" s="53">
        <f>SUMIF(PPvsREal!$C:$C,'PPvsREal Summary'!C94,PPvsREal!$L:$L)</f>
        <v>0</v>
      </c>
      <c r="M94" s="53">
        <f>SUMIF(PPvsREal!$C:$C,'PPvsREal Summary'!C94,PPvsREal!$M:$M)</f>
        <v>0</v>
      </c>
      <c r="N94" s="53">
        <f>SUMIF(PPvsREal!$C:$C,'PPvsREal Summary'!C94,PPvsREal!$N:$N)</f>
        <v>0</v>
      </c>
      <c r="O94" s="53">
        <f>SUMIF(PPvsREal!$C:$C,'PPvsREal Summary'!C94,PPvsREal!$O:$O)</f>
        <v>67650.679999999993</v>
      </c>
      <c r="P94" s="53">
        <f>SUMIF(PPvsREal!$C:$C,'PPvsREal Summary'!C94,PPvsREal!$P:$P)</f>
        <v>0</v>
      </c>
      <c r="Q94" s="53">
        <f>SUMIF(PPvsREal!$C:$C,'PPvsREal Summary'!C94,PPvsREal!$Q:$Q)</f>
        <v>68842.52</v>
      </c>
      <c r="R94" s="53">
        <f>SUMIF(PPvsREal!$C:$C,'PPvsREal Summary'!C94,PPvsREal!$R:$R)</f>
        <v>0</v>
      </c>
      <c r="S94" s="53">
        <f>SUMIF(PPvsREal!$C:$C,'PPvsREal Summary'!C94,PPvsREal!$S:$S)</f>
        <v>0</v>
      </c>
      <c r="T94" s="53">
        <f>SUMIF(PPvsREal!$C:$C,'PPvsREal Summary'!C94,PPvsREal!$T:$T)</f>
        <v>0</v>
      </c>
      <c r="U94" s="53">
        <f>SUMIF(PPvsREal!$C:$C,'PPvsREal Summary'!C94,PPvsREal!$U:$U)</f>
        <v>0</v>
      </c>
      <c r="V94" s="53">
        <f>SUMIF(PPvsREal!$C:$C,'PPvsREal Summary'!C94,PPvsREal!$V:$V)</f>
        <v>0</v>
      </c>
      <c r="W94" s="53">
        <f>SUMIF(PPvsREal!$C:$C,'PPvsREal Summary'!C94,PPvsREal!$W:$W)</f>
        <v>0</v>
      </c>
      <c r="X94" s="53">
        <f>SUMIF(PPvsREal!$C:$C,'PPvsREal Summary'!C94,PPvsREal!$X:$X)</f>
        <v>0</v>
      </c>
      <c r="Y94" s="53">
        <f>SUMIF(PPvsREal!$C:$C,'PPvsREal Summary'!C94,PPvsREal!$Y:$Y)</f>
        <v>0</v>
      </c>
      <c r="Z94" s="53">
        <f>SUMIF(PPvsREal!$C:$C,'PPvsREal Summary'!C94,PPvsREal!$Z:$Z)</f>
        <v>0</v>
      </c>
      <c r="AA94" s="76">
        <f>SUMIF(PPvsREal!$C:$C,'PPvsREal Summary'!C94,PPvsREal!$AA:$AA)</f>
        <v>0</v>
      </c>
      <c r="AB94" s="53"/>
      <c r="AC94" s="64">
        <f t="shared" si="34"/>
        <v>130000</v>
      </c>
      <c r="AD94" s="64">
        <f t="shared" si="35"/>
        <v>136493.20000000001</v>
      </c>
    </row>
    <row r="95" spans="2:30" ht="12.75" customHeight="1" x14ac:dyDescent="0.25">
      <c r="B95" s="80" t="s">
        <v>351</v>
      </c>
      <c r="C95" s="37" t="s">
        <v>181</v>
      </c>
      <c r="D95" s="45">
        <f>SUMIF(PPvsREal!$C:$C,'PPvsREal Summary'!C95,PPvsREal!$D:$D)</f>
        <v>0</v>
      </c>
      <c r="E95" s="53">
        <f>SUMIF(PPvsREal!$C:$C,'PPvsREal Summary'!C95,PPvsREal!$E:$E)</f>
        <v>0</v>
      </c>
      <c r="F95" s="53">
        <f>SUMIF(PPvsREal!$C:$C,'PPvsREal Summary'!C95,PPvsREal!$F:$F)</f>
        <v>0</v>
      </c>
      <c r="G95" s="53">
        <f>SUMIF(PPvsREal!$C:$C,'PPvsREal Summary'!C95,PPvsREal!$G:$G)</f>
        <v>0</v>
      </c>
      <c r="H95" s="53">
        <f>SUMIF(PPvsREal!$C:$C,'PPvsREal Summary'!C95,PPvsREal!$H:$H)</f>
        <v>0</v>
      </c>
      <c r="I95" s="53">
        <f>SUMIF(PPvsREal!$C:$C,'PPvsREal Summary'!C95,PPvsREal!$I:$I)</f>
        <v>0</v>
      </c>
      <c r="J95" s="53">
        <f>SUMIF(PPvsREal!$C:$C,'PPvsREal Summary'!C95,PPvsREal!$J:$J)</f>
        <v>0</v>
      </c>
      <c r="K95" s="53">
        <f>SUMIF(PPvsREal!$C:$C,'PPvsREal Summary'!C95,PPvsREal!$K:$K)</f>
        <v>1464.15</v>
      </c>
      <c r="L95" s="53">
        <f>SUMIF(PPvsREal!$C:$C,'PPvsREal Summary'!C95,PPvsREal!$L:$L)</f>
        <v>0</v>
      </c>
      <c r="M95" s="53">
        <f>SUMIF(PPvsREal!$C:$C,'PPvsREal Summary'!C95,PPvsREal!$M:$M)</f>
        <v>0</v>
      </c>
      <c r="N95" s="53">
        <f>SUMIF(PPvsREal!$C:$C,'PPvsREal Summary'!C95,PPvsREal!$N:$N)</f>
        <v>0</v>
      </c>
      <c r="O95" s="53">
        <f>SUMIF(PPvsREal!$C:$C,'PPvsREal Summary'!C95,PPvsREal!$O:$O)</f>
        <v>0</v>
      </c>
      <c r="P95" s="53">
        <f>SUMIF(PPvsREal!$C:$C,'PPvsREal Summary'!C95,PPvsREal!$P:$P)</f>
        <v>0</v>
      </c>
      <c r="Q95" s="53">
        <f>SUMIF(PPvsREal!$C:$C,'PPvsREal Summary'!C95,PPvsREal!$Q:$Q)</f>
        <v>0</v>
      </c>
      <c r="R95" s="53">
        <f>SUMIF(PPvsREal!$C:$C,'PPvsREal Summary'!C95,PPvsREal!$R:$R)</f>
        <v>0</v>
      </c>
      <c r="S95" s="53">
        <f>SUMIF(PPvsREal!$C:$C,'PPvsREal Summary'!C95,PPvsREal!$S:$S)</f>
        <v>0</v>
      </c>
      <c r="T95" s="53">
        <f>SUMIF(PPvsREal!$C:$C,'PPvsREal Summary'!C95,PPvsREal!$T:$T)</f>
        <v>0</v>
      </c>
      <c r="U95" s="53">
        <f>SUMIF(PPvsREal!$C:$C,'PPvsREal Summary'!C95,PPvsREal!$U:$U)</f>
        <v>0</v>
      </c>
      <c r="V95" s="53">
        <f>SUMIF(PPvsREal!$C:$C,'PPvsREal Summary'!C95,PPvsREal!$V:$V)</f>
        <v>0</v>
      </c>
      <c r="W95" s="53">
        <f>SUMIF(PPvsREal!$C:$C,'PPvsREal Summary'!C95,PPvsREal!$W:$W)</f>
        <v>0</v>
      </c>
      <c r="X95" s="53">
        <f>SUMIF(PPvsREal!$C:$C,'PPvsREal Summary'!C95,PPvsREal!$X:$X)</f>
        <v>0</v>
      </c>
      <c r="Y95" s="53">
        <f>SUMIF(PPvsREal!$C:$C,'PPvsREal Summary'!C95,PPvsREal!$Y:$Y)</f>
        <v>0</v>
      </c>
      <c r="Z95" s="53">
        <f>SUMIF(PPvsREal!$C:$C,'PPvsREal Summary'!C95,PPvsREal!$Z:$Z)</f>
        <v>0</v>
      </c>
      <c r="AA95" s="76">
        <f>SUMIF(PPvsREal!$C:$C,'PPvsREal Summary'!C95,PPvsREal!$AA:$AA)</f>
        <v>0</v>
      </c>
      <c r="AB95" s="53"/>
      <c r="AC95" s="64">
        <f t="shared" si="34"/>
        <v>0</v>
      </c>
      <c r="AD95" s="64">
        <f t="shared" si="35"/>
        <v>1464.15</v>
      </c>
    </row>
    <row r="96" spans="2:30" ht="12.75" customHeight="1" x14ac:dyDescent="0.25">
      <c r="B96" s="80" t="s">
        <v>351</v>
      </c>
      <c r="C96" s="37" t="s">
        <v>171</v>
      </c>
      <c r="D96" s="45">
        <f>SUMIF(PPvsREal!$C:$C,'PPvsREal Summary'!C96,PPvsREal!$D:$D)</f>
        <v>0</v>
      </c>
      <c r="E96" s="53">
        <f>SUMIF(PPvsREal!$C:$C,'PPvsREal Summary'!C96,PPvsREal!$E:$E)</f>
        <v>0</v>
      </c>
      <c r="F96" s="53">
        <f>SUMIF(PPvsREal!$C:$C,'PPvsREal Summary'!C96,PPvsREal!$F:$F)</f>
        <v>38000</v>
      </c>
      <c r="G96" s="53">
        <f>SUMIF(PPvsREal!$C:$C,'PPvsREal Summary'!C96,PPvsREal!$G:$G)</f>
        <v>46790.9</v>
      </c>
      <c r="H96" s="53">
        <f>SUMIF(PPvsREal!$C:$C,'PPvsREal Summary'!C96,PPvsREal!$H:$H)</f>
        <v>0</v>
      </c>
      <c r="I96" s="53">
        <f>SUMIF(PPvsREal!$C:$C,'PPvsREal Summary'!C96,PPvsREal!$I:$I)</f>
        <v>-517.24</v>
      </c>
      <c r="J96" s="53">
        <f>SUMIF(PPvsREal!$C:$C,'PPvsREal Summary'!C96,PPvsREal!$J:$J)</f>
        <v>0</v>
      </c>
      <c r="K96" s="53">
        <f>SUMIF(PPvsREal!$C:$C,'PPvsREal Summary'!C96,PPvsREal!$K:$K)</f>
        <v>0</v>
      </c>
      <c r="L96" s="53">
        <f>SUMIF(PPvsREal!$C:$C,'PPvsREal Summary'!C96,PPvsREal!$L:$L)</f>
        <v>0</v>
      </c>
      <c r="M96" s="53">
        <f>SUMIF(PPvsREal!$C:$C,'PPvsREal Summary'!C96,PPvsREal!$M:$M)</f>
        <v>0</v>
      </c>
      <c r="N96" s="53">
        <f>SUMIF(PPvsREal!$C:$C,'PPvsREal Summary'!C96,PPvsREal!$N:$N)</f>
        <v>0</v>
      </c>
      <c r="O96" s="53">
        <f>SUMIF(PPvsREal!$C:$C,'PPvsREal Summary'!C96,PPvsREal!$O:$O)</f>
        <v>0</v>
      </c>
      <c r="P96" s="53">
        <f>SUMIF(PPvsREal!$C:$C,'PPvsREal Summary'!C96,PPvsREal!$P:$P)</f>
        <v>0</v>
      </c>
      <c r="Q96" s="53">
        <f>SUMIF(PPvsREal!$C:$C,'PPvsREal Summary'!C96,PPvsREal!$Q:$Q)</f>
        <v>0</v>
      </c>
      <c r="R96" s="53">
        <f>SUMIF(PPvsREal!$C:$C,'PPvsREal Summary'!C96,PPvsREal!$R:$R)</f>
        <v>0</v>
      </c>
      <c r="S96" s="53">
        <f>SUMIF(PPvsREal!$C:$C,'PPvsREal Summary'!C96,PPvsREal!$S:$S)</f>
        <v>0</v>
      </c>
      <c r="T96" s="53">
        <f>SUMIF(PPvsREal!$C:$C,'PPvsREal Summary'!C96,PPvsREal!$T:$T)</f>
        <v>0</v>
      </c>
      <c r="U96" s="53">
        <f>SUMIF(PPvsREal!$C:$C,'PPvsREal Summary'!C96,PPvsREal!$U:$U)</f>
        <v>0</v>
      </c>
      <c r="V96" s="53">
        <f>SUMIF(PPvsREal!$C:$C,'PPvsREal Summary'!C96,PPvsREal!$V:$V)</f>
        <v>0</v>
      </c>
      <c r="W96" s="53">
        <f>SUMIF(PPvsREal!$C:$C,'PPvsREal Summary'!C96,PPvsREal!$W:$W)</f>
        <v>0</v>
      </c>
      <c r="X96" s="53">
        <f>SUMIF(PPvsREal!$C:$C,'PPvsREal Summary'!C96,PPvsREal!$X:$X)</f>
        <v>0</v>
      </c>
      <c r="Y96" s="53">
        <f>SUMIF(PPvsREal!$C:$C,'PPvsREal Summary'!C96,PPvsREal!$Y:$Y)</f>
        <v>0</v>
      </c>
      <c r="Z96" s="53">
        <f>SUMIF(PPvsREal!$C:$C,'PPvsREal Summary'!C96,PPvsREal!$Z:$Z)</f>
        <v>0</v>
      </c>
      <c r="AA96" s="76">
        <f>SUMIF(PPvsREal!$C:$C,'PPvsREal Summary'!C96,PPvsREal!$AA:$AA)</f>
        <v>0</v>
      </c>
      <c r="AB96" s="53"/>
      <c r="AC96" s="64">
        <f t="shared" si="34"/>
        <v>38000</v>
      </c>
      <c r="AD96" s="64">
        <f t="shared" si="35"/>
        <v>46273.66</v>
      </c>
    </row>
    <row r="97" spans="2:30" ht="12.75" customHeight="1" x14ac:dyDescent="0.25">
      <c r="B97" s="80" t="s">
        <v>351</v>
      </c>
      <c r="C97" s="37" t="s">
        <v>353</v>
      </c>
      <c r="D97" s="45">
        <f>SUMIF(PPvsREal!$C:$C,'PPvsREal Summary'!C97,PPvsREal!$D:$D)</f>
        <v>0</v>
      </c>
      <c r="E97" s="53">
        <f>SUMIF(PPvsREal!$C:$C,'PPvsREal Summary'!C97,PPvsREal!$E:$E)</f>
        <v>0</v>
      </c>
      <c r="F97" s="53">
        <f>SUMIF(PPvsREal!$C:$C,'PPvsREal Summary'!C97,PPvsREal!$F:$F)</f>
        <v>0</v>
      </c>
      <c r="G97" s="53">
        <f>SUMIF(PPvsREal!$C:$C,'PPvsREal Summary'!C97,PPvsREal!$G:$G)</f>
        <v>0</v>
      </c>
      <c r="H97" s="53">
        <f>SUMIF(PPvsREal!$C:$C,'PPvsREal Summary'!C97,PPvsREal!$H:$H)</f>
        <v>0</v>
      </c>
      <c r="I97" s="53">
        <f>SUMIF(PPvsREal!$C:$C,'PPvsREal Summary'!C97,PPvsREal!$I:$I)</f>
        <v>0</v>
      </c>
      <c r="J97" s="53">
        <f>SUMIF(PPvsREal!$C:$C,'PPvsREal Summary'!C97,PPvsREal!$J:$J)</f>
        <v>0</v>
      </c>
      <c r="K97" s="53">
        <f>SUMIF(PPvsREal!$C:$C,'PPvsREal Summary'!C97,PPvsREal!$K:$K)</f>
        <v>0</v>
      </c>
      <c r="L97" s="53">
        <f>SUMIF(PPvsREal!$C:$C,'PPvsREal Summary'!C97,PPvsREal!$L:$L)</f>
        <v>0</v>
      </c>
      <c r="M97" s="53">
        <f>SUMIF(PPvsREal!$C:$C,'PPvsREal Summary'!C97,PPvsREal!$M:$M)</f>
        <v>0</v>
      </c>
      <c r="N97" s="53">
        <f>SUMIF(PPvsREal!$C:$C,'PPvsREal Summary'!C97,PPvsREal!$N:$N)</f>
        <v>0</v>
      </c>
      <c r="O97" s="53">
        <f>SUMIF(PPvsREal!$C:$C,'PPvsREal Summary'!C97,PPvsREal!$O:$O)</f>
        <v>0</v>
      </c>
      <c r="P97" s="53">
        <f>SUMIF(PPvsREal!$C:$C,'PPvsREal Summary'!C97,PPvsREal!$P:$P)</f>
        <v>0</v>
      </c>
      <c r="Q97" s="53">
        <f>SUMIF(PPvsREal!$C:$C,'PPvsREal Summary'!C97,PPvsREal!$Q:$Q)</f>
        <v>0</v>
      </c>
      <c r="R97" s="53">
        <f>SUMIF(PPvsREal!$C:$C,'PPvsREal Summary'!C97,PPvsREal!$R:$R)</f>
        <v>0</v>
      </c>
      <c r="S97" s="53">
        <f>SUMIF(PPvsREal!$C:$C,'PPvsREal Summary'!C97,PPvsREal!$S:$S)</f>
        <v>0</v>
      </c>
      <c r="T97" s="53">
        <f>SUMIF(PPvsREal!$C:$C,'PPvsREal Summary'!C97,PPvsREal!$T:$T)</f>
        <v>0</v>
      </c>
      <c r="U97" s="53">
        <f>SUMIF(PPvsREal!$C:$C,'PPvsREal Summary'!C97,PPvsREal!$U:$U)</f>
        <v>0</v>
      </c>
      <c r="V97" s="53">
        <f>SUMIF(PPvsREal!$C:$C,'PPvsREal Summary'!C97,PPvsREal!$V:$V)</f>
        <v>0</v>
      </c>
      <c r="W97" s="53">
        <f>SUMIF(PPvsREal!$C:$C,'PPvsREal Summary'!C97,PPvsREal!$W:$W)</f>
        <v>0</v>
      </c>
      <c r="X97" s="53">
        <f>SUMIF(PPvsREal!$C:$C,'PPvsREal Summary'!C97,PPvsREal!$X:$X)</f>
        <v>0</v>
      </c>
      <c r="Y97" s="53">
        <f>SUMIF(PPvsREal!$C:$C,'PPvsREal Summary'!C97,PPvsREal!$Y:$Y)</f>
        <v>0</v>
      </c>
      <c r="Z97" s="53">
        <f>SUMIF(PPvsREal!$C:$C,'PPvsREal Summary'!C97,PPvsREal!$Z:$Z)</f>
        <v>0</v>
      </c>
      <c r="AA97" s="76">
        <f>SUMIF(PPvsREal!$C:$C,'PPvsREal Summary'!C97,PPvsREal!$AA:$AA)</f>
        <v>0</v>
      </c>
      <c r="AB97" s="53"/>
      <c r="AC97" s="64">
        <f t="shared" si="34"/>
        <v>0</v>
      </c>
      <c r="AD97" s="64">
        <f t="shared" si="35"/>
        <v>0</v>
      </c>
    </row>
    <row r="98" spans="2:30" ht="12.75" customHeight="1" x14ac:dyDescent="0.25">
      <c r="B98" s="77"/>
      <c r="C98" s="78">
        <v>7.01E+20</v>
      </c>
      <c r="D98" s="49">
        <f>SUM(D83:D97)</f>
        <v>40000</v>
      </c>
      <c r="E98" s="49">
        <f t="shared" ref="E98:AA98" si="36">SUM(E83:E97)</f>
        <v>24047.83</v>
      </c>
      <c r="F98" s="49">
        <f t="shared" si="36"/>
        <v>151045</v>
      </c>
      <c r="G98" s="49">
        <f t="shared" si="36"/>
        <v>103263.67</v>
      </c>
      <c r="H98" s="49">
        <f t="shared" si="36"/>
        <v>35000</v>
      </c>
      <c r="I98" s="49">
        <f t="shared" si="36"/>
        <v>14941.73</v>
      </c>
      <c r="J98" s="49">
        <f t="shared" si="36"/>
        <v>190000</v>
      </c>
      <c r="K98" s="49">
        <f t="shared" si="36"/>
        <v>1464.15</v>
      </c>
      <c r="L98" s="49">
        <f t="shared" si="36"/>
        <v>100000</v>
      </c>
      <c r="M98" s="49">
        <f t="shared" si="36"/>
        <v>34061.339999999997</v>
      </c>
      <c r="N98" s="49">
        <f t="shared" si="36"/>
        <v>185000</v>
      </c>
      <c r="O98" s="49">
        <f t="shared" si="36"/>
        <v>67650.679999999993</v>
      </c>
      <c r="P98" s="49">
        <f t="shared" si="36"/>
        <v>55000</v>
      </c>
      <c r="Q98" s="49">
        <f t="shared" si="36"/>
        <v>70699.75</v>
      </c>
      <c r="R98" s="49">
        <f t="shared" si="36"/>
        <v>110000</v>
      </c>
      <c r="S98" s="49">
        <f t="shared" si="36"/>
        <v>0</v>
      </c>
      <c r="T98" s="49">
        <f t="shared" si="36"/>
        <v>690000</v>
      </c>
      <c r="U98" s="49">
        <f t="shared" si="36"/>
        <v>0</v>
      </c>
      <c r="V98" s="49">
        <f t="shared" si="36"/>
        <v>700000</v>
      </c>
      <c r="W98" s="49">
        <f t="shared" si="36"/>
        <v>0</v>
      </c>
      <c r="X98" s="49">
        <f t="shared" si="36"/>
        <v>1400000</v>
      </c>
      <c r="Y98" s="49">
        <f t="shared" si="36"/>
        <v>0</v>
      </c>
      <c r="Z98" s="49">
        <f t="shared" si="36"/>
        <v>0</v>
      </c>
      <c r="AA98" s="81">
        <f t="shared" si="36"/>
        <v>0</v>
      </c>
      <c r="AB98" s="53"/>
      <c r="AC98" s="63">
        <f t="shared" si="34"/>
        <v>756045</v>
      </c>
      <c r="AD98" s="63">
        <f t="shared" si="35"/>
        <v>316129.15000000002</v>
      </c>
    </row>
    <row r="99" spans="2:30" ht="12.75" customHeight="1" x14ac:dyDescent="0.25">
      <c r="B99" s="80"/>
      <c r="C99" s="37"/>
      <c r="D99" s="45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76"/>
      <c r="AB99" s="53"/>
      <c r="AC99" s="64"/>
      <c r="AD99" s="64"/>
    </row>
    <row r="100" spans="2:30" ht="12.75" customHeight="1" x14ac:dyDescent="0.25">
      <c r="B100" s="80" t="s">
        <v>348</v>
      </c>
      <c r="C100" s="37" t="s">
        <v>96</v>
      </c>
      <c r="D100" s="45">
        <f>SUMIF(PPvsREal!$C:$C,'PPvsREal Summary'!C100,PPvsREal!$D:$D)</f>
        <v>20000</v>
      </c>
      <c r="E100" s="53">
        <f>SUMIF(PPvsREal!$C:$C,'PPvsREal Summary'!C100,PPvsREal!$E:$E)</f>
        <v>1563.21</v>
      </c>
      <c r="F100" s="53">
        <f>SUMIF(PPvsREal!$C:$C,'PPvsREal Summary'!C100,PPvsREal!$F:$F)</f>
        <v>0</v>
      </c>
      <c r="G100" s="53">
        <f>SUMIF(PPvsREal!$C:$C,'PPvsREal Summary'!C100,PPvsREal!$G:$G)</f>
        <v>1815.06</v>
      </c>
      <c r="H100" s="53">
        <f>SUMIF(PPvsREal!$C:$C,'PPvsREal Summary'!C100,PPvsREal!$H:$H)</f>
        <v>20000</v>
      </c>
      <c r="I100" s="53">
        <f>SUMIF(PPvsREal!$C:$C,'PPvsREal Summary'!C100,PPvsREal!$I:$I)</f>
        <v>0</v>
      </c>
      <c r="J100" s="53">
        <f>SUMIF(PPvsREal!$C:$C,'PPvsREal Summary'!C100,PPvsREal!$J:$J)</f>
        <v>0</v>
      </c>
      <c r="K100" s="53">
        <f>SUMIF(PPvsREal!$C:$C,'PPvsREal Summary'!C100,PPvsREal!$K:$K)</f>
        <v>811.35</v>
      </c>
      <c r="L100" s="53">
        <f>SUMIF(PPvsREal!$C:$C,'PPvsREal Summary'!C100,PPvsREal!$L:$L)</f>
        <v>20000</v>
      </c>
      <c r="M100" s="53">
        <f>SUMIF(PPvsREal!$C:$C,'PPvsREal Summary'!C100,PPvsREal!$M:$M)</f>
        <v>0</v>
      </c>
      <c r="N100" s="53">
        <f>SUMIF(PPvsREal!$C:$C,'PPvsREal Summary'!C100,PPvsREal!$N:$N)</f>
        <v>0</v>
      </c>
      <c r="O100" s="53">
        <f>SUMIF(PPvsREal!$C:$C,'PPvsREal Summary'!C100,PPvsREal!$O:$O)</f>
        <v>3904.95</v>
      </c>
      <c r="P100" s="53">
        <f>SUMIF(PPvsREal!$C:$C,'PPvsREal Summary'!C100,PPvsREal!$P:$P)</f>
        <v>20000</v>
      </c>
      <c r="Q100" s="53">
        <f>SUMIF(PPvsREal!$C:$C,'PPvsREal Summary'!C100,PPvsREal!$Q:$Q)</f>
        <v>0</v>
      </c>
      <c r="R100" s="53">
        <f>SUMIF(PPvsREal!$C:$C,'PPvsREal Summary'!C100,PPvsREal!$R:$R)</f>
        <v>0</v>
      </c>
      <c r="S100" s="53">
        <f>SUMIF(PPvsREal!$C:$C,'PPvsREal Summary'!C100,PPvsREal!$S:$S)</f>
        <v>0</v>
      </c>
      <c r="T100" s="53">
        <f>SUMIF(PPvsREal!$C:$C,'PPvsREal Summary'!C100,PPvsREal!$T:$T)</f>
        <v>20000</v>
      </c>
      <c r="U100" s="53">
        <f>SUMIF(PPvsREal!$C:$C,'PPvsREal Summary'!C100,PPvsREal!$U:$U)</f>
        <v>0</v>
      </c>
      <c r="V100" s="53">
        <f>SUMIF(PPvsREal!$C:$C,'PPvsREal Summary'!C100,PPvsREal!$V:$V)</f>
        <v>0</v>
      </c>
      <c r="W100" s="53">
        <f>SUMIF(PPvsREal!$C:$C,'PPvsREal Summary'!C100,PPvsREal!$W:$W)</f>
        <v>0</v>
      </c>
      <c r="X100" s="53">
        <f>SUMIF(PPvsREal!$C:$C,'PPvsREal Summary'!C100,PPvsREal!$X:$X)</f>
        <v>20000</v>
      </c>
      <c r="Y100" s="53">
        <f>SUMIF(PPvsREal!$C:$C,'PPvsREal Summary'!C100,PPvsREal!$Y:$Y)</f>
        <v>0</v>
      </c>
      <c r="Z100" s="53">
        <f>SUMIF(PPvsREal!$C:$C,'PPvsREal Summary'!C100,PPvsREal!$Z:$Z)</f>
        <v>0</v>
      </c>
      <c r="AA100" s="76">
        <f>SUMIF(PPvsREal!$C:$C,'PPvsREal Summary'!C100,PPvsREal!$AA:$AA)</f>
        <v>0</v>
      </c>
      <c r="AB100" s="53"/>
      <c r="AC100" s="64">
        <f t="shared" ref="AC100:AC101" si="37">D100+F100+H100+J100+L100+N100+P100</f>
        <v>80000</v>
      </c>
      <c r="AD100" s="64">
        <f t="shared" ref="AD100:AD101" si="38">E100+G100+I100+K100+M100+O100+Q100</f>
        <v>8094.57</v>
      </c>
    </row>
    <row r="101" spans="2:30" ht="12.75" customHeight="1" x14ac:dyDescent="0.25">
      <c r="B101" s="77"/>
      <c r="C101" s="78">
        <v>7.02E+20</v>
      </c>
      <c r="D101" s="49">
        <f t="shared" ref="D101:AA101" si="39">D100</f>
        <v>20000</v>
      </c>
      <c r="E101" s="49">
        <f t="shared" si="39"/>
        <v>1563.21</v>
      </c>
      <c r="F101" s="49">
        <f t="shared" si="39"/>
        <v>0</v>
      </c>
      <c r="G101" s="49">
        <f t="shared" si="39"/>
        <v>1815.06</v>
      </c>
      <c r="H101" s="49">
        <f t="shared" si="39"/>
        <v>20000</v>
      </c>
      <c r="I101" s="49">
        <f t="shared" si="39"/>
        <v>0</v>
      </c>
      <c r="J101" s="49">
        <f t="shared" si="39"/>
        <v>0</v>
      </c>
      <c r="K101" s="49">
        <f t="shared" si="39"/>
        <v>811.35</v>
      </c>
      <c r="L101" s="49">
        <f t="shared" si="39"/>
        <v>20000</v>
      </c>
      <c r="M101" s="49">
        <f t="shared" si="39"/>
        <v>0</v>
      </c>
      <c r="N101" s="49">
        <f t="shared" si="39"/>
        <v>0</v>
      </c>
      <c r="O101" s="49">
        <f t="shared" si="39"/>
        <v>3904.95</v>
      </c>
      <c r="P101" s="49">
        <f t="shared" si="39"/>
        <v>20000</v>
      </c>
      <c r="Q101" s="49">
        <f t="shared" si="39"/>
        <v>0</v>
      </c>
      <c r="R101" s="49">
        <f t="shared" si="39"/>
        <v>0</v>
      </c>
      <c r="S101" s="49">
        <f t="shared" si="39"/>
        <v>0</v>
      </c>
      <c r="T101" s="49">
        <f t="shared" si="39"/>
        <v>20000</v>
      </c>
      <c r="U101" s="49">
        <f t="shared" si="39"/>
        <v>0</v>
      </c>
      <c r="V101" s="49">
        <f t="shared" si="39"/>
        <v>0</v>
      </c>
      <c r="W101" s="49">
        <f t="shared" si="39"/>
        <v>0</v>
      </c>
      <c r="X101" s="49">
        <f t="shared" si="39"/>
        <v>20000</v>
      </c>
      <c r="Y101" s="49">
        <f t="shared" si="39"/>
        <v>0</v>
      </c>
      <c r="Z101" s="49">
        <f t="shared" si="39"/>
        <v>0</v>
      </c>
      <c r="AA101" s="81">
        <f t="shared" si="39"/>
        <v>0</v>
      </c>
      <c r="AB101" s="53"/>
      <c r="AC101" s="63">
        <f t="shared" si="37"/>
        <v>80000</v>
      </c>
      <c r="AD101" s="63">
        <f t="shared" si="38"/>
        <v>8094.57</v>
      </c>
    </row>
    <row r="102" spans="2:30" ht="15.75" customHeight="1" x14ac:dyDescent="0.25">
      <c r="B102" s="65"/>
      <c r="AA102" s="66"/>
      <c r="AC102" s="65"/>
      <c r="AD102" s="65"/>
    </row>
    <row r="103" spans="2:30" ht="15.75" customHeight="1" x14ac:dyDescent="0.25">
      <c r="B103" s="65"/>
      <c r="AA103" s="66"/>
      <c r="AC103" s="65"/>
      <c r="AD103" s="65"/>
    </row>
    <row r="104" spans="2:30" ht="12.75" customHeight="1" x14ac:dyDescent="0.25">
      <c r="B104" s="80" t="s">
        <v>237</v>
      </c>
      <c r="C104" s="37" t="s">
        <v>240</v>
      </c>
      <c r="D104" s="45">
        <f>SUMIF(PPvsREal!$C:$C,'PPvsREal Summary'!C104,PPvsREal!$D:$D)</f>
        <v>9500</v>
      </c>
      <c r="E104" s="53">
        <f>SUMIF(PPvsREal!$C:$C,'PPvsREal Summary'!C104,PPvsREal!$E:$E)</f>
        <v>0</v>
      </c>
      <c r="F104" s="53">
        <f>SUMIF(PPvsREal!$C:$C,'PPvsREal Summary'!C104,PPvsREal!$F:$F)</f>
        <v>0</v>
      </c>
      <c r="G104" s="53">
        <f>SUMIF(PPvsREal!$C:$C,'PPvsREal Summary'!C104,PPvsREal!$G:$G)</f>
        <v>3899.96</v>
      </c>
      <c r="H104" s="53">
        <f>SUMIF(PPvsREal!$C:$C,'PPvsREal Summary'!C104,PPvsREal!$H:$H)</f>
        <v>9500</v>
      </c>
      <c r="I104" s="53">
        <f>SUMIF(PPvsREal!$C:$C,'PPvsREal Summary'!C104,PPvsREal!$I:$I)</f>
        <v>0</v>
      </c>
      <c r="J104" s="53">
        <f>SUMIF(PPvsREal!$C:$C,'PPvsREal Summary'!C104,PPvsREal!$J:$J)</f>
        <v>0</v>
      </c>
      <c r="K104" s="53">
        <f>SUMIF(PPvsREal!$C:$C,'PPvsREal Summary'!C104,PPvsREal!$K:$K)</f>
        <v>5018.08</v>
      </c>
      <c r="L104" s="53">
        <f>SUMIF(PPvsREal!$C:$C,'PPvsREal Summary'!C104,PPvsREal!$L:$L)</f>
        <v>9500</v>
      </c>
      <c r="M104" s="53">
        <f>SUMIF(PPvsREal!$C:$C,'PPvsREal Summary'!C104,PPvsREal!$M:$M)</f>
        <v>0</v>
      </c>
      <c r="N104" s="53">
        <f>SUMIF(PPvsREal!$C:$C,'PPvsREal Summary'!C104,PPvsREal!$N:$N)</f>
        <v>0</v>
      </c>
      <c r="O104" s="53">
        <f>SUMIF(PPvsREal!$C:$C,'PPvsREal Summary'!C104,PPvsREal!$O:$O)</f>
        <v>9280.15</v>
      </c>
      <c r="P104" s="53">
        <f>SUMIF(PPvsREal!$C:$C,'PPvsREal Summary'!C104,PPvsREal!$P:$P)</f>
        <v>9500</v>
      </c>
      <c r="Q104" s="53">
        <f>SUMIF(PPvsREal!$C:$C,'PPvsREal Summary'!C104,PPvsREal!$Q:$Q)</f>
        <v>0</v>
      </c>
      <c r="R104" s="53">
        <f>SUMIF(PPvsREal!$C:$C,'PPvsREal Summary'!C104,PPvsREal!$R:$R)</f>
        <v>0</v>
      </c>
      <c r="S104" s="53">
        <f>SUMIF(PPvsREal!$C:$C,'PPvsREal Summary'!C104,PPvsREal!$S:$S)</f>
        <v>0</v>
      </c>
      <c r="T104" s="53">
        <f>SUMIF(PPvsREal!$C:$C,'PPvsREal Summary'!C104,PPvsREal!$T:$T)</f>
        <v>9500</v>
      </c>
      <c r="U104" s="53">
        <f>SUMIF(PPvsREal!$C:$C,'PPvsREal Summary'!C104,PPvsREal!$U:$U)</f>
        <v>0</v>
      </c>
      <c r="V104" s="53">
        <f>SUMIF(PPvsREal!$C:$C,'PPvsREal Summary'!C104,PPvsREal!$V:$V)</f>
        <v>0</v>
      </c>
      <c r="W104" s="53">
        <f>SUMIF(PPvsREal!$C:$C,'PPvsREal Summary'!C104,PPvsREal!$W:$W)</f>
        <v>0</v>
      </c>
      <c r="X104" s="53">
        <f>SUMIF(PPvsREal!$C:$C,'PPvsREal Summary'!C104,PPvsREal!$X:$X)</f>
        <v>9500</v>
      </c>
      <c r="Y104" s="53">
        <f>SUMIF(PPvsREal!$C:$C,'PPvsREal Summary'!C104,PPvsREal!$Y:$Y)</f>
        <v>0</v>
      </c>
      <c r="Z104" s="53">
        <f>SUMIF(PPvsREal!$C:$C,'PPvsREal Summary'!C104,PPvsREal!$Z:$Z)</f>
        <v>0</v>
      </c>
      <c r="AA104" s="76">
        <f>SUMIF(PPvsREal!$C:$C,'PPvsREal Summary'!C104,PPvsREal!$AA:$AA)</f>
        <v>0</v>
      </c>
      <c r="AB104" s="53"/>
      <c r="AC104" s="64">
        <f t="shared" ref="AC104:AC110" si="40">D104+F104+H104+J104+L104+N104+P104</f>
        <v>38000</v>
      </c>
      <c r="AD104" s="64">
        <f t="shared" ref="AD104:AD110" si="41">E104+G104+I104+K104+M104+O104+Q104</f>
        <v>18198.190000000002</v>
      </c>
    </row>
    <row r="105" spans="2:30" ht="12.75" customHeight="1" x14ac:dyDescent="0.25">
      <c r="B105" s="80" t="s">
        <v>237</v>
      </c>
      <c r="C105" s="37" t="s">
        <v>242</v>
      </c>
      <c r="D105" s="45">
        <f>SUMIF(PPvsREal!$C:$C,'PPvsREal Summary'!C105,PPvsREal!$D:$D)</f>
        <v>800</v>
      </c>
      <c r="E105" s="53">
        <f>SUMIF(PPvsREal!$C:$C,'PPvsREal Summary'!C105,PPvsREal!$E:$E)</f>
        <v>143</v>
      </c>
      <c r="F105" s="53">
        <f>SUMIF(PPvsREal!$C:$C,'PPvsREal Summary'!C105,PPvsREal!$F:$F)</f>
        <v>800</v>
      </c>
      <c r="G105" s="53">
        <f>SUMIF(PPvsREal!$C:$C,'PPvsREal Summary'!C105,PPvsREal!$G:$G)</f>
        <v>372</v>
      </c>
      <c r="H105" s="53">
        <f>SUMIF(PPvsREal!$C:$C,'PPvsREal Summary'!C105,PPvsREal!$H:$H)</f>
        <v>800</v>
      </c>
      <c r="I105" s="53">
        <f>SUMIF(PPvsREal!$C:$C,'PPvsREal Summary'!C105,PPvsREal!$I:$I)</f>
        <v>197</v>
      </c>
      <c r="J105" s="53">
        <f>SUMIF(PPvsREal!$C:$C,'PPvsREal Summary'!C105,PPvsREal!$J:$J)</f>
        <v>800</v>
      </c>
      <c r="K105" s="53">
        <f>SUMIF(PPvsREal!$C:$C,'PPvsREal Summary'!C105,PPvsREal!$K:$K)</f>
        <v>150</v>
      </c>
      <c r="L105" s="53">
        <f>SUMIF(PPvsREal!$C:$C,'PPvsREal Summary'!C105,PPvsREal!$L:$L)</f>
        <v>800</v>
      </c>
      <c r="M105" s="53">
        <f>SUMIF(PPvsREal!$C:$C,'PPvsREal Summary'!C105,PPvsREal!$M:$M)</f>
        <v>168</v>
      </c>
      <c r="N105" s="53">
        <f>SUMIF(PPvsREal!$C:$C,'PPvsREal Summary'!C105,PPvsREal!$N:$N)</f>
        <v>800</v>
      </c>
      <c r="O105" s="53">
        <f>SUMIF(PPvsREal!$C:$C,'PPvsREal Summary'!C105,PPvsREal!$O:$O)</f>
        <v>138</v>
      </c>
      <c r="P105" s="53">
        <f>SUMIF(PPvsREal!$C:$C,'PPvsREal Summary'!C105,PPvsREal!$P:$P)</f>
        <v>800</v>
      </c>
      <c r="Q105" s="53">
        <f>SUMIF(PPvsREal!$C:$C,'PPvsREal Summary'!C105,PPvsREal!$Q:$Q)</f>
        <v>114</v>
      </c>
      <c r="R105" s="53">
        <f>SUMIF(PPvsREal!$C:$C,'PPvsREal Summary'!C105,PPvsREal!$R:$R)</f>
        <v>800</v>
      </c>
      <c r="S105" s="53">
        <f>SUMIF(PPvsREal!$C:$C,'PPvsREal Summary'!C105,PPvsREal!$S:$S)</f>
        <v>0</v>
      </c>
      <c r="T105" s="53">
        <f>SUMIF(PPvsREal!$C:$C,'PPvsREal Summary'!C105,PPvsREal!$T:$T)</f>
        <v>800</v>
      </c>
      <c r="U105" s="53">
        <f>SUMIF(PPvsREal!$C:$C,'PPvsREal Summary'!C105,PPvsREal!$U:$U)</f>
        <v>0</v>
      </c>
      <c r="V105" s="53">
        <f>SUMIF(PPvsREal!$C:$C,'PPvsREal Summary'!C105,PPvsREal!$V:$V)</f>
        <v>800</v>
      </c>
      <c r="W105" s="53">
        <f>SUMIF(PPvsREal!$C:$C,'PPvsREal Summary'!C105,PPvsREal!$W:$W)</f>
        <v>0</v>
      </c>
      <c r="X105" s="53">
        <f>SUMIF(PPvsREal!$C:$C,'PPvsREal Summary'!C105,PPvsREal!$X:$X)</f>
        <v>800</v>
      </c>
      <c r="Y105" s="53">
        <f>SUMIF(PPvsREal!$C:$C,'PPvsREal Summary'!C105,PPvsREal!$Y:$Y)</f>
        <v>0</v>
      </c>
      <c r="Z105" s="53">
        <f>SUMIF(PPvsREal!$C:$C,'PPvsREal Summary'!C105,PPvsREal!$Z:$Z)</f>
        <v>800</v>
      </c>
      <c r="AA105" s="76">
        <f>SUMIF(PPvsREal!$C:$C,'PPvsREal Summary'!C105,PPvsREal!$AA:$AA)</f>
        <v>0</v>
      </c>
      <c r="AB105" s="53"/>
      <c r="AC105" s="64">
        <f t="shared" si="40"/>
        <v>5600</v>
      </c>
      <c r="AD105" s="64">
        <f t="shared" si="41"/>
        <v>1282</v>
      </c>
    </row>
    <row r="106" spans="2:30" ht="12.75" customHeight="1" x14ac:dyDescent="0.25">
      <c r="B106" s="80" t="s">
        <v>237</v>
      </c>
      <c r="C106" s="37" t="s">
        <v>244</v>
      </c>
      <c r="D106" s="45">
        <f>SUMIF(PPvsREal!$C:$C,'PPvsREal Summary'!C106,PPvsREal!$D:$D)</f>
        <v>13922.7</v>
      </c>
      <c r="E106" s="53">
        <f>SUMIF(PPvsREal!$C:$C,'PPvsREal Summary'!C106,PPvsREal!$E:$E)</f>
        <v>13185</v>
      </c>
      <c r="F106" s="53">
        <f>SUMIF(PPvsREal!$C:$C,'PPvsREal Summary'!C106,PPvsREal!$F:$F)</f>
        <v>0</v>
      </c>
      <c r="G106" s="53">
        <f>SUMIF(PPvsREal!$C:$C,'PPvsREal Summary'!C106,PPvsREal!$G:$G)</f>
        <v>0</v>
      </c>
      <c r="H106" s="53">
        <f>SUMIF(PPvsREal!$C:$C,'PPvsREal Summary'!C106,PPvsREal!$H:$H)</f>
        <v>0</v>
      </c>
      <c r="I106" s="53">
        <f>SUMIF(PPvsREal!$C:$C,'PPvsREal Summary'!C106,PPvsREal!$I:$I)</f>
        <v>0</v>
      </c>
      <c r="J106" s="53">
        <f>SUMIF(PPvsREal!$C:$C,'PPvsREal Summary'!C106,PPvsREal!$J:$J)</f>
        <v>0</v>
      </c>
      <c r="K106" s="53">
        <f>SUMIF(PPvsREal!$C:$C,'PPvsREal Summary'!C106,PPvsREal!$K:$K)</f>
        <v>0</v>
      </c>
      <c r="L106" s="53">
        <f>SUMIF(PPvsREal!$C:$C,'PPvsREal Summary'!C106,PPvsREal!$L:$L)</f>
        <v>0</v>
      </c>
      <c r="M106" s="53">
        <f>SUMIF(PPvsREal!$C:$C,'PPvsREal Summary'!C106,PPvsREal!$M:$M)</f>
        <v>0</v>
      </c>
      <c r="N106" s="53">
        <f>SUMIF(PPvsREal!$C:$C,'PPvsREal Summary'!C106,PPvsREal!$N:$N)</f>
        <v>0</v>
      </c>
      <c r="O106" s="53">
        <f>SUMIF(PPvsREal!$C:$C,'PPvsREal Summary'!C106,PPvsREal!$O:$O)</f>
        <v>0</v>
      </c>
      <c r="P106" s="53">
        <f>SUMIF(PPvsREal!$C:$C,'PPvsREal Summary'!C106,PPvsREal!$P:$P)</f>
        <v>0</v>
      </c>
      <c r="Q106" s="53">
        <f>SUMIF(PPvsREal!$C:$C,'PPvsREal Summary'!C106,PPvsREal!$Q:$Q)</f>
        <v>0</v>
      </c>
      <c r="R106" s="53">
        <f>SUMIF(PPvsREal!$C:$C,'PPvsREal Summary'!C106,PPvsREal!$R:$R)</f>
        <v>0</v>
      </c>
      <c r="S106" s="53">
        <f>SUMIF(PPvsREal!$C:$C,'PPvsREal Summary'!C106,PPvsREal!$S:$S)</f>
        <v>0</v>
      </c>
      <c r="T106" s="53">
        <f>SUMIF(PPvsREal!$C:$C,'PPvsREal Summary'!C106,PPvsREal!$T:$T)</f>
        <v>0</v>
      </c>
      <c r="U106" s="53">
        <f>SUMIF(PPvsREal!$C:$C,'PPvsREal Summary'!C106,PPvsREal!$U:$U)</f>
        <v>0</v>
      </c>
      <c r="V106" s="53">
        <f>SUMIF(PPvsREal!$C:$C,'PPvsREal Summary'!C106,PPvsREal!$V:$V)</f>
        <v>0</v>
      </c>
      <c r="W106" s="53">
        <f>SUMIF(PPvsREal!$C:$C,'PPvsREal Summary'!C106,PPvsREal!$W:$W)</f>
        <v>0</v>
      </c>
      <c r="X106" s="53">
        <f>SUMIF(PPvsREal!$C:$C,'PPvsREal Summary'!C106,PPvsREal!$X:$X)</f>
        <v>0</v>
      </c>
      <c r="Y106" s="53">
        <f>SUMIF(PPvsREal!$C:$C,'PPvsREal Summary'!C106,PPvsREal!$Y:$Y)</f>
        <v>0</v>
      </c>
      <c r="Z106" s="53">
        <f>SUMIF(PPvsREal!$C:$C,'PPvsREal Summary'!C106,PPvsREal!$Z:$Z)</f>
        <v>0</v>
      </c>
      <c r="AA106" s="76">
        <f>SUMIF(PPvsREal!$C:$C,'PPvsREal Summary'!C106,PPvsREal!$AA:$AA)</f>
        <v>0</v>
      </c>
      <c r="AB106" s="53"/>
      <c r="AC106" s="64">
        <f t="shared" si="40"/>
        <v>13922.7</v>
      </c>
      <c r="AD106" s="64">
        <f t="shared" si="41"/>
        <v>13185</v>
      </c>
    </row>
    <row r="107" spans="2:30" ht="12.75" customHeight="1" x14ac:dyDescent="0.25">
      <c r="B107" s="80" t="s">
        <v>237</v>
      </c>
      <c r="C107" s="37" t="s">
        <v>238</v>
      </c>
      <c r="D107" s="45">
        <f>SUMIF(PPvsREal!$C:$C,'PPvsREal Summary'!C107,PPvsREal!$D:$D)</f>
        <v>1055.76</v>
      </c>
      <c r="E107" s="53">
        <f>SUMIF(PPvsREal!$C:$C,'PPvsREal Summary'!C107,PPvsREal!$E:$E)</f>
        <v>1317</v>
      </c>
      <c r="F107" s="53">
        <f>SUMIF(PPvsREal!$C:$C,'PPvsREal Summary'!C107,PPvsREal!$F:$F)</f>
        <v>1055.76</v>
      </c>
      <c r="G107" s="53">
        <f>SUMIF(PPvsREal!$C:$C,'PPvsREal Summary'!C107,PPvsREal!$G:$G)</f>
        <v>450</v>
      </c>
      <c r="H107" s="53">
        <f>SUMIF(PPvsREal!$C:$C,'PPvsREal Summary'!C107,PPvsREal!$H:$H)</f>
        <v>1055.76</v>
      </c>
      <c r="I107" s="53">
        <f>SUMIF(PPvsREal!$C:$C,'PPvsREal Summary'!C107,PPvsREal!$I:$I)</f>
        <v>2998</v>
      </c>
      <c r="J107" s="53">
        <f>SUMIF(PPvsREal!$C:$C,'PPvsREal Summary'!C107,PPvsREal!$J:$J)</f>
        <v>1055.76</v>
      </c>
      <c r="K107" s="53">
        <f>SUMIF(PPvsREal!$C:$C,'PPvsREal Summary'!C107,PPvsREal!$K:$K)</f>
        <v>900</v>
      </c>
      <c r="L107" s="53">
        <f>SUMIF(PPvsREal!$C:$C,'PPvsREal Summary'!C107,PPvsREal!$L:$L)</f>
        <v>1055.76</v>
      </c>
      <c r="M107" s="53">
        <f>SUMIF(PPvsREal!$C:$C,'PPvsREal Summary'!C107,PPvsREal!$M:$M)</f>
        <v>450</v>
      </c>
      <c r="N107" s="53">
        <f>SUMIF(PPvsREal!$C:$C,'PPvsREal Summary'!C107,PPvsREal!$N:$N)</f>
        <v>1055.76</v>
      </c>
      <c r="O107" s="53">
        <f>SUMIF(PPvsREal!$C:$C,'PPvsREal Summary'!C107,PPvsREal!$O:$O)</f>
        <v>2937</v>
      </c>
      <c r="P107" s="53">
        <f>SUMIF(PPvsREal!$C:$C,'PPvsREal Summary'!C107,PPvsREal!$P:$P)</f>
        <v>1055.76</v>
      </c>
      <c r="Q107" s="53">
        <f>SUMIF(PPvsREal!$C:$C,'PPvsREal Summary'!C107,PPvsREal!$Q:$Q)</f>
        <v>450</v>
      </c>
      <c r="R107" s="53">
        <f>SUMIF(PPvsREal!$C:$C,'PPvsREal Summary'!C107,PPvsREal!$R:$R)</f>
        <v>1055.76</v>
      </c>
      <c r="S107" s="53">
        <f>SUMIF(PPvsREal!$C:$C,'PPvsREal Summary'!C107,PPvsREal!$S:$S)</f>
        <v>0</v>
      </c>
      <c r="T107" s="53">
        <f>SUMIF(PPvsREal!$C:$C,'PPvsREal Summary'!C107,PPvsREal!$T:$T)</f>
        <v>1055.76</v>
      </c>
      <c r="U107" s="53">
        <f>SUMIF(PPvsREal!$C:$C,'PPvsREal Summary'!C107,PPvsREal!$U:$U)</f>
        <v>0</v>
      </c>
      <c r="V107" s="53">
        <f>SUMIF(PPvsREal!$C:$C,'PPvsREal Summary'!C107,PPvsREal!$V:$V)</f>
        <v>1055.76</v>
      </c>
      <c r="W107" s="53">
        <f>SUMIF(PPvsREal!$C:$C,'PPvsREal Summary'!C107,PPvsREal!$W:$W)</f>
        <v>0</v>
      </c>
      <c r="X107" s="53">
        <f>SUMIF(PPvsREal!$C:$C,'PPvsREal Summary'!C107,PPvsREal!$X:$X)</f>
        <v>1055.76</v>
      </c>
      <c r="Y107" s="53">
        <f>SUMIF(PPvsREal!$C:$C,'PPvsREal Summary'!C107,PPvsREal!$Y:$Y)</f>
        <v>0</v>
      </c>
      <c r="Z107" s="53">
        <f>SUMIF(PPvsREal!$C:$C,'PPvsREal Summary'!C107,PPvsREal!$Z:$Z)</f>
        <v>1055.76</v>
      </c>
      <c r="AA107" s="76">
        <f>SUMIF(PPvsREal!$C:$C,'PPvsREal Summary'!C107,PPvsREal!$AA:$AA)</f>
        <v>0</v>
      </c>
      <c r="AB107" s="53"/>
      <c r="AC107" s="64">
        <f t="shared" si="40"/>
        <v>7390.3200000000006</v>
      </c>
      <c r="AD107" s="64">
        <f t="shared" si="41"/>
        <v>9502</v>
      </c>
    </row>
    <row r="108" spans="2:30" ht="12.75" customHeight="1" x14ac:dyDescent="0.25">
      <c r="B108" s="80" t="s">
        <v>237</v>
      </c>
      <c r="C108" s="37" t="s">
        <v>261</v>
      </c>
      <c r="D108" s="45">
        <f>SUMIF(PPvsREal!$C:$C,'PPvsREal Summary'!C108,PPvsREal!$D:$D)</f>
        <v>20839</v>
      </c>
      <c r="E108" s="53">
        <f>SUMIF(PPvsREal!$C:$C,'PPvsREal Summary'!C108,PPvsREal!$E:$E)</f>
        <v>600</v>
      </c>
      <c r="F108" s="53">
        <f>SUMIF(PPvsREal!$C:$C,'PPvsREal Summary'!C108,PPvsREal!$F:$F)</f>
        <v>10000</v>
      </c>
      <c r="G108" s="53">
        <f>SUMIF(PPvsREal!$C:$C,'PPvsREal Summary'!C108,PPvsREal!$G:$G)</f>
        <v>4129.3500000000004</v>
      </c>
      <c r="H108" s="53">
        <f>SUMIF(PPvsREal!$C:$C,'PPvsREal Summary'!C108,PPvsREal!$H:$H)</f>
        <v>102695</v>
      </c>
      <c r="I108" s="53">
        <f>SUMIF(PPvsREal!$C:$C,'PPvsREal Summary'!C108,PPvsREal!$I:$I)</f>
        <v>44336.74</v>
      </c>
      <c r="J108" s="53">
        <f>SUMIF(PPvsREal!$C:$C,'PPvsREal Summary'!C108,PPvsREal!$J:$J)</f>
        <v>53339</v>
      </c>
      <c r="K108" s="53">
        <f>SUMIF(PPvsREal!$C:$C,'PPvsREal Summary'!C108,PPvsREal!$K:$K)</f>
        <v>57950</v>
      </c>
      <c r="L108" s="53">
        <f>SUMIF(PPvsREal!$C:$C,'PPvsREal Summary'!C108,PPvsREal!$L:$L)</f>
        <v>30000</v>
      </c>
      <c r="M108" s="53">
        <f>SUMIF(PPvsREal!$C:$C,'PPvsREal Summary'!C108,PPvsREal!$M:$M)</f>
        <v>35021.75</v>
      </c>
      <c r="N108" s="53">
        <f>SUMIF(PPvsREal!$C:$C,'PPvsREal Summary'!C108,PPvsREal!$N:$N)</f>
        <v>30000</v>
      </c>
      <c r="O108" s="53">
        <f>SUMIF(PPvsREal!$C:$C,'PPvsREal Summary'!C108,PPvsREal!$O:$O)</f>
        <v>31028</v>
      </c>
      <c r="P108" s="53">
        <f>SUMIF(PPvsREal!$C:$C,'PPvsREal Summary'!C108,PPvsREal!$P:$P)</f>
        <v>20839</v>
      </c>
      <c r="Q108" s="53">
        <f>SUMIF(PPvsREal!$C:$C,'PPvsREal Summary'!C108,PPvsREal!$Q:$Q)</f>
        <v>15400</v>
      </c>
      <c r="R108" s="53">
        <f>SUMIF(PPvsREal!$C:$C,'PPvsREal Summary'!C108,PPvsREal!$R:$R)</f>
        <v>10000</v>
      </c>
      <c r="S108" s="53">
        <f>SUMIF(PPvsREal!$C:$C,'PPvsREal Summary'!C108,PPvsREal!$S:$S)</f>
        <v>0</v>
      </c>
      <c r="T108" s="53">
        <f>SUMIF(PPvsREal!$C:$C,'PPvsREal Summary'!C108,PPvsREal!$T:$T)</f>
        <v>32695</v>
      </c>
      <c r="U108" s="53">
        <f>SUMIF(PPvsREal!$C:$C,'PPvsREal Summary'!C108,PPvsREal!$U:$U)</f>
        <v>0</v>
      </c>
      <c r="V108" s="53">
        <f>SUMIF(PPvsREal!$C:$C,'PPvsREal Summary'!C108,PPvsREal!$V:$V)</f>
        <v>13339</v>
      </c>
      <c r="W108" s="53">
        <f>SUMIF(PPvsREal!$C:$C,'PPvsREal Summary'!C108,PPvsREal!$W:$W)</f>
        <v>0</v>
      </c>
      <c r="X108" s="53">
        <f>SUMIF(PPvsREal!$C:$C,'PPvsREal Summary'!C108,PPvsREal!$X:$X)</f>
        <v>10000</v>
      </c>
      <c r="Y108" s="53">
        <f>SUMIF(PPvsREal!$C:$C,'PPvsREal Summary'!C108,PPvsREal!$Y:$Y)</f>
        <v>0</v>
      </c>
      <c r="Z108" s="53">
        <f>SUMIF(PPvsREal!$C:$C,'PPvsREal Summary'!C108,PPvsREal!$Z:$Z)</f>
        <v>10000</v>
      </c>
      <c r="AA108" s="76">
        <f>SUMIF(PPvsREal!$C:$C,'PPvsREal Summary'!C108,PPvsREal!$AA:$AA)</f>
        <v>0</v>
      </c>
      <c r="AB108" s="53"/>
      <c r="AC108" s="64">
        <f t="shared" si="40"/>
        <v>267712</v>
      </c>
      <c r="AD108" s="64">
        <f t="shared" si="41"/>
        <v>188465.84</v>
      </c>
    </row>
    <row r="109" spans="2:30" ht="12.75" customHeight="1" x14ac:dyDescent="0.25">
      <c r="B109" s="80"/>
      <c r="C109" s="37" t="s">
        <v>371</v>
      </c>
      <c r="D109" s="45">
        <f>SUMIF(PPvsREal!$C:$C,'PPvsREal Summary'!C109,PPvsREal!$D:$D)</f>
        <v>0</v>
      </c>
      <c r="E109" s="53">
        <f>SUMIF(PPvsREal!$C:$C,'PPvsREal Summary'!C109,PPvsREal!$E:$E)</f>
        <v>0</v>
      </c>
      <c r="F109" s="53">
        <f>SUMIF(PPvsREal!$C:$C,'PPvsREal Summary'!C109,PPvsREal!$F:$F)</f>
        <v>0</v>
      </c>
      <c r="G109" s="53">
        <f>SUMIF(PPvsREal!$C:$C,'PPvsREal Summary'!C109,PPvsREal!$G:$G)</f>
        <v>0</v>
      </c>
      <c r="H109" s="53">
        <f>SUMIF(PPvsREal!$C:$C,'PPvsREal Summary'!C109,PPvsREal!$H:$H)</f>
        <v>0</v>
      </c>
      <c r="I109" s="53">
        <f>SUMIF(PPvsREal!$C:$C,'PPvsREal Summary'!C109,PPvsREal!$I:$I)</f>
        <v>0</v>
      </c>
      <c r="J109" s="53">
        <f>SUMIF(PPvsREal!$C:$C,'PPvsREal Summary'!C109,PPvsREal!$J:$J)</f>
        <v>0</v>
      </c>
      <c r="K109" s="53">
        <f>SUMIF(PPvsREal!$C:$C,'PPvsREal Summary'!C109,PPvsREal!$K:$K)</f>
        <v>0</v>
      </c>
      <c r="L109" s="53">
        <f>SUMIF(PPvsREal!$C:$C,'PPvsREal Summary'!C109,PPvsREal!$L:$L)</f>
        <v>0</v>
      </c>
      <c r="M109" s="53">
        <f>SUMIF(PPvsREal!$C:$C,'PPvsREal Summary'!C109,PPvsREal!$M:$M)</f>
        <v>0</v>
      </c>
      <c r="N109" s="53">
        <f>SUMIF(PPvsREal!$C:$C,'PPvsREal Summary'!C109,PPvsREal!$N:$N)</f>
        <v>0</v>
      </c>
      <c r="O109" s="53">
        <f>SUMIF(PPvsREal!$C:$C,'PPvsREal Summary'!C109,PPvsREal!$O:$O)</f>
        <v>0</v>
      </c>
      <c r="P109" s="53">
        <f>SUMIF(PPvsREal!$C:$C,'PPvsREal Summary'!C109,PPvsREal!$P:$P)</f>
        <v>0</v>
      </c>
      <c r="Q109" s="53">
        <f>SUMIF(PPvsREal!$C:$C,'PPvsREal Summary'!C109,PPvsREal!$Q:$Q)</f>
        <v>0</v>
      </c>
      <c r="R109" s="53">
        <f>SUMIF(PPvsREal!$C:$C,'PPvsREal Summary'!C109,PPvsREal!$R:$R)</f>
        <v>0</v>
      </c>
      <c r="S109" s="53">
        <f>SUMIF(PPvsREal!$C:$C,'PPvsREal Summary'!C109,PPvsREal!$S:$S)</f>
        <v>0</v>
      </c>
      <c r="T109" s="53">
        <f>SUMIF(PPvsREal!$C:$C,'PPvsREal Summary'!C109,PPvsREal!$T:$T)</f>
        <v>0</v>
      </c>
      <c r="U109" s="53">
        <f>SUMIF(PPvsREal!$C:$C,'PPvsREal Summary'!C109,PPvsREal!$U:$U)</f>
        <v>0</v>
      </c>
      <c r="V109" s="53">
        <f>SUMIF(PPvsREal!$C:$C,'PPvsREal Summary'!C109,PPvsREal!$V:$V)</f>
        <v>0</v>
      </c>
      <c r="W109" s="53">
        <f>SUMIF(PPvsREal!$C:$C,'PPvsREal Summary'!C109,PPvsREal!$W:$W)</f>
        <v>0</v>
      </c>
      <c r="X109" s="53">
        <f>SUMIF(PPvsREal!$C:$C,'PPvsREal Summary'!C109,PPvsREal!$X:$X)</f>
        <v>0</v>
      </c>
      <c r="Y109" s="53">
        <f>SUMIF(PPvsREal!$C:$C,'PPvsREal Summary'!C109,PPvsREal!$Y:$Y)</f>
        <v>0</v>
      </c>
      <c r="Z109" s="53">
        <f>SUMIF(PPvsREal!$C:$C,'PPvsREal Summary'!C109,PPvsREal!$Z:$Z)</f>
        <v>0</v>
      </c>
      <c r="AA109" s="76">
        <f>SUMIF(PPvsREal!$C:$C,'PPvsREal Summary'!C109,PPvsREal!$AA:$AA)</f>
        <v>0</v>
      </c>
      <c r="AB109" s="53"/>
      <c r="AC109" s="64">
        <f t="shared" si="40"/>
        <v>0</v>
      </c>
      <c r="AD109" s="64">
        <f t="shared" si="41"/>
        <v>0</v>
      </c>
    </row>
    <row r="110" spans="2:30" ht="12.75" customHeight="1" x14ac:dyDescent="0.25">
      <c r="B110" s="77"/>
      <c r="C110" s="78">
        <v>8.01E+20</v>
      </c>
      <c r="D110" s="49">
        <f t="shared" ref="D110:AA110" si="42">SUM(D104:D109)</f>
        <v>46117.46</v>
      </c>
      <c r="E110" s="49">
        <f t="shared" si="42"/>
        <v>15245</v>
      </c>
      <c r="F110" s="49">
        <f t="shared" si="42"/>
        <v>11855.76</v>
      </c>
      <c r="G110" s="49">
        <f t="shared" si="42"/>
        <v>8851.3100000000013</v>
      </c>
      <c r="H110" s="49">
        <f t="shared" si="42"/>
        <v>114050.76</v>
      </c>
      <c r="I110" s="49">
        <f t="shared" si="42"/>
        <v>47531.74</v>
      </c>
      <c r="J110" s="49">
        <f t="shared" si="42"/>
        <v>55194.76</v>
      </c>
      <c r="K110" s="49">
        <f t="shared" si="42"/>
        <v>64018.080000000002</v>
      </c>
      <c r="L110" s="49">
        <f t="shared" si="42"/>
        <v>41355.760000000002</v>
      </c>
      <c r="M110" s="49">
        <f t="shared" si="42"/>
        <v>35639.75</v>
      </c>
      <c r="N110" s="49">
        <f t="shared" si="42"/>
        <v>31855.759999999998</v>
      </c>
      <c r="O110" s="49">
        <f t="shared" si="42"/>
        <v>43383.15</v>
      </c>
      <c r="P110" s="49">
        <f t="shared" si="42"/>
        <v>32194.760000000002</v>
      </c>
      <c r="Q110" s="49">
        <f t="shared" si="42"/>
        <v>15964</v>
      </c>
      <c r="R110" s="49">
        <f t="shared" si="42"/>
        <v>11855.76</v>
      </c>
      <c r="S110" s="49">
        <f t="shared" si="42"/>
        <v>0</v>
      </c>
      <c r="T110" s="49">
        <f t="shared" si="42"/>
        <v>44050.76</v>
      </c>
      <c r="U110" s="49">
        <f t="shared" si="42"/>
        <v>0</v>
      </c>
      <c r="V110" s="49">
        <f t="shared" si="42"/>
        <v>15194.76</v>
      </c>
      <c r="W110" s="49">
        <f t="shared" si="42"/>
        <v>0</v>
      </c>
      <c r="X110" s="49">
        <f t="shared" si="42"/>
        <v>21355.760000000002</v>
      </c>
      <c r="Y110" s="49">
        <f t="shared" si="42"/>
        <v>0</v>
      </c>
      <c r="Z110" s="49">
        <f t="shared" si="42"/>
        <v>11855.76</v>
      </c>
      <c r="AA110" s="79">
        <f t="shared" si="42"/>
        <v>0</v>
      </c>
      <c r="AB110" s="53"/>
      <c r="AC110" s="63">
        <f t="shared" si="40"/>
        <v>332625.02</v>
      </c>
      <c r="AD110" s="63">
        <f t="shared" si="41"/>
        <v>230633.03</v>
      </c>
    </row>
    <row r="111" spans="2:30" ht="12.75" customHeight="1" x14ac:dyDescent="0.25">
      <c r="B111" s="80"/>
      <c r="C111" s="37"/>
      <c r="D111" s="45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76"/>
      <c r="AB111" s="53"/>
      <c r="AC111" s="64"/>
      <c r="AD111" s="64"/>
    </row>
    <row r="112" spans="2:30" ht="12.75" customHeight="1" x14ac:dyDescent="0.25">
      <c r="B112" s="80" t="s">
        <v>237</v>
      </c>
      <c r="C112" s="37" t="s">
        <v>302</v>
      </c>
      <c r="D112" s="45">
        <f>SUMIF(PPvsREal!$C:$C,'PPvsREal Summary'!C112,PPvsREal!$D:$D)</f>
        <v>0</v>
      </c>
      <c r="E112" s="53">
        <f>SUMIF(PPvsREal!$C:$C,'PPvsREal Summary'!C112,PPvsREal!$E:$E)</f>
        <v>0</v>
      </c>
      <c r="F112" s="53">
        <f>SUMIF(PPvsREal!$C:$C,'PPvsREal Summary'!C112,PPvsREal!$F:$F)</f>
        <v>1666.67</v>
      </c>
      <c r="G112" s="53">
        <f>SUMIF(PPvsREal!$C:$C,'PPvsREal Summary'!C112,PPvsREal!$G:$G)</f>
        <v>0</v>
      </c>
      <c r="H112" s="53">
        <f>SUMIF(PPvsREal!$C:$C,'PPvsREal Summary'!C112,PPvsREal!$H:$H)</f>
        <v>0</v>
      </c>
      <c r="I112" s="53">
        <f>SUMIF(PPvsREal!$C:$C,'PPvsREal Summary'!C112,PPvsREal!$I:$I)</f>
        <v>2850</v>
      </c>
      <c r="J112" s="53">
        <f>SUMIF(PPvsREal!$C:$C,'PPvsREal Summary'!C112,PPvsREal!$J:$J)</f>
        <v>1666.67</v>
      </c>
      <c r="K112" s="53">
        <f>SUMIF(PPvsREal!$C:$C,'PPvsREal Summary'!C112,PPvsREal!$K:$K)</f>
        <v>850</v>
      </c>
      <c r="L112" s="53">
        <f>SUMIF(PPvsREal!$C:$C,'PPvsREal Summary'!C112,PPvsREal!$L:$L)</f>
        <v>0</v>
      </c>
      <c r="M112" s="53">
        <f>SUMIF(PPvsREal!$C:$C,'PPvsREal Summary'!C112,PPvsREal!$M:$M)</f>
        <v>5126.18</v>
      </c>
      <c r="N112" s="53">
        <f>SUMIF(PPvsREal!$C:$C,'PPvsREal Summary'!C112,PPvsREal!$N:$N)</f>
        <v>1666.67</v>
      </c>
      <c r="O112" s="53">
        <f>SUMIF(PPvsREal!$C:$C,'PPvsREal Summary'!C112,PPvsREal!$O:$O)</f>
        <v>4978.45</v>
      </c>
      <c r="P112" s="53">
        <f>SUMIF(PPvsREal!$C:$C,'PPvsREal Summary'!C112,PPvsREal!$P:$P)</f>
        <v>0</v>
      </c>
      <c r="Q112" s="53">
        <f>SUMIF(PPvsREal!$C:$C,'PPvsREal Summary'!C112,PPvsREal!$Q:$Q)</f>
        <v>2194.83</v>
      </c>
      <c r="R112" s="53">
        <f>SUMIF(PPvsREal!$C:$C,'PPvsREal Summary'!C112,PPvsREal!$R:$R)</f>
        <v>1666.67</v>
      </c>
      <c r="S112" s="53">
        <f>SUMIF(PPvsREal!$C:$C,'PPvsREal Summary'!C112,PPvsREal!$S:$S)</f>
        <v>0</v>
      </c>
      <c r="T112" s="53">
        <f>SUMIF(PPvsREal!$C:$C,'PPvsREal Summary'!C112,PPvsREal!$T:$T)</f>
        <v>0</v>
      </c>
      <c r="U112" s="53">
        <f>SUMIF(PPvsREal!$C:$C,'PPvsREal Summary'!C112,PPvsREal!$U:$U)</f>
        <v>0</v>
      </c>
      <c r="V112" s="53">
        <f>SUMIF(PPvsREal!$C:$C,'PPvsREal Summary'!C112,PPvsREal!$V:$V)</f>
        <v>1666.67</v>
      </c>
      <c r="W112" s="53">
        <f>SUMIF(PPvsREal!$C:$C,'PPvsREal Summary'!C112,PPvsREal!$W:$W)</f>
        <v>0</v>
      </c>
      <c r="X112" s="53">
        <f>SUMIF(PPvsREal!$C:$C,'PPvsREal Summary'!C112,PPvsREal!$X:$X)</f>
        <v>0</v>
      </c>
      <c r="Y112" s="53">
        <f>SUMIF(PPvsREal!$C:$C,'PPvsREal Summary'!C112,PPvsREal!$Y:$Y)</f>
        <v>0</v>
      </c>
      <c r="Z112" s="53">
        <f>SUMIF(PPvsREal!$C:$C,'PPvsREal Summary'!C112,PPvsREal!$Z:$Z)</f>
        <v>1666.65</v>
      </c>
      <c r="AA112" s="76">
        <f>SUMIF(PPvsREal!$C:$C,'PPvsREal Summary'!C112,PPvsREal!$AA:$AA)</f>
        <v>0</v>
      </c>
      <c r="AB112" s="53"/>
      <c r="AC112" s="64">
        <f t="shared" ref="AC112:AC152" si="43">D112+F112+H112+J112+L112+N112+P112</f>
        <v>5000.01</v>
      </c>
      <c r="AD112" s="64">
        <f t="shared" ref="AD112:AD152" si="44">E112+G112+I112+K112+M112+O112+Q112</f>
        <v>15999.460000000001</v>
      </c>
    </row>
    <row r="113" spans="2:30" ht="12.75" customHeight="1" x14ac:dyDescent="0.25">
      <c r="B113" s="80" t="s">
        <v>237</v>
      </c>
      <c r="C113" s="37" t="s">
        <v>293</v>
      </c>
      <c r="D113" s="45">
        <f>SUMIF(PPvsREal!$C:$C,'PPvsREal Summary'!C113,PPvsREal!$D:$D)</f>
        <v>400</v>
      </c>
      <c r="E113" s="53">
        <f>SUMIF(PPvsREal!$C:$C,'PPvsREal Summary'!C113,PPvsREal!$E:$E)</f>
        <v>2700</v>
      </c>
      <c r="F113" s="53">
        <f>SUMIF(PPvsREal!$C:$C,'PPvsREal Summary'!C113,PPvsREal!$F:$F)</f>
        <v>400</v>
      </c>
      <c r="G113" s="53">
        <f>SUMIF(PPvsREal!$C:$C,'PPvsREal Summary'!C113,PPvsREal!$G:$G)</f>
        <v>0</v>
      </c>
      <c r="H113" s="53">
        <f>SUMIF(PPvsREal!$C:$C,'PPvsREal Summary'!C113,PPvsREal!$H:$H)</f>
        <v>3480</v>
      </c>
      <c r="I113" s="53">
        <f>SUMIF(PPvsREal!$C:$C,'PPvsREal Summary'!C113,PPvsREal!$I:$I)</f>
        <v>0</v>
      </c>
      <c r="J113" s="53">
        <f>SUMIF(PPvsREal!$C:$C,'PPvsREal Summary'!C113,PPvsREal!$J:$J)</f>
        <v>400</v>
      </c>
      <c r="K113" s="53">
        <f>SUMIF(PPvsREal!$C:$C,'PPvsREal Summary'!C113,PPvsREal!$K:$K)</f>
        <v>0</v>
      </c>
      <c r="L113" s="53">
        <f>SUMIF(PPvsREal!$C:$C,'PPvsREal Summary'!C113,PPvsREal!$L:$L)</f>
        <v>400</v>
      </c>
      <c r="M113" s="53">
        <f>SUMIF(PPvsREal!$C:$C,'PPvsREal Summary'!C113,PPvsREal!$M:$M)</f>
        <v>0</v>
      </c>
      <c r="N113" s="53">
        <f>SUMIF(PPvsREal!$C:$C,'PPvsREal Summary'!C113,PPvsREal!$N:$N)</f>
        <v>6560</v>
      </c>
      <c r="O113" s="53">
        <f>SUMIF(PPvsREal!$C:$C,'PPvsREal Summary'!C113,PPvsREal!$O:$O)</f>
        <v>0</v>
      </c>
      <c r="P113" s="53">
        <f>SUMIF(PPvsREal!$C:$C,'PPvsREal Summary'!C113,PPvsREal!$P:$P)</f>
        <v>400</v>
      </c>
      <c r="Q113" s="53">
        <f>SUMIF(PPvsREal!$C:$C,'PPvsREal Summary'!C113,PPvsREal!$Q:$Q)</f>
        <v>0</v>
      </c>
      <c r="R113" s="53">
        <f>SUMIF(PPvsREal!$C:$C,'PPvsREal Summary'!C113,PPvsREal!$R:$R)</f>
        <v>400</v>
      </c>
      <c r="S113" s="53">
        <f>SUMIF(PPvsREal!$C:$C,'PPvsREal Summary'!C113,PPvsREal!$S:$S)</f>
        <v>0</v>
      </c>
      <c r="T113" s="53">
        <f>SUMIF(PPvsREal!$C:$C,'PPvsREal Summary'!C113,PPvsREal!$T:$T)</f>
        <v>400</v>
      </c>
      <c r="U113" s="53">
        <f>SUMIF(PPvsREal!$C:$C,'PPvsREal Summary'!C113,PPvsREal!$U:$U)</f>
        <v>0</v>
      </c>
      <c r="V113" s="53">
        <f>SUMIF(PPvsREal!$C:$C,'PPvsREal Summary'!C113,PPvsREal!$V:$V)</f>
        <v>400</v>
      </c>
      <c r="W113" s="53">
        <f>SUMIF(PPvsREal!$C:$C,'PPvsREal Summary'!C113,PPvsREal!$W:$W)</f>
        <v>0</v>
      </c>
      <c r="X113" s="53">
        <f>SUMIF(PPvsREal!$C:$C,'PPvsREal Summary'!C113,PPvsREal!$X:$X)</f>
        <v>400</v>
      </c>
      <c r="Y113" s="53">
        <f>SUMIF(PPvsREal!$C:$C,'PPvsREal Summary'!C113,PPvsREal!$Y:$Y)</f>
        <v>0</v>
      </c>
      <c r="Z113" s="53">
        <f>SUMIF(PPvsREal!$C:$C,'PPvsREal Summary'!C113,PPvsREal!$Z:$Z)</f>
        <v>400</v>
      </c>
      <c r="AA113" s="76">
        <f>SUMIF(PPvsREal!$C:$C,'PPvsREal Summary'!C113,PPvsREal!$AA:$AA)</f>
        <v>0</v>
      </c>
      <c r="AB113" s="53"/>
      <c r="AC113" s="64">
        <f t="shared" si="43"/>
        <v>12040</v>
      </c>
      <c r="AD113" s="64">
        <f t="shared" si="44"/>
        <v>2700</v>
      </c>
    </row>
    <row r="114" spans="2:30" ht="12.75" customHeight="1" x14ac:dyDescent="0.25">
      <c r="B114" s="80" t="s">
        <v>237</v>
      </c>
      <c r="C114" s="37" t="s">
        <v>263</v>
      </c>
      <c r="D114" s="45">
        <f>SUMIF(PPvsREal!$C:$C,'PPvsREal Summary'!C114,PPvsREal!$D:$D)</f>
        <v>1802</v>
      </c>
      <c r="E114" s="53">
        <f>SUMIF(PPvsREal!$C:$C,'PPvsREal Summary'!C114,PPvsREal!$E:$E)</f>
        <v>1700</v>
      </c>
      <c r="F114" s="53">
        <f>SUMIF(PPvsREal!$C:$C,'PPvsREal Summary'!C114,PPvsREal!$F:$F)</f>
        <v>1802</v>
      </c>
      <c r="G114" s="53">
        <f>SUMIF(PPvsREal!$C:$C,'PPvsREal Summary'!C114,PPvsREal!$G:$G)</f>
        <v>1700</v>
      </c>
      <c r="H114" s="53">
        <f>SUMIF(PPvsREal!$C:$C,'PPvsREal Summary'!C114,PPvsREal!$H:$H)</f>
        <v>1802</v>
      </c>
      <c r="I114" s="53">
        <f>SUMIF(PPvsREal!$C:$C,'PPvsREal Summary'!C114,PPvsREal!$I:$I)</f>
        <v>1700</v>
      </c>
      <c r="J114" s="53">
        <f>SUMIF(PPvsREal!$C:$C,'PPvsREal Summary'!C114,PPvsREal!$J:$J)</f>
        <v>1802</v>
      </c>
      <c r="K114" s="53">
        <f>SUMIF(PPvsREal!$C:$C,'PPvsREal Summary'!C114,PPvsREal!$K:$K)</f>
        <v>1700</v>
      </c>
      <c r="L114" s="53">
        <f>SUMIF(PPvsREal!$C:$C,'PPvsREal Summary'!C114,PPvsREal!$L:$L)</f>
        <v>1802</v>
      </c>
      <c r="M114" s="53">
        <f>SUMIF(PPvsREal!$C:$C,'PPvsREal Summary'!C114,PPvsREal!$M:$M)</f>
        <v>1700</v>
      </c>
      <c r="N114" s="53">
        <f>SUMIF(PPvsREal!$C:$C,'PPvsREal Summary'!C114,PPvsREal!$N:$N)</f>
        <v>1802</v>
      </c>
      <c r="O114" s="53">
        <f>SUMIF(PPvsREal!$C:$C,'PPvsREal Summary'!C114,PPvsREal!$O:$O)</f>
        <v>1700</v>
      </c>
      <c r="P114" s="53">
        <f>SUMIF(PPvsREal!$C:$C,'PPvsREal Summary'!C114,PPvsREal!$P:$P)</f>
        <v>1802</v>
      </c>
      <c r="Q114" s="53">
        <f>SUMIF(PPvsREal!$C:$C,'PPvsREal Summary'!C114,PPvsREal!$Q:$Q)</f>
        <v>1700</v>
      </c>
      <c r="R114" s="53">
        <f>SUMIF(PPvsREal!$C:$C,'PPvsREal Summary'!C114,PPvsREal!$R:$R)</f>
        <v>1802</v>
      </c>
      <c r="S114" s="53">
        <f>SUMIF(PPvsREal!$C:$C,'PPvsREal Summary'!C114,PPvsREal!$S:$S)</f>
        <v>0</v>
      </c>
      <c r="T114" s="53">
        <f>SUMIF(PPvsREal!$C:$C,'PPvsREal Summary'!C114,PPvsREal!$T:$T)</f>
        <v>1802</v>
      </c>
      <c r="U114" s="53">
        <f>SUMIF(PPvsREal!$C:$C,'PPvsREal Summary'!C114,PPvsREal!$U:$U)</f>
        <v>0</v>
      </c>
      <c r="V114" s="53">
        <f>SUMIF(PPvsREal!$C:$C,'PPvsREal Summary'!C114,PPvsREal!$V:$V)</f>
        <v>1802</v>
      </c>
      <c r="W114" s="53">
        <f>SUMIF(PPvsREal!$C:$C,'PPvsREal Summary'!C114,PPvsREal!$W:$W)</f>
        <v>0</v>
      </c>
      <c r="X114" s="53">
        <f>SUMIF(PPvsREal!$C:$C,'PPvsREal Summary'!C114,PPvsREal!$X:$X)</f>
        <v>1802</v>
      </c>
      <c r="Y114" s="53">
        <f>SUMIF(PPvsREal!$C:$C,'PPvsREal Summary'!C114,PPvsREal!$Y:$Y)</f>
        <v>0</v>
      </c>
      <c r="Z114" s="53">
        <f>SUMIF(PPvsREal!$C:$C,'PPvsREal Summary'!C114,PPvsREal!$Z:$Z)</f>
        <v>1802</v>
      </c>
      <c r="AA114" s="76">
        <f>SUMIF(PPvsREal!$C:$C,'PPvsREal Summary'!C114,PPvsREal!$AA:$AA)</f>
        <v>0</v>
      </c>
      <c r="AB114" s="53"/>
      <c r="AC114" s="64">
        <f t="shared" si="43"/>
        <v>12614</v>
      </c>
      <c r="AD114" s="64">
        <f t="shared" si="44"/>
        <v>11900</v>
      </c>
    </row>
    <row r="115" spans="2:30" ht="12.75" customHeight="1" x14ac:dyDescent="0.25">
      <c r="B115" s="80" t="s">
        <v>237</v>
      </c>
      <c r="C115" s="37" t="s">
        <v>306</v>
      </c>
      <c r="D115" s="45">
        <f>SUMIF(PPvsREal!$C:$C,'PPvsREal Summary'!C115,PPvsREal!$D:$D)</f>
        <v>0</v>
      </c>
      <c r="E115" s="53">
        <f>SUMIF(PPvsREal!$C:$C,'PPvsREal Summary'!C115,PPvsREal!$E:$E)</f>
        <v>44</v>
      </c>
      <c r="F115" s="53">
        <f>SUMIF(PPvsREal!$C:$C,'PPvsREal Summary'!C115,PPvsREal!$F:$F)</f>
        <v>0</v>
      </c>
      <c r="G115" s="53">
        <f>SUMIF(PPvsREal!$C:$C,'PPvsREal Summary'!C115,PPvsREal!$G:$G)</f>
        <v>102.59</v>
      </c>
      <c r="H115" s="53">
        <f>SUMIF(PPvsREal!$C:$C,'PPvsREal Summary'!C115,PPvsREal!$H:$H)</f>
        <v>0</v>
      </c>
      <c r="I115" s="53">
        <f>SUMIF(PPvsREal!$C:$C,'PPvsREal Summary'!C115,PPvsREal!$I:$I)</f>
        <v>0</v>
      </c>
      <c r="J115" s="53">
        <f>SUMIF(PPvsREal!$C:$C,'PPvsREal Summary'!C115,PPvsREal!$J:$J)</f>
        <v>0</v>
      </c>
      <c r="K115" s="53">
        <f>SUMIF(PPvsREal!$C:$C,'PPvsREal Summary'!C115,PPvsREal!$K:$K)</f>
        <v>0</v>
      </c>
      <c r="L115" s="53">
        <f>SUMIF(PPvsREal!$C:$C,'PPvsREal Summary'!C115,PPvsREal!$L:$L)</f>
        <v>0</v>
      </c>
      <c r="M115" s="53">
        <f>SUMIF(PPvsREal!$C:$C,'PPvsREal Summary'!C115,PPvsREal!$M:$M)</f>
        <v>0</v>
      </c>
      <c r="N115" s="53">
        <f>SUMIF(PPvsREal!$C:$C,'PPvsREal Summary'!C115,PPvsREal!$N:$N)</f>
        <v>0</v>
      </c>
      <c r="O115" s="53">
        <f>SUMIF(PPvsREal!$C:$C,'PPvsREal Summary'!C115,PPvsREal!$O:$O)</f>
        <v>0</v>
      </c>
      <c r="P115" s="53">
        <f>SUMIF(PPvsREal!$C:$C,'PPvsREal Summary'!C115,PPvsREal!$P:$P)</f>
        <v>0</v>
      </c>
      <c r="Q115" s="53">
        <f>SUMIF(PPvsREal!$C:$C,'PPvsREal Summary'!C115,PPvsREal!$Q:$Q)</f>
        <v>0</v>
      </c>
      <c r="R115" s="53">
        <f>SUMIF(PPvsREal!$C:$C,'PPvsREal Summary'!C115,PPvsREal!$R:$R)</f>
        <v>0</v>
      </c>
      <c r="S115" s="53">
        <f>SUMIF(PPvsREal!$C:$C,'PPvsREal Summary'!C115,PPvsREal!$S:$S)</f>
        <v>0</v>
      </c>
      <c r="T115" s="53">
        <f>SUMIF(PPvsREal!$C:$C,'PPvsREal Summary'!C115,PPvsREal!$T:$T)</f>
        <v>0</v>
      </c>
      <c r="U115" s="53">
        <f>SUMIF(PPvsREal!$C:$C,'PPvsREal Summary'!C115,PPvsREal!$U:$U)</f>
        <v>0</v>
      </c>
      <c r="V115" s="53">
        <f>SUMIF(PPvsREal!$C:$C,'PPvsREal Summary'!C115,PPvsREal!$V:$V)</f>
        <v>0</v>
      </c>
      <c r="W115" s="53">
        <f>SUMIF(PPvsREal!$C:$C,'PPvsREal Summary'!C115,PPvsREal!$W:$W)</f>
        <v>0</v>
      </c>
      <c r="X115" s="53">
        <f>SUMIF(PPvsREal!$C:$C,'PPvsREal Summary'!C115,PPvsREal!$X:$X)</f>
        <v>0</v>
      </c>
      <c r="Y115" s="53">
        <f>SUMIF(PPvsREal!$C:$C,'PPvsREal Summary'!C115,PPvsREal!$Y:$Y)</f>
        <v>0</v>
      </c>
      <c r="Z115" s="53">
        <f>SUMIF(PPvsREal!$C:$C,'PPvsREal Summary'!C115,PPvsREal!$Z:$Z)</f>
        <v>0</v>
      </c>
      <c r="AA115" s="76">
        <f>SUMIF(PPvsREal!$C:$C,'PPvsREal Summary'!C115,PPvsREal!$AA:$AA)</f>
        <v>0</v>
      </c>
      <c r="AB115" s="53"/>
      <c r="AC115" s="64">
        <f t="shared" si="43"/>
        <v>0</v>
      </c>
      <c r="AD115" s="64">
        <f t="shared" si="44"/>
        <v>146.59</v>
      </c>
    </row>
    <row r="116" spans="2:30" ht="12.75" customHeight="1" x14ac:dyDescent="0.25">
      <c r="B116" s="80" t="s">
        <v>209</v>
      </c>
      <c r="C116" s="37" t="s">
        <v>207</v>
      </c>
      <c r="D116" s="45">
        <f>SUMIF(PPvsREal!$C:$C,'PPvsREal Summary'!C116,PPvsREal!$D:$D)</f>
        <v>0</v>
      </c>
      <c r="E116" s="53">
        <f>SUMIF(PPvsREal!$C:$C,'PPvsREal Summary'!C116,PPvsREal!$E:$E)</f>
        <v>0</v>
      </c>
      <c r="F116" s="53">
        <f>SUMIF(PPvsREal!$C:$C,'PPvsREal Summary'!C116,PPvsREal!$F:$F)</f>
        <v>14500</v>
      </c>
      <c r="G116" s="53">
        <f>SUMIF(PPvsREal!$C:$C,'PPvsREal Summary'!C116,PPvsREal!$G:$G)</f>
        <v>0</v>
      </c>
      <c r="H116" s="53">
        <f>SUMIF(PPvsREal!$C:$C,'PPvsREal Summary'!C116,PPvsREal!$H:$H)</f>
        <v>14500</v>
      </c>
      <c r="I116" s="53">
        <f>SUMIF(PPvsREal!$C:$C,'PPvsREal Summary'!C116,PPvsREal!$I:$I)</f>
        <v>4093.19</v>
      </c>
      <c r="J116" s="53">
        <f>SUMIF(PPvsREal!$C:$C,'PPvsREal Summary'!C116,PPvsREal!$J:$J)</f>
        <v>0</v>
      </c>
      <c r="K116" s="53">
        <f>SUMIF(PPvsREal!$C:$C,'PPvsREal Summary'!C116,PPvsREal!$K:$K)</f>
        <v>-232</v>
      </c>
      <c r="L116" s="53">
        <f>SUMIF(PPvsREal!$C:$C,'PPvsREal Summary'!C116,PPvsREal!$L:$L)</f>
        <v>0</v>
      </c>
      <c r="M116" s="53">
        <f>SUMIF(PPvsREal!$C:$C,'PPvsREal Summary'!C116,PPvsREal!$M:$M)</f>
        <v>33715.300000000003</v>
      </c>
      <c r="N116" s="53">
        <f>SUMIF(PPvsREal!$C:$C,'PPvsREal Summary'!C116,PPvsREal!$N:$N)</f>
        <v>14500</v>
      </c>
      <c r="O116" s="53">
        <f>SUMIF(PPvsREal!$C:$C,'PPvsREal Summary'!C116,PPvsREal!$O:$O)</f>
        <v>0</v>
      </c>
      <c r="P116" s="53">
        <f>SUMIF(PPvsREal!$C:$C,'PPvsREal Summary'!C116,PPvsREal!$P:$P)</f>
        <v>0</v>
      </c>
      <c r="Q116" s="53">
        <f>SUMIF(PPvsREal!$C:$C,'PPvsREal Summary'!C116,PPvsREal!$Q:$Q)</f>
        <v>11069.43</v>
      </c>
      <c r="R116" s="53">
        <f>SUMIF(PPvsREal!$C:$C,'PPvsREal Summary'!C116,PPvsREal!$R:$R)</f>
        <v>0</v>
      </c>
      <c r="S116" s="53">
        <f>SUMIF(PPvsREal!$C:$C,'PPvsREal Summary'!C116,PPvsREal!$S:$S)</f>
        <v>0</v>
      </c>
      <c r="T116" s="53">
        <f>SUMIF(PPvsREal!$C:$C,'PPvsREal Summary'!C116,PPvsREal!$T:$T)</f>
        <v>0</v>
      </c>
      <c r="U116" s="53">
        <f>SUMIF(PPvsREal!$C:$C,'PPvsREal Summary'!C116,PPvsREal!$U:$U)</f>
        <v>0</v>
      </c>
      <c r="V116" s="53">
        <f>SUMIF(PPvsREal!$C:$C,'PPvsREal Summary'!C116,PPvsREal!$V:$V)</f>
        <v>14500</v>
      </c>
      <c r="W116" s="53">
        <f>SUMIF(PPvsREal!$C:$C,'PPvsREal Summary'!C116,PPvsREal!$W:$W)</f>
        <v>0</v>
      </c>
      <c r="X116" s="53">
        <f>SUMIF(PPvsREal!$C:$C,'PPvsREal Summary'!C116,PPvsREal!$X:$X)</f>
        <v>0</v>
      </c>
      <c r="Y116" s="53">
        <f>SUMIF(PPvsREal!$C:$C,'PPvsREal Summary'!C116,PPvsREal!$Y:$Y)</f>
        <v>0</v>
      </c>
      <c r="Z116" s="53">
        <f>SUMIF(PPvsREal!$C:$C,'PPvsREal Summary'!C116,PPvsREal!$Z:$Z)</f>
        <v>0</v>
      </c>
      <c r="AA116" s="76">
        <f>SUMIF(PPvsREal!$C:$C,'PPvsREal Summary'!C116,PPvsREal!$AA:$AA)</f>
        <v>0</v>
      </c>
      <c r="AB116" s="53"/>
      <c r="AC116" s="64">
        <f t="shared" si="43"/>
        <v>43500</v>
      </c>
      <c r="AD116" s="64">
        <f t="shared" si="44"/>
        <v>48645.920000000006</v>
      </c>
    </row>
    <row r="117" spans="2:30" ht="12.75" customHeight="1" x14ac:dyDescent="0.25">
      <c r="B117" s="80" t="s">
        <v>237</v>
      </c>
      <c r="C117" s="37" t="s">
        <v>310</v>
      </c>
      <c r="D117" s="45">
        <f>SUMIF(PPvsREal!$C:$C,'PPvsREal Summary'!C117,PPvsREal!$D:$D)</f>
        <v>6000</v>
      </c>
      <c r="E117" s="53">
        <f>SUMIF(PPvsREal!$C:$C,'PPvsREal Summary'!C117,PPvsREal!$E:$E)</f>
        <v>2000</v>
      </c>
      <c r="F117" s="53">
        <f>SUMIF(PPvsREal!$C:$C,'PPvsREal Summary'!C117,PPvsREal!$F:$F)</f>
        <v>6000</v>
      </c>
      <c r="G117" s="53">
        <f>SUMIF(PPvsREal!$C:$C,'PPvsREal Summary'!C117,PPvsREal!$G:$G)</f>
        <v>0</v>
      </c>
      <c r="H117" s="53">
        <f>SUMIF(PPvsREal!$C:$C,'PPvsREal Summary'!C117,PPvsREal!$H:$H)</f>
        <v>6000</v>
      </c>
      <c r="I117" s="53">
        <f>SUMIF(PPvsREal!$C:$C,'PPvsREal Summary'!C117,PPvsREal!$I:$I)</f>
        <v>2550</v>
      </c>
      <c r="J117" s="53">
        <f>SUMIF(PPvsREal!$C:$C,'PPvsREal Summary'!C117,PPvsREal!$J:$J)</f>
        <v>6000</v>
      </c>
      <c r="K117" s="53">
        <f>SUMIF(PPvsREal!$C:$C,'PPvsREal Summary'!C117,PPvsREal!$K:$K)</f>
        <v>3867</v>
      </c>
      <c r="L117" s="53">
        <f>SUMIF(PPvsREal!$C:$C,'PPvsREal Summary'!C117,PPvsREal!$L:$L)</f>
        <v>6000</v>
      </c>
      <c r="M117" s="53">
        <f>SUMIF(PPvsREal!$C:$C,'PPvsREal Summary'!C117,PPvsREal!$M:$M)</f>
        <v>7068</v>
      </c>
      <c r="N117" s="53">
        <f>SUMIF(PPvsREal!$C:$C,'PPvsREal Summary'!C117,PPvsREal!$N:$N)</f>
        <v>6000</v>
      </c>
      <c r="O117" s="53">
        <f>SUMIF(PPvsREal!$C:$C,'PPvsREal Summary'!C117,PPvsREal!$O:$O)</f>
        <v>6000</v>
      </c>
      <c r="P117" s="53">
        <f>SUMIF(PPvsREal!$C:$C,'PPvsREal Summary'!C117,PPvsREal!$P:$P)</f>
        <v>6000</v>
      </c>
      <c r="Q117" s="53">
        <f>SUMIF(PPvsREal!$C:$C,'PPvsREal Summary'!C117,PPvsREal!$Q:$Q)</f>
        <v>4000</v>
      </c>
      <c r="R117" s="53">
        <f>SUMIF(PPvsREal!$C:$C,'PPvsREal Summary'!C117,PPvsREal!$R:$R)</f>
        <v>6000</v>
      </c>
      <c r="S117" s="53">
        <f>SUMIF(PPvsREal!$C:$C,'PPvsREal Summary'!C117,PPvsREal!$S:$S)</f>
        <v>0</v>
      </c>
      <c r="T117" s="53">
        <f>SUMIF(PPvsREal!$C:$C,'PPvsREal Summary'!C117,PPvsREal!$T:$T)</f>
        <v>6000</v>
      </c>
      <c r="U117" s="53">
        <f>SUMIF(PPvsREal!$C:$C,'PPvsREal Summary'!C117,PPvsREal!$U:$U)</f>
        <v>0</v>
      </c>
      <c r="V117" s="53">
        <f>SUMIF(PPvsREal!$C:$C,'PPvsREal Summary'!C117,PPvsREal!$V:$V)</f>
        <v>6000</v>
      </c>
      <c r="W117" s="53">
        <f>SUMIF(PPvsREal!$C:$C,'PPvsREal Summary'!C117,PPvsREal!$W:$W)</f>
        <v>0</v>
      </c>
      <c r="X117" s="53">
        <f>SUMIF(PPvsREal!$C:$C,'PPvsREal Summary'!C117,PPvsREal!$X:$X)</f>
        <v>6000</v>
      </c>
      <c r="Y117" s="53">
        <f>SUMIF(PPvsREal!$C:$C,'PPvsREal Summary'!C117,PPvsREal!$Y:$Y)</f>
        <v>0</v>
      </c>
      <c r="Z117" s="53">
        <f>SUMIF(PPvsREal!$C:$C,'PPvsREal Summary'!C117,PPvsREal!$Z:$Z)</f>
        <v>6000</v>
      </c>
      <c r="AA117" s="76">
        <f>SUMIF(PPvsREal!$C:$C,'PPvsREal Summary'!C117,PPvsREal!$AA:$AA)</f>
        <v>0</v>
      </c>
      <c r="AB117" s="53"/>
      <c r="AC117" s="64">
        <f t="shared" si="43"/>
        <v>42000</v>
      </c>
      <c r="AD117" s="64">
        <f t="shared" si="44"/>
        <v>25485</v>
      </c>
    </row>
    <row r="118" spans="2:30" ht="12.75" customHeight="1" x14ac:dyDescent="0.25">
      <c r="B118" s="80" t="s">
        <v>237</v>
      </c>
      <c r="C118" s="37" t="s">
        <v>265</v>
      </c>
      <c r="D118" s="45">
        <f>SUMIF(PPvsREal!$C:$C,'PPvsREal Summary'!C118,PPvsREal!$D:$D)</f>
        <v>3200</v>
      </c>
      <c r="E118" s="53">
        <f>SUMIF(PPvsREal!$C:$C,'PPvsREal Summary'!C118,PPvsREal!$E:$E)</f>
        <v>3192</v>
      </c>
      <c r="F118" s="53">
        <f>SUMIF(PPvsREal!$C:$C,'PPvsREal Summary'!C118,PPvsREal!$F:$F)</f>
        <v>0</v>
      </c>
      <c r="G118" s="53">
        <f>SUMIF(PPvsREal!$C:$C,'PPvsREal Summary'!C118,PPvsREal!$G:$G)</f>
        <v>0</v>
      </c>
      <c r="H118" s="53">
        <f>SUMIF(PPvsREal!$C:$C,'PPvsREal Summary'!C118,PPvsREal!$H:$H)</f>
        <v>0</v>
      </c>
      <c r="I118" s="53">
        <f>SUMIF(PPvsREal!$C:$C,'PPvsREal Summary'!C118,PPvsREal!$I:$I)</f>
        <v>0</v>
      </c>
      <c r="J118" s="53">
        <f>SUMIF(PPvsREal!$C:$C,'PPvsREal Summary'!C118,PPvsREal!$J:$J)</f>
        <v>0</v>
      </c>
      <c r="K118" s="53">
        <f>SUMIF(PPvsREal!$C:$C,'PPvsREal Summary'!C118,PPvsREal!$K:$K)</f>
        <v>0</v>
      </c>
      <c r="L118" s="53">
        <f>SUMIF(PPvsREal!$C:$C,'PPvsREal Summary'!C118,PPvsREal!$L:$L)</f>
        <v>0</v>
      </c>
      <c r="M118" s="53">
        <f>SUMIF(PPvsREal!$C:$C,'PPvsREal Summary'!C118,PPvsREal!$M:$M)</f>
        <v>0</v>
      </c>
      <c r="N118" s="53">
        <f>SUMIF(PPvsREal!$C:$C,'PPvsREal Summary'!C118,PPvsREal!$N:$N)</f>
        <v>0</v>
      </c>
      <c r="O118" s="53">
        <f>SUMIF(PPvsREal!$C:$C,'PPvsREal Summary'!C118,PPvsREal!$O:$O)</f>
        <v>0</v>
      </c>
      <c r="P118" s="53">
        <f>SUMIF(PPvsREal!$C:$C,'PPvsREal Summary'!C118,PPvsREal!$P:$P)</f>
        <v>0</v>
      </c>
      <c r="Q118" s="53">
        <f>SUMIF(PPvsREal!$C:$C,'PPvsREal Summary'!C118,PPvsREal!$Q:$Q)</f>
        <v>0</v>
      </c>
      <c r="R118" s="53">
        <f>SUMIF(PPvsREal!$C:$C,'PPvsREal Summary'!C118,PPvsREal!$R:$R)</f>
        <v>0</v>
      </c>
      <c r="S118" s="53">
        <f>SUMIF(PPvsREal!$C:$C,'PPvsREal Summary'!C118,PPvsREal!$S:$S)</f>
        <v>0</v>
      </c>
      <c r="T118" s="53">
        <f>SUMIF(PPvsREal!$C:$C,'PPvsREal Summary'!C118,PPvsREal!$T:$T)</f>
        <v>0</v>
      </c>
      <c r="U118" s="53">
        <f>SUMIF(PPvsREal!$C:$C,'PPvsREal Summary'!C118,PPvsREal!$U:$U)</f>
        <v>0</v>
      </c>
      <c r="V118" s="53">
        <f>SUMIF(PPvsREal!$C:$C,'PPvsREal Summary'!C118,PPvsREal!$V:$V)</f>
        <v>0</v>
      </c>
      <c r="W118" s="53">
        <f>SUMIF(PPvsREal!$C:$C,'PPvsREal Summary'!C118,PPvsREal!$W:$W)</f>
        <v>0</v>
      </c>
      <c r="X118" s="53">
        <f>SUMIF(PPvsREal!$C:$C,'PPvsREal Summary'!C118,PPvsREal!$X:$X)</f>
        <v>0</v>
      </c>
      <c r="Y118" s="53">
        <f>SUMIF(PPvsREal!$C:$C,'PPvsREal Summary'!C118,PPvsREal!$Y:$Y)</f>
        <v>0</v>
      </c>
      <c r="Z118" s="53">
        <f>SUMIF(PPvsREal!$C:$C,'PPvsREal Summary'!C118,PPvsREal!$Z:$Z)</f>
        <v>0</v>
      </c>
      <c r="AA118" s="76">
        <f>SUMIF(PPvsREal!$C:$C,'PPvsREal Summary'!C118,PPvsREal!$AA:$AA)</f>
        <v>0</v>
      </c>
      <c r="AB118" s="53"/>
      <c r="AC118" s="64">
        <f t="shared" si="43"/>
        <v>3200</v>
      </c>
      <c r="AD118" s="64">
        <f t="shared" si="44"/>
        <v>3192</v>
      </c>
    </row>
    <row r="119" spans="2:30" ht="12.75" customHeight="1" x14ac:dyDescent="0.25">
      <c r="B119" s="80" t="s">
        <v>237</v>
      </c>
      <c r="C119" s="37" t="s">
        <v>312</v>
      </c>
      <c r="D119" s="45">
        <f>SUMIF(PPvsREal!$C:$C,'PPvsREal Summary'!C119,PPvsREal!$D:$D)</f>
        <v>4800</v>
      </c>
      <c r="E119" s="53">
        <f>SUMIF(PPvsREal!$C:$C,'PPvsREal Summary'!C119,PPvsREal!$E:$E)</f>
        <v>1239</v>
      </c>
      <c r="F119" s="53">
        <f>SUMIF(PPvsREal!$C:$C,'PPvsREal Summary'!C119,PPvsREal!$F:$F)</f>
        <v>4800</v>
      </c>
      <c r="G119" s="53">
        <f>SUMIF(PPvsREal!$C:$C,'PPvsREal Summary'!C119,PPvsREal!$G:$G)</f>
        <v>2188.83</v>
      </c>
      <c r="H119" s="53">
        <f>SUMIF(PPvsREal!$C:$C,'PPvsREal Summary'!C119,PPvsREal!$H:$H)</f>
        <v>4800</v>
      </c>
      <c r="I119" s="53">
        <f>SUMIF(PPvsREal!$C:$C,'PPvsREal Summary'!C119,PPvsREal!$I:$I)</f>
        <v>3195.16</v>
      </c>
      <c r="J119" s="53">
        <f>SUMIF(PPvsREal!$C:$C,'PPvsREal Summary'!C119,PPvsREal!$J:$J)</f>
        <v>4800</v>
      </c>
      <c r="K119" s="53">
        <f>SUMIF(PPvsREal!$C:$C,'PPvsREal Summary'!C119,PPvsREal!$K:$K)</f>
        <v>2394</v>
      </c>
      <c r="L119" s="53">
        <f>SUMIF(PPvsREal!$C:$C,'PPvsREal Summary'!C119,PPvsREal!$L:$L)</f>
        <v>4800</v>
      </c>
      <c r="M119" s="53">
        <f>SUMIF(PPvsREal!$C:$C,'PPvsREal Summary'!C119,PPvsREal!$M:$M)</f>
        <v>2308</v>
      </c>
      <c r="N119" s="53">
        <f>SUMIF(PPvsREal!$C:$C,'PPvsREal Summary'!C119,PPvsREal!$N:$N)</f>
        <v>4800</v>
      </c>
      <c r="O119" s="53">
        <f>SUMIF(PPvsREal!$C:$C,'PPvsREal Summary'!C119,PPvsREal!$O:$O)</f>
        <v>3303.54</v>
      </c>
      <c r="P119" s="53">
        <f>SUMIF(PPvsREal!$C:$C,'PPvsREal Summary'!C119,PPvsREal!$P:$P)</f>
        <v>4800</v>
      </c>
      <c r="Q119" s="53">
        <f>SUMIF(PPvsREal!$C:$C,'PPvsREal Summary'!C119,PPvsREal!$Q:$Q)</f>
        <v>2794</v>
      </c>
      <c r="R119" s="53">
        <f>SUMIF(PPvsREal!$C:$C,'PPvsREal Summary'!C119,PPvsREal!$R:$R)</f>
        <v>4800</v>
      </c>
      <c r="S119" s="53">
        <f>SUMIF(PPvsREal!$C:$C,'PPvsREal Summary'!C119,PPvsREal!$S:$S)</f>
        <v>0</v>
      </c>
      <c r="T119" s="53">
        <f>SUMIF(PPvsREal!$C:$C,'PPvsREal Summary'!C119,PPvsREal!$T:$T)</f>
        <v>4800</v>
      </c>
      <c r="U119" s="53">
        <f>SUMIF(PPvsREal!$C:$C,'PPvsREal Summary'!C119,PPvsREal!$U:$U)</f>
        <v>0</v>
      </c>
      <c r="V119" s="53">
        <f>SUMIF(PPvsREal!$C:$C,'PPvsREal Summary'!C119,PPvsREal!$V:$V)</f>
        <v>4800</v>
      </c>
      <c r="W119" s="53">
        <f>SUMIF(PPvsREal!$C:$C,'PPvsREal Summary'!C119,PPvsREal!$W:$W)</f>
        <v>0</v>
      </c>
      <c r="X119" s="53">
        <f>SUMIF(PPvsREal!$C:$C,'PPvsREal Summary'!C119,PPvsREal!$X:$X)</f>
        <v>4800</v>
      </c>
      <c r="Y119" s="53">
        <f>SUMIF(PPvsREal!$C:$C,'PPvsREal Summary'!C119,PPvsREal!$Y:$Y)</f>
        <v>0</v>
      </c>
      <c r="Z119" s="53">
        <f>SUMIF(PPvsREal!$C:$C,'PPvsREal Summary'!C119,PPvsREal!$Z:$Z)</f>
        <v>4800</v>
      </c>
      <c r="AA119" s="76">
        <f>SUMIF(PPvsREal!$C:$C,'PPvsREal Summary'!C119,PPvsREal!$AA:$AA)</f>
        <v>0</v>
      </c>
      <c r="AB119" s="53"/>
      <c r="AC119" s="64">
        <f t="shared" si="43"/>
        <v>33600</v>
      </c>
      <c r="AD119" s="64">
        <f t="shared" si="44"/>
        <v>17422.53</v>
      </c>
    </row>
    <row r="120" spans="2:30" ht="12.75" customHeight="1" x14ac:dyDescent="0.25">
      <c r="B120" s="80" t="s">
        <v>237</v>
      </c>
      <c r="C120" s="37" t="s">
        <v>267</v>
      </c>
      <c r="D120" s="45">
        <f>SUMIF(PPvsREal!$C:$C,'PPvsREal Summary'!C120,PPvsREal!$D:$D)</f>
        <v>878.9</v>
      </c>
      <c r="E120" s="53">
        <f>SUMIF(PPvsREal!$C:$C,'PPvsREal Summary'!C120,PPvsREal!$E:$E)</f>
        <v>799</v>
      </c>
      <c r="F120" s="53">
        <f>SUMIF(PPvsREal!$C:$C,'PPvsREal Summary'!C120,PPvsREal!$F:$F)</f>
        <v>878.9</v>
      </c>
      <c r="G120" s="53">
        <f>SUMIF(PPvsREal!$C:$C,'PPvsREal Summary'!C120,PPvsREal!$G:$G)</f>
        <v>799</v>
      </c>
      <c r="H120" s="53">
        <f>SUMIF(PPvsREal!$C:$C,'PPvsREal Summary'!C120,PPvsREal!$H:$H)</f>
        <v>878.9</v>
      </c>
      <c r="I120" s="53">
        <f>SUMIF(PPvsREal!$C:$C,'PPvsREal Summary'!C120,PPvsREal!$I:$I)</f>
        <v>799</v>
      </c>
      <c r="J120" s="53">
        <f>SUMIF(PPvsREal!$C:$C,'PPvsREal Summary'!C120,PPvsREal!$J:$J)</f>
        <v>878.9</v>
      </c>
      <c r="K120" s="53">
        <f>SUMIF(PPvsREal!$C:$C,'PPvsREal Summary'!C120,PPvsREal!$K:$K)</f>
        <v>799</v>
      </c>
      <c r="L120" s="53">
        <f>SUMIF(PPvsREal!$C:$C,'PPvsREal Summary'!C120,PPvsREal!$L:$L)</f>
        <v>878.9</v>
      </c>
      <c r="M120" s="53">
        <f>SUMIF(PPvsREal!$C:$C,'PPvsREal Summary'!C120,PPvsREal!$M:$M)</f>
        <v>799</v>
      </c>
      <c r="N120" s="53">
        <f>SUMIF(PPvsREal!$C:$C,'PPvsREal Summary'!C120,PPvsREal!$N:$N)</f>
        <v>878.9</v>
      </c>
      <c r="O120" s="53">
        <f>SUMIF(PPvsREal!$C:$C,'PPvsREal Summary'!C120,PPvsREal!$O:$O)</f>
        <v>799</v>
      </c>
      <c r="P120" s="53">
        <f>SUMIF(PPvsREal!$C:$C,'PPvsREal Summary'!C120,PPvsREal!$P:$P)</f>
        <v>878.9</v>
      </c>
      <c r="Q120" s="53">
        <f>SUMIF(PPvsREal!$C:$C,'PPvsREal Summary'!C120,PPvsREal!$Q:$Q)</f>
        <v>799</v>
      </c>
      <c r="R120" s="53">
        <f>SUMIF(PPvsREal!$C:$C,'PPvsREal Summary'!C120,PPvsREal!$R:$R)</f>
        <v>878.9</v>
      </c>
      <c r="S120" s="53">
        <f>SUMIF(PPvsREal!$C:$C,'PPvsREal Summary'!C120,PPvsREal!$S:$S)</f>
        <v>0</v>
      </c>
      <c r="T120" s="53">
        <f>SUMIF(PPvsREal!$C:$C,'PPvsREal Summary'!C120,PPvsREal!$T:$T)</f>
        <v>878.9</v>
      </c>
      <c r="U120" s="53">
        <f>SUMIF(PPvsREal!$C:$C,'PPvsREal Summary'!C120,PPvsREal!$U:$U)</f>
        <v>0</v>
      </c>
      <c r="V120" s="53">
        <f>SUMIF(PPvsREal!$C:$C,'PPvsREal Summary'!C120,PPvsREal!$V:$V)</f>
        <v>878.9</v>
      </c>
      <c r="W120" s="53">
        <f>SUMIF(PPvsREal!$C:$C,'PPvsREal Summary'!C120,PPvsREal!$W:$W)</f>
        <v>0</v>
      </c>
      <c r="X120" s="53">
        <f>SUMIF(PPvsREal!$C:$C,'PPvsREal Summary'!C120,PPvsREal!$X:$X)</f>
        <v>878.9</v>
      </c>
      <c r="Y120" s="53">
        <f>SUMIF(PPvsREal!$C:$C,'PPvsREal Summary'!C120,PPvsREal!$Y:$Y)</f>
        <v>0</v>
      </c>
      <c r="Z120" s="53">
        <f>SUMIF(PPvsREal!$C:$C,'PPvsREal Summary'!C120,PPvsREal!$Z:$Z)</f>
        <v>878.9</v>
      </c>
      <c r="AA120" s="76">
        <f>SUMIF(PPvsREal!$C:$C,'PPvsREal Summary'!C120,PPvsREal!$AA:$AA)</f>
        <v>0</v>
      </c>
      <c r="AB120" s="53"/>
      <c r="AC120" s="64">
        <f t="shared" si="43"/>
        <v>6152.2999999999993</v>
      </c>
      <c r="AD120" s="64">
        <f t="shared" si="44"/>
        <v>5593</v>
      </c>
    </row>
    <row r="121" spans="2:30" ht="12.75" customHeight="1" x14ac:dyDescent="0.25">
      <c r="B121" s="80" t="s">
        <v>237</v>
      </c>
      <c r="C121" s="37" t="s">
        <v>372</v>
      </c>
      <c r="D121" s="45">
        <f>SUMIF(PPvsREal!$C:$C,'PPvsREal Summary'!C121,PPvsREal!$D:$D)</f>
        <v>0</v>
      </c>
      <c r="E121" s="53">
        <f>SUMIF(PPvsREal!$C:$C,'PPvsREal Summary'!C121,PPvsREal!$E:$E)</f>
        <v>0</v>
      </c>
      <c r="F121" s="53">
        <f>SUMIF(PPvsREal!$C:$C,'PPvsREal Summary'!C121,PPvsREal!$F:$F)</f>
        <v>0</v>
      </c>
      <c r="G121" s="53">
        <f>SUMIF(PPvsREal!$C:$C,'PPvsREal Summary'!C121,PPvsREal!$G:$G)</f>
        <v>0</v>
      </c>
      <c r="H121" s="53">
        <f>SUMIF(PPvsREal!$C:$C,'PPvsREal Summary'!C121,PPvsREal!$H:$H)</f>
        <v>0</v>
      </c>
      <c r="I121" s="53">
        <f>SUMIF(PPvsREal!$C:$C,'PPvsREal Summary'!C121,PPvsREal!$I:$I)</f>
        <v>0</v>
      </c>
      <c r="J121" s="53">
        <f>SUMIF(PPvsREal!$C:$C,'PPvsREal Summary'!C121,PPvsREal!$J:$J)</f>
        <v>0</v>
      </c>
      <c r="K121" s="53">
        <f>SUMIF(PPvsREal!$C:$C,'PPvsREal Summary'!C121,PPvsREal!$K:$K)</f>
        <v>0</v>
      </c>
      <c r="L121" s="53">
        <f>SUMIF(PPvsREal!$C:$C,'PPvsREal Summary'!C121,PPvsREal!$L:$L)</f>
        <v>0</v>
      </c>
      <c r="M121" s="53">
        <f>SUMIF(PPvsREal!$C:$C,'PPvsREal Summary'!C121,PPvsREal!$M:$M)</f>
        <v>0</v>
      </c>
      <c r="N121" s="53">
        <f>SUMIF(PPvsREal!$C:$C,'PPvsREal Summary'!C121,PPvsREal!$N:$N)</f>
        <v>0</v>
      </c>
      <c r="O121" s="53">
        <f>SUMIF(PPvsREal!$C:$C,'PPvsREal Summary'!C121,PPvsREal!$O:$O)</f>
        <v>0</v>
      </c>
      <c r="P121" s="53">
        <f>SUMIF(PPvsREal!$C:$C,'PPvsREal Summary'!C121,PPvsREal!$P:$P)</f>
        <v>0</v>
      </c>
      <c r="Q121" s="53">
        <f>SUMIF(PPvsREal!$C:$C,'PPvsREal Summary'!C121,PPvsREal!$Q:$Q)</f>
        <v>0</v>
      </c>
      <c r="R121" s="53">
        <f>SUMIF(PPvsREal!$C:$C,'PPvsREal Summary'!C121,PPvsREal!$R:$R)</f>
        <v>0</v>
      </c>
      <c r="S121" s="53">
        <f>SUMIF(PPvsREal!$C:$C,'PPvsREal Summary'!C121,PPvsREal!$S:$S)</f>
        <v>0</v>
      </c>
      <c r="T121" s="53">
        <f>SUMIF(PPvsREal!$C:$C,'PPvsREal Summary'!C121,PPvsREal!$T:$T)</f>
        <v>0</v>
      </c>
      <c r="U121" s="53">
        <f>SUMIF(PPvsREal!$C:$C,'PPvsREal Summary'!C121,PPvsREal!$U:$U)</f>
        <v>0</v>
      </c>
      <c r="V121" s="53">
        <f>SUMIF(PPvsREal!$C:$C,'PPvsREal Summary'!C121,PPvsREal!$V:$V)</f>
        <v>0</v>
      </c>
      <c r="W121" s="53">
        <f>SUMIF(PPvsREal!$C:$C,'PPvsREal Summary'!C121,PPvsREal!$W:$W)</f>
        <v>0</v>
      </c>
      <c r="X121" s="53">
        <f>SUMIF(PPvsREal!$C:$C,'PPvsREal Summary'!C121,PPvsREal!$X:$X)</f>
        <v>0</v>
      </c>
      <c r="Y121" s="53">
        <f>SUMIF(PPvsREal!$C:$C,'PPvsREal Summary'!C121,PPvsREal!$Y:$Y)</f>
        <v>0</v>
      </c>
      <c r="Z121" s="53">
        <f>SUMIF(PPvsREal!$C:$C,'PPvsREal Summary'!C121,PPvsREal!$Z:$Z)</f>
        <v>0</v>
      </c>
      <c r="AA121" s="76">
        <f>SUMIF(PPvsREal!$C:$C,'PPvsREal Summary'!C121,PPvsREal!$AA:$AA)</f>
        <v>0</v>
      </c>
      <c r="AB121" s="53"/>
      <c r="AC121" s="64">
        <f t="shared" si="43"/>
        <v>0</v>
      </c>
      <c r="AD121" s="64">
        <f t="shared" si="44"/>
        <v>0</v>
      </c>
    </row>
    <row r="122" spans="2:30" ht="12.75" customHeight="1" x14ac:dyDescent="0.25">
      <c r="B122" s="80" t="s">
        <v>237</v>
      </c>
      <c r="C122" s="37" t="s">
        <v>373</v>
      </c>
      <c r="D122" s="45">
        <f>SUMIF(PPvsREal!$C:$C,'PPvsREal Summary'!C122,PPvsREal!$D:$D)</f>
        <v>0</v>
      </c>
      <c r="E122" s="53">
        <f>SUMIF(PPvsREal!$C:$C,'PPvsREal Summary'!C122,PPvsREal!$E:$E)</f>
        <v>0</v>
      </c>
      <c r="F122" s="53">
        <f>SUMIF(PPvsREal!$C:$C,'PPvsREal Summary'!C122,PPvsREal!$F:$F)</f>
        <v>0</v>
      </c>
      <c r="G122" s="53">
        <f>SUMIF(PPvsREal!$C:$C,'PPvsREal Summary'!C122,PPvsREal!$G:$G)</f>
        <v>0</v>
      </c>
      <c r="H122" s="53">
        <f>SUMIF(PPvsREal!$C:$C,'PPvsREal Summary'!C122,PPvsREal!$H:$H)</f>
        <v>0</v>
      </c>
      <c r="I122" s="53">
        <f>SUMIF(PPvsREal!$C:$C,'PPvsREal Summary'!C122,PPvsREal!$I:$I)</f>
        <v>0</v>
      </c>
      <c r="J122" s="53">
        <f>SUMIF(PPvsREal!$C:$C,'PPvsREal Summary'!C122,PPvsREal!$J:$J)</f>
        <v>0</v>
      </c>
      <c r="K122" s="53">
        <f>SUMIF(PPvsREal!$C:$C,'PPvsREal Summary'!C122,PPvsREal!$K:$K)</f>
        <v>0</v>
      </c>
      <c r="L122" s="53">
        <f>SUMIF(PPvsREal!$C:$C,'PPvsREal Summary'!C122,PPvsREal!$L:$L)</f>
        <v>0</v>
      </c>
      <c r="M122" s="53">
        <f>SUMIF(PPvsREal!$C:$C,'PPvsREal Summary'!C122,PPvsREal!$M:$M)</f>
        <v>0</v>
      </c>
      <c r="N122" s="53">
        <f>SUMIF(PPvsREal!$C:$C,'PPvsREal Summary'!C122,PPvsREal!$N:$N)</f>
        <v>0</v>
      </c>
      <c r="O122" s="53">
        <f>SUMIF(PPvsREal!$C:$C,'PPvsREal Summary'!C122,PPvsREal!$O:$O)</f>
        <v>0</v>
      </c>
      <c r="P122" s="53">
        <f>SUMIF(PPvsREal!$C:$C,'PPvsREal Summary'!C122,PPvsREal!$P:$P)</f>
        <v>0</v>
      </c>
      <c r="Q122" s="53">
        <f>SUMIF(PPvsREal!$C:$C,'PPvsREal Summary'!C122,PPvsREal!$Q:$Q)</f>
        <v>0</v>
      </c>
      <c r="R122" s="53">
        <f>SUMIF(PPvsREal!$C:$C,'PPvsREal Summary'!C122,PPvsREal!$R:$R)</f>
        <v>0</v>
      </c>
      <c r="S122" s="53">
        <f>SUMIF(PPvsREal!$C:$C,'PPvsREal Summary'!C122,PPvsREal!$S:$S)</f>
        <v>0</v>
      </c>
      <c r="T122" s="53">
        <f>SUMIF(PPvsREal!$C:$C,'PPvsREal Summary'!C122,PPvsREal!$T:$T)</f>
        <v>0</v>
      </c>
      <c r="U122" s="53">
        <f>SUMIF(PPvsREal!$C:$C,'PPvsREal Summary'!C122,PPvsREal!$U:$U)</f>
        <v>0</v>
      </c>
      <c r="V122" s="53">
        <f>SUMIF(PPvsREal!$C:$C,'PPvsREal Summary'!C122,PPvsREal!$V:$V)</f>
        <v>0</v>
      </c>
      <c r="W122" s="53">
        <f>SUMIF(PPvsREal!$C:$C,'PPvsREal Summary'!C122,PPvsREal!$W:$W)</f>
        <v>0</v>
      </c>
      <c r="X122" s="53">
        <f>SUMIF(PPvsREal!$C:$C,'PPvsREal Summary'!C122,PPvsREal!$X:$X)</f>
        <v>0</v>
      </c>
      <c r="Y122" s="53">
        <f>SUMIF(PPvsREal!$C:$C,'PPvsREal Summary'!C122,PPvsREal!$Y:$Y)</f>
        <v>0</v>
      </c>
      <c r="Z122" s="53">
        <f>SUMIF(PPvsREal!$C:$C,'PPvsREal Summary'!C122,PPvsREal!$Z:$Z)</f>
        <v>0</v>
      </c>
      <c r="AA122" s="76">
        <f>SUMIF(PPvsREal!$C:$C,'PPvsREal Summary'!C122,PPvsREal!$AA:$AA)</f>
        <v>0</v>
      </c>
      <c r="AB122" s="53"/>
      <c r="AC122" s="64">
        <f t="shared" si="43"/>
        <v>0</v>
      </c>
      <c r="AD122" s="64">
        <f t="shared" si="44"/>
        <v>0</v>
      </c>
    </row>
    <row r="123" spans="2:30" ht="12.75" customHeight="1" x14ac:dyDescent="0.25">
      <c r="B123" s="80" t="s">
        <v>237</v>
      </c>
      <c r="C123" s="37" t="s">
        <v>318</v>
      </c>
      <c r="D123" s="45">
        <f>SUMIF(PPvsREal!$C:$C,'PPvsREal Summary'!C123,PPvsREal!$D:$D)</f>
        <v>6339.3556500000004</v>
      </c>
      <c r="E123" s="53">
        <f>SUMIF(PPvsREal!$C:$C,'PPvsREal Summary'!C123,PPvsREal!$E:$E)</f>
        <v>5563.34</v>
      </c>
      <c r="F123" s="53">
        <f>SUMIF(PPvsREal!$C:$C,'PPvsREal Summary'!C123,PPvsREal!$F:$F)</f>
        <v>6339.3556500000004</v>
      </c>
      <c r="G123" s="53">
        <f>SUMIF(PPvsREal!$C:$C,'PPvsREal Summary'!C123,PPvsREal!$G:$G)</f>
        <v>5563.34</v>
      </c>
      <c r="H123" s="53">
        <f>SUMIF(PPvsREal!$C:$C,'PPvsREal Summary'!C123,PPvsREal!$H:$H)</f>
        <v>6339.3556500000004</v>
      </c>
      <c r="I123" s="53">
        <f>SUMIF(PPvsREal!$C:$C,'PPvsREal Summary'!C123,PPvsREal!$I:$I)</f>
        <v>5563.34</v>
      </c>
      <c r="J123" s="53">
        <f>SUMIF(PPvsREal!$C:$C,'PPvsREal Summary'!C123,PPvsREal!$J:$J)</f>
        <v>6339.3556500000004</v>
      </c>
      <c r="K123" s="53">
        <f>SUMIF(PPvsREal!$C:$C,'PPvsREal Summary'!C123,PPvsREal!$K:$K)</f>
        <v>5563.34</v>
      </c>
      <c r="L123" s="53">
        <f>SUMIF(PPvsREal!$C:$C,'PPvsREal Summary'!C123,PPvsREal!$L:$L)</f>
        <v>6339.3556500000004</v>
      </c>
      <c r="M123" s="53">
        <f>SUMIF(PPvsREal!$C:$C,'PPvsREal Summary'!C123,PPvsREal!$M:$M)</f>
        <v>5563.34</v>
      </c>
      <c r="N123" s="53">
        <f>SUMIF(PPvsREal!$C:$C,'PPvsREal Summary'!C123,PPvsREal!$N:$N)</f>
        <v>6339.3556500000004</v>
      </c>
      <c r="O123" s="53">
        <f>SUMIF(PPvsREal!$C:$C,'PPvsREal Summary'!C123,PPvsREal!$O:$O)</f>
        <v>5563.34</v>
      </c>
      <c r="P123" s="53">
        <f>SUMIF(PPvsREal!$C:$C,'PPvsREal Summary'!C123,PPvsREal!$P:$P)</f>
        <v>6339.3556500000004</v>
      </c>
      <c r="Q123" s="53">
        <f>SUMIF(PPvsREal!$C:$C,'PPvsREal Summary'!C123,PPvsREal!$Q:$Q)</f>
        <v>5563.34</v>
      </c>
      <c r="R123" s="53">
        <f>SUMIF(PPvsREal!$C:$C,'PPvsREal Summary'!C123,PPvsREal!$R:$R)</f>
        <v>6339.3556500000004</v>
      </c>
      <c r="S123" s="53">
        <f>SUMIF(PPvsREal!$C:$C,'PPvsREal Summary'!C123,PPvsREal!$S:$S)</f>
        <v>0</v>
      </c>
      <c r="T123" s="53">
        <f>SUMIF(PPvsREal!$C:$C,'PPvsREal Summary'!C123,PPvsREal!$T:$T)</f>
        <v>6339.3556500000004</v>
      </c>
      <c r="U123" s="53">
        <f>SUMIF(PPvsREal!$C:$C,'PPvsREal Summary'!C123,PPvsREal!$U:$U)</f>
        <v>0</v>
      </c>
      <c r="V123" s="53">
        <f>SUMIF(PPvsREal!$C:$C,'PPvsREal Summary'!C123,PPvsREal!$V:$V)</f>
        <v>6339.3556500000004</v>
      </c>
      <c r="W123" s="53">
        <f>SUMIF(PPvsREal!$C:$C,'PPvsREal Summary'!C123,PPvsREal!$W:$W)</f>
        <v>0</v>
      </c>
      <c r="X123" s="53">
        <f>SUMIF(PPvsREal!$C:$C,'PPvsREal Summary'!C123,PPvsREal!$X:$X)</f>
        <v>6339.3556500000004</v>
      </c>
      <c r="Y123" s="53">
        <f>SUMIF(PPvsREal!$C:$C,'PPvsREal Summary'!C123,PPvsREal!$Y:$Y)</f>
        <v>0</v>
      </c>
      <c r="Z123" s="53">
        <f>SUMIF(PPvsREal!$C:$C,'PPvsREal Summary'!C123,PPvsREal!$Z:$Z)</f>
        <v>6339.3556500000004</v>
      </c>
      <c r="AA123" s="76">
        <f>SUMIF(PPvsREal!$C:$C,'PPvsREal Summary'!C123,PPvsREal!$AA:$AA)</f>
        <v>0</v>
      </c>
      <c r="AB123" s="53"/>
      <c r="AC123" s="64">
        <f t="shared" si="43"/>
        <v>44375.489549999998</v>
      </c>
      <c r="AD123" s="64">
        <f t="shared" si="44"/>
        <v>38943.380000000005</v>
      </c>
    </row>
    <row r="124" spans="2:30" ht="12.75" customHeight="1" x14ac:dyDescent="0.25">
      <c r="B124" s="80" t="s">
        <v>237</v>
      </c>
      <c r="C124" s="37" t="s">
        <v>374</v>
      </c>
      <c r="D124" s="45">
        <f>SUMIF(PPvsREal!$C:$C,'PPvsREal Summary'!C124,PPvsREal!$D:$D)</f>
        <v>0</v>
      </c>
      <c r="E124" s="53">
        <f>SUMIF(PPvsREal!$C:$C,'PPvsREal Summary'!C124,PPvsREal!$E:$E)</f>
        <v>0</v>
      </c>
      <c r="F124" s="53">
        <f>SUMIF(PPvsREal!$C:$C,'PPvsREal Summary'!C124,PPvsREal!$F:$F)</f>
        <v>0</v>
      </c>
      <c r="G124" s="53">
        <f>SUMIF(PPvsREal!$C:$C,'PPvsREal Summary'!C124,PPvsREal!$G:$G)</f>
        <v>0</v>
      </c>
      <c r="H124" s="53">
        <f>SUMIF(PPvsREal!$C:$C,'PPvsREal Summary'!C124,PPvsREal!$H:$H)</f>
        <v>0</v>
      </c>
      <c r="I124" s="53">
        <f>SUMIF(PPvsREal!$C:$C,'PPvsREal Summary'!C124,PPvsREal!$I:$I)</f>
        <v>0</v>
      </c>
      <c r="J124" s="53">
        <f>SUMIF(PPvsREal!$C:$C,'PPvsREal Summary'!C124,PPvsREal!$J:$J)</f>
        <v>0</v>
      </c>
      <c r="K124" s="53">
        <f>SUMIF(PPvsREal!$C:$C,'PPvsREal Summary'!C124,PPvsREal!$K:$K)</f>
        <v>0</v>
      </c>
      <c r="L124" s="53">
        <f>SUMIF(PPvsREal!$C:$C,'PPvsREal Summary'!C124,PPvsREal!$L:$L)</f>
        <v>0</v>
      </c>
      <c r="M124" s="53">
        <f>SUMIF(PPvsREal!$C:$C,'PPvsREal Summary'!C124,PPvsREal!$M:$M)</f>
        <v>0</v>
      </c>
      <c r="N124" s="53">
        <f>SUMIF(PPvsREal!$C:$C,'PPvsREal Summary'!C124,PPvsREal!$N:$N)</f>
        <v>0</v>
      </c>
      <c r="O124" s="53">
        <f>SUMIF(PPvsREal!$C:$C,'PPvsREal Summary'!C124,PPvsREal!$O:$O)</f>
        <v>0</v>
      </c>
      <c r="P124" s="53">
        <f>SUMIF(PPvsREal!$C:$C,'PPvsREal Summary'!C124,PPvsREal!$P:$P)</f>
        <v>0</v>
      </c>
      <c r="Q124" s="53">
        <f>SUMIF(PPvsREal!$C:$C,'PPvsREal Summary'!C124,PPvsREal!$Q:$Q)</f>
        <v>0</v>
      </c>
      <c r="R124" s="53">
        <f>SUMIF(PPvsREal!$C:$C,'PPvsREal Summary'!C124,PPvsREal!$R:$R)</f>
        <v>0</v>
      </c>
      <c r="S124" s="53">
        <f>SUMIF(PPvsREal!$C:$C,'PPvsREal Summary'!C124,PPvsREal!$S:$S)</f>
        <v>0</v>
      </c>
      <c r="T124" s="53">
        <f>SUMIF(PPvsREal!$C:$C,'PPvsREal Summary'!C124,PPvsREal!$T:$T)</f>
        <v>0</v>
      </c>
      <c r="U124" s="53">
        <f>SUMIF(PPvsREal!$C:$C,'PPvsREal Summary'!C124,PPvsREal!$U:$U)</f>
        <v>0</v>
      </c>
      <c r="V124" s="53">
        <f>SUMIF(PPvsREal!$C:$C,'PPvsREal Summary'!C124,PPvsREal!$V:$V)</f>
        <v>0</v>
      </c>
      <c r="W124" s="53">
        <f>SUMIF(PPvsREal!$C:$C,'PPvsREal Summary'!C124,PPvsREal!$W:$W)</f>
        <v>0</v>
      </c>
      <c r="X124" s="53">
        <f>SUMIF(PPvsREal!$C:$C,'PPvsREal Summary'!C124,PPvsREal!$X:$X)</f>
        <v>0</v>
      </c>
      <c r="Y124" s="53">
        <f>SUMIF(PPvsREal!$C:$C,'PPvsREal Summary'!C124,PPvsREal!$Y:$Y)</f>
        <v>0</v>
      </c>
      <c r="Z124" s="53">
        <f>SUMIF(PPvsREal!$C:$C,'PPvsREal Summary'!C124,PPvsREal!$Z:$Z)</f>
        <v>0</v>
      </c>
      <c r="AA124" s="76">
        <f>SUMIF(PPvsREal!$C:$C,'PPvsREal Summary'!C124,PPvsREal!$AA:$AA)</f>
        <v>0</v>
      </c>
      <c r="AB124" s="53"/>
      <c r="AC124" s="64">
        <f t="shared" si="43"/>
        <v>0</v>
      </c>
      <c r="AD124" s="64">
        <f t="shared" si="44"/>
        <v>0</v>
      </c>
    </row>
    <row r="125" spans="2:30" ht="12.75" customHeight="1" x14ac:dyDescent="0.25">
      <c r="B125" s="80" t="s">
        <v>237</v>
      </c>
      <c r="C125" s="37" t="s">
        <v>322</v>
      </c>
      <c r="D125" s="45">
        <f>SUMIF(PPvsREal!$C:$C,'PPvsREal Summary'!C125,PPvsREal!$D:$D)</f>
        <v>3317.6066666666657</v>
      </c>
      <c r="E125" s="53">
        <f>SUMIF(PPvsREal!$C:$C,'PPvsREal Summary'!C125,PPvsREal!$E:$E)</f>
        <v>3317.61</v>
      </c>
      <c r="F125" s="53">
        <f>SUMIF(PPvsREal!$C:$C,'PPvsREal Summary'!C125,PPvsREal!$F:$F)</f>
        <v>3317.6066666666657</v>
      </c>
      <c r="G125" s="53">
        <f>SUMIF(PPvsREal!$C:$C,'PPvsREal Summary'!C125,PPvsREal!$G:$G)</f>
        <v>3317.61</v>
      </c>
      <c r="H125" s="53">
        <f>SUMIF(PPvsREal!$C:$C,'PPvsREal Summary'!C125,PPvsREal!$H:$H)</f>
        <v>3317.6066666666657</v>
      </c>
      <c r="I125" s="53">
        <f>SUMIF(PPvsREal!$C:$C,'PPvsREal Summary'!C125,PPvsREal!$I:$I)</f>
        <v>3317.61</v>
      </c>
      <c r="J125" s="53">
        <f>SUMIF(PPvsREal!$C:$C,'PPvsREal Summary'!C125,PPvsREal!$J:$J)</f>
        <v>3317.6066666666657</v>
      </c>
      <c r="K125" s="53">
        <f>SUMIF(PPvsREal!$C:$C,'PPvsREal Summary'!C125,PPvsREal!$K:$K)</f>
        <v>3317.61</v>
      </c>
      <c r="L125" s="53">
        <f>SUMIF(PPvsREal!$C:$C,'PPvsREal Summary'!C125,PPvsREal!$L:$L)</f>
        <v>3317.6066666666657</v>
      </c>
      <c r="M125" s="53">
        <f>SUMIF(PPvsREal!$C:$C,'PPvsREal Summary'!C125,PPvsREal!$M:$M)</f>
        <v>3317.61</v>
      </c>
      <c r="N125" s="53">
        <f>SUMIF(PPvsREal!$C:$C,'PPvsREal Summary'!C125,PPvsREal!$N:$N)</f>
        <v>3317.6066666666657</v>
      </c>
      <c r="O125" s="53">
        <f>SUMIF(PPvsREal!$C:$C,'PPvsREal Summary'!C125,PPvsREal!$O:$O)</f>
        <v>3317.61</v>
      </c>
      <c r="P125" s="53">
        <f>SUMIF(PPvsREal!$C:$C,'PPvsREal Summary'!C125,PPvsREal!$P:$P)</f>
        <v>3317.6066666666657</v>
      </c>
      <c r="Q125" s="53">
        <f>SUMIF(PPvsREal!$C:$C,'PPvsREal Summary'!C125,PPvsREal!$Q:$Q)</f>
        <v>3317.61</v>
      </c>
      <c r="R125" s="53">
        <f>SUMIF(PPvsREal!$C:$C,'PPvsREal Summary'!C125,PPvsREal!$R:$R)</f>
        <v>3317.6066666666657</v>
      </c>
      <c r="S125" s="53">
        <f>SUMIF(PPvsREal!$C:$C,'PPvsREal Summary'!C125,PPvsREal!$S:$S)</f>
        <v>0</v>
      </c>
      <c r="T125" s="53">
        <f>SUMIF(PPvsREal!$C:$C,'PPvsREal Summary'!C125,PPvsREal!$T:$T)</f>
        <v>3317.6066666666657</v>
      </c>
      <c r="U125" s="53">
        <f>SUMIF(PPvsREal!$C:$C,'PPvsREal Summary'!C125,PPvsREal!$U:$U)</f>
        <v>0</v>
      </c>
      <c r="V125" s="53">
        <f>SUMIF(PPvsREal!$C:$C,'PPvsREal Summary'!C125,PPvsREal!$V:$V)</f>
        <v>3317.6066666666657</v>
      </c>
      <c r="W125" s="53">
        <f>SUMIF(PPvsREal!$C:$C,'PPvsREal Summary'!C125,PPvsREal!$W:$W)</f>
        <v>0</v>
      </c>
      <c r="X125" s="53">
        <f>SUMIF(PPvsREal!$C:$C,'PPvsREal Summary'!C125,PPvsREal!$X:$X)</f>
        <v>3317.6066666666657</v>
      </c>
      <c r="Y125" s="53">
        <f>SUMIF(PPvsREal!$C:$C,'PPvsREal Summary'!C125,PPvsREal!$Y:$Y)</f>
        <v>0</v>
      </c>
      <c r="Z125" s="53">
        <f>SUMIF(PPvsREal!$C:$C,'PPvsREal Summary'!C125,PPvsREal!$Z:$Z)</f>
        <v>3317.6066666666657</v>
      </c>
      <c r="AA125" s="76">
        <f>SUMIF(PPvsREal!$C:$C,'PPvsREal Summary'!C125,PPvsREal!$AA:$AA)</f>
        <v>0</v>
      </c>
      <c r="AB125" s="53"/>
      <c r="AC125" s="64">
        <f t="shared" si="43"/>
        <v>23223.246666666662</v>
      </c>
      <c r="AD125" s="64">
        <f t="shared" si="44"/>
        <v>23223.27</v>
      </c>
    </row>
    <row r="126" spans="2:30" ht="12.75" customHeight="1" x14ac:dyDescent="0.25">
      <c r="B126" s="80" t="s">
        <v>237</v>
      </c>
      <c r="C126" s="37" t="s">
        <v>375</v>
      </c>
      <c r="D126" s="45">
        <f>SUMIF(PPvsREal!$C:$C,'PPvsREal Summary'!C126,PPvsREal!$D:$D)</f>
        <v>0</v>
      </c>
      <c r="E126" s="53">
        <f>SUMIF(PPvsREal!$C:$C,'PPvsREal Summary'!C126,PPvsREal!$E:$E)</f>
        <v>0</v>
      </c>
      <c r="F126" s="53">
        <f>SUMIF(PPvsREal!$C:$C,'PPvsREal Summary'!C126,PPvsREal!$F:$F)</f>
        <v>0</v>
      </c>
      <c r="G126" s="53">
        <f>SUMIF(PPvsREal!$C:$C,'PPvsREal Summary'!C126,PPvsREal!$G:$G)</f>
        <v>0</v>
      </c>
      <c r="H126" s="53">
        <f>SUMIF(PPvsREal!$C:$C,'PPvsREal Summary'!C126,PPvsREal!$H:$H)</f>
        <v>0</v>
      </c>
      <c r="I126" s="53">
        <f>SUMIF(PPvsREal!$C:$C,'PPvsREal Summary'!C126,PPvsREal!$I:$I)</f>
        <v>0</v>
      </c>
      <c r="J126" s="53">
        <f>SUMIF(PPvsREal!$C:$C,'PPvsREal Summary'!C126,PPvsREal!$J:$J)</f>
        <v>0</v>
      </c>
      <c r="K126" s="53">
        <f>SUMIF(PPvsREal!$C:$C,'PPvsREal Summary'!C126,PPvsREal!$K:$K)</f>
        <v>0</v>
      </c>
      <c r="L126" s="53">
        <f>SUMIF(PPvsREal!$C:$C,'PPvsREal Summary'!C126,PPvsREal!$L:$L)</f>
        <v>0</v>
      </c>
      <c r="M126" s="53">
        <f>SUMIF(PPvsREal!$C:$C,'PPvsREal Summary'!C126,PPvsREal!$M:$M)</f>
        <v>0</v>
      </c>
      <c r="N126" s="53">
        <f>SUMIF(PPvsREal!$C:$C,'PPvsREal Summary'!C126,PPvsREal!$N:$N)</f>
        <v>0</v>
      </c>
      <c r="O126" s="53">
        <f>SUMIF(PPvsREal!$C:$C,'PPvsREal Summary'!C126,PPvsREal!$O:$O)</f>
        <v>0</v>
      </c>
      <c r="P126" s="53">
        <f>SUMIF(PPvsREal!$C:$C,'PPvsREal Summary'!C126,PPvsREal!$P:$P)</f>
        <v>0</v>
      </c>
      <c r="Q126" s="53">
        <f>SUMIF(PPvsREal!$C:$C,'PPvsREal Summary'!C126,PPvsREal!$Q:$Q)</f>
        <v>0</v>
      </c>
      <c r="R126" s="53">
        <f>SUMIF(PPvsREal!$C:$C,'PPvsREal Summary'!C126,PPvsREal!$R:$R)</f>
        <v>0</v>
      </c>
      <c r="S126" s="53">
        <f>SUMIF(PPvsREal!$C:$C,'PPvsREal Summary'!C126,PPvsREal!$S:$S)</f>
        <v>0</v>
      </c>
      <c r="T126" s="53">
        <f>SUMIF(PPvsREal!$C:$C,'PPvsREal Summary'!C126,PPvsREal!$T:$T)</f>
        <v>0</v>
      </c>
      <c r="U126" s="53">
        <f>SUMIF(PPvsREal!$C:$C,'PPvsREal Summary'!C126,PPvsREal!$U:$U)</f>
        <v>0</v>
      </c>
      <c r="V126" s="53">
        <f>SUMIF(PPvsREal!$C:$C,'PPvsREal Summary'!C126,PPvsREal!$V:$V)</f>
        <v>0</v>
      </c>
      <c r="W126" s="53">
        <f>SUMIF(PPvsREal!$C:$C,'PPvsREal Summary'!C126,PPvsREal!$W:$W)</f>
        <v>0</v>
      </c>
      <c r="X126" s="53">
        <f>SUMIF(PPvsREal!$C:$C,'PPvsREal Summary'!C126,PPvsREal!$X:$X)</f>
        <v>0</v>
      </c>
      <c r="Y126" s="53">
        <f>SUMIF(PPvsREal!$C:$C,'PPvsREal Summary'!C126,PPvsREal!$Y:$Y)</f>
        <v>0</v>
      </c>
      <c r="Z126" s="53">
        <f>SUMIF(PPvsREal!$C:$C,'PPvsREal Summary'!C126,PPvsREal!$Z:$Z)</f>
        <v>0</v>
      </c>
      <c r="AA126" s="76">
        <f>SUMIF(PPvsREal!$C:$C,'PPvsREal Summary'!C126,PPvsREal!$AA:$AA)</f>
        <v>0</v>
      </c>
      <c r="AB126" s="53"/>
      <c r="AC126" s="64">
        <f t="shared" si="43"/>
        <v>0</v>
      </c>
      <c r="AD126" s="64">
        <f t="shared" si="44"/>
        <v>0</v>
      </c>
    </row>
    <row r="127" spans="2:30" ht="12.75" customHeight="1" x14ac:dyDescent="0.25">
      <c r="B127" s="80" t="s">
        <v>237</v>
      </c>
      <c r="C127" s="37" t="s">
        <v>295</v>
      </c>
      <c r="D127" s="45">
        <f>SUMIF(PPvsREal!$C:$C,'PPvsREal Summary'!C127,PPvsREal!$D:$D)</f>
        <v>2032.11</v>
      </c>
      <c r="E127" s="53">
        <f>SUMIF(PPvsREal!$C:$C,'PPvsREal Summary'!C127,PPvsREal!$E:$E)</f>
        <v>1348.06</v>
      </c>
      <c r="F127" s="53">
        <f>SUMIF(PPvsREal!$C:$C,'PPvsREal Summary'!C127,PPvsREal!$F:$F)</f>
        <v>2032.11</v>
      </c>
      <c r="G127" s="53">
        <f>SUMIF(PPvsREal!$C:$C,'PPvsREal Summary'!C127,PPvsREal!$G:$G)</f>
        <v>2525</v>
      </c>
      <c r="H127" s="53">
        <f>SUMIF(PPvsREal!$C:$C,'PPvsREal Summary'!C127,PPvsREal!$H:$H)</f>
        <v>2032.11</v>
      </c>
      <c r="I127" s="53">
        <f>SUMIF(PPvsREal!$C:$C,'PPvsREal Summary'!C127,PPvsREal!$I:$I)</f>
        <v>1769.82</v>
      </c>
      <c r="J127" s="53">
        <f>SUMIF(PPvsREal!$C:$C,'PPvsREal Summary'!C127,PPvsREal!$J:$J)</f>
        <v>2032.11</v>
      </c>
      <c r="K127" s="53">
        <f>SUMIF(PPvsREal!$C:$C,'PPvsREal Summary'!C127,PPvsREal!$K:$K)</f>
        <v>800.69</v>
      </c>
      <c r="L127" s="53">
        <f>SUMIF(PPvsREal!$C:$C,'PPvsREal Summary'!C127,PPvsREal!$L:$L)</f>
        <v>2032.11</v>
      </c>
      <c r="M127" s="53">
        <f>SUMIF(PPvsREal!$C:$C,'PPvsREal Summary'!C127,PPvsREal!$M:$M)</f>
        <v>2196.34</v>
      </c>
      <c r="N127" s="53">
        <f>SUMIF(PPvsREal!$C:$C,'PPvsREal Summary'!C127,PPvsREal!$N:$N)</f>
        <v>2032.11</v>
      </c>
      <c r="O127" s="53">
        <f>SUMIF(PPvsREal!$C:$C,'PPvsREal Summary'!C127,PPvsREal!$O:$O)</f>
        <v>1238.76</v>
      </c>
      <c r="P127" s="53">
        <f>SUMIF(PPvsREal!$C:$C,'PPvsREal Summary'!C127,PPvsREal!$P:$P)</f>
        <v>2032.11</v>
      </c>
      <c r="Q127" s="53">
        <f>SUMIF(PPvsREal!$C:$C,'PPvsREal Summary'!C127,PPvsREal!$Q:$Q)</f>
        <v>2484.4699999999998</v>
      </c>
      <c r="R127" s="53">
        <f>SUMIF(PPvsREal!$C:$C,'PPvsREal Summary'!C127,PPvsREal!$R:$R)</f>
        <v>2032.11</v>
      </c>
      <c r="S127" s="53">
        <f>SUMIF(PPvsREal!$C:$C,'PPvsREal Summary'!C127,PPvsREal!$S:$S)</f>
        <v>0</v>
      </c>
      <c r="T127" s="53">
        <f>SUMIF(PPvsREal!$C:$C,'PPvsREal Summary'!C127,PPvsREal!$T:$T)</f>
        <v>2032.11</v>
      </c>
      <c r="U127" s="53">
        <f>SUMIF(PPvsREal!$C:$C,'PPvsREal Summary'!C127,PPvsREal!$U:$U)</f>
        <v>0</v>
      </c>
      <c r="V127" s="53">
        <f>SUMIF(PPvsREal!$C:$C,'PPvsREal Summary'!C127,PPvsREal!$V:$V)</f>
        <v>2032.11</v>
      </c>
      <c r="W127" s="53">
        <f>SUMIF(PPvsREal!$C:$C,'PPvsREal Summary'!C127,PPvsREal!$W:$W)</f>
        <v>0</v>
      </c>
      <c r="X127" s="53">
        <f>SUMIF(PPvsREal!$C:$C,'PPvsREal Summary'!C127,PPvsREal!$X:$X)</f>
        <v>2032.11</v>
      </c>
      <c r="Y127" s="53">
        <f>SUMIF(PPvsREal!$C:$C,'PPvsREal Summary'!C127,PPvsREal!$Y:$Y)</f>
        <v>0</v>
      </c>
      <c r="Z127" s="53">
        <f>SUMIF(PPvsREal!$C:$C,'PPvsREal Summary'!C127,PPvsREal!$Z:$Z)</f>
        <v>2032.11</v>
      </c>
      <c r="AA127" s="76">
        <f>SUMIF(PPvsREal!$C:$C,'PPvsREal Summary'!C127,PPvsREal!$AA:$AA)</f>
        <v>0</v>
      </c>
      <c r="AB127" s="53"/>
      <c r="AC127" s="64">
        <f t="shared" si="43"/>
        <v>14224.77</v>
      </c>
      <c r="AD127" s="64">
        <f t="shared" si="44"/>
        <v>12363.14</v>
      </c>
    </row>
    <row r="128" spans="2:30" ht="12.75" customHeight="1" x14ac:dyDescent="0.25">
      <c r="B128" s="80" t="s">
        <v>237</v>
      </c>
      <c r="C128" s="37" t="s">
        <v>376</v>
      </c>
      <c r="D128" s="45">
        <f>SUMIF(PPvsREal!$C:$C,'PPvsREal Summary'!C128,PPvsREal!$D:$D)</f>
        <v>0</v>
      </c>
      <c r="E128" s="53">
        <f>SUMIF(PPvsREal!$C:$C,'PPvsREal Summary'!C128,PPvsREal!$E:$E)</f>
        <v>0</v>
      </c>
      <c r="F128" s="53">
        <f>SUMIF(PPvsREal!$C:$C,'PPvsREal Summary'!C128,PPvsREal!$F:$F)</f>
        <v>0</v>
      </c>
      <c r="G128" s="53">
        <f>SUMIF(PPvsREal!$C:$C,'PPvsREal Summary'!C128,PPvsREal!$G:$G)</f>
        <v>0</v>
      </c>
      <c r="H128" s="53">
        <f>SUMIF(PPvsREal!$C:$C,'PPvsREal Summary'!C128,PPvsREal!$H:$H)</f>
        <v>0</v>
      </c>
      <c r="I128" s="53">
        <f>SUMIF(PPvsREal!$C:$C,'PPvsREal Summary'!C128,PPvsREal!$I:$I)</f>
        <v>0</v>
      </c>
      <c r="J128" s="53">
        <f>SUMIF(PPvsREal!$C:$C,'PPvsREal Summary'!C128,PPvsREal!$J:$J)</f>
        <v>0</v>
      </c>
      <c r="K128" s="53">
        <f>SUMIF(PPvsREal!$C:$C,'PPvsREal Summary'!C128,PPvsREal!$K:$K)</f>
        <v>0</v>
      </c>
      <c r="L128" s="53">
        <f>SUMIF(PPvsREal!$C:$C,'PPvsREal Summary'!C128,PPvsREal!$L:$L)</f>
        <v>0</v>
      </c>
      <c r="M128" s="53">
        <f>SUMIF(PPvsREal!$C:$C,'PPvsREal Summary'!C128,PPvsREal!$M:$M)</f>
        <v>0</v>
      </c>
      <c r="N128" s="53">
        <f>SUMIF(PPvsREal!$C:$C,'PPvsREal Summary'!C128,PPvsREal!$N:$N)</f>
        <v>0</v>
      </c>
      <c r="O128" s="53">
        <f>SUMIF(PPvsREal!$C:$C,'PPvsREal Summary'!C128,PPvsREal!$O:$O)</f>
        <v>0</v>
      </c>
      <c r="P128" s="53">
        <f>SUMIF(PPvsREal!$C:$C,'PPvsREal Summary'!C128,PPvsREal!$P:$P)</f>
        <v>0</v>
      </c>
      <c r="Q128" s="53">
        <f>SUMIF(PPvsREal!$C:$C,'PPvsREal Summary'!C128,PPvsREal!$Q:$Q)</f>
        <v>0</v>
      </c>
      <c r="R128" s="53">
        <f>SUMIF(PPvsREal!$C:$C,'PPvsREal Summary'!C128,PPvsREal!$R:$R)</f>
        <v>0</v>
      </c>
      <c r="S128" s="53">
        <f>SUMIF(PPvsREal!$C:$C,'PPvsREal Summary'!C128,PPvsREal!$S:$S)</f>
        <v>0</v>
      </c>
      <c r="T128" s="53">
        <f>SUMIF(PPvsREal!$C:$C,'PPvsREal Summary'!C128,PPvsREal!$T:$T)</f>
        <v>0</v>
      </c>
      <c r="U128" s="53">
        <f>SUMIF(PPvsREal!$C:$C,'PPvsREal Summary'!C128,PPvsREal!$U:$U)</f>
        <v>0</v>
      </c>
      <c r="V128" s="53">
        <f>SUMIF(PPvsREal!$C:$C,'PPvsREal Summary'!C128,PPvsREal!$V:$V)</f>
        <v>0</v>
      </c>
      <c r="W128" s="53">
        <f>SUMIF(PPvsREal!$C:$C,'PPvsREal Summary'!C128,PPvsREal!$W:$W)</f>
        <v>0</v>
      </c>
      <c r="X128" s="53">
        <f>SUMIF(PPvsREal!$C:$C,'PPvsREal Summary'!C128,PPvsREal!$X:$X)</f>
        <v>0</v>
      </c>
      <c r="Y128" s="53">
        <f>SUMIF(PPvsREal!$C:$C,'PPvsREal Summary'!C128,PPvsREal!$Y:$Y)</f>
        <v>0</v>
      </c>
      <c r="Z128" s="53">
        <f>SUMIF(PPvsREal!$C:$C,'PPvsREal Summary'!C128,PPvsREal!$Z:$Z)</f>
        <v>0</v>
      </c>
      <c r="AA128" s="76">
        <f>SUMIF(PPvsREal!$C:$C,'PPvsREal Summary'!C128,PPvsREal!$AA:$AA)</f>
        <v>0</v>
      </c>
      <c r="AB128" s="53"/>
      <c r="AC128" s="64">
        <f t="shared" si="43"/>
        <v>0</v>
      </c>
      <c r="AD128" s="64">
        <f t="shared" si="44"/>
        <v>0</v>
      </c>
    </row>
    <row r="129" spans="2:30" ht="12.75" customHeight="1" x14ac:dyDescent="0.25">
      <c r="B129" s="80" t="s">
        <v>237</v>
      </c>
      <c r="C129" s="37" t="s">
        <v>271</v>
      </c>
      <c r="D129" s="45">
        <f>SUMIF(PPvsREal!$C:$C,'PPvsREal Summary'!C129,PPvsREal!$D:$D)</f>
        <v>500</v>
      </c>
      <c r="E129" s="53">
        <f>SUMIF(PPvsREal!$C:$C,'PPvsREal Summary'!C129,PPvsREal!$E:$E)</f>
        <v>0</v>
      </c>
      <c r="F129" s="53">
        <f>SUMIF(PPvsREal!$C:$C,'PPvsREal Summary'!C129,PPvsREal!$F:$F)</f>
        <v>400</v>
      </c>
      <c r="G129" s="53">
        <f>SUMIF(PPvsREal!$C:$C,'PPvsREal Summary'!C129,PPvsREal!$G:$G)</f>
        <v>0</v>
      </c>
      <c r="H129" s="53">
        <f>SUMIF(PPvsREal!$C:$C,'PPvsREal Summary'!C129,PPvsREal!$H:$H)</f>
        <v>500</v>
      </c>
      <c r="I129" s="53">
        <f>SUMIF(PPvsREal!$C:$C,'PPvsREal Summary'!C129,PPvsREal!$I:$I)</f>
        <v>700.24</v>
      </c>
      <c r="J129" s="53">
        <f>SUMIF(PPvsREal!$C:$C,'PPvsREal Summary'!C129,PPvsREal!$J:$J)</f>
        <v>400</v>
      </c>
      <c r="K129" s="53">
        <f>SUMIF(PPvsREal!$C:$C,'PPvsREal Summary'!C129,PPvsREal!$K:$K)</f>
        <v>0</v>
      </c>
      <c r="L129" s="53">
        <f>SUMIF(PPvsREal!$C:$C,'PPvsREal Summary'!C129,PPvsREal!$L:$L)</f>
        <v>500</v>
      </c>
      <c r="M129" s="53">
        <f>SUMIF(PPvsREal!$C:$C,'PPvsREal Summary'!C129,PPvsREal!$M:$M)</f>
        <v>1587.52</v>
      </c>
      <c r="N129" s="53">
        <f>SUMIF(PPvsREal!$C:$C,'PPvsREal Summary'!C129,PPvsREal!$N:$N)</f>
        <v>0</v>
      </c>
      <c r="O129" s="53">
        <f>SUMIF(PPvsREal!$C:$C,'PPvsREal Summary'!C129,PPvsREal!$O:$O)</f>
        <v>533.98</v>
      </c>
      <c r="P129" s="53">
        <f>SUMIF(PPvsREal!$C:$C,'PPvsREal Summary'!C129,PPvsREal!$P:$P)</f>
        <v>500</v>
      </c>
      <c r="Q129" s="53">
        <f>SUMIF(PPvsREal!$C:$C,'PPvsREal Summary'!C129,PPvsREal!$Q:$Q)</f>
        <v>0</v>
      </c>
      <c r="R129" s="53">
        <f>SUMIF(PPvsREal!$C:$C,'PPvsREal Summary'!C129,PPvsREal!$R:$R)</f>
        <v>400</v>
      </c>
      <c r="S129" s="53">
        <f>SUMIF(PPvsREal!$C:$C,'PPvsREal Summary'!C129,PPvsREal!$S:$S)</f>
        <v>0</v>
      </c>
      <c r="T129" s="53">
        <f>SUMIF(PPvsREal!$C:$C,'PPvsREal Summary'!C129,PPvsREal!$T:$T)</f>
        <v>500</v>
      </c>
      <c r="U129" s="53">
        <f>SUMIF(PPvsREal!$C:$C,'PPvsREal Summary'!C129,PPvsREal!$U:$U)</f>
        <v>0</v>
      </c>
      <c r="V129" s="53">
        <f>SUMIF(PPvsREal!$C:$C,'PPvsREal Summary'!C129,PPvsREal!$V:$V)</f>
        <v>400</v>
      </c>
      <c r="W129" s="53">
        <f>SUMIF(PPvsREal!$C:$C,'PPvsREal Summary'!C129,PPvsREal!$W:$W)</f>
        <v>0</v>
      </c>
      <c r="X129" s="53">
        <f>SUMIF(PPvsREal!$C:$C,'PPvsREal Summary'!C129,PPvsREal!$X:$X)</f>
        <v>500</v>
      </c>
      <c r="Y129" s="53">
        <f>SUMIF(PPvsREal!$C:$C,'PPvsREal Summary'!C129,PPvsREal!$Y:$Y)</f>
        <v>0</v>
      </c>
      <c r="Z129" s="53">
        <f>SUMIF(PPvsREal!$C:$C,'PPvsREal Summary'!C129,PPvsREal!$Z:$Z)</f>
        <v>400</v>
      </c>
      <c r="AA129" s="76">
        <f>SUMIF(PPvsREal!$C:$C,'PPvsREal Summary'!C129,PPvsREal!$AA:$AA)</f>
        <v>0</v>
      </c>
      <c r="AB129" s="53"/>
      <c r="AC129" s="64">
        <f t="shared" si="43"/>
        <v>2800</v>
      </c>
      <c r="AD129" s="64">
        <f t="shared" si="44"/>
        <v>2821.7400000000002</v>
      </c>
    </row>
    <row r="130" spans="2:30" ht="12.75" customHeight="1" x14ac:dyDescent="0.25">
      <c r="B130" s="80" t="s">
        <v>237</v>
      </c>
      <c r="C130" s="37" t="s">
        <v>355</v>
      </c>
      <c r="D130" s="45">
        <f>SUMIF(PPvsREal!$C:$C,'PPvsREal Summary'!C130,PPvsREal!$D:$D)</f>
        <v>0</v>
      </c>
      <c r="E130" s="53">
        <f>SUMIF(PPvsREal!$C:$C,'PPvsREal Summary'!C130,PPvsREal!$E:$E)</f>
        <v>0</v>
      </c>
      <c r="F130" s="53">
        <f>SUMIF(PPvsREal!$C:$C,'PPvsREal Summary'!C130,PPvsREal!$F:$F)</f>
        <v>0</v>
      </c>
      <c r="G130" s="53">
        <f>SUMIF(PPvsREal!$C:$C,'PPvsREal Summary'!C130,PPvsREal!$G:$G)</f>
        <v>0</v>
      </c>
      <c r="H130" s="53">
        <f>SUMIF(PPvsREal!$C:$C,'PPvsREal Summary'!C130,PPvsREal!$H:$H)</f>
        <v>0</v>
      </c>
      <c r="I130" s="53">
        <f>SUMIF(PPvsREal!$C:$C,'PPvsREal Summary'!C130,PPvsREal!$I:$I)</f>
        <v>0</v>
      </c>
      <c r="J130" s="53">
        <f>SUMIF(PPvsREal!$C:$C,'PPvsREal Summary'!C130,PPvsREal!$J:$J)</f>
        <v>0</v>
      </c>
      <c r="K130" s="53">
        <f>SUMIF(PPvsREal!$C:$C,'PPvsREal Summary'!C130,PPvsREal!$K:$K)</f>
        <v>0</v>
      </c>
      <c r="L130" s="53">
        <f>SUMIF(PPvsREal!$C:$C,'PPvsREal Summary'!C130,PPvsREal!$L:$L)</f>
        <v>0</v>
      </c>
      <c r="M130" s="53">
        <f>SUMIF(PPvsREal!$C:$C,'PPvsREal Summary'!C130,PPvsREal!$M:$M)</f>
        <v>0</v>
      </c>
      <c r="N130" s="53">
        <f>SUMIF(PPvsREal!$C:$C,'PPvsREal Summary'!C130,PPvsREal!$N:$N)</f>
        <v>0</v>
      </c>
      <c r="O130" s="53">
        <f>SUMIF(PPvsREal!$C:$C,'PPvsREal Summary'!C130,PPvsREal!$O:$O)</f>
        <v>0</v>
      </c>
      <c r="P130" s="53">
        <f>SUMIF(PPvsREal!$C:$C,'PPvsREal Summary'!C130,PPvsREal!$P:$P)</f>
        <v>0</v>
      </c>
      <c r="Q130" s="53">
        <f>SUMIF(PPvsREal!$C:$C,'PPvsREal Summary'!C130,PPvsREal!$Q:$Q)</f>
        <v>0</v>
      </c>
      <c r="R130" s="53">
        <f>SUMIF(PPvsREal!$C:$C,'PPvsREal Summary'!C130,PPvsREal!$R:$R)</f>
        <v>0</v>
      </c>
      <c r="S130" s="53">
        <f>SUMIF(PPvsREal!$C:$C,'PPvsREal Summary'!C130,PPvsREal!$S:$S)</f>
        <v>0</v>
      </c>
      <c r="T130" s="53">
        <f>SUMIF(PPvsREal!$C:$C,'PPvsREal Summary'!C130,PPvsREal!$T:$T)</f>
        <v>0</v>
      </c>
      <c r="U130" s="53">
        <f>SUMIF(PPvsREal!$C:$C,'PPvsREal Summary'!C130,PPvsREal!$U:$U)</f>
        <v>0</v>
      </c>
      <c r="V130" s="53">
        <f>SUMIF(PPvsREal!$C:$C,'PPvsREal Summary'!C130,PPvsREal!$V:$V)</f>
        <v>0</v>
      </c>
      <c r="W130" s="53">
        <f>SUMIF(PPvsREal!$C:$C,'PPvsREal Summary'!C130,PPvsREal!$W:$W)</f>
        <v>0</v>
      </c>
      <c r="X130" s="53">
        <f>SUMIF(PPvsREal!$C:$C,'PPvsREal Summary'!C130,PPvsREal!$X:$X)</f>
        <v>0</v>
      </c>
      <c r="Y130" s="53">
        <f>SUMIF(PPvsREal!$C:$C,'PPvsREal Summary'!C130,PPvsREal!$Y:$Y)</f>
        <v>0</v>
      </c>
      <c r="Z130" s="53">
        <f>SUMIF(PPvsREal!$C:$C,'PPvsREal Summary'!C130,PPvsREal!$Z:$Z)</f>
        <v>0</v>
      </c>
      <c r="AA130" s="76">
        <f>SUMIF(PPvsREal!$C:$C,'PPvsREal Summary'!C130,PPvsREal!$AA:$AA)</f>
        <v>0</v>
      </c>
      <c r="AB130" s="53"/>
      <c r="AC130" s="64">
        <f t="shared" si="43"/>
        <v>0</v>
      </c>
      <c r="AD130" s="64">
        <f t="shared" si="44"/>
        <v>0</v>
      </c>
    </row>
    <row r="131" spans="2:30" ht="12.75" customHeight="1" x14ac:dyDescent="0.25">
      <c r="B131" s="80" t="s">
        <v>237</v>
      </c>
      <c r="C131" s="37" t="s">
        <v>281</v>
      </c>
      <c r="D131" s="45">
        <f>SUMIF(PPvsREal!$C:$C,'PPvsREal Summary'!C131,PPvsREal!$D:$D)</f>
        <v>1000</v>
      </c>
      <c r="E131" s="53">
        <f>SUMIF(PPvsREal!$C:$C,'PPvsREal Summary'!C131,PPvsREal!$E:$E)</f>
        <v>0</v>
      </c>
      <c r="F131" s="53">
        <f>SUMIF(PPvsREal!$C:$C,'PPvsREal Summary'!C131,PPvsREal!$F:$F)</f>
        <v>1000</v>
      </c>
      <c r="G131" s="53">
        <f>SUMIF(PPvsREal!$C:$C,'PPvsREal Summary'!C131,PPvsREal!$G:$G)</f>
        <v>0</v>
      </c>
      <c r="H131" s="53">
        <f>SUMIF(PPvsREal!$C:$C,'PPvsREal Summary'!C131,PPvsREal!$H:$H)</f>
        <v>1000</v>
      </c>
      <c r="I131" s="53">
        <f>SUMIF(PPvsREal!$C:$C,'PPvsREal Summary'!C131,PPvsREal!$I:$I)</f>
        <v>0</v>
      </c>
      <c r="J131" s="53">
        <f>SUMIF(PPvsREal!$C:$C,'PPvsREal Summary'!C131,PPvsREal!$J:$J)</f>
        <v>1000</v>
      </c>
      <c r="K131" s="53">
        <f>SUMIF(PPvsREal!$C:$C,'PPvsREal Summary'!C131,PPvsREal!$K:$K)</f>
        <v>0</v>
      </c>
      <c r="L131" s="53">
        <f>SUMIF(PPvsREal!$C:$C,'PPvsREal Summary'!C131,PPvsREal!$L:$L)</f>
        <v>1000</v>
      </c>
      <c r="M131" s="53">
        <f>SUMIF(PPvsREal!$C:$C,'PPvsREal Summary'!C131,PPvsREal!$M:$M)</f>
        <v>0</v>
      </c>
      <c r="N131" s="53">
        <f>SUMIF(PPvsREal!$C:$C,'PPvsREal Summary'!C131,PPvsREal!$N:$N)</f>
        <v>1000</v>
      </c>
      <c r="O131" s="53">
        <f>SUMIF(PPvsREal!$C:$C,'PPvsREal Summary'!C131,PPvsREal!$O:$O)</f>
        <v>0</v>
      </c>
      <c r="P131" s="53">
        <f>SUMIF(PPvsREal!$C:$C,'PPvsREal Summary'!C131,PPvsREal!$P:$P)</f>
        <v>1000</v>
      </c>
      <c r="Q131" s="53">
        <f>SUMIF(PPvsREal!$C:$C,'PPvsREal Summary'!C131,PPvsREal!$Q:$Q)</f>
        <v>0</v>
      </c>
      <c r="R131" s="53">
        <f>SUMIF(PPvsREal!$C:$C,'PPvsREal Summary'!C131,PPvsREal!$R:$R)</f>
        <v>1000</v>
      </c>
      <c r="S131" s="53">
        <f>SUMIF(PPvsREal!$C:$C,'PPvsREal Summary'!C131,PPvsREal!$S:$S)</f>
        <v>0</v>
      </c>
      <c r="T131" s="53">
        <f>SUMIF(PPvsREal!$C:$C,'PPvsREal Summary'!C131,PPvsREal!$T:$T)</f>
        <v>1000</v>
      </c>
      <c r="U131" s="53">
        <f>SUMIF(PPvsREal!$C:$C,'PPvsREal Summary'!C131,PPvsREal!$U:$U)</f>
        <v>0</v>
      </c>
      <c r="V131" s="53">
        <f>SUMIF(PPvsREal!$C:$C,'PPvsREal Summary'!C131,PPvsREal!$V:$V)</f>
        <v>1000</v>
      </c>
      <c r="W131" s="53">
        <f>SUMIF(PPvsREal!$C:$C,'PPvsREal Summary'!C131,PPvsREal!$W:$W)</f>
        <v>0</v>
      </c>
      <c r="X131" s="53">
        <f>SUMIF(PPvsREal!$C:$C,'PPvsREal Summary'!C131,PPvsREal!$X:$X)</f>
        <v>1000</v>
      </c>
      <c r="Y131" s="53">
        <f>SUMIF(PPvsREal!$C:$C,'PPvsREal Summary'!C131,PPvsREal!$Y:$Y)</f>
        <v>0</v>
      </c>
      <c r="Z131" s="53">
        <f>SUMIF(PPvsREal!$C:$C,'PPvsREal Summary'!C131,PPvsREal!$Z:$Z)</f>
        <v>1000</v>
      </c>
      <c r="AA131" s="76">
        <f>SUMIF(PPvsREal!$C:$C,'PPvsREal Summary'!C131,PPvsREal!$AA:$AA)</f>
        <v>0</v>
      </c>
      <c r="AB131" s="53"/>
      <c r="AC131" s="64">
        <f t="shared" si="43"/>
        <v>7000</v>
      </c>
      <c r="AD131" s="64">
        <f t="shared" si="44"/>
        <v>0</v>
      </c>
    </row>
    <row r="132" spans="2:30" ht="12.75" customHeight="1" x14ac:dyDescent="0.25">
      <c r="B132" s="80" t="s">
        <v>237</v>
      </c>
      <c r="C132" s="37" t="s">
        <v>279</v>
      </c>
      <c r="D132" s="45">
        <f>SUMIF(PPvsREal!$C:$C,'PPvsREal Summary'!C132,PPvsREal!$D:$D)</f>
        <v>1050</v>
      </c>
      <c r="E132" s="53">
        <f>SUMIF(PPvsREal!$C:$C,'PPvsREal Summary'!C132,PPvsREal!$E:$E)</f>
        <v>3370</v>
      </c>
      <c r="F132" s="53">
        <f>SUMIF(PPvsREal!$C:$C,'PPvsREal Summary'!C132,PPvsREal!$F:$F)</f>
        <v>1050</v>
      </c>
      <c r="G132" s="53">
        <f>SUMIF(PPvsREal!$C:$C,'PPvsREal Summary'!C132,PPvsREal!$G:$G)</f>
        <v>600</v>
      </c>
      <c r="H132" s="53">
        <f>SUMIF(PPvsREal!$C:$C,'PPvsREal Summary'!C132,PPvsREal!$H:$H)</f>
        <v>1050</v>
      </c>
      <c r="I132" s="53">
        <f>SUMIF(PPvsREal!$C:$C,'PPvsREal Summary'!C132,PPvsREal!$I:$I)</f>
        <v>600</v>
      </c>
      <c r="J132" s="53">
        <f>SUMIF(PPvsREal!$C:$C,'PPvsREal Summary'!C132,PPvsREal!$J:$J)</f>
        <v>1050</v>
      </c>
      <c r="K132" s="53">
        <f>SUMIF(PPvsREal!$C:$C,'PPvsREal Summary'!C132,PPvsREal!$K:$K)</f>
        <v>600</v>
      </c>
      <c r="L132" s="53">
        <f>SUMIF(PPvsREal!$C:$C,'PPvsREal Summary'!C132,PPvsREal!$L:$L)</f>
        <v>1050</v>
      </c>
      <c r="M132" s="53">
        <f>SUMIF(PPvsREal!$C:$C,'PPvsREal Summary'!C132,PPvsREal!$M:$M)</f>
        <v>754.99</v>
      </c>
      <c r="N132" s="53">
        <f>SUMIF(PPvsREal!$C:$C,'PPvsREal Summary'!C132,PPvsREal!$N:$N)</f>
        <v>1050</v>
      </c>
      <c r="O132" s="53">
        <f>SUMIF(PPvsREal!$C:$C,'PPvsREal Summary'!C132,PPvsREal!$O:$O)</f>
        <v>923</v>
      </c>
      <c r="P132" s="53">
        <f>SUMIF(PPvsREal!$C:$C,'PPvsREal Summary'!C132,PPvsREal!$P:$P)</f>
        <v>1050</v>
      </c>
      <c r="Q132" s="53">
        <f>SUMIF(PPvsREal!$C:$C,'PPvsREal Summary'!C132,PPvsREal!$Q:$Q)</f>
        <v>1149.99</v>
      </c>
      <c r="R132" s="53">
        <f>SUMIF(PPvsREal!$C:$C,'PPvsREal Summary'!C132,PPvsREal!$R:$R)</f>
        <v>1050</v>
      </c>
      <c r="S132" s="53">
        <f>SUMIF(PPvsREal!$C:$C,'PPvsREal Summary'!C132,PPvsREal!$S:$S)</f>
        <v>0</v>
      </c>
      <c r="T132" s="53">
        <f>SUMIF(PPvsREal!$C:$C,'PPvsREal Summary'!C132,PPvsREal!$T:$T)</f>
        <v>1050</v>
      </c>
      <c r="U132" s="53">
        <f>SUMIF(PPvsREal!$C:$C,'PPvsREal Summary'!C132,PPvsREal!$U:$U)</f>
        <v>0</v>
      </c>
      <c r="V132" s="53">
        <f>SUMIF(PPvsREal!$C:$C,'PPvsREal Summary'!C132,PPvsREal!$V:$V)</f>
        <v>1050</v>
      </c>
      <c r="W132" s="53">
        <f>SUMIF(PPvsREal!$C:$C,'PPvsREal Summary'!C132,PPvsREal!$W:$W)</f>
        <v>0</v>
      </c>
      <c r="X132" s="53">
        <f>SUMIF(PPvsREal!$C:$C,'PPvsREal Summary'!C132,PPvsREal!$X:$X)</f>
        <v>1050</v>
      </c>
      <c r="Y132" s="53">
        <f>SUMIF(PPvsREal!$C:$C,'PPvsREal Summary'!C132,PPvsREal!$Y:$Y)</f>
        <v>0</v>
      </c>
      <c r="Z132" s="53">
        <f>SUMIF(PPvsREal!$C:$C,'PPvsREal Summary'!C132,PPvsREal!$Z:$Z)</f>
        <v>1050</v>
      </c>
      <c r="AA132" s="76">
        <f>SUMIF(PPvsREal!$C:$C,'PPvsREal Summary'!C132,PPvsREal!$AA:$AA)</f>
        <v>0</v>
      </c>
      <c r="AB132" s="53"/>
      <c r="AC132" s="64">
        <f t="shared" si="43"/>
        <v>7350</v>
      </c>
      <c r="AD132" s="64">
        <f t="shared" si="44"/>
        <v>7997.98</v>
      </c>
    </row>
    <row r="133" spans="2:30" ht="12.75" customHeight="1" x14ac:dyDescent="0.25">
      <c r="B133" s="80" t="s">
        <v>237</v>
      </c>
      <c r="C133" s="37" t="s">
        <v>248</v>
      </c>
      <c r="D133" s="45">
        <f>SUMIF(PPvsREal!$C:$C,'PPvsREal Summary'!C133,PPvsREal!$D:$D)</f>
        <v>1100</v>
      </c>
      <c r="E133" s="53">
        <f>SUMIF(PPvsREal!$C:$C,'PPvsREal Summary'!C133,PPvsREal!$E:$E)</f>
        <v>0</v>
      </c>
      <c r="F133" s="53">
        <f>SUMIF(PPvsREal!$C:$C,'PPvsREal Summary'!C133,PPvsREal!$F:$F)</f>
        <v>0</v>
      </c>
      <c r="G133" s="53">
        <f>SUMIF(PPvsREal!$C:$C,'PPvsREal Summary'!C133,PPvsREal!$G:$G)</f>
        <v>651.76</v>
      </c>
      <c r="H133" s="53">
        <f>SUMIF(PPvsREal!$C:$C,'PPvsREal Summary'!C133,PPvsREal!$H:$H)</f>
        <v>0</v>
      </c>
      <c r="I133" s="53">
        <f>SUMIF(PPvsREal!$C:$C,'PPvsREal Summary'!C133,PPvsREal!$I:$I)</f>
        <v>15500</v>
      </c>
      <c r="J133" s="53">
        <f>SUMIF(PPvsREal!$C:$C,'PPvsREal Summary'!C133,PPvsREal!$J:$J)</f>
        <v>1100</v>
      </c>
      <c r="K133" s="53">
        <f>SUMIF(PPvsREal!$C:$C,'PPvsREal Summary'!C133,PPvsREal!$K:$K)</f>
        <v>0</v>
      </c>
      <c r="L133" s="53">
        <f>SUMIF(PPvsREal!$C:$C,'PPvsREal Summary'!C133,PPvsREal!$L:$L)</f>
        <v>0</v>
      </c>
      <c r="M133" s="53">
        <f>SUMIF(PPvsREal!$C:$C,'PPvsREal Summary'!C133,PPvsREal!$M:$M)</f>
        <v>0</v>
      </c>
      <c r="N133" s="53">
        <f>SUMIF(PPvsREal!$C:$C,'PPvsREal Summary'!C133,PPvsREal!$N:$N)</f>
        <v>0</v>
      </c>
      <c r="O133" s="53">
        <f>SUMIF(PPvsREal!$C:$C,'PPvsREal Summary'!C133,PPvsREal!$O:$O)</f>
        <v>0</v>
      </c>
      <c r="P133" s="53">
        <f>SUMIF(PPvsREal!$C:$C,'PPvsREal Summary'!C133,PPvsREal!$P:$P)</f>
        <v>1100</v>
      </c>
      <c r="Q133" s="53">
        <f>SUMIF(PPvsREal!$C:$C,'PPvsREal Summary'!C133,PPvsREal!$Q:$Q)</f>
        <v>0</v>
      </c>
      <c r="R133" s="53">
        <f>SUMIF(PPvsREal!$C:$C,'PPvsREal Summary'!C133,PPvsREal!$R:$R)</f>
        <v>0</v>
      </c>
      <c r="S133" s="53">
        <f>SUMIF(PPvsREal!$C:$C,'PPvsREal Summary'!C133,PPvsREal!$S:$S)</f>
        <v>0</v>
      </c>
      <c r="T133" s="53">
        <f>SUMIF(PPvsREal!$C:$C,'PPvsREal Summary'!C133,PPvsREal!$T:$T)</f>
        <v>0</v>
      </c>
      <c r="U133" s="53">
        <f>SUMIF(PPvsREal!$C:$C,'PPvsREal Summary'!C133,PPvsREal!$U:$U)</f>
        <v>0</v>
      </c>
      <c r="V133" s="53">
        <f>SUMIF(PPvsREal!$C:$C,'PPvsREal Summary'!C133,PPvsREal!$V:$V)</f>
        <v>1100</v>
      </c>
      <c r="W133" s="53">
        <f>SUMIF(PPvsREal!$C:$C,'PPvsREal Summary'!C133,PPvsREal!$W:$W)</f>
        <v>0</v>
      </c>
      <c r="X133" s="53">
        <f>SUMIF(PPvsREal!$C:$C,'PPvsREal Summary'!C133,PPvsREal!$X:$X)</f>
        <v>0</v>
      </c>
      <c r="Y133" s="53">
        <f>SUMIF(PPvsREal!$C:$C,'PPvsREal Summary'!C133,PPvsREal!$Y:$Y)</f>
        <v>0</v>
      </c>
      <c r="Z133" s="53">
        <f>SUMIF(PPvsREal!$C:$C,'PPvsREal Summary'!C133,PPvsREal!$Z:$Z)</f>
        <v>0</v>
      </c>
      <c r="AA133" s="76">
        <f>SUMIF(PPvsREal!$C:$C,'PPvsREal Summary'!C133,PPvsREal!$AA:$AA)</f>
        <v>0</v>
      </c>
      <c r="AB133" s="53"/>
      <c r="AC133" s="64">
        <f t="shared" si="43"/>
        <v>3300</v>
      </c>
      <c r="AD133" s="64">
        <f t="shared" si="44"/>
        <v>16151.76</v>
      </c>
    </row>
    <row r="134" spans="2:30" ht="12.75" customHeight="1" x14ac:dyDescent="0.25">
      <c r="B134" s="80" t="s">
        <v>237</v>
      </c>
      <c r="C134" s="37" t="s">
        <v>314</v>
      </c>
      <c r="D134" s="45">
        <f>SUMIF(PPvsREal!$C:$C,'PPvsREal Summary'!C134,PPvsREal!$D:$D)</f>
        <v>7000</v>
      </c>
      <c r="E134" s="53">
        <f>SUMIF(PPvsREal!$C:$C,'PPvsREal Summary'!C134,PPvsREal!$E:$E)</f>
        <v>5797</v>
      </c>
      <c r="F134" s="53">
        <f>SUMIF(PPvsREal!$C:$C,'PPvsREal Summary'!C134,PPvsREal!$F:$F)</f>
        <v>7000</v>
      </c>
      <c r="G134" s="53">
        <f>SUMIF(PPvsREal!$C:$C,'PPvsREal Summary'!C134,PPvsREal!$G:$G)</f>
        <v>6230</v>
      </c>
      <c r="H134" s="53">
        <f>SUMIF(PPvsREal!$C:$C,'PPvsREal Summary'!C134,PPvsREal!$H:$H)</f>
        <v>7000</v>
      </c>
      <c r="I134" s="53">
        <f>SUMIF(PPvsREal!$C:$C,'PPvsREal Summary'!C134,PPvsREal!$I:$I)</f>
        <v>6953.52</v>
      </c>
      <c r="J134" s="53">
        <f>SUMIF(PPvsREal!$C:$C,'PPvsREal Summary'!C134,PPvsREal!$J:$J)</f>
        <v>7000</v>
      </c>
      <c r="K134" s="53">
        <f>SUMIF(PPvsREal!$C:$C,'PPvsREal Summary'!C134,PPvsREal!$K:$K)</f>
        <v>5600</v>
      </c>
      <c r="L134" s="53">
        <f>SUMIF(PPvsREal!$C:$C,'PPvsREal Summary'!C134,PPvsREal!$L:$L)</f>
        <v>7000</v>
      </c>
      <c r="M134" s="53">
        <f>SUMIF(PPvsREal!$C:$C,'PPvsREal Summary'!C134,PPvsREal!$M:$M)</f>
        <v>6673</v>
      </c>
      <c r="N134" s="53">
        <f>SUMIF(PPvsREal!$C:$C,'PPvsREal Summary'!C134,PPvsREal!$N:$N)</f>
        <v>7000</v>
      </c>
      <c r="O134" s="53">
        <f>SUMIF(PPvsREal!$C:$C,'PPvsREal Summary'!C134,PPvsREal!$O:$O)</f>
        <v>6953.33</v>
      </c>
      <c r="P134" s="53">
        <f>SUMIF(PPvsREal!$C:$C,'PPvsREal Summary'!C134,PPvsREal!$P:$P)</f>
        <v>7000</v>
      </c>
      <c r="Q134" s="53">
        <f>SUMIF(PPvsREal!$C:$C,'PPvsREal Summary'!C134,PPvsREal!$Q:$Q)</f>
        <v>6300</v>
      </c>
      <c r="R134" s="53">
        <f>SUMIF(PPvsREal!$C:$C,'PPvsREal Summary'!C134,PPvsREal!$R:$R)</f>
        <v>7000</v>
      </c>
      <c r="S134" s="53">
        <f>SUMIF(PPvsREal!$C:$C,'PPvsREal Summary'!C134,PPvsREal!$S:$S)</f>
        <v>0</v>
      </c>
      <c r="T134" s="53">
        <f>SUMIF(PPvsREal!$C:$C,'PPvsREal Summary'!C134,PPvsREal!$T:$T)</f>
        <v>7000</v>
      </c>
      <c r="U134" s="53">
        <f>SUMIF(PPvsREal!$C:$C,'PPvsREal Summary'!C134,PPvsREal!$U:$U)</f>
        <v>0</v>
      </c>
      <c r="V134" s="53">
        <f>SUMIF(PPvsREal!$C:$C,'PPvsREal Summary'!C134,PPvsREal!$V:$V)</f>
        <v>7000</v>
      </c>
      <c r="W134" s="53">
        <f>SUMIF(PPvsREal!$C:$C,'PPvsREal Summary'!C134,PPvsREal!$W:$W)</f>
        <v>0</v>
      </c>
      <c r="X134" s="53">
        <f>SUMIF(PPvsREal!$C:$C,'PPvsREal Summary'!C134,PPvsREal!$X:$X)</f>
        <v>7000</v>
      </c>
      <c r="Y134" s="53">
        <f>SUMIF(PPvsREal!$C:$C,'PPvsREal Summary'!C134,PPvsREal!$Y:$Y)</f>
        <v>0</v>
      </c>
      <c r="Z134" s="53">
        <f>SUMIF(PPvsREal!$C:$C,'PPvsREal Summary'!C134,PPvsREal!$Z:$Z)</f>
        <v>7000</v>
      </c>
      <c r="AA134" s="76">
        <f>SUMIF(PPvsREal!$C:$C,'PPvsREal Summary'!C134,PPvsREal!$AA:$AA)</f>
        <v>0</v>
      </c>
      <c r="AB134" s="53"/>
      <c r="AC134" s="64">
        <f t="shared" si="43"/>
        <v>49000</v>
      </c>
      <c r="AD134" s="64">
        <f t="shared" si="44"/>
        <v>44506.85</v>
      </c>
    </row>
    <row r="135" spans="2:30" ht="12.75" customHeight="1" x14ac:dyDescent="0.25">
      <c r="B135" s="80" t="s">
        <v>237</v>
      </c>
      <c r="C135" s="37" t="s">
        <v>300</v>
      </c>
      <c r="D135" s="45">
        <f>SUMIF(PPvsREal!$C:$C,'PPvsREal Summary'!C135,PPvsREal!$D:$D)</f>
        <v>0</v>
      </c>
      <c r="E135" s="53">
        <f>SUMIF(PPvsREal!$C:$C,'PPvsREal Summary'!C135,PPvsREal!$E:$E)</f>
        <v>0</v>
      </c>
      <c r="F135" s="53">
        <f>SUMIF(PPvsREal!$C:$C,'PPvsREal Summary'!C135,PPvsREal!$F:$F)</f>
        <v>1000</v>
      </c>
      <c r="G135" s="53">
        <f>SUMIF(PPvsREal!$C:$C,'PPvsREal Summary'!C135,PPvsREal!$G:$G)</f>
        <v>0</v>
      </c>
      <c r="H135" s="53">
        <f>SUMIF(PPvsREal!$C:$C,'PPvsREal Summary'!C135,PPvsREal!$H:$H)</f>
        <v>0</v>
      </c>
      <c r="I135" s="53">
        <f>SUMIF(PPvsREal!$C:$C,'PPvsREal Summary'!C135,PPvsREal!$I:$I)</f>
        <v>0</v>
      </c>
      <c r="J135" s="53">
        <f>SUMIF(PPvsREal!$C:$C,'PPvsREal Summary'!C135,PPvsREal!$J:$J)</f>
        <v>1000</v>
      </c>
      <c r="K135" s="53">
        <f>SUMIF(PPvsREal!$C:$C,'PPvsREal Summary'!C135,PPvsREal!$K:$K)</f>
        <v>0</v>
      </c>
      <c r="L135" s="53">
        <f>SUMIF(PPvsREal!$C:$C,'PPvsREal Summary'!C135,PPvsREal!$L:$L)</f>
        <v>0</v>
      </c>
      <c r="M135" s="53">
        <f>SUMIF(PPvsREal!$C:$C,'PPvsREal Summary'!C135,PPvsREal!$M:$M)</f>
        <v>0</v>
      </c>
      <c r="N135" s="53">
        <f>SUMIF(PPvsREal!$C:$C,'PPvsREal Summary'!C135,PPvsREal!$N:$N)</f>
        <v>1000</v>
      </c>
      <c r="O135" s="53">
        <f>SUMIF(PPvsREal!$C:$C,'PPvsREal Summary'!C135,PPvsREal!$O:$O)</f>
        <v>0</v>
      </c>
      <c r="P135" s="53">
        <f>SUMIF(PPvsREal!$C:$C,'PPvsREal Summary'!C135,PPvsREal!$P:$P)</f>
        <v>0</v>
      </c>
      <c r="Q135" s="53">
        <f>SUMIF(PPvsREal!$C:$C,'PPvsREal Summary'!C135,PPvsREal!$Q:$Q)</f>
        <v>0</v>
      </c>
      <c r="R135" s="53">
        <f>SUMIF(PPvsREal!$C:$C,'PPvsREal Summary'!C135,PPvsREal!$R:$R)</f>
        <v>1000</v>
      </c>
      <c r="S135" s="53">
        <f>SUMIF(PPvsREal!$C:$C,'PPvsREal Summary'!C135,PPvsREal!$S:$S)</f>
        <v>0</v>
      </c>
      <c r="T135" s="53">
        <f>SUMIF(PPvsREal!$C:$C,'PPvsREal Summary'!C135,PPvsREal!$T:$T)</f>
        <v>0</v>
      </c>
      <c r="U135" s="53">
        <f>SUMIF(PPvsREal!$C:$C,'PPvsREal Summary'!C135,PPvsREal!$U:$U)</f>
        <v>0</v>
      </c>
      <c r="V135" s="53">
        <f>SUMIF(PPvsREal!$C:$C,'PPvsREal Summary'!C135,PPvsREal!$V:$V)</f>
        <v>1000</v>
      </c>
      <c r="W135" s="53">
        <f>SUMIF(PPvsREal!$C:$C,'PPvsREal Summary'!C135,PPvsREal!$W:$W)</f>
        <v>0</v>
      </c>
      <c r="X135" s="53">
        <f>SUMIF(PPvsREal!$C:$C,'PPvsREal Summary'!C135,PPvsREal!$X:$X)</f>
        <v>0</v>
      </c>
      <c r="Y135" s="53">
        <f>SUMIF(PPvsREal!$C:$C,'PPvsREal Summary'!C135,PPvsREal!$Y:$Y)</f>
        <v>0</v>
      </c>
      <c r="Z135" s="53">
        <f>SUMIF(PPvsREal!$C:$C,'PPvsREal Summary'!C135,PPvsREal!$Z:$Z)</f>
        <v>0</v>
      </c>
      <c r="AA135" s="76">
        <f>SUMIF(PPvsREal!$C:$C,'PPvsREal Summary'!C135,PPvsREal!$AA:$AA)</f>
        <v>0</v>
      </c>
      <c r="AB135" s="53"/>
      <c r="AC135" s="64">
        <f t="shared" si="43"/>
        <v>3000</v>
      </c>
      <c r="AD135" s="64">
        <f t="shared" si="44"/>
        <v>0</v>
      </c>
    </row>
    <row r="136" spans="2:30" ht="12.75" customHeight="1" x14ac:dyDescent="0.25">
      <c r="B136" s="80" t="s">
        <v>237</v>
      </c>
      <c r="C136" s="37" t="s">
        <v>273</v>
      </c>
      <c r="D136" s="45">
        <f>SUMIF(PPvsREal!$C:$C,'PPvsREal Summary'!C136,PPvsREal!$D:$D)</f>
        <v>0</v>
      </c>
      <c r="E136" s="53">
        <f>SUMIF(PPvsREal!$C:$C,'PPvsREal Summary'!C136,PPvsREal!$E:$E)</f>
        <v>0</v>
      </c>
      <c r="F136" s="53">
        <f>SUMIF(PPvsREal!$C:$C,'PPvsREal Summary'!C136,PPvsREal!$F:$F)</f>
        <v>0</v>
      </c>
      <c r="G136" s="53">
        <f>SUMIF(PPvsREal!$C:$C,'PPvsREal Summary'!C136,PPvsREal!$G:$G)</f>
        <v>0</v>
      </c>
      <c r="H136" s="53">
        <f>SUMIF(PPvsREal!$C:$C,'PPvsREal Summary'!C136,PPvsREal!$H:$H)</f>
        <v>25000</v>
      </c>
      <c r="I136" s="53">
        <f>SUMIF(PPvsREal!$C:$C,'PPvsREal Summary'!C136,PPvsREal!$I:$I)</f>
        <v>0</v>
      </c>
      <c r="J136" s="53">
        <f>SUMIF(PPvsREal!$C:$C,'PPvsREal Summary'!C136,PPvsREal!$J:$J)</f>
        <v>0</v>
      </c>
      <c r="K136" s="53">
        <f>SUMIF(PPvsREal!$C:$C,'PPvsREal Summary'!C136,PPvsREal!$K:$K)</f>
        <v>0</v>
      </c>
      <c r="L136" s="53">
        <f>SUMIF(PPvsREal!$C:$C,'PPvsREal Summary'!C136,PPvsREal!$L:$L)</f>
        <v>0</v>
      </c>
      <c r="M136" s="53">
        <f>SUMIF(PPvsREal!$C:$C,'PPvsREal Summary'!C136,PPvsREal!$M:$M)</f>
        <v>7000</v>
      </c>
      <c r="N136" s="53">
        <f>SUMIF(PPvsREal!$C:$C,'PPvsREal Summary'!C136,PPvsREal!$N:$N)</f>
        <v>0</v>
      </c>
      <c r="O136" s="53">
        <f>SUMIF(PPvsREal!$C:$C,'PPvsREal Summary'!C136,PPvsREal!$O:$O)</f>
        <v>7000</v>
      </c>
      <c r="P136" s="53">
        <f>SUMIF(PPvsREal!$C:$C,'PPvsREal Summary'!C136,PPvsREal!$P:$P)</f>
        <v>25000</v>
      </c>
      <c r="Q136" s="53">
        <f>SUMIF(PPvsREal!$C:$C,'PPvsREal Summary'!C136,PPvsREal!$Q:$Q)</f>
        <v>0</v>
      </c>
      <c r="R136" s="53">
        <f>SUMIF(PPvsREal!$C:$C,'PPvsREal Summary'!C136,PPvsREal!$R:$R)</f>
        <v>0</v>
      </c>
      <c r="S136" s="53">
        <f>SUMIF(PPvsREal!$C:$C,'PPvsREal Summary'!C136,PPvsREal!$S:$S)</f>
        <v>0</v>
      </c>
      <c r="T136" s="53">
        <f>SUMIF(PPvsREal!$C:$C,'PPvsREal Summary'!C136,PPvsREal!$T:$T)</f>
        <v>0</v>
      </c>
      <c r="U136" s="53">
        <f>SUMIF(PPvsREal!$C:$C,'PPvsREal Summary'!C136,PPvsREal!$U:$U)</f>
        <v>0</v>
      </c>
      <c r="V136" s="53">
        <f>SUMIF(PPvsREal!$C:$C,'PPvsREal Summary'!C136,PPvsREal!$V:$V)</f>
        <v>0</v>
      </c>
      <c r="W136" s="53">
        <f>SUMIF(PPvsREal!$C:$C,'PPvsREal Summary'!C136,PPvsREal!$W:$W)</f>
        <v>0</v>
      </c>
      <c r="X136" s="53">
        <f>SUMIF(PPvsREal!$C:$C,'PPvsREal Summary'!C136,PPvsREal!$X:$X)</f>
        <v>25000</v>
      </c>
      <c r="Y136" s="53">
        <f>SUMIF(PPvsREal!$C:$C,'PPvsREal Summary'!C136,PPvsREal!$Y:$Y)</f>
        <v>0</v>
      </c>
      <c r="Z136" s="53">
        <f>SUMIF(PPvsREal!$C:$C,'PPvsREal Summary'!C136,PPvsREal!$Z:$Z)</f>
        <v>0</v>
      </c>
      <c r="AA136" s="76">
        <f>SUMIF(PPvsREal!$C:$C,'PPvsREal Summary'!C136,PPvsREal!$AA:$AA)</f>
        <v>0</v>
      </c>
      <c r="AB136" s="53"/>
      <c r="AC136" s="64">
        <f t="shared" si="43"/>
        <v>50000</v>
      </c>
      <c r="AD136" s="64">
        <f t="shared" si="44"/>
        <v>14000</v>
      </c>
    </row>
    <row r="137" spans="2:30" ht="12.75" customHeight="1" x14ac:dyDescent="0.25">
      <c r="B137" s="80" t="s">
        <v>237</v>
      </c>
      <c r="C137" s="37" t="s">
        <v>275</v>
      </c>
      <c r="D137" s="45">
        <f>SUMIF(PPvsREal!$C:$C,'PPvsREal Summary'!C137,PPvsREal!$D:$D)</f>
        <v>0</v>
      </c>
      <c r="E137" s="53">
        <f>SUMIF(PPvsREal!$C:$C,'PPvsREal Summary'!C137,PPvsREal!$E:$E)</f>
        <v>7755.58</v>
      </c>
      <c r="F137" s="53">
        <f>SUMIF(PPvsREal!$C:$C,'PPvsREal Summary'!C137,PPvsREal!$F:$F)</f>
        <v>20000</v>
      </c>
      <c r="G137" s="53">
        <f>SUMIF(PPvsREal!$C:$C,'PPvsREal Summary'!C137,PPvsREal!$G:$G)</f>
        <v>0</v>
      </c>
      <c r="H137" s="53">
        <f>SUMIF(PPvsREal!$C:$C,'PPvsREal Summary'!C137,PPvsREal!$H:$H)</f>
        <v>0</v>
      </c>
      <c r="I137" s="53">
        <f>SUMIF(PPvsREal!$C:$C,'PPvsREal Summary'!C137,PPvsREal!$I:$I)</f>
        <v>-748.09</v>
      </c>
      <c r="J137" s="53">
        <f>SUMIF(PPvsREal!$C:$C,'PPvsREal Summary'!C137,PPvsREal!$J:$J)</f>
        <v>20000</v>
      </c>
      <c r="K137" s="53">
        <f>SUMIF(PPvsREal!$C:$C,'PPvsREal Summary'!C137,PPvsREal!$K:$K)</f>
        <v>701.1</v>
      </c>
      <c r="L137" s="53">
        <f>SUMIF(PPvsREal!$C:$C,'PPvsREal Summary'!C137,PPvsREal!$L:$L)</f>
        <v>0</v>
      </c>
      <c r="M137" s="53">
        <f>SUMIF(PPvsREal!$C:$C,'PPvsREal Summary'!C137,PPvsREal!$M:$M)</f>
        <v>123021.26</v>
      </c>
      <c r="N137" s="53">
        <f>SUMIF(PPvsREal!$C:$C,'PPvsREal Summary'!C137,PPvsREal!$N:$N)</f>
        <v>20000</v>
      </c>
      <c r="O137" s="53">
        <f>SUMIF(PPvsREal!$C:$C,'PPvsREal Summary'!C137,PPvsREal!$O:$O)</f>
        <v>93000</v>
      </c>
      <c r="P137" s="53">
        <f>SUMIF(PPvsREal!$C:$C,'PPvsREal Summary'!C137,PPvsREal!$P:$P)</f>
        <v>0</v>
      </c>
      <c r="Q137" s="53">
        <f>SUMIF(PPvsREal!$C:$C,'PPvsREal Summary'!C137,PPvsREal!$Q:$Q)</f>
        <v>0</v>
      </c>
      <c r="R137" s="53">
        <f>SUMIF(PPvsREal!$C:$C,'PPvsREal Summary'!C137,PPvsREal!$R:$R)</f>
        <v>20000</v>
      </c>
      <c r="S137" s="53">
        <f>SUMIF(PPvsREal!$C:$C,'PPvsREal Summary'!C137,PPvsREal!$S:$S)</f>
        <v>0</v>
      </c>
      <c r="T137" s="53">
        <f>SUMIF(PPvsREal!$C:$C,'PPvsREal Summary'!C137,PPvsREal!$T:$T)</f>
        <v>0</v>
      </c>
      <c r="U137" s="53">
        <f>SUMIF(PPvsREal!$C:$C,'PPvsREal Summary'!C137,PPvsREal!$U:$U)</f>
        <v>0</v>
      </c>
      <c r="V137" s="53">
        <f>SUMIF(PPvsREal!$C:$C,'PPvsREal Summary'!C137,PPvsREal!$V:$V)</f>
        <v>20000</v>
      </c>
      <c r="W137" s="53">
        <f>SUMIF(PPvsREal!$C:$C,'PPvsREal Summary'!C137,PPvsREal!$W:$W)</f>
        <v>0</v>
      </c>
      <c r="X137" s="53">
        <f>SUMIF(PPvsREal!$C:$C,'PPvsREal Summary'!C137,PPvsREal!$X:$X)</f>
        <v>0</v>
      </c>
      <c r="Y137" s="53">
        <f>SUMIF(PPvsREal!$C:$C,'PPvsREal Summary'!C137,PPvsREal!$Y:$Y)</f>
        <v>0</v>
      </c>
      <c r="Z137" s="53">
        <f>SUMIF(PPvsREal!$C:$C,'PPvsREal Summary'!C137,PPvsREal!$Z:$Z)</f>
        <v>20000</v>
      </c>
      <c r="AA137" s="76">
        <f>SUMIF(PPvsREal!$C:$C,'PPvsREal Summary'!C137,PPvsREal!$AA:$AA)</f>
        <v>0</v>
      </c>
      <c r="AB137" s="53"/>
      <c r="AC137" s="64">
        <f t="shared" si="43"/>
        <v>60000</v>
      </c>
      <c r="AD137" s="64">
        <f t="shared" si="44"/>
        <v>223729.84999999998</v>
      </c>
    </row>
    <row r="138" spans="2:30" ht="12.75" customHeight="1" x14ac:dyDescent="0.25">
      <c r="B138" s="80" t="s">
        <v>237</v>
      </c>
      <c r="C138" s="37" t="s">
        <v>246</v>
      </c>
      <c r="D138" s="45">
        <f>SUMIF(PPvsREal!$C:$C,'PPvsREal Summary'!C138,PPvsREal!$D:$D)</f>
        <v>10989</v>
      </c>
      <c r="E138" s="53">
        <f>SUMIF(PPvsREal!$C:$C,'PPvsREal Summary'!C138,PPvsREal!$E:$E)</f>
        <v>11190</v>
      </c>
      <c r="F138" s="53">
        <f>SUMIF(PPvsREal!$C:$C,'PPvsREal Summary'!C138,PPvsREal!$F:$F)</f>
        <v>10989</v>
      </c>
      <c r="G138" s="53">
        <f>SUMIF(PPvsREal!$C:$C,'PPvsREal Summary'!C138,PPvsREal!$G:$G)</f>
        <v>11190</v>
      </c>
      <c r="H138" s="53">
        <f>SUMIF(PPvsREal!$C:$C,'PPvsREal Summary'!C138,PPvsREal!$H:$H)</f>
        <v>10989</v>
      </c>
      <c r="I138" s="53">
        <f>SUMIF(PPvsREal!$C:$C,'PPvsREal Summary'!C138,PPvsREal!$I:$I)</f>
        <v>11190</v>
      </c>
      <c r="J138" s="53">
        <f>SUMIF(PPvsREal!$C:$C,'PPvsREal Summary'!C138,PPvsREal!$J:$J)</f>
        <v>10989</v>
      </c>
      <c r="K138" s="53">
        <f>SUMIF(PPvsREal!$C:$C,'PPvsREal Summary'!C138,PPvsREal!$K:$K)</f>
        <v>11190</v>
      </c>
      <c r="L138" s="53">
        <f>SUMIF(PPvsREal!$C:$C,'PPvsREal Summary'!C138,PPvsREal!$L:$L)</f>
        <v>10989</v>
      </c>
      <c r="M138" s="53">
        <f>SUMIF(PPvsREal!$C:$C,'PPvsREal Summary'!C138,PPvsREal!$M:$M)</f>
        <v>11190</v>
      </c>
      <c r="N138" s="53">
        <f>SUMIF(PPvsREal!$C:$C,'PPvsREal Summary'!C138,PPvsREal!$N:$N)</f>
        <v>10989</v>
      </c>
      <c r="O138" s="53">
        <f>SUMIF(PPvsREal!$C:$C,'PPvsREal Summary'!C138,PPvsREal!$O:$O)</f>
        <v>14990</v>
      </c>
      <c r="P138" s="53">
        <f>SUMIF(PPvsREal!$C:$C,'PPvsREal Summary'!C138,PPvsREal!$P:$P)</f>
        <v>10989</v>
      </c>
      <c r="Q138" s="53">
        <f>SUMIF(PPvsREal!$C:$C,'PPvsREal Summary'!C138,PPvsREal!$Q:$Q)</f>
        <v>14990</v>
      </c>
      <c r="R138" s="53">
        <f>SUMIF(PPvsREal!$C:$C,'PPvsREal Summary'!C138,PPvsREal!$R:$R)</f>
        <v>10989</v>
      </c>
      <c r="S138" s="53">
        <f>SUMIF(PPvsREal!$C:$C,'PPvsREal Summary'!C138,PPvsREal!$S:$S)</f>
        <v>0</v>
      </c>
      <c r="T138" s="53">
        <f>SUMIF(PPvsREal!$C:$C,'PPvsREal Summary'!C138,PPvsREal!$T:$T)</f>
        <v>10989</v>
      </c>
      <c r="U138" s="53">
        <f>SUMIF(PPvsREal!$C:$C,'PPvsREal Summary'!C138,PPvsREal!$U:$U)</f>
        <v>0</v>
      </c>
      <c r="V138" s="53">
        <f>SUMIF(PPvsREal!$C:$C,'PPvsREal Summary'!C138,PPvsREal!$V:$V)</f>
        <v>10989</v>
      </c>
      <c r="W138" s="53">
        <f>SUMIF(PPvsREal!$C:$C,'PPvsREal Summary'!C138,PPvsREal!$W:$W)</f>
        <v>0</v>
      </c>
      <c r="X138" s="53">
        <f>SUMIF(PPvsREal!$C:$C,'PPvsREal Summary'!C138,PPvsREal!$X:$X)</f>
        <v>10989</v>
      </c>
      <c r="Y138" s="53">
        <f>SUMIF(PPvsREal!$C:$C,'PPvsREal Summary'!C138,PPvsREal!$Y:$Y)</f>
        <v>0</v>
      </c>
      <c r="Z138" s="53">
        <f>SUMIF(PPvsREal!$C:$C,'PPvsREal Summary'!C138,PPvsREal!$Z:$Z)</f>
        <v>10989</v>
      </c>
      <c r="AA138" s="76">
        <f>SUMIF(PPvsREal!$C:$C,'PPvsREal Summary'!C138,PPvsREal!$AA:$AA)</f>
        <v>0</v>
      </c>
      <c r="AB138" s="53"/>
      <c r="AC138" s="64">
        <f t="shared" si="43"/>
        <v>76923</v>
      </c>
      <c r="AD138" s="64">
        <f t="shared" si="44"/>
        <v>85930</v>
      </c>
    </row>
    <row r="139" spans="2:30" ht="12.75" customHeight="1" x14ac:dyDescent="0.25">
      <c r="B139" s="80" t="s">
        <v>237</v>
      </c>
      <c r="C139" s="37" t="s">
        <v>377</v>
      </c>
      <c r="D139" s="45">
        <f>SUMIF(PPvsREal!$C:$C,'PPvsREal Summary'!C139,PPvsREal!$D:$D)</f>
        <v>0</v>
      </c>
      <c r="E139" s="53">
        <f>SUMIF(PPvsREal!$C:$C,'PPvsREal Summary'!C139,PPvsREal!$E:$E)</f>
        <v>0</v>
      </c>
      <c r="F139" s="53">
        <f>SUMIF(PPvsREal!$C:$C,'PPvsREal Summary'!C139,PPvsREal!$F:$F)</f>
        <v>0</v>
      </c>
      <c r="G139" s="53">
        <f>SUMIF(PPvsREal!$C:$C,'PPvsREal Summary'!C139,PPvsREal!$G:$G)</f>
        <v>0</v>
      </c>
      <c r="H139" s="53">
        <f>SUMIF(PPvsREal!$C:$C,'PPvsREal Summary'!C139,PPvsREal!$H:$H)</f>
        <v>0</v>
      </c>
      <c r="I139" s="53">
        <f>SUMIF(PPvsREal!$C:$C,'PPvsREal Summary'!C139,PPvsREal!$I:$I)</f>
        <v>0</v>
      </c>
      <c r="J139" s="53">
        <f>SUMIF(PPvsREal!$C:$C,'PPvsREal Summary'!C139,PPvsREal!$J:$J)</f>
        <v>0</v>
      </c>
      <c r="K139" s="53">
        <f>SUMIF(PPvsREal!$C:$C,'PPvsREal Summary'!C139,PPvsREal!$K:$K)</f>
        <v>0</v>
      </c>
      <c r="L139" s="53">
        <f>SUMIF(PPvsREal!$C:$C,'PPvsREal Summary'!C139,PPvsREal!$L:$L)</f>
        <v>0</v>
      </c>
      <c r="M139" s="53">
        <f>SUMIF(PPvsREal!$C:$C,'PPvsREal Summary'!C139,PPvsREal!$M:$M)</f>
        <v>0</v>
      </c>
      <c r="N139" s="53">
        <f>SUMIF(PPvsREal!$C:$C,'PPvsREal Summary'!C139,PPvsREal!$N:$N)</f>
        <v>0</v>
      </c>
      <c r="O139" s="53">
        <f>SUMIF(PPvsREal!$C:$C,'PPvsREal Summary'!C139,PPvsREal!$O:$O)</f>
        <v>0</v>
      </c>
      <c r="P139" s="53">
        <f>SUMIF(PPvsREal!$C:$C,'PPvsREal Summary'!C139,PPvsREal!$P:$P)</f>
        <v>0</v>
      </c>
      <c r="Q139" s="53">
        <f>SUMIF(PPvsREal!$C:$C,'PPvsREal Summary'!C139,PPvsREal!$Q:$Q)</f>
        <v>0</v>
      </c>
      <c r="R139" s="53">
        <f>SUMIF(PPvsREal!$C:$C,'PPvsREal Summary'!C139,PPvsREal!$R:$R)</f>
        <v>0</v>
      </c>
      <c r="S139" s="53">
        <f>SUMIF(PPvsREal!$C:$C,'PPvsREal Summary'!C139,PPvsREal!$S:$S)</f>
        <v>0</v>
      </c>
      <c r="T139" s="53">
        <f>SUMIF(PPvsREal!$C:$C,'PPvsREal Summary'!C139,PPvsREal!$T:$T)</f>
        <v>0</v>
      </c>
      <c r="U139" s="53">
        <f>SUMIF(PPvsREal!$C:$C,'PPvsREal Summary'!C139,PPvsREal!$U:$U)</f>
        <v>0</v>
      </c>
      <c r="V139" s="53">
        <f>SUMIF(PPvsREal!$C:$C,'PPvsREal Summary'!C139,PPvsREal!$V:$V)</f>
        <v>0</v>
      </c>
      <c r="W139" s="53">
        <f>SUMIF(PPvsREal!$C:$C,'PPvsREal Summary'!C139,PPvsREal!$W:$W)</f>
        <v>0</v>
      </c>
      <c r="X139" s="53">
        <f>SUMIF(PPvsREal!$C:$C,'PPvsREal Summary'!C139,PPvsREal!$X:$X)</f>
        <v>0</v>
      </c>
      <c r="Y139" s="53">
        <f>SUMIF(PPvsREal!$C:$C,'PPvsREal Summary'!C139,PPvsREal!$Y:$Y)</f>
        <v>0</v>
      </c>
      <c r="Z139" s="53">
        <f>SUMIF(PPvsREal!$C:$C,'PPvsREal Summary'!C139,PPvsREal!$Z:$Z)</f>
        <v>0</v>
      </c>
      <c r="AA139" s="76">
        <f>SUMIF(PPvsREal!$C:$C,'PPvsREal Summary'!C139,PPvsREal!$AA:$AA)</f>
        <v>0</v>
      </c>
      <c r="AB139" s="53"/>
      <c r="AC139" s="64">
        <f t="shared" si="43"/>
        <v>0</v>
      </c>
      <c r="AD139" s="64">
        <f t="shared" si="44"/>
        <v>0</v>
      </c>
    </row>
    <row r="140" spans="2:30" ht="12.75" customHeight="1" x14ac:dyDescent="0.25">
      <c r="B140" s="80" t="s">
        <v>237</v>
      </c>
      <c r="C140" s="37" t="s">
        <v>277</v>
      </c>
      <c r="D140" s="45">
        <f>SUMIF(PPvsREal!$C:$C,'PPvsREal Summary'!C140,PPvsREal!$D:$D)</f>
        <v>20000</v>
      </c>
      <c r="E140" s="53">
        <f>SUMIF(PPvsREal!$C:$C,'PPvsREal Summary'!C140,PPvsREal!$E:$E)</f>
        <v>0</v>
      </c>
      <c r="F140" s="53">
        <f>SUMIF(PPvsREal!$C:$C,'PPvsREal Summary'!C140,PPvsREal!$F:$F)</f>
        <v>50000</v>
      </c>
      <c r="G140" s="53">
        <f>SUMIF(PPvsREal!$C:$C,'PPvsREal Summary'!C140,PPvsREal!$G:$G)</f>
        <v>0</v>
      </c>
      <c r="H140" s="53">
        <f>SUMIF(PPvsREal!$C:$C,'PPvsREal Summary'!C140,PPvsREal!$H:$H)</f>
        <v>0</v>
      </c>
      <c r="I140" s="53">
        <f>SUMIF(PPvsREal!$C:$C,'PPvsREal Summary'!C140,PPvsREal!$I:$I)</f>
        <v>0</v>
      </c>
      <c r="J140" s="53">
        <f>SUMIF(PPvsREal!$C:$C,'PPvsREal Summary'!C140,PPvsREal!$J:$J)</f>
        <v>50000</v>
      </c>
      <c r="K140" s="53">
        <f>SUMIF(PPvsREal!$C:$C,'PPvsREal Summary'!C140,PPvsREal!$K:$K)</f>
        <v>0</v>
      </c>
      <c r="L140" s="53">
        <f>SUMIF(PPvsREal!$C:$C,'PPvsREal Summary'!C140,PPvsREal!$L:$L)</f>
        <v>0</v>
      </c>
      <c r="M140" s="53">
        <f>SUMIF(PPvsREal!$C:$C,'PPvsREal Summary'!C140,PPvsREal!$M:$M)</f>
        <v>0</v>
      </c>
      <c r="N140" s="53">
        <f>SUMIF(PPvsREal!$C:$C,'PPvsREal Summary'!C140,PPvsREal!$N:$N)</f>
        <v>0</v>
      </c>
      <c r="O140" s="53">
        <f>SUMIF(PPvsREal!$C:$C,'PPvsREal Summary'!C140,PPvsREal!$O:$O)</f>
        <v>0</v>
      </c>
      <c r="P140" s="53">
        <f>SUMIF(PPvsREal!$C:$C,'PPvsREal Summary'!C140,PPvsREal!$P:$P)</f>
        <v>0</v>
      </c>
      <c r="Q140" s="53">
        <f>SUMIF(PPvsREal!$C:$C,'PPvsREal Summary'!C140,PPvsREal!$Q:$Q)</f>
        <v>15003.21</v>
      </c>
      <c r="R140" s="53">
        <f>SUMIF(PPvsREal!$C:$C,'PPvsREal Summary'!C140,PPvsREal!$R:$R)</f>
        <v>0</v>
      </c>
      <c r="S140" s="53">
        <f>SUMIF(PPvsREal!$C:$C,'PPvsREal Summary'!C140,PPvsREal!$S:$S)</f>
        <v>0</v>
      </c>
      <c r="T140" s="53">
        <f>SUMIF(PPvsREal!$C:$C,'PPvsREal Summary'!C140,PPvsREal!$T:$T)</f>
        <v>0</v>
      </c>
      <c r="U140" s="53">
        <f>SUMIF(PPvsREal!$C:$C,'PPvsREal Summary'!C140,PPvsREal!$U:$U)</f>
        <v>0</v>
      </c>
      <c r="V140" s="53">
        <f>SUMIF(PPvsREal!$C:$C,'PPvsREal Summary'!C140,PPvsREal!$V:$V)</f>
        <v>0</v>
      </c>
      <c r="W140" s="53">
        <f>SUMIF(PPvsREal!$C:$C,'PPvsREal Summary'!C140,PPvsREal!$W:$W)</f>
        <v>0</v>
      </c>
      <c r="X140" s="53">
        <f>SUMIF(PPvsREal!$C:$C,'PPvsREal Summary'!C140,PPvsREal!$X:$X)</f>
        <v>0</v>
      </c>
      <c r="Y140" s="53">
        <f>SUMIF(PPvsREal!$C:$C,'PPvsREal Summary'!C140,PPvsREal!$Y:$Y)</f>
        <v>0</v>
      </c>
      <c r="Z140" s="53">
        <f>SUMIF(PPvsREal!$C:$C,'PPvsREal Summary'!C140,PPvsREal!$Z:$Z)</f>
        <v>0</v>
      </c>
      <c r="AA140" s="76">
        <f>SUMIF(PPvsREal!$C:$C,'PPvsREal Summary'!C140,PPvsREal!$AA:$AA)</f>
        <v>0</v>
      </c>
      <c r="AB140" s="53"/>
      <c r="AC140" s="64">
        <f t="shared" si="43"/>
        <v>120000</v>
      </c>
      <c r="AD140" s="64">
        <f t="shared" si="44"/>
        <v>15003.21</v>
      </c>
    </row>
    <row r="141" spans="2:30" ht="12.75" customHeight="1" x14ac:dyDescent="0.25">
      <c r="B141" s="80" t="s">
        <v>237</v>
      </c>
      <c r="C141" s="37" t="s">
        <v>378</v>
      </c>
      <c r="D141" s="45">
        <f>SUMIF(PPvsREal!$C:$C,'PPvsREal Summary'!C141,PPvsREal!$D:$D)</f>
        <v>0</v>
      </c>
      <c r="E141" s="53">
        <f>SUMIF(PPvsREal!$C:$C,'PPvsREal Summary'!C141,PPvsREal!$E:$E)</f>
        <v>0</v>
      </c>
      <c r="F141" s="53">
        <f>SUMIF(PPvsREal!$C:$C,'PPvsREal Summary'!C141,PPvsREal!$F:$F)</f>
        <v>0</v>
      </c>
      <c r="G141" s="53">
        <f>SUMIF(PPvsREal!$C:$C,'PPvsREal Summary'!C141,PPvsREal!$G:$G)</f>
        <v>0</v>
      </c>
      <c r="H141" s="53">
        <f>SUMIF(PPvsREal!$C:$C,'PPvsREal Summary'!C141,PPvsREal!$H:$H)</f>
        <v>0</v>
      </c>
      <c r="I141" s="53">
        <f>SUMIF(PPvsREal!$C:$C,'PPvsREal Summary'!C141,PPvsREal!$I:$I)</f>
        <v>0</v>
      </c>
      <c r="J141" s="53">
        <f>SUMIF(PPvsREal!$C:$C,'PPvsREal Summary'!C141,PPvsREal!$J:$J)</f>
        <v>0</v>
      </c>
      <c r="K141" s="53">
        <f>SUMIF(PPvsREal!$C:$C,'PPvsREal Summary'!C141,PPvsREal!$K:$K)</f>
        <v>0</v>
      </c>
      <c r="L141" s="53">
        <f>SUMIF(PPvsREal!$C:$C,'PPvsREal Summary'!C141,PPvsREal!$L:$L)</f>
        <v>0</v>
      </c>
      <c r="M141" s="53">
        <f>SUMIF(PPvsREal!$C:$C,'PPvsREal Summary'!C141,PPvsREal!$M:$M)</f>
        <v>0</v>
      </c>
      <c r="N141" s="53">
        <f>SUMIF(PPvsREal!$C:$C,'PPvsREal Summary'!C141,PPvsREal!$N:$N)</f>
        <v>0</v>
      </c>
      <c r="O141" s="53">
        <f>SUMIF(PPvsREal!$C:$C,'PPvsREal Summary'!C141,PPvsREal!$O:$O)</f>
        <v>0</v>
      </c>
      <c r="P141" s="53">
        <f>SUMIF(PPvsREal!$C:$C,'PPvsREal Summary'!C141,PPvsREal!$P:$P)</f>
        <v>0</v>
      </c>
      <c r="Q141" s="53">
        <f>SUMIF(PPvsREal!$C:$C,'PPvsREal Summary'!C141,PPvsREal!$Q:$Q)</f>
        <v>0</v>
      </c>
      <c r="R141" s="53">
        <f>SUMIF(PPvsREal!$C:$C,'PPvsREal Summary'!C141,PPvsREal!$R:$R)</f>
        <v>0</v>
      </c>
      <c r="S141" s="53">
        <f>SUMIF(PPvsREal!$C:$C,'PPvsREal Summary'!C141,PPvsREal!$S:$S)</f>
        <v>0</v>
      </c>
      <c r="T141" s="53">
        <f>SUMIF(PPvsREal!$C:$C,'PPvsREal Summary'!C141,PPvsREal!$T:$T)</f>
        <v>0</v>
      </c>
      <c r="U141" s="53">
        <f>SUMIF(PPvsREal!$C:$C,'PPvsREal Summary'!C141,PPvsREal!$U:$U)</f>
        <v>0</v>
      </c>
      <c r="V141" s="53">
        <f>SUMIF(PPvsREal!$C:$C,'PPvsREal Summary'!C141,PPvsREal!$V:$V)</f>
        <v>0</v>
      </c>
      <c r="W141" s="53">
        <f>SUMIF(PPvsREal!$C:$C,'PPvsREal Summary'!C141,PPvsREal!$W:$W)</f>
        <v>0</v>
      </c>
      <c r="X141" s="53">
        <f>SUMIF(PPvsREal!$C:$C,'PPvsREal Summary'!C141,PPvsREal!$X:$X)</f>
        <v>0</v>
      </c>
      <c r="Y141" s="53">
        <f>SUMIF(PPvsREal!$C:$C,'PPvsREal Summary'!C141,PPvsREal!$Y:$Y)</f>
        <v>0</v>
      </c>
      <c r="Z141" s="53">
        <f>SUMIF(PPvsREal!$C:$C,'PPvsREal Summary'!C141,PPvsREal!$Z:$Z)</f>
        <v>0</v>
      </c>
      <c r="AA141" s="76">
        <f>SUMIF(PPvsREal!$C:$C,'PPvsREal Summary'!C141,PPvsREal!$AA:$AA)</f>
        <v>0</v>
      </c>
      <c r="AB141" s="53"/>
      <c r="AC141" s="64">
        <f t="shared" si="43"/>
        <v>0</v>
      </c>
      <c r="AD141" s="64">
        <f t="shared" si="44"/>
        <v>0</v>
      </c>
    </row>
    <row r="142" spans="2:30" ht="12.75" customHeight="1" x14ac:dyDescent="0.25">
      <c r="B142" s="80" t="s">
        <v>237</v>
      </c>
      <c r="C142" s="37" t="s">
        <v>252</v>
      </c>
      <c r="D142" s="45">
        <f>SUMIF(PPvsREal!$C:$C,'PPvsREal Summary'!C142,PPvsREal!$D:$D)</f>
        <v>1740</v>
      </c>
      <c r="E142" s="53">
        <f>SUMIF(PPvsREal!$C:$C,'PPvsREal Summary'!C142,PPvsREal!$E:$E)</f>
        <v>0</v>
      </c>
      <c r="F142" s="53">
        <f>SUMIF(PPvsREal!$C:$C,'PPvsREal Summary'!C142,PPvsREal!$F:$F)</f>
        <v>1740</v>
      </c>
      <c r="G142" s="53">
        <f>SUMIF(PPvsREal!$C:$C,'PPvsREal Summary'!C142,PPvsREal!$G:$G)</f>
        <v>0</v>
      </c>
      <c r="H142" s="53">
        <f>SUMIF(PPvsREal!$C:$C,'PPvsREal Summary'!C142,PPvsREal!$H:$H)</f>
        <v>1740</v>
      </c>
      <c r="I142" s="53">
        <f>SUMIF(PPvsREal!$C:$C,'PPvsREal Summary'!C142,PPvsREal!$I:$I)</f>
        <v>0</v>
      </c>
      <c r="J142" s="53">
        <f>SUMIF(PPvsREal!$C:$C,'PPvsREal Summary'!C142,PPvsREal!$J:$J)</f>
        <v>1740</v>
      </c>
      <c r="K142" s="53">
        <f>SUMIF(PPvsREal!$C:$C,'PPvsREal Summary'!C142,PPvsREal!$K:$K)</f>
        <v>0</v>
      </c>
      <c r="L142" s="53">
        <f>SUMIF(PPvsREal!$C:$C,'PPvsREal Summary'!C142,PPvsREal!$L:$L)</f>
        <v>1740</v>
      </c>
      <c r="M142" s="53">
        <f>SUMIF(PPvsREal!$C:$C,'PPvsREal Summary'!C142,PPvsREal!$M:$M)</f>
        <v>0</v>
      </c>
      <c r="N142" s="53">
        <f>SUMIF(PPvsREal!$C:$C,'PPvsREal Summary'!C142,PPvsREal!$N:$N)</f>
        <v>1740</v>
      </c>
      <c r="O142" s="53">
        <f>SUMIF(PPvsREal!$C:$C,'PPvsREal Summary'!C142,PPvsREal!$O:$O)</f>
        <v>0</v>
      </c>
      <c r="P142" s="53">
        <f>SUMIF(PPvsREal!$C:$C,'PPvsREal Summary'!C142,PPvsREal!$P:$P)</f>
        <v>1740</v>
      </c>
      <c r="Q142" s="53">
        <f>SUMIF(PPvsREal!$C:$C,'PPvsREal Summary'!C142,PPvsREal!$Q:$Q)</f>
        <v>0</v>
      </c>
      <c r="R142" s="53">
        <f>SUMIF(PPvsREal!$C:$C,'PPvsREal Summary'!C142,PPvsREal!$R:$R)</f>
        <v>1740</v>
      </c>
      <c r="S142" s="53">
        <f>SUMIF(PPvsREal!$C:$C,'PPvsREal Summary'!C142,PPvsREal!$S:$S)</f>
        <v>0</v>
      </c>
      <c r="T142" s="53">
        <f>SUMIF(PPvsREal!$C:$C,'PPvsREal Summary'!C142,PPvsREal!$T:$T)</f>
        <v>1740</v>
      </c>
      <c r="U142" s="53">
        <f>SUMIF(PPvsREal!$C:$C,'PPvsREal Summary'!C142,PPvsREal!$U:$U)</f>
        <v>0</v>
      </c>
      <c r="V142" s="53">
        <f>SUMIF(PPvsREal!$C:$C,'PPvsREal Summary'!C142,PPvsREal!$V:$V)</f>
        <v>1740</v>
      </c>
      <c r="W142" s="53">
        <f>SUMIF(PPvsREal!$C:$C,'PPvsREal Summary'!C142,PPvsREal!$W:$W)</f>
        <v>0</v>
      </c>
      <c r="X142" s="53">
        <f>SUMIF(PPvsREal!$C:$C,'PPvsREal Summary'!C142,PPvsREal!$X:$X)</f>
        <v>1740</v>
      </c>
      <c r="Y142" s="53">
        <f>SUMIF(PPvsREal!$C:$C,'PPvsREal Summary'!C142,PPvsREal!$Y:$Y)</f>
        <v>0</v>
      </c>
      <c r="Z142" s="53">
        <f>SUMIF(PPvsREal!$C:$C,'PPvsREal Summary'!C142,PPvsREal!$Z:$Z)</f>
        <v>1740</v>
      </c>
      <c r="AA142" s="76">
        <f>SUMIF(PPvsREal!$C:$C,'PPvsREal Summary'!C142,PPvsREal!$AA:$AA)</f>
        <v>0</v>
      </c>
      <c r="AB142" s="53"/>
      <c r="AC142" s="64">
        <f t="shared" si="43"/>
        <v>12180</v>
      </c>
      <c r="AD142" s="64">
        <f t="shared" si="44"/>
        <v>0</v>
      </c>
    </row>
    <row r="143" spans="2:30" ht="12.75" customHeight="1" x14ac:dyDescent="0.25">
      <c r="B143" s="80" t="s">
        <v>237</v>
      </c>
      <c r="C143" s="37" t="s">
        <v>254</v>
      </c>
      <c r="D143" s="45">
        <f>SUMIF(PPvsREal!$C:$C,'PPvsREal Summary'!C143,PPvsREal!$D:$D)</f>
        <v>0</v>
      </c>
      <c r="E143" s="53">
        <f>SUMIF(PPvsREal!$C:$C,'PPvsREal Summary'!C143,PPvsREal!$E:$E)</f>
        <v>0</v>
      </c>
      <c r="F143" s="53">
        <f>SUMIF(PPvsREal!$C:$C,'PPvsREal Summary'!C143,PPvsREal!$F:$F)</f>
        <v>28000</v>
      </c>
      <c r="G143" s="53">
        <f>SUMIF(PPvsREal!$C:$C,'PPvsREal Summary'!C143,PPvsREal!$G:$G)</f>
        <v>21444.52</v>
      </c>
      <c r="H143" s="53">
        <f>SUMIF(PPvsREal!$C:$C,'PPvsREal Summary'!C143,PPvsREal!$H:$H)</f>
        <v>0</v>
      </c>
      <c r="I143" s="53">
        <f>SUMIF(PPvsREal!$C:$C,'PPvsREal Summary'!C143,PPvsREal!$I:$I)</f>
        <v>4256.22</v>
      </c>
      <c r="J143" s="53">
        <f>SUMIF(PPvsREal!$C:$C,'PPvsREal Summary'!C143,PPvsREal!$J:$J)</f>
        <v>16000</v>
      </c>
      <c r="K143" s="53">
        <f>SUMIF(PPvsREal!$C:$C,'PPvsREal Summary'!C143,PPvsREal!$K:$K)</f>
        <v>2102.0700000000002</v>
      </c>
      <c r="L143" s="53">
        <f>SUMIF(PPvsREal!$C:$C,'PPvsREal Summary'!C143,PPvsREal!$L:$L)</f>
        <v>0</v>
      </c>
      <c r="M143" s="53">
        <f>SUMIF(PPvsREal!$C:$C,'PPvsREal Summary'!C143,PPvsREal!$M:$M)</f>
        <v>0</v>
      </c>
      <c r="N143" s="53">
        <f>SUMIF(PPvsREal!$C:$C,'PPvsREal Summary'!C143,PPvsREal!$N:$N)</f>
        <v>0</v>
      </c>
      <c r="O143" s="53">
        <f>SUMIF(PPvsREal!$C:$C,'PPvsREal Summary'!C143,PPvsREal!$O:$O)</f>
        <v>1425</v>
      </c>
      <c r="P143" s="53">
        <f>SUMIF(PPvsREal!$C:$C,'PPvsREal Summary'!C143,PPvsREal!$P:$P)</f>
        <v>16000</v>
      </c>
      <c r="Q143" s="53">
        <f>SUMIF(PPvsREal!$C:$C,'PPvsREal Summary'!C143,PPvsREal!$Q:$Q)</f>
        <v>7995</v>
      </c>
      <c r="R143" s="53">
        <f>SUMIF(PPvsREal!$C:$C,'PPvsREal Summary'!C143,PPvsREal!$R:$R)</f>
        <v>0</v>
      </c>
      <c r="S143" s="53">
        <f>SUMIF(PPvsREal!$C:$C,'PPvsREal Summary'!C143,PPvsREal!$S:$S)</f>
        <v>0</v>
      </c>
      <c r="T143" s="53">
        <f>SUMIF(PPvsREal!$C:$C,'PPvsREal Summary'!C143,PPvsREal!$T:$T)</f>
        <v>0</v>
      </c>
      <c r="U143" s="53">
        <f>SUMIF(PPvsREal!$C:$C,'PPvsREal Summary'!C143,PPvsREal!$U:$U)</f>
        <v>0</v>
      </c>
      <c r="V143" s="53">
        <f>SUMIF(PPvsREal!$C:$C,'PPvsREal Summary'!C143,PPvsREal!$V:$V)</f>
        <v>16000</v>
      </c>
      <c r="W143" s="53">
        <f>SUMIF(PPvsREal!$C:$C,'PPvsREal Summary'!C143,PPvsREal!$W:$W)</f>
        <v>0</v>
      </c>
      <c r="X143" s="53">
        <f>SUMIF(PPvsREal!$C:$C,'PPvsREal Summary'!C143,PPvsREal!$X:$X)</f>
        <v>0</v>
      </c>
      <c r="Y143" s="53">
        <f>SUMIF(PPvsREal!$C:$C,'PPvsREal Summary'!C143,PPvsREal!$Y:$Y)</f>
        <v>0</v>
      </c>
      <c r="Z143" s="53">
        <f>SUMIF(PPvsREal!$C:$C,'PPvsREal Summary'!C143,PPvsREal!$Z:$Z)</f>
        <v>0</v>
      </c>
      <c r="AA143" s="76">
        <f>SUMIF(PPvsREal!$C:$C,'PPvsREal Summary'!C143,PPvsREal!$AA:$AA)</f>
        <v>0</v>
      </c>
      <c r="AB143" s="53"/>
      <c r="AC143" s="64">
        <f t="shared" si="43"/>
        <v>60000</v>
      </c>
      <c r="AD143" s="64">
        <f t="shared" si="44"/>
        <v>37222.81</v>
      </c>
    </row>
    <row r="144" spans="2:30" ht="12.75" customHeight="1" x14ac:dyDescent="0.25">
      <c r="B144" s="80" t="s">
        <v>237</v>
      </c>
      <c r="C144" s="37" t="s">
        <v>214</v>
      </c>
      <c r="D144" s="45">
        <f>SUMIF(PPvsREal!$C:$C,'PPvsREal Summary'!C144,PPvsREal!$D:$D)</f>
        <v>0</v>
      </c>
      <c r="E144" s="53">
        <f>SUMIF(PPvsREal!$C:$C,'PPvsREal Summary'!C144,PPvsREal!$E:$E)</f>
        <v>0</v>
      </c>
      <c r="F144" s="53">
        <f>SUMIF(PPvsREal!$C:$C,'PPvsREal Summary'!C144,PPvsREal!$F:$F)</f>
        <v>0</v>
      </c>
      <c r="G144" s="53">
        <f>SUMIF(PPvsREal!$C:$C,'PPvsREal Summary'!C144,PPvsREal!$G:$G)</f>
        <v>0</v>
      </c>
      <c r="H144" s="53">
        <f>SUMIF(PPvsREal!$C:$C,'PPvsREal Summary'!C144,PPvsREal!$H:$H)</f>
        <v>6750</v>
      </c>
      <c r="I144" s="53">
        <f>SUMIF(PPvsREal!$C:$C,'PPvsREal Summary'!C144,PPvsREal!$I:$I)</f>
        <v>0</v>
      </c>
      <c r="J144" s="53">
        <f>SUMIF(PPvsREal!$C:$C,'PPvsREal Summary'!C144,PPvsREal!$J:$J)</f>
        <v>0</v>
      </c>
      <c r="K144" s="53">
        <f>SUMIF(PPvsREal!$C:$C,'PPvsREal Summary'!C144,PPvsREal!$K:$K)</f>
        <v>0</v>
      </c>
      <c r="L144" s="53">
        <f>SUMIF(PPvsREal!$C:$C,'PPvsREal Summary'!C144,PPvsREal!$L:$L)</f>
        <v>0</v>
      </c>
      <c r="M144" s="53">
        <f>SUMIF(PPvsREal!$C:$C,'PPvsREal Summary'!C144,PPvsREal!$M:$M)</f>
        <v>0</v>
      </c>
      <c r="N144" s="53">
        <f>SUMIF(PPvsREal!$C:$C,'PPvsREal Summary'!C144,PPvsREal!$N:$N)</f>
        <v>0</v>
      </c>
      <c r="O144" s="53">
        <f>SUMIF(PPvsREal!$C:$C,'PPvsREal Summary'!C144,PPvsREal!$O:$O)</f>
        <v>0</v>
      </c>
      <c r="P144" s="53">
        <f>SUMIF(PPvsREal!$C:$C,'PPvsREal Summary'!C144,PPvsREal!$P:$P)</f>
        <v>0</v>
      </c>
      <c r="Q144" s="53">
        <f>SUMIF(PPvsREal!$C:$C,'PPvsREal Summary'!C144,PPvsREal!$Q:$Q)</f>
        <v>0</v>
      </c>
      <c r="R144" s="53">
        <f>SUMIF(PPvsREal!$C:$C,'PPvsREal Summary'!C144,PPvsREal!$R:$R)</f>
        <v>0</v>
      </c>
      <c r="S144" s="53">
        <f>SUMIF(PPvsREal!$C:$C,'PPvsREal Summary'!C144,PPvsREal!$S:$S)</f>
        <v>0</v>
      </c>
      <c r="T144" s="53">
        <f>SUMIF(PPvsREal!$C:$C,'PPvsREal Summary'!C144,PPvsREal!$T:$T)</f>
        <v>6750</v>
      </c>
      <c r="U144" s="53">
        <f>SUMIF(PPvsREal!$C:$C,'PPvsREal Summary'!C144,PPvsREal!$U:$U)</f>
        <v>0</v>
      </c>
      <c r="V144" s="53">
        <f>SUMIF(PPvsREal!$C:$C,'PPvsREal Summary'!C144,PPvsREal!$V:$V)</f>
        <v>0</v>
      </c>
      <c r="W144" s="53">
        <f>SUMIF(PPvsREal!$C:$C,'PPvsREal Summary'!C144,PPvsREal!$W:$W)</f>
        <v>0</v>
      </c>
      <c r="X144" s="53">
        <f>SUMIF(PPvsREal!$C:$C,'PPvsREal Summary'!C144,PPvsREal!$X:$X)</f>
        <v>0</v>
      </c>
      <c r="Y144" s="53">
        <f>SUMIF(PPvsREal!$C:$C,'PPvsREal Summary'!C144,PPvsREal!$Y:$Y)</f>
        <v>0</v>
      </c>
      <c r="Z144" s="53">
        <f>SUMIF(PPvsREal!$C:$C,'PPvsREal Summary'!C144,PPvsREal!$Z:$Z)</f>
        <v>0</v>
      </c>
      <c r="AA144" s="76">
        <f>SUMIF(PPvsREal!$C:$C,'PPvsREal Summary'!C144,PPvsREal!$AA:$AA)</f>
        <v>0</v>
      </c>
      <c r="AB144" s="53"/>
      <c r="AC144" s="64">
        <f t="shared" si="43"/>
        <v>6750</v>
      </c>
      <c r="AD144" s="64">
        <f t="shared" si="44"/>
        <v>0</v>
      </c>
    </row>
    <row r="145" spans="2:30" ht="12.75" customHeight="1" x14ac:dyDescent="0.25">
      <c r="B145" s="80" t="s">
        <v>237</v>
      </c>
      <c r="C145" s="37" t="s">
        <v>231</v>
      </c>
      <c r="D145" s="45">
        <f>SUMIF(PPvsREal!$C:$C,'PPvsREal Summary'!C145,PPvsREal!$D:$D)</f>
        <v>0</v>
      </c>
      <c r="E145" s="53">
        <f>SUMIF(PPvsREal!$C:$C,'PPvsREal Summary'!C145,PPvsREal!$E:$E)</f>
        <v>0</v>
      </c>
      <c r="F145" s="53">
        <f>SUMIF(PPvsREal!$C:$C,'PPvsREal Summary'!C145,PPvsREal!$F:$F)</f>
        <v>0</v>
      </c>
      <c r="G145" s="53">
        <f>SUMIF(PPvsREal!$C:$C,'PPvsREal Summary'!C145,PPvsREal!$G:$G)</f>
        <v>0</v>
      </c>
      <c r="H145" s="53">
        <f>SUMIF(PPvsREal!$C:$C,'PPvsREal Summary'!C145,PPvsREal!$H:$H)</f>
        <v>0</v>
      </c>
      <c r="I145" s="53">
        <f>SUMIF(PPvsREal!$C:$C,'PPvsREal Summary'!C145,PPvsREal!$I:$I)</f>
        <v>0</v>
      </c>
      <c r="J145" s="53">
        <f>SUMIF(PPvsREal!$C:$C,'PPvsREal Summary'!C145,PPvsREal!$J:$J)</f>
        <v>0</v>
      </c>
      <c r="K145" s="53">
        <f>SUMIF(PPvsREal!$C:$C,'PPvsREal Summary'!C145,PPvsREal!$K:$K)</f>
        <v>0</v>
      </c>
      <c r="L145" s="53">
        <f>SUMIF(PPvsREal!$C:$C,'PPvsREal Summary'!C145,PPvsREal!$L:$L)</f>
        <v>0</v>
      </c>
      <c r="M145" s="53">
        <f>SUMIF(PPvsREal!$C:$C,'PPvsREal Summary'!C145,PPvsREal!$M:$M)</f>
        <v>0</v>
      </c>
      <c r="N145" s="53">
        <f>SUMIF(PPvsREal!$C:$C,'PPvsREal Summary'!C145,PPvsREal!$N:$N)</f>
        <v>0</v>
      </c>
      <c r="O145" s="53">
        <f>SUMIF(PPvsREal!$C:$C,'PPvsREal Summary'!C145,PPvsREal!$O:$O)</f>
        <v>0</v>
      </c>
      <c r="P145" s="53">
        <f>SUMIF(PPvsREal!$C:$C,'PPvsREal Summary'!C145,PPvsREal!$P:$P)</f>
        <v>0</v>
      </c>
      <c r="Q145" s="53">
        <f>SUMIF(PPvsREal!$C:$C,'PPvsREal Summary'!C145,PPvsREal!$Q:$Q)</f>
        <v>0</v>
      </c>
      <c r="R145" s="53">
        <f>SUMIF(PPvsREal!$C:$C,'PPvsREal Summary'!C145,PPvsREal!$R:$R)</f>
        <v>0</v>
      </c>
      <c r="S145" s="53">
        <f>SUMIF(PPvsREal!$C:$C,'PPvsREal Summary'!C145,PPvsREal!$S:$S)</f>
        <v>0</v>
      </c>
      <c r="T145" s="53">
        <f>SUMIF(PPvsREal!$C:$C,'PPvsREal Summary'!C145,PPvsREal!$T:$T)</f>
        <v>0</v>
      </c>
      <c r="U145" s="53">
        <f>SUMIF(PPvsREal!$C:$C,'PPvsREal Summary'!C145,PPvsREal!$U:$U)</f>
        <v>0</v>
      </c>
      <c r="V145" s="53">
        <f>SUMIF(PPvsREal!$C:$C,'PPvsREal Summary'!C145,PPvsREal!$V:$V)</f>
        <v>0</v>
      </c>
      <c r="W145" s="53">
        <f>SUMIF(PPvsREal!$C:$C,'PPvsREal Summary'!C145,PPvsREal!$W:$W)</f>
        <v>0</v>
      </c>
      <c r="X145" s="53">
        <f>SUMIF(PPvsREal!$C:$C,'PPvsREal Summary'!C145,PPvsREal!$X:$X)</f>
        <v>0</v>
      </c>
      <c r="Y145" s="53">
        <f>SUMIF(PPvsREal!$C:$C,'PPvsREal Summary'!C145,PPvsREal!$Y:$Y)</f>
        <v>0</v>
      </c>
      <c r="Z145" s="53">
        <f>SUMIF(PPvsREal!$C:$C,'PPvsREal Summary'!C145,PPvsREal!$Z:$Z)</f>
        <v>0</v>
      </c>
      <c r="AA145" s="76">
        <f>SUMIF(PPvsREal!$C:$C,'PPvsREal Summary'!C145,PPvsREal!$AA:$AA)</f>
        <v>0</v>
      </c>
      <c r="AB145" s="53"/>
      <c r="AC145" s="64">
        <f t="shared" si="43"/>
        <v>0</v>
      </c>
      <c r="AD145" s="64">
        <f t="shared" si="44"/>
        <v>0</v>
      </c>
    </row>
    <row r="146" spans="2:30" ht="12.75" customHeight="1" x14ac:dyDescent="0.25">
      <c r="B146" s="80" t="s">
        <v>237</v>
      </c>
      <c r="C146" s="37" t="s">
        <v>233</v>
      </c>
      <c r="D146" s="45">
        <f>SUMIF(PPvsREal!$C:$C,'PPvsREal Summary'!C146,PPvsREal!$D:$D)</f>
        <v>3750</v>
      </c>
      <c r="E146" s="53">
        <f>SUMIF(PPvsREal!$C:$C,'PPvsREal Summary'!C146,PPvsREal!$E:$E)</f>
        <v>6394.13</v>
      </c>
      <c r="F146" s="53">
        <f>SUMIF(PPvsREal!$C:$C,'PPvsREal Summary'!C146,PPvsREal!$F:$F)</f>
        <v>3750</v>
      </c>
      <c r="G146" s="53">
        <f>SUMIF(PPvsREal!$C:$C,'PPvsREal Summary'!C146,PPvsREal!$G:$G)</f>
        <v>1455.07</v>
      </c>
      <c r="H146" s="53">
        <f>SUMIF(PPvsREal!$C:$C,'PPvsREal Summary'!C146,PPvsREal!$H:$H)</f>
        <v>3750</v>
      </c>
      <c r="I146" s="53">
        <f>SUMIF(PPvsREal!$C:$C,'PPvsREal Summary'!C146,PPvsREal!$I:$I)</f>
        <v>1405.74</v>
      </c>
      <c r="J146" s="53">
        <f>SUMIF(PPvsREal!$C:$C,'PPvsREal Summary'!C146,PPvsREal!$J:$J)</f>
        <v>3750</v>
      </c>
      <c r="K146" s="53">
        <f>SUMIF(PPvsREal!$C:$C,'PPvsREal Summary'!C146,PPvsREal!$K:$K)</f>
        <v>3853.96</v>
      </c>
      <c r="L146" s="53">
        <f>SUMIF(PPvsREal!$C:$C,'PPvsREal Summary'!C146,PPvsREal!$L:$L)</f>
        <v>3750</v>
      </c>
      <c r="M146" s="53">
        <f>SUMIF(PPvsREal!$C:$C,'PPvsREal Summary'!C146,PPvsREal!$M:$M)</f>
        <v>3054.68</v>
      </c>
      <c r="N146" s="53">
        <f>SUMIF(PPvsREal!$C:$C,'PPvsREal Summary'!C146,PPvsREal!$N:$N)</f>
        <v>3750</v>
      </c>
      <c r="O146" s="53">
        <f>SUMIF(PPvsREal!$C:$C,'PPvsREal Summary'!C146,PPvsREal!$O:$O)</f>
        <v>6965.99</v>
      </c>
      <c r="P146" s="53">
        <f>SUMIF(PPvsREal!$C:$C,'PPvsREal Summary'!C146,PPvsREal!$P:$P)</f>
        <v>3750</v>
      </c>
      <c r="Q146" s="53">
        <f>SUMIF(PPvsREal!$C:$C,'PPvsREal Summary'!C146,PPvsREal!$Q:$Q)</f>
        <v>3326.66</v>
      </c>
      <c r="R146" s="53">
        <f>SUMIF(PPvsREal!$C:$C,'PPvsREal Summary'!C146,PPvsREal!$R:$R)</f>
        <v>3750</v>
      </c>
      <c r="S146" s="53">
        <f>SUMIF(PPvsREal!$C:$C,'PPvsREal Summary'!C146,PPvsREal!$S:$S)</f>
        <v>0</v>
      </c>
      <c r="T146" s="53">
        <f>SUMIF(PPvsREal!$C:$C,'PPvsREal Summary'!C146,PPvsREal!$T:$T)</f>
        <v>3750</v>
      </c>
      <c r="U146" s="53">
        <f>SUMIF(PPvsREal!$C:$C,'PPvsREal Summary'!C146,PPvsREal!$U:$U)</f>
        <v>0</v>
      </c>
      <c r="V146" s="53">
        <f>SUMIF(PPvsREal!$C:$C,'PPvsREal Summary'!C146,PPvsREal!$V:$V)</f>
        <v>3750</v>
      </c>
      <c r="W146" s="53">
        <f>SUMIF(PPvsREal!$C:$C,'PPvsREal Summary'!C146,PPvsREal!$W:$W)</f>
        <v>0</v>
      </c>
      <c r="X146" s="53">
        <f>SUMIF(PPvsREal!$C:$C,'PPvsREal Summary'!C146,PPvsREal!$X:$X)</f>
        <v>3750</v>
      </c>
      <c r="Y146" s="53">
        <f>SUMIF(PPvsREal!$C:$C,'PPvsREal Summary'!C146,PPvsREal!$Y:$Y)</f>
        <v>0</v>
      </c>
      <c r="Z146" s="53">
        <f>SUMIF(PPvsREal!$C:$C,'PPvsREal Summary'!C146,PPvsREal!$Z:$Z)</f>
        <v>3750</v>
      </c>
      <c r="AA146" s="76">
        <f>SUMIF(PPvsREal!$C:$C,'PPvsREal Summary'!C146,PPvsREal!$AA:$AA)</f>
        <v>0</v>
      </c>
      <c r="AB146" s="53"/>
      <c r="AC146" s="64">
        <f t="shared" si="43"/>
        <v>26250</v>
      </c>
      <c r="AD146" s="64">
        <f t="shared" si="44"/>
        <v>26456.23</v>
      </c>
    </row>
    <row r="147" spans="2:30" ht="12.75" customHeight="1" x14ac:dyDescent="0.25">
      <c r="B147" s="80" t="s">
        <v>237</v>
      </c>
      <c r="C147" s="37" t="s">
        <v>286</v>
      </c>
      <c r="D147" s="45">
        <f>SUMIF(PPvsREal!$C:$C,'PPvsREal Summary'!C147,PPvsREal!$D:$D)</f>
        <v>7583.33</v>
      </c>
      <c r="E147" s="53">
        <f>SUMIF(PPvsREal!$C:$C,'PPvsREal Summary'!C147,PPvsREal!$E:$E)</f>
        <v>6300.83</v>
      </c>
      <c r="F147" s="53">
        <f>SUMIF(PPvsREal!$C:$C,'PPvsREal Summary'!C147,PPvsREal!$F:$F)</f>
        <v>7583.33</v>
      </c>
      <c r="G147" s="53">
        <f>SUMIF(PPvsREal!$C:$C,'PPvsREal Summary'!C147,PPvsREal!$G:$G)</f>
        <v>4300.6499999999996</v>
      </c>
      <c r="H147" s="53">
        <f>SUMIF(PPvsREal!$C:$C,'PPvsREal Summary'!C147,PPvsREal!$H:$H)</f>
        <v>7583.33</v>
      </c>
      <c r="I147" s="53">
        <f>SUMIF(PPvsREal!$C:$C,'PPvsREal Summary'!C147,PPvsREal!$I:$I)</f>
        <v>5488.08</v>
      </c>
      <c r="J147" s="53">
        <f>SUMIF(PPvsREal!$C:$C,'PPvsREal Summary'!C147,PPvsREal!$J:$J)</f>
        <v>7583.33</v>
      </c>
      <c r="K147" s="53">
        <f>SUMIF(PPvsREal!$C:$C,'PPvsREal Summary'!C147,PPvsREal!$K:$K)</f>
        <v>8205.68</v>
      </c>
      <c r="L147" s="53">
        <f>SUMIF(PPvsREal!$C:$C,'PPvsREal Summary'!C147,PPvsREal!$L:$L)</f>
        <v>7583.33</v>
      </c>
      <c r="M147" s="53">
        <f>SUMIF(PPvsREal!$C:$C,'PPvsREal Summary'!C147,PPvsREal!$M:$M)</f>
        <v>4527.8900000000003</v>
      </c>
      <c r="N147" s="53">
        <f>SUMIF(PPvsREal!$C:$C,'PPvsREal Summary'!C147,PPvsREal!$N:$N)</f>
        <v>7583.33</v>
      </c>
      <c r="O147" s="53">
        <f>SUMIF(PPvsREal!$C:$C,'PPvsREal Summary'!C147,PPvsREal!$O:$O)</f>
        <v>4660.03</v>
      </c>
      <c r="P147" s="53">
        <f>SUMIF(PPvsREal!$C:$C,'PPvsREal Summary'!C147,PPvsREal!$P:$P)</f>
        <v>7583.33</v>
      </c>
      <c r="Q147" s="53">
        <f>SUMIF(PPvsREal!$C:$C,'PPvsREal Summary'!C147,PPvsREal!$Q:$Q)</f>
        <v>5873.59</v>
      </c>
      <c r="R147" s="53">
        <f>SUMIF(PPvsREal!$C:$C,'PPvsREal Summary'!C147,PPvsREal!$R:$R)</f>
        <v>7583.33</v>
      </c>
      <c r="S147" s="53">
        <f>SUMIF(PPvsREal!$C:$C,'PPvsREal Summary'!C147,PPvsREal!$S:$S)</f>
        <v>0</v>
      </c>
      <c r="T147" s="53">
        <f>SUMIF(PPvsREal!$C:$C,'PPvsREal Summary'!C147,PPvsREal!$T:$T)</f>
        <v>7583.33</v>
      </c>
      <c r="U147" s="53">
        <f>SUMIF(PPvsREal!$C:$C,'PPvsREal Summary'!C147,PPvsREal!$U:$U)</f>
        <v>0</v>
      </c>
      <c r="V147" s="53">
        <f>SUMIF(PPvsREal!$C:$C,'PPvsREal Summary'!C147,PPvsREal!$V:$V)</f>
        <v>7583.33</v>
      </c>
      <c r="W147" s="53">
        <f>SUMIF(PPvsREal!$C:$C,'PPvsREal Summary'!C147,PPvsREal!$W:$W)</f>
        <v>0</v>
      </c>
      <c r="X147" s="53">
        <f>SUMIF(PPvsREal!$C:$C,'PPvsREal Summary'!C147,PPvsREal!$X:$X)</f>
        <v>7583.33</v>
      </c>
      <c r="Y147" s="53">
        <f>SUMIF(PPvsREal!$C:$C,'PPvsREal Summary'!C147,PPvsREal!$Y:$Y)</f>
        <v>0</v>
      </c>
      <c r="Z147" s="53">
        <f>SUMIF(PPvsREal!$C:$C,'PPvsREal Summary'!C147,PPvsREal!$Z:$Z)</f>
        <v>7583.33</v>
      </c>
      <c r="AA147" s="76">
        <f>SUMIF(PPvsREal!$C:$C,'PPvsREal Summary'!C147,PPvsREal!$AA:$AA)</f>
        <v>0</v>
      </c>
      <c r="AB147" s="53"/>
      <c r="AC147" s="64">
        <f t="shared" si="43"/>
        <v>53083.310000000005</v>
      </c>
      <c r="AD147" s="64">
        <f t="shared" si="44"/>
        <v>39356.75</v>
      </c>
    </row>
    <row r="148" spans="2:30" ht="12.75" customHeight="1" x14ac:dyDescent="0.25">
      <c r="B148" s="80" t="s">
        <v>237</v>
      </c>
      <c r="C148" s="37" t="s">
        <v>284</v>
      </c>
      <c r="D148" s="45">
        <f>SUMIF(PPvsREal!$C:$C,'PPvsREal Summary'!C148,PPvsREal!$D:$D)</f>
        <v>0</v>
      </c>
      <c r="E148" s="53">
        <f>SUMIF(PPvsREal!$C:$C,'PPvsREal Summary'!C148,PPvsREal!$E:$E)</f>
        <v>0</v>
      </c>
      <c r="F148" s="53">
        <f>SUMIF(PPvsREal!$C:$C,'PPvsREal Summary'!C148,PPvsREal!$F:$F)</f>
        <v>0</v>
      </c>
      <c r="G148" s="53">
        <f>SUMIF(PPvsREal!$C:$C,'PPvsREal Summary'!C148,PPvsREal!$G:$G)</f>
        <v>0</v>
      </c>
      <c r="H148" s="53">
        <f>SUMIF(PPvsREal!$C:$C,'PPvsREal Summary'!C148,PPvsREal!$H:$H)</f>
        <v>0</v>
      </c>
      <c r="I148" s="53">
        <f>SUMIF(PPvsREal!$C:$C,'PPvsREal Summary'!C148,PPvsREal!$I:$I)</f>
        <v>0</v>
      </c>
      <c r="J148" s="53">
        <f>SUMIF(PPvsREal!$C:$C,'PPvsREal Summary'!C148,PPvsREal!$J:$J)</f>
        <v>0</v>
      </c>
      <c r="K148" s="53">
        <f>SUMIF(PPvsREal!$C:$C,'PPvsREal Summary'!C148,PPvsREal!$K:$K)</f>
        <v>0</v>
      </c>
      <c r="L148" s="53">
        <f>SUMIF(PPvsREal!$C:$C,'PPvsREal Summary'!C148,PPvsREal!$L:$L)</f>
        <v>0</v>
      </c>
      <c r="M148" s="53">
        <f>SUMIF(PPvsREal!$C:$C,'PPvsREal Summary'!C148,PPvsREal!$M:$M)</f>
        <v>0</v>
      </c>
      <c r="N148" s="53">
        <f>SUMIF(PPvsREal!$C:$C,'PPvsREal Summary'!C148,PPvsREal!$N:$N)</f>
        <v>0</v>
      </c>
      <c r="O148" s="53">
        <f>SUMIF(PPvsREal!$C:$C,'PPvsREal Summary'!C148,PPvsREal!$O:$O)</f>
        <v>0</v>
      </c>
      <c r="P148" s="53">
        <f>SUMIF(PPvsREal!$C:$C,'PPvsREal Summary'!C148,PPvsREal!$P:$P)</f>
        <v>0</v>
      </c>
      <c r="Q148" s="53">
        <f>SUMIF(PPvsREal!$C:$C,'PPvsREal Summary'!C148,PPvsREal!$Q:$Q)</f>
        <v>0</v>
      </c>
      <c r="R148" s="53">
        <f>SUMIF(PPvsREal!$C:$C,'PPvsREal Summary'!C148,PPvsREal!$R:$R)</f>
        <v>0</v>
      </c>
      <c r="S148" s="53">
        <f>SUMIF(PPvsREal!$C:$C,'PPvsREal Summary'!C148,PPvsREal!$S:$S)</f>
        <v>0</v>
      </c>
      <c r="T148" s="53">
        <f>SUMIF(PPvsREal!$C:$C,'PPvsREal Summary'!C148,PPvsREal!$T:$T)</f>
        <v>0</v>
      </c>
      <c r="U148" s="53">
        <f>SUMIF(PPvsREal!$C:$C,'PPvsREal Summary'!C148,PPvsREal!$U:$U)</f>
        <v>0</v>
      </c>
      <c r="V148" s="53">
        <f>SUMIF(PPvsREal!$C:$C,'PPvsREal Summary'!C148,PPvsREal!$V:$V)</f>
        <v>0</v>
      </c>
      <c r="W148" s="53">
        <f>SUMIF(PPvsREal!$C:$C,'PPvsREal Summary'!C148,PPvsREal!$W:$W)</f>
        <v>0</v>
      </c>
      <c r="X148" s="53">
        <f>SUMIF(PPvsREal!$C:$C,'PPvsREal Summary'!C148,PPvsREal!$X:$X)</f>
        <v>17750</v>
      </c>
      <c r="Y148" s="53">
        <f>SUMIF(PPvsREal!$C:$C,'PPvsREal Summary'!C148,PPvsREal!$Y:$Y)</f>
        <v>0</v>
      </c>
      <c r="Z148" s="53">
        <f>SUMIF(PPvsREal!$C:$C,'PPvsREal Summary'!C148,PPvsREal!$Z:$Z)</f>
        <v>17750</v>
      </c>
      <c r="AA148" s="76">
        <f>SUMIF(PPvsREal!$C:$C,'PPvsREal Summary'!C148,PPvsREal!$AA:$AA)</f>
        <v>0</v>
      </c>
      <c r="AB148" s="53"/>
      <c r="AC148" s="64">
        <f t="shared" si="43"/>
        <v>0</v>
      </c>
      <c r="AD148" s="64">
        <f t="shared" si="44"/>
        <v>0</v>
      </c>
    </row>
    <row r="149" spans="2:30" ht="12.75" customHeight="1" x14ac:dyDescent="0.25">
      <c r="B149" s="80" t="s">
        <v>237</v>
      </c>
      <c r="C149" s="37" t="s">
        <v>288</v>
      </c>
      <c r="D149" s="45">
        <f>SUMIF(PPvsREal!$C:$C,'PPvsREal Summary'!C149,PPvsREal!$D:$D)</f>
        <v>0</v>
      </c>
      <c r="E149" s="53">
        <f>SUMIF(PPvsREal!$C:$C,'PPvsREal Summary'!C149,PPvsREal!$E:$E)</f>
        <v>-0.01</v>
      </c>
      <c r="F149" s="53">
        <f>SUMIF(PPvsREal!$C:$C,'PPvsREal Summary'!C149,PPvsREal!$F:$F)</f>
        <v>0</v>
      </c>
      <c r="G149" s="53">
        <f>SUMIF(PPvsREal!$C:$C,'PPvsREal Summary'!C149,PPvsREal!$G:$G)</f>
        <v>-10.01</v>
      </c>
      <c r="H149" s="53">
        <f>SUMIF(PPvsREal!$C:$C,'PPvsREal Summary'!C149,PPvsREal!$H:$H)</f>
        <v>0</v>
      </c>
      <c r="I149" s="53">
        <f>SUMIF(PPvsREal!$C:$C,'PPvsREal Summary'!C149,PPvsREal!$I:$I)</f>
        <v>-0.01</v>
      </c>
      <c r="J149" s="53">
        <f>SUMIF(PPvsREal!$C:$C,'PPvsREal Summary'!C149,PPvsREal!$J:$J)</f>
        <v>0</v>
      </c>
      <c r="K149" s="53">
        <f>SUMIF(PPvsREal!$C:$C,'PPvsREal Summary'!C149,PPvsREal!$K:$K)</f>
        <v>0</v>
      </c>
      <c r="L149" s="53">
        <f>SUMIF(PPvsREal!$C:$C,'PPvsREal Summary'!C149,PPvsREal!$L:$L)</f>
        <v>0</v>
      </c>
      <c r="M149" s="53">
        <f>SUMIF(PPvsREal!$C:$C,'PPvsREal Summary'!C149,PPvsREal!$M:$M)</f>
        <v>-19.91</v>
      </c>
      <c r="N149" s="53">
        <f>SUMIF(PPvsREal!$C:$C,'PPvsREal Summary'!C149,PPvsREal!$N:$N)</f>
        <v>0</v>
      </c>
      <c r="O149" s="53">
        <f>SUMIF(PPvsREal!$C:$C,'PPvsREal Summary'!C149,PPvsREal!$O:$O)</f>
        <v>0.01</v>
      </c>
      <c r="P149" s="53">
        <f>SUMIF(PPvsREal!$C:$C,'PPvsREal Summary'!C149,PPvsREal!$P:$P)</f>
        <v>0</v>
      </c>
      <c r="Q149" s="53">
        <f>SUMIF(PPvsREal!$C:$C,'PPvsREal Summary'!C149,PPvsREal!$Q:$Q)</f>
        <v>0.01</v>
      </c>
      <c r="R149" s="53">
        <f>SUMIF(PPvsREal!$C:$C,'PPvsREal Summary'!C149,PPvsREal!$R:$R)</f>
        <v>0</v>
      </c>
      <c r="S149" s="53">
        <f>SUMIF(PPvsREal!$C:$C,'PPvsREal Summary'!C149,PPvsREal!$S:$S)</f>
        <v>0</v>
      </c>
      <c r="T149" s="53">
        <f>SUMIF(PPvsREal!$C:$C,'PPvsREal Summary'!C149,PPvsREal!$T:$T)</f>
        <v>0</v>
      </c>
      <c r="U149" s="53">
        <f>SUMIF(PPvsREal!$C:$C,'PPvsREal Summary'!C149,PPvsREal!$U:$U)</f>
        <v>0</v>
      </c>
      <c r="V149" s="53">
        <f>SUMIF(PPvsREal!$C:$C,'PPvsREal Summary'!C149,PPvsREal!$V:$V)</f>
        <v>0</v>
      </c>
      <c r="W149" s="53">
        <f>SUMIF(PPvsREal!$C:$C,'PPvsREal Summary'!C149,PPvsREal!$W:$W)</f>
        <v>0</v>
      </c>
      <c r="X149" s="53">
        <f>SUMIF(PPvsREal!$C:$C,'PPvsREal Summary'!C149,PPvsREal!$X:$X)</f>
        <v>0</v>
      </c>
      <c r="Y149" s="53">
        <f>SUMIF(PPvsREal!$C:$C,'PPvsREal Summary'!C149,PPvsREal!$Y:$Y)</f>
        <v>0</v>
      </c>
      <c r="Z149" s="53">
        <f>SUMIF(PPvsREal!$C:$C,'PPvsREal Summary'!C149,PPvsREal!$Z:$Z)</f>
        <v>0</v>
      </c>
      <c r="AA149" s="76">
        <f>SUMIF(PPvsREal!$C:$C,'PPvsREal Summary'!C149,PPvsREal!$AA:$AA)</f>
        <v>0</v>
      </c>
      <c r="AB149" s="53"/>
      <c r="AC149" s="64">
        <f t="shared" si="43"/>
        <v>0</v>
      </c>
      <c r="AD149" s="64">
        <f t="shared" si="44"/>
        <v>-29.919999999999995</v>
      </c>
    </row>
    <row r="150" spans="2:30" ht="12.75" customHeight="1" x14ac:dyDescent="0.25">
      <c r="B150" s="80" t="s">
        <v>237</v>
      </c>
      <c r="C150" s="37" t="s">
        <v>298</v>
      </c>
      <c r="D150" s="45">
        <f>SUMIF(PPvsREal!$C:$C,'PPvsREal Summary'!C150,PPvsREal!$D:$D)</f>
        <v>16521.036</v>
      </c>
      <c r="E150" s="53">
        <f>SUMIF(PPvsREal!$C:$C,'PPvsREal Summary'!C150,PPvsREal!$E:$E)</f>
        <v>15734.32</v>
      </c>
      <c r="F150" s="53">
        <f>SUMIF(PPvsREal!$C:$C,'PPvsREal Summary'!C150,PPvsREal!$F:$F)</f>
        <v>16521.036</v>
      </c>
      <c r="G150" s="53">
        <f>SUMIF(PPvsREal!$C:$C,'PPvsREal Summary'!C150,PPvsREal!$G:$G)</f>
        <v>15734.32</v>
      </c>
      <c r="H150" s="53">
        <f>SUMIF(PPvsREal!$C:$C,'PPvsREal Summary'!C150,PPvsREal!$H:$H)</f>
        <v>16521.036</v>
      </c>
      <c r="I150" s="53">
        <f>SUMIF(PPvsREal!$C:$C,'PPvsREal Summary'!C150,PPvsREal!$I:$I)</f>
        <v>15734.32</v>
      </c>
      <c r="J150" s="53">
        <f>SUMIF(PPvsREal!$C:$C,'PPvsREal Summary'!C150,PPvsREal!$J:$J)</f>
        <v>16521.036</v>
      </c>
      <c r="K150" s="53">
        <f>SUMIF(PPvsREal!$C:$C,'PPvsREal Summary'!C150,PPvsREal!$K:$K)</f>
        <v>15734.32</v>
      </c>
      <c r="L150" s="53">
        <f>SUMIF(PPvsREal!$C:$C,'PPvsREal Summary'!C150,PPvsREal!$L:$L)</f>
        <v>16521.036</v>
      </c>
      <c r="M150" s="53">
        <f>SUMIF(PPvsREal!$C:$C,'PPvsREal Summary'!C150,PPvsREal!$M:$M)</f>
        <v>15734.32</v>
      </c>
      <c r="N150" s="53">
        <f>SUMIF(PPvsREal!$C:$C,'PPvsREal Summary'!C150,PPvsREal!$N:$N)</f>
        <v>16521.036</v>
      </c>
      <c r="O150" s="53">
        <f>SUMIF(PPvsREal!$C:$C,'PPvsREal Summary'!C150,PPvsREal!$O:$O)</f>
        <v>15734.32</v>
      </c>
      <c r="P150" s="53">
        <f>SUMIF(PPvsREal!$C:$C,'PPvsREal Summary'!C150,PPvsREal!$P:$P)</f>
        <v>16521.036</v>
      </c>
      <c r="Q150" s="53">
        <f>SUMIF(PPvsREal!$C:$C,'PPvsREal Summary'!C150,PPvsREal!$Q:$Q)</f>
        <v>15734.32</v>
      </c>
      <c r="R150" s="53">
        <f>SUMIF(PPvsREal!$C:$C,'PPvsREal Summary'!C150,PPvsREal!$R:$R)</f>
        <v>16521.036</v>
      </c>
      <c r="S150" s="53">
        <f>SUMIF(PPvsREal!$C:$C,'PPvsREal Summary'!C150,PPvsREal!$S:$S)</f>
        <v>0</v>
      </c>
      <c r="T150" s="53">
        <f>SUMIF(PPvsREal!$C:$C,'PPvsREal Summary'!C150,PPvsREal!$T:$T)</f>
        <v>16521.036</v>
      </c>
      <c r="U150" s="53">
        <f>SUMIF(PPvsREal!$C:$C,'PPvsREal Summary'!C150,PPvsREal!$U:$U)</f>
        <v>0</v>
      </c>
      <c r="V150" s="53">
        <f>SUMIF(PPvsREal!$C:$C,'PPvsREal Summary'!C150,PPvsREal!$V:$V)</f>
        <v>16521.036</v>
      </c>
      <c r="W150" s="53">
        <f>SUMIF(PPvsREal!$C:$C,'PPvsREal Summary'!C150,PPvsREal!$W:$W)</f>
        <v>0</v>
      </c>
      <c r="X150" s="53">
        <f>SUMIF(PPvsREal!$C:$C,'PPvsREal Summary'!C150,PPvsREal!$X:$X)</f>
        <v>16521.036</v>
      </c>
      <c r="Y150" s="53">
        <f>SUMIF(PPvsREal!$C:$C,'PPvsREal Summary'!C150,PPvsREal!$Y:$Y)</f>
        <v>0</v>
      </c>
      <c r="Z150" s="53">
        <f>SUMIF(PPvsREal!$C:$C,'PPvsREal Summary'!C150,PPvsREal!$Z:$Z)</f>
        <v>16521.036</v>
      </c>
      <c r="AA150" s="76">
        <f>SUMIF(PPvsREal!$C:$C,'PPvsREal Summary'!C150,PPvsREal!$AA:$AA)</f>
        <v>0</v>
      </c>
      <c r="AB150" s="53"/>
      <c r="AC150" s="64">
        <f t="shared" si="43"/>
        <v>115647.25199999998</v>
      </c>
      <c r="AD150" s="64">
        <f t="shared" si="44"/>
        <v>110140.24000000002</v>
      </c>
    </row>
    <row r="151" spans="2:30" ht="12.75" customHeight="1" x14ac:dyDescent="0.25">
      <c r="B151" s="80" t="s">
        <v>209</v>
      </c>
      <c r="C151" s="37" t="s">
        <v>210</v>
      </c>
      <c r="D151" s="45">
        <f>SUMIF(PPvsREal!$C:$C,'PPvsREal Summary'!C151,PPvsREal!$D:$D)</f>
        <v>0</v>
      </c>
      <c r="E151" s="53">
        <f>SUMIF(PPvsREal!$C:$C,'PPvsREal Summary'!C151,PPvsREal!$E:$E)</f>
        <v>0</v>
      </c>
      <c r="F151" s="53">
        <f>SUMIF(PPvsREal!$C:$C,'PPvsREal Summary'!C151,PPvsREal!$F:$F)</f>
        <v>0</v>
      </c>
      <c r="G151" s="53">
        <f>SUMIF(PPvsREal!$C:$C,'PPvsREal Summary'!C151,PPvsREal!$G:$G)</f>
        <v>0</v>
      </c>
      <c r="H151" s="53">
        <f>SUMIF(PPvsREal!$C:$C,'PPvsREal Summary'!C151,PPvsREal!$H:$H)</f>
        <v>15000</v>
      </c>
      <c r="I151" s="53">
        <f>SUMIF(PPvsREal!$C:$C,'PPvsREal Summary'!C151,PPvsREal!$I:$I)</f>
        <v>9472.26</v>
      </c>
      <c r="J151" s="53">
        <f>SUMIF(PPvsREal!$C:$C,'PPvsREal Summary'!C151,PPvsREal!$J:$J)</f>
        <v>0</v>
      </c>
      <c r="K151" s="53">
        <f>SUMIF(PPvsREal!$C:$C,'PPvsREal Summary'!C151,PPvsREal!$K:$K)</f>
        <v>0</v>
      </c>
      <c r="L151" s="53">
        <f>SUMIF(PPvsREal!$C:$C,'PPvsREal Summary'!C151,PPvsREal!$L:$L)</f>
        <v>0</v>
      </c>
      <c r="M151" s="53">
        <f>SUMIF(PPvsREal!$C:$C,'PPvsREal Summary'!C151,PPvsREal!$M:$M)</f>
        <v>0</v>
      </c>
      <c r="N151" s="53">
        <f>SUMIF(PPvsREal!$C:$C,'PPvsREal Summary'!C151,PPvsREal!$N:$N)</f>
        <v>0</v>
      </c>
      <c r="O151" s="53">
        <f>SUMIF(PPvsREal!$C:$C,'PPvsREal Summary'!C151,PPvsREal!$O:$O)</f>
        <v>0</v>
      </c>
      <c r="P151" s="53">
        <f>SUMIF(PPvsREal!$C:$C,'PPvsREal Summary'!C151,PPvsREal!$P:$P)</f>
        <v>15000</v>
      </c>
      <c r="Q151" s="53">
        <f>SUMIF(PPvsREal!$C:$C,'PPvsREal Summary'!C151,PPvsREal!$Q:$Q)</f>
        <v>9570.15</v>
      </c>
      <c r="R151" s="53">
        <f>SUMIF(PPvsREal!$C:$C,'PPvsREal Summary'!C151,PPvsREal!$R:$R)</f>
        <v>0</v>
      </c>
      <c r="S151" s="53">
        <f>SUMIF(PPvsREal!$C:$C,'PPvsREal Summary'!C151,PPvsREal!$S:$S)</f>
        <v>0</v>
      </c>
      <c r="T151" s="53">
        <f>SUMIF(PPvsREal!$C:$C,'PPvsREal Summary'!C151,PPvsREal!$T:$T)</f>
        <v>0</v>
      </c>
      <c r="U151" s="53">
        <f>SUMIF(PPvsREal!$C:$C,'PPvsREal Summary'!C151,PPvsREal!$U:$U)</f>
        <v>0</v>
      </c>
      <c r="V151" s="53">
        <f>SUMIF(PPvsREal!$C:$C,'PPvsREal Summary'!C151,PPvsREal!$V:$V)</f>
        <v>0</v>
      </c>
      <c r="W151" s="53">
        <f>SUMIF(PPvsREal!$C:$C,'PPvsREal Summary'!C151,PPvsREal!$W:$W)</f>
        <v>0</v>
      </c>
      <c r="X151" s="53">
        <f>SUMIF(PPvsREal!$C:$C,'PPvsREal Summary'!C151,PPvsREal!$X:$X)</f>
        <v>0</v>
      </c>
      <c r="Y151" s="53">
        <f>SUMIF(PPvsREal!$C:$C,'PPvsREal Summary'!C151,PPvsREal!$Y:$Y)</f>
        <v>0</v>
      </c>
      <c r="Z151" s="53">
        <f>SUMIF(PPvsREal!$C:$C,'PPvsREal Summary'!C151,PPvsREal!$Z:$Z)</f>
        <v>0</v>
      </c>
      <c r="AA151" s="76">
        <f>SUMIF(PPvsREal!$C:$C,'PPvsREal Summary'!C151,PPvsREal!$AA:$AA)</f>
        <v>0</v>
      </c>
      <c r="AB151" s="53"/>
      <c r="AC151" s="64">
        <f t="shared" si="43"/>
        <v>30000</v>
      </c>
      <c r="AD151" s="64">
        <f t="shared" si="44"/>
        <v>19042.41</v>
      </c>
    </row>
    <row r="152" spans="2:30" ht="12.75" customHeight="1" x14ac:dyDescent="0.25">
      <c r="B152" s="77"/>
      <c r="C152" s="78">
        <v>9.01E+20</v>
      </c>
      <c r="D152" s="49">
        <f t="shared" ref="D152:AA152" si="45">SUM(D112:D151)</f>
        <v>100003.33831666666</v>
      </c>
      <c r="E152" s="49">
        <f t="shared" si="45"/>
        <v>78444.86</v>
      </c>
      <c r="F152" s="49">
        <f t="shared" si="45"/>
        <v>190770.00831666664</v>
      </c>
      <c r="G152" s="49">
        <f t="shared" si="45"/>
        <v>77792.680000000008</v>
      </c>
      <c r="H152" s="49">
        <f t="shared" si="45"/>
        <v>140033.33831666666</v>
      </c>
      <c r="I152" s="49">
        <f t="shared" si="45"/>
        <v>96390.400000000009</v>
      </c>
      <c r="J152" s="49">
        <f t="shared" si="45"/>
        <v>165370.00831666664</v>
      </c>
      <c r="K152" s="49">
        <f t="shared" si="45"/>
        <v>67046.76999999999</v>
      </c>
      <c r="L152" s="49">
        <f t="shared" si="45"/>
        <v>75703.338316666661</v>
      </c>
      <c r="M152" s="49">
        <f t="shared" si="45"/>
        <v>235317.52</v>
      </c>
      <c r="N152" s="49">
        <f t="shared" si="45"/>
        <v>118530.00831666667</v>
      </c>
      <c r="O152" s="49">
        <f t="shared" si="45"/>
        <v>179086.36000000002</v>
      </c>
      <c r="P152" s="49">
        <f t="shared" si="45"/>
        <v>132803.33831666666</v>
      </c>
      <c r="Q152" s="49">
        <f t="shared" si="45"/>
        <v>113865.60999999999</v>
      </c>
      <c r="R152" s="49">
        <f t="shared" si="45"/>
        <v>98270.008316666674</v>
      </c>
      <c r="S152" s="49">
        <f t="shared" si="45"/>
        <v>0</v>
      </c>
      <c r="T152" s="49">
        <f t="shared" si="45"/>
        <v>82453.338316666661</v>
      </c>
      <c r="U152" s="49">
        <f t="shared" si="45"/>
        <v>0</v>
      </c>
      <c r="V152" s="49">
        <f t="shared" si="45"/>
        <v>129870.00831666667</v>
      </c>
      <c r="W152" s="49">
        <f t="shared" si="45"/>
        <v>0</v>
      </c>
      <c r="X152" s="49">
        <f t="shared" si="45"/>
        <v>118453.33831666666</v>
      </c>
      <c r="Y152" s="49">
        <f t="shared" si="45"/>
        <v>0</v>
      </c>
      <c r="Z152" s="49">
        <f t="shared" si="45"/>
        <v>115019.98831666668</v>
      </c>
      <c r="AA152" s="79">
        <f t="shared" si="45"/>
        <v>0</v>
      </c>
      <c r="AB152" s="53"/>
      <c r="AC152" s="63">
        <f t="shared" si="43"/>
        <v>923213.37821666664</v>
      </c>
      <c r="AD152" s="63">
        <f t="shared" si="44"/>
        <v>847944.2</v>
      </c>
    </row>
    <row r="153" spans="2:30" ht="12.75" customHeight="1" x14ac:dyDescent="0.25">
      <c r="B153" s="80"/>
      <c r="C153" s="37"/>
      <c r="D153" s="45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76"/>
      <c r="AB153" s="53"/>
      <c r="AC153" s="64"/>
      <c r="AD153" s="64"/>
    </row>
    <row r="154" spans="2:30" ht="12.75" customHeight="1" x14ac:dyDescent="0.25">
      <c r="B154" s="80" t="s">
        <v>237</v>
      </c>
      <c r="C154" s="37" t="s">
        <v>304</v>
      </c>
      <c r="D154" s="45">
        <f>SUMIF(PPvsREal!$C:$C,'PPvsREal Summary'!C154,PPvsREal!$D:$D)</f>
        <v>1000</v>
      </c>
      <c r="E154" s="53">
        <f>SUMIF(PPvsREal!$C:$C,'PPvsREal Summary'!C154,PPvsREal!$E:$E)</f>
        <v>0</v>
      </c>
      <c r="F154" s="53">
        <f>SUMIF(PPvsREal!$C:$C,'PPvsREal Summary'!C154,PPvsREal!$F:$F)</f>
        <v>0</v>
      </c>
      <c r="G154" s="53">
        <f>SUMIF(PPvsREal!$C:$C,'PPvsREal Summary'!C154,PPvsREal!$G:$G)</f>
        <v>80</v>
      </c>
      <c r="H154" s="53">
        <f>SUMIF(PPvsREal!$C:$C,'PPvsREal Summary'!C154,PPvsREal!$H:$H)</f>
        <v>1000</v>
      </c>
      <c r="I154" s="53">
        <f>SUMIF(PPvsREal!$C:$C,'PPvsREal Summary'!C154,PPvsREal!$I:$I)</f>
        <v>156</v>
      </c>
      <c r="J154" s="53">
        <f>SUMIF(PPvsREal!$C:$C,'PPvsREal Summary'!C154,PPvsREal!$J:$J)</f>
        <v>0</v>
      </c>
      <c r="K154" s="53">
        <f>SUMIF(PPvsREal!$C:$C,'PPvsREal Summary'!C154,PPvsREal!$K:$K)</f>
        <v>142.22999999999999</v>
      </c>
      <c r="L154" s="53">
        <f>SUMIF(PPvsREal!$C:$C,'PPvsREal Summary'!C154,PPvsREal!$L:$L)</f>
        <v>1000</v>
      </c>
      <c r="M154" s="53">
        <f>SUMIF(PPvsREal!$C:$C,'PPvsREal Summary'!C154,PPvsREal!$M:$M)</f>
        <v>0</v>
      </c>
      <c r="N154" s="53">
        <f>SUMIF(PPvsREal!$C:$C,'PPvsREal Summary'!C154,PPvsREal!$N:$N)</f>
        <v>0</v>
      </c>
      <c r="O154" s="53">
        <f>SUMIF(PPvsREal!$C:$C,'PPvsREal Summary'!C154,PPvsREal!$O:$O)</f>
        <v>0</v>
      </c>
      <c r="P154" s="53">
        <f>SUMIF(PPvsREal!$C:$C,'PPvsREal Summary'!C154,PPvsREal!$P:$P)</f>
        <v>1000</v>
      </c>
      <c r="Q154" s="53">
        <f>SUMIF(PPvsREal!$C:$C,'PPvsREal Summary'!C154,PPvsREal!$Q:$Q)</f>
        <v>0</v>
      </c>
      <c r="R154" s="53">
        <f>SUMIF(PPvsREal!$C:$C,'PPvsREal Summary'!C154,PPvsREal!$R:$R)</f>
        <v>0</v>
      </c>
      <c r="S154" s="53">
        <f>SUMIF(PPvsREal!$C:$C,'PPvsREal Summary'!C154,PPvsREal!$S:$S)</f>
        <v>0</v>
      </c>
      <c r="T154" s="53">
        <f>SUMIF(PPvsREal!$C:$C,'PPvsREal Summary'!C154,PPvsREal!$T:$T)</f>
        <v>1000</v>
      </c>
      <c r="U154" s="53">
        <f>SUMIF(PPvsREal!$C:$C,'PPvsREal Summary'!C154,PPvsREal!$U:$U)</f>
        <v>0</v>
      </c>
      <c r="V154" s="53">
        <f>SUMIF(PPvsREal!$C:$C,'PPvsREal Summary'!C154,PPvsREal!$V:$V)</f>
        <v>0</v>
      </c>
      <c r="W154" s="53">
        <f>SUMIF(PPvsREal!$C:$C,'PPvsREal Summary'!C154,PPvsREal!$W:$W)</f>
        <v>0</v>
      </c>
      <c r="X154" s="53">
        <f>SUMIF(PPvsREal!$C:$C,'PPvsREal Summary'!C154,PPvsREal!$X:$X)</f>
        <v>1000</v>
      </c>
      <c r="Y154" s="53">
        <f>SUMIF(PPvsREal!$C:$C,'PPvsREal Summary'!C154,PPvsREal!$Y:$Y)</f>
        <v>0</v>
      </c>
      <c r="Z154" s="53">
        <f>SUMIF(PPvsREal!$C:$C,'PPvsREal Summary'!C154,PPvsREal!$Z:$Z)</f>
        <v>0</v>
      </c>
      <c r="AA154" s="76">
        <f>SUMIF(PPvsREal!$C:$C,'PPvsREal Summary'!C154,PPvsREal!$AA:$AA)</f>
        <v>0</v>
      </c>
      <c r="AB154" s="53"/>
      <c r="AC154" s="64">
        <f t="shared" ref="AC154:AC160" si="46">D154+F154+H154+J154+L154+N154+P154</f>
        <v>4000</v>
      </c>
      <c r="AD154" s="64">
        <f t="shared" ref="AD154:AD160" si="47">E154+G154+I154+K154+M154+O154+Q154</f>
        <v>378.23</v>
      </c>
    </row>
    <row r="155" spans="2:30" ht="12.75" customHeight="1" x14ac:dyDescent="0.25">
      <c r="B155" s="80" t="s">
        <v>209</v>
      </c>
      <c r="C155" s="37" t="s">
        <v>216</v>
      </c>
      <c r="D155" s="45">
        <f>SUMIF(PPvsREal!$C:$C,'PPvsREal Summary'!C155,PPvsREal!$D:$D)</f>
        <v>3500</v>
      </c>
      <c r="E155" s="53">
        <f>SUMIF(PPvsREal!$C:$C,'PPvsREal Summary'!C155,PPvsREal!$E:$E)</f>
        <v>0</v>
      </c>
      <c r="F155" s="53">
        <f>SUMIF(PPvsREal!$C:$C,'PPvsREal Summary'!C155,PPvsREal!$F:$F)</f>
        <v>0</v>
      </c>
      <c r="G155" s="53">
        <f>SUMIF(PPvsREal!$C:$C,'PPvsREal Summary'!C155,PPvsREal!$G:$G)</f>
        <v>993.97</v>
      </c>
      <c r="H155" s="53">
        <f>SUMIF(PPvsREal!$C:$C,'PPvsREal Summary'!C155,PPvsREal!$H:$H)</f>
        <v>0</v>
      </c>
      <c r="I155" s="53">
        <f>SUMIF(PPvsREal!$C:$C,'PPvsREal Summary'!C155,PPvsREal!$I:$I)</f>
        <v>-256.04000000000002</v>
      </c>
      <c r="J155" s="53">
        <f>SUMIF(PPvsREal!$C:$C,'PPvsREal Summary'!C155,PPvsREal!$J:$J)</f>
        <v>0</v>
      </c>
      <c r="K155" s="53">
        <f>SUMIF(PPvsREal!$C:$C,'PPvsREal Summary'!C155,PPvsREal!$K:$K)</f>
        <v>0</v>
      </c>
      <c r="L155" s="53">
        <f>SUMIF(PPvsREal!$C:$C,'PPvsREal Summary'!C155,PPvsREal!$L:$L)</f>
        <v>0</v>
      </c>
      <c r="M155" s="53">
        <f>SUMIF(PPvsREal!$C:$C,'PPvsREal Summary'!C155,PPvsREal!$M:$M)</f>
        <v>0</v>
      </c>
      <c r="N155" s="53">
        <f>SUMIF(PPvsREal!$C:$C,'PPvsREal Summary'!C155,PPvsREal!$N:$N)</f>
        <v>3500</v>
      </c>
      <c r="O155" s="53">
        <f>SUMIF(PPvsREal!$C:$C,'PPvsREal Summary'!C155,PPvsREal!$O:$O)</f>
        <v>0</v>
      </c>
      <c r="P155" s="53">
        <f>SUMIF(PPvsREal!$C:$C,'PPvsREal Summary'!C155,PPvsREal!$P:$P)</f>
        <v>0</v>
      </c>
      <c r="Q155" s="53">
        <f>SUMIF(PPvsREal!$C:$C,'PPvsREal Summary'!C155,PPvsREal!$Q:$Q)</f>
        <v>10220.69</v>
      </c>
      <c r="R155" s="53">
        <f>SUMIF(PPvsREal!$C:$C,'PPvsREal Summary'!C155,PPvsREal!$R:$R)</f>
        <v>0</v>
      </c>
      <c r="S155" s="53">
        <f>SUMIF(PPvsREal!$C:$C,'PPvsREal Summary'!C155,PPvsREal!$S:$S)</f>
        <v>0</v>
      </c>
      <c r="T155" s="53">
        <f>SUMIF(PPvsREal!$C:$C,'PPvsREal Summary'!C155,PPvsREal!$T:$T)</f>
        <v>0</v>
      </c>
      <c r="U155" s="53">
        <f>SUMIF(PPvsREal!$C:$C,'PPvsREal Summary'!C155,PPvsREal!$U:$U)</f>
        <v>0</v>
      </c>
      <c r="V155" s="53">
        <f>SUMIF(PPvsREal!$C:$C,'PPvsREal Summary'!C155,PPvsREal!$V:$V)</f>
        <v>0</v>
      </c>
      <c r="W155" s="53">
        <f>SUMIF(PPvsREal!$C:$C,'PPvsREal Summary'!C155,PPvsREal!$W:$W)</f>
        <v>0</v>
      </c>
      <c r="X155" s="53">
        <f>SUMIF(PPvsREal!$C:$C,'PPvsREal Summary'!C155,PPvsREal!$X:$X)</f>
        <v>3500</v>
      </c>
      <c r="Y155" s="53">
        <f>SUMIF(PPvsREal!$C:$C,'PPvsREal Summary'!C155,PPvsREal!$Y:$Y)</f>
        <v>0</v>
      </c>
      <c r="Z155" s="53">
        <f>SUMIF(PPvsREal!$C:$C,'PPvsREal Summary'!C155,PPvsREal!$Z:$Z)</f>
        <v>0</v>
      </c>
      <c r="AA155" s="76">
        <f>SUMIF(PPvsREal!$C:$C,'PPvsREal Summary'!C155,PPvsREal!$AA:$AA)</f>
        <v>0</v>
      </c>
      <c r="AB155" s="53"/>
      <c r="AC155" s="64">
        <f t="shared" si="46"/>
        <v>7000</v>
      </c>
      <c r="AD155" s="64">
        <f t="shared" si="47"/>
        <v>10958.62</v>
      </c>
    </row>
    <row r="156" spans="2:30" ht="12.75" customHeight="1" x14ac:dyDescent="0.25">
      <c r="B156" s="80" t="s">
        <v>209</v>
      </c>
      <c r="C156" s="37" t="s">
        <v>218</v>
      </c>
      <c r="D156" s="45">
        <f>SUMIF(PPvsREal!$C:$C,'PPvsREal Summary'!C156,PPvsREal!$D:$D)</f>
        <v>500</v>
      </c>
      <c r="E156" s="53">
        <f>SUMIF(PPvsREal!$C:$C,'PPvsREal Summary'!C156,PPvsREal!$E:$E)</f>
        <v>0</v>
      </c>
      <c r="F156" s="53">
        <f>SUMIF(PPvsREal!$C:$C,'PPvsREal Summary'!C156,PPvsREal!$F:$F)</f>
        <v>8000</v>
      </c>
      <c r="G156" s="53">
        <f>SUMIF(PPvsREal!$C:$C,'PPvsREal Summary'!C156,PPvsREal!$G:$G)</f>
        <v>0</v>
      </c>
      <c r="H156" s="53">
        <f>SUMIF(PPvsREal!$C:$C,'PPvsREal Summary'!C156,PPvsREal!$H:$H)</f>
        <v>500</v>
      </c>
      <c r="I156" s="53">
        <f>SUMIF(PPvsREal!$C:$C,'PPvsREal Summary'!C156,PPvsREal!$I:$I)</f>
        <v>0</v>
      </c>
      <c r="J156" s="53">
        <f>SUMIF(PPvsREal!$C:$C,'PPvsREal Summary'!C156,PPvsREal!$J:$J)</f>
        <v>500</v>
      </c>
      <c r="K156" s="53">
        <f>SUMIF(PPvsREal!$C:$C,'PPvsREal Summary'!C156,PPvsREal!$K:$K)</f>
        <v>0</v>
      </c>
      <c r="L156" s="53">
        <f>SUMIF(PPvsREal!$C:$C,'PPvsREal Summary'!C156,PPvsREal!$L:$L)</f>
        <v>500</v>
      </c>
      <c r="M156" s="53">
        <f>SUMIF(PPvsREal!$C:$C,'PPvsREal Summary'!C156,PPvsREal!$M:$M)</f>
        <v>0</v>
      </c>
      <c r="N156" s="53">
        <f>SUMIF(PPvsREal!$C:$C,'PPvsREal Summary'!C156,PPvsREal!$N:$N)</f>
        <v>500</v>
      </c>
      <c r="O156" s="53">
        <f>SUMIF(PPvsREal!$C:$C,'PPvsREal Summary'!C156,PPvsREal!$O:$O)</f>
        <v>431.04</v>
      </c>
      <c r="P156" s="53">
        <f>SUMIF(PPvsREal!$C:$C,'PPvsREal Summary'!C156,PPvsREal!$P:$P)</f>
        <v>500</v>
      </c>
      <c r="Q156" s="53">
        <f>SUMIF(PPvsREal!$C:$C,'PPvsREal Summary'!C156,PPvsREal!$Q:$Q)</f>
        <v>0</v>
      </c>
      <c r="R156" s="53">
        <f>SUMIF(PPvsREal!$C:$C,'PPvsREal Summary'!C156,PPvsREal!$R:$R)</f>
        <v>500</v>
      </c>
      <c r="S156" s="53">
        <f>SUMIF(PPvsREal!$C:$C,'PPvsREal Summary'!C156,PPvsREal!$S:$S)</f>
        <v>0</v>
      </c>
      <c r="T156" s="53">
        <f>SUMIF(PPvsREal!$C:$C,'PPvsREal Summary'!C156,PPvsREal!$T:$T)</f>
        <v>500</v>
      </c>
      <c r="U156" s="53">
        <f>SUMIF(PPvsREal!$C:$C,'PPvsREal Summary'!C156,PPvsREal!$U:$U)</f>
        <v>0</v>
      </c>
      <c r="V156" s="53">
        <f>SUMIF(PPvsREal!$C:$C,'PPvsREal Summary'!C156,PPvsREal!$V:$V)</f>
        <v>500</v>
      </c>
      <c r="W156" s="53">
        <f>SUMIF(PPvsREal!$C:$C,'PPvsREal Summary'!C156,PPvsREal!$W:$W)</f>
        <v>0</v>
      </c>
      <c r="X156" s="53">
        <f>SUMIF(PPvsREal!$C:$C,'PPvsREal Summary'!C156,PPvsREal!$X:$X)</f>
        <v>500</v>
      </c>
      <c r="Y156" s="53">
        <f>SUMIF(PPvsREal!$C:$C,'PPvsREal Summary'!C156,PPvsREal!$Y:$Y)</f>
        <v>0</v>
      </c>
      <c r="Z156" s="53">
        <f>SUMIF(PPvsREal!$C:$C,'PPvsREal Summary'!C156,PPvsREal!$Z:$Z)</f>
        <v>500</v>
      </c>
      <c r="AA156" s="76">
        <f>SUMIF(PPvsREal!$C:$C,'PPvsREal Summary'!C156,PPvsREal!$AA:$AA)</f>
        <v>0</v>
      </c>
      <c r="AB156" s="53"/>
      <c r="AC156" s="64">
        <f t="shared" si="46"/>
        <v>11000</v>
      </c>
      <c r="AD156" s="64">
        <f t="shared" si="47"/>
        <v>431.04</v>
      </c>
    </row>
    <row r="157" spans="2:30" ht="12.75" customHeight="1" x14ac:dyDescent="0.25">
      <c r="B157" s="80" t="s">
        <v>237</v>
      </c>
      <c r="C157" s="37" t="s">
        <v>379</v>
      </c>
      <c r="D157" s="45">
        <f>SUMIF(PPvsREal!$C:$C,'PPvsREal Summary'!C157,PPvsREal!$D:$D)</f>
        <v>0</v>
      </c>
      <c r="E157" s="53">
        <f>SUMIF(PPvsREal!$C:$C,'PPvsREal Summary'!C157,PPvsREal!$E:$E)</f>
        <v>0</v>
      </c>
      <c r="F157" s="53">
        <f>SUMIF(PPvsREal!$C:$C,'PPvsREal Summary'!C157,PPvsREal!$F:$F)</f>
        <v>0</v>
      </c>
      <c r="G157" s="53">
        <f>SUMIF(PPvsREal!$C:$C,'PPvsREal Summary'!C157,PPvsREal!$G:$G)</f>
        <v>0</v>
      </c>
      <c r="H157" s="53">
        <f>SUMIF(PPvsREal!$C:$C,'PPvsREal Summary'!C157,PPvsREal!$H:$H)</f>
        <v>0</v>
      </c>
      <c r="I157" s="53">
        <f>SUMIF(PPvsREal!$C:$C,'PPvsREal Summary'!C157,PPvsREal!$I:$I)</f>
        <v>0</v>
      </c>
      <c r="J157" s="53">
        <f>SUMIF(PPvsREal!$C:$C,'PPvsREal Summary'!C157,PPvsREal!$J:$J)</f>
        <v>0</v>
      </c>
      <c r="K157" s="53">
        <f>SUMIF(PPvsREal!$C:$C,'PPvsREal Summary'!C157,PPvsREal!$K:$K)</f>
        <v>0</v>
      </c>
      <c r="L157" s="53">
        <f>SUMIF(PPvsREal!$C:$C,'PPvsREal Summary'!C157,PPvsREal!$L:$L)</f>
        <v>0</v>
      </c>
      <c r="M157" s="53">
        <f>SUMIF(PPvsREal!$C:$C,'PPvsREal Summary'!C157,PPvsREal!$M:$M)</f>
        <v>0</v>
      </c>
      <c r="N157" s="53">
        <f>SUMIF(PPvsREal!$C:$C,'PPvsREal Summary'!C157,PPvsREal!$N:$N)</f>
        <v>0</v>
      </c>
      <c r="O157" s="53">
        <f>SUMIF(PPvsREal!$C:$C,'PPvsREal Summary'!C157,PPvsREal!$O:$O)</f>
        <v>0</v>
      </c>
      <c r="P157" s="53">
        <f>SUMIF(PPvsREal!$C:$C,'PPvsREal Summary'!C157,PPvsREal!$P:$P)</f>
        <v>0</v>
      </c>
      <c r="Q157" s="53">
        <f>SUMIF(PPvsREal!$C:$C,'PPvsREal Summary'!C157,PPvsREal!$Q:$Q)</f>
        <v>0</v>
      </c>
      <c r="R157" s="53">
        <f>SUMIF(PPvsREal!$C:$C,'PPvsREal Summary'!C157,PPvsREal!$R:$R)</f>
        <v>0</v>
      </c>
      <c r="S157" s="53">
        <f>SUMIF(PPvsREal!$C:$C,'PPvsREal Summary'!C157,PPvsREal!$S:$S)</f>
        <v>0</v>
      </c>
      <c r="T157" s="53">
        <f>SUMIF(PPvsREal!$C:$C,'PPvsREal Summary'!C157,PPvsREal!$T:$T)</f>
        <v>0</v>
      </c>
      <c r="U157" s="53">
        <f>SUMIF(PPvsREal!$C:$C,'PPvsREal Summary'!C157,PPvsREal!$U:$U)</f>
        <v>0</v>
      </c>
      <c r="V157" s="53">
        <f>SUMIF(PPvsREal!$C:$C,'PPvsREal Summary'!C157,PPvsREal!$V:$V)</f>
        <v>0</v>
      </c>
      <c r="W157" s="53">
        <f>SUMIF(PPvsREal!$C:$C,'PPvsREal Summary'!C157,PPvsREal!$W:$W)</f>
        <v>0</v>
      </c>
      <c r="X157" s="53">
        <f>SUMIF(PPvsREal!$C:$C,'PPvsREal Summary'!C157,PPvsREal!$X:$X)</f>
        <v>0</v>
      </c>
      <c r="Y157" s="53">
        <f>SUMIF(PPvsREal!$C:$C,'PPvsREal Summary'!C157,PPvsREal!$Y:$Y)</f>
        <v>0</v>
      </c>
      <c r="Z157" s="53">
        <f>SUMIF(PPvsREal!$C:$C,'PPvsREal Summary'!C157,PPvsREal!$Z:$Z)</f>
        <v>0</v>
      </c>
      <c r="AA157" s="76">
        <f>SUMIF(PPvsREal!$C:$C,'PPvsREal Summary'!C157,PPvsREal!$AA:$AA)</f>
        <v>0</v>
      </c>
      <c r="AB157" s="53"/>
      <c r="AC157" s="64">
        <f t="shared" si="46"/>
        <v>0</v>
      </c>
      <c r="AD157" s="64">
        <f t="shared" si="47"/>
        <v>0</v>
      </c>
    </row>
    <row r="158" spans="2:30" ht="12.75" customHeight="1" x14ac:dyDescent="0.25">
      <c r="B158" s="80" t="s">
        <v>237</v>
      </c>
      <c r="C158" s="37" t="s">
        <v>212</v>
      </c>
      <c r="D158" s="45">
        <f>SUMIF(PPvsREal!$C:$C,'PPvsREal Summary'!C158,PPvsREal!$D:$D)</f>
        <v>5500</v>
      </c>
      <c r="E158" s="53">
        <f>SUMIF(PPvsREal!$C:$C,'PPvsREal Summary'!C158,PPvsREal!$E:$E)</f>
        <v>8000</v>
      </c>
      <c r="F158" s="53">
        <f>SUMIF(PPvsREal!$C:$C,'PPvsREal Summary'!C158,PPvsREal!$F:$F)</f>
        <v>5500</v>
      </c>
      <c r="G158" s="53">
        <f>SUMIF(PPvsREal!$C:$C,'PPvsREal Summary'!C158,PPvsREal!$G:$G)</f>
        <v>3000</v>
      </c>
      <c r="H158" s="53">
        <f>SUMIF(PPvsREal!$C:$C,'PPvsREal Summary'!C158,PPvsREal!$H:$H)</f>
        <v>5500</v>
      </c>
      <c r="I158" s="53">
        <f>SUMIF(PPvsREal!$C:$C,'PPvsREal Summary'!C158,PPvsREal!$I:$I)</f>
        <v>5500</v>
      </c>
      <c r="J158" s="53">
        <f>SUMIF(PPvsREal!$C:$C,'PPvsREal Summary'!C158,PPvsREal!$J:$J)</f>
        <v>5500</v>
      </c>
      <c r="K158" s="53">
        <f>SUMIF(PPvsREal!$C:$C,'PPvsREal Summary'!C158,PPvsREal!$K:$K)</f>
        <v>5000</v>
      </c>
      <c r="L158" s="53">
        <f>SUMIF(PPvsREal!$C:$C,'PPvsREal Summary'!C158,PPvsREal!$L:$L)</f>
        <v>5500</v>
      </c>
      <c r="M158" s="53">
        <f>SUMIF(PPvsREal!$C:$C,'PPvsREal Summary'!C158,PPvsREal!$M:$M)</f>
        <v>3000</v>
      </c>
      <c r="N158" s="53">
        <f>SUMIF(PPvsREal!$C:$C,'PPvsREal Summary'!C158,PPvsREal!$N:$N)</f>
        <v>5500</v>
      </c>
      <c r="O158" s="53">
        <f>SUMIF(PPvsREal!$C:$C,'PPvsREal Summary'!C158,PPvsREal!$O:$O)</f>
        <v>5333.5</v>
      </c>
      <c r="P158" s="53">
        <f>SUMIF(PPvsREal!$C:$C,'PPvsREal Summary'!C158,PPvsREal!$P:$P)</f>
        <v>5500</v>
      </c>
      <c r="Q158" s="53">
        <f>SUMIF(PPvsREal!$C:$C,'PPvsREal Summary'!C158,PPvsREal!$Q:$Q)</f>
        <v>5500</v>
      </c>
      <c r="R158" s="53">
        <f>SUMIF(PPvsREal!$C:$C,'PPvsREal Summary'!C158,PPvsREal!$R:$R)</f>
        <v>5500</v>
      </c>
      <c r="S158" s="53">
        <f>SUMIF(PPvsREal!$C:$C,'PPvsREal Summary'!C158,PPvsREal!$S:$S)</f>
        <v>0</v>
      </c>
      <c r="T158" s="53">
        <f>SUMIF(PPvsREal!$C:$C,'PPvsREal Summary'!C158,PPvsREal!$T:$T)</f>
        <v>5500</v>
      </c>
      <c r="U158" s="53">
        <f>SUMIF(PPvsREal!$C:$C,'PPvsREal Summary'!C158,PPvsREal!$U:$U)</f>
        <v>0</v>
      </c>
      <c r="V158" s="53">
        <f>SUMIF(PPvsREal!$C:$C,'PPvsREal Summary'!C158,PPvsREal!$V:$V)</f>
        <v>5500</v>
      </c>
      <c r="W158" s="53">
        <f>SUMIF(PPvsREal!$C:$C,'PPvsREal Summary'!C158,PPvsREal!$W:$W)</f>
        <v>0</v>
      </c>
      <c r="X158" s="53">
        <f>SUMIF(PPvsREal!$C:$C,'PPvsREal Summary'!C158,PPvsREal!$X:$X)</f>
        <v>5500</v>
      </c>
      <c r="Y158" s="53">
        <f>SUMIF(PPvsREal!$C:$C,'PPvsREal Summary'!C158,PPvsREal!$Y:$Y)</f>
        <v>0</v>
      </c>
      <c r="Z158" s="53">
        <f>SUMIF(PPvsREal!$C:$C,'PPvsREal Summary'!C158,PPvsREal!$Z:$Z)</f>
        <v>5500</v>
      </c>
      <c r="AA158" s="76">
        <f>SUMIF(PPvsREal!$C:$C,'PPvsREal Summary'!C158,PPvsREal!$AA:$AA)</f>
        <v>0</v>
      </c>
      <c r="AB158" s="53"/>
      <c r="AC158" s="64">
        <f t="shared" si="46"/>
        <v>38500</v>
      </c>
      <c r="AD158" s="64">
        <f t="shared" si="47"/>
        <v>35333.5</v>
      </c>
    </row>
    <row r="159" spans="2:30" ht="12.75" customHeight="1" x14ac:dyDescent="0.25">
      <c r="B159" s="80"/>
      <c r="C159" s="37" t="s">
        <v>380</v>
      </c>
      <c r="D159" s="45">
        <f>SUMIF(PPvsREal!$C:$C,'PPvsREal Summary'!C159,PPvsREal!$D:$D)</f>
        <v>0</v>
      </c>
      <c r="E159" s="53">
        <f>SUMIF(PPvsREal!$C:$C,'PPvsREal Summary'!C159,PPvsREal!$E:$E)</f>
        <v>0</v>
      </c>
      <c r="F159" s="53">
        <f>SUMIF(PPvsREal!$C:$C,'PPvsREal Summary'!C159,PPvsREal!$F:$F)</f>
        <v>0</v>
      </c>
      <c r="G159" s="53">
        <f>SUMIF(PPvsREal!$C:$C,'PPvsREal Summary'!C159,PPvsREal!$G:$G)</f>
        <v>0</v>
      </c>
      <c r="H159" s="53">
        <f>SUMIF(PPvsREal!$C:$C,'PPvsREal Summary'!C159,PPvsREal!$H:$H)</f>
        <v>0</v>
      </c>
      <c r="I159" s="53">
        <f>SUMIF(PPvsREal!$C:$C,'PPvsREal Summary'!C159,PPvsREal!$I:$I)</f>
        <v>0</v>
      </c>
      <c r="J159" s="53">
        <f>SUMIF(PPvsREal!$C:$C,'PPvsREal Summary'!C159,PPvsREal!$J:$J)</f>
        <v>0</v>
      </c>
      <c r="K159" s="53">
        <f>SUMIF(PPvsREal!$C:$C,'PPvsREal Summary'!C159,PPvsREal!$K:$K)</f>
        <v>0</v>
      </c>
      <c r="L159" s="53">
        <f>SUMIF(PPvsREal!$C:$C,'PPvsREal Summary'!C159,PPvsREal!$L:$L)</f>
        <v>0</v>
      </c>
      <c r="M159" s="53">
        <f>SUMIF(PPvsREal!$C:$C,'PPvsREal Summary'!C159,PPvsREal!$M:$M)</f>
        <v>0</v>
      </c>
      <c r="N159" s="53">
        <f>SUMIF(PPvsREal!$C:$C,'PPvsREal Summary'!C159,PPvsREal!$N:$N)</f>
        <v>0</v>
      </c>
      <c r="O159" s="53">
        <f>SUMIF(PPvsREal!$C:$C,'PPvsREal Summary'!C159,PPvsREal!$O:$O)</f>
        <v>0</v>
      </c>
      <c r="P159" s="53">
        <f>SUMIF(PPvsREal!$C:$C,'PPvsREal Summary'!C159,PPvsREal!$P:$P)</f>
        <v>0</v>
      </c>
      <c r="Q159" s="53">
        <f>SUMIF(PPvsREal!$C:$C,'PPvsREal Summary'!C159,PPvsREal!$Q:$Q)</f>
        <v>0</v>
      </c>
      <c r="R159" s="53">
        <f>SUMIF(PPvsREal!$C:$C,'PPvsREal Summary'!C159,PPvsREal!$R:$R)</f>
        <v>0</v>
      </c>
      <c r="S159" s="53">
        <f>SUMIF(PPvsREal!$C:$C,'PPvsREal Summary'!C159,PPvsREal!$S:$S)</f>
        <v>0</v>
      </c>
      <c r="T159" s="53">
        <f>SUMIF(PPvsREal!$C:$C,'PPvsREal Summary'!C159,PPvsREal!$T:$T)</f>
        <v>0</v>
      </c>
      <c r="U159" s="53">
        <f>SUMIF(PPvsREal!$C:$C,'PPvsREal Summary'!C159,PPvsREal!$U:$U)</f>
        <v>0</v>
      </c>
      <c r="V159" s="53">
        <f>SUMIF(PPvsREal!$C:$C,'PPvsREal Summary'!C159,PPvsREal!$V:$V)</f>
        <v>0</v>
      </c>
      <c r="W159" s="53">
        <f>SUMIF(PPvsREal!$C:$C,'PPvsREal Summary'!C159,PPvsREal!$W:$W)</f>
        <v>0</v>
      </c>
      <c r="X159" s="53">
        <f>SUMIF(PPvsREal!$C:$C,'PPvsREal Summary'!C159,PPvsREal!$X:$X)</f>
        <v>0</v>
      </c>
      <c r="Y159" s="53">
        <f>SUMIF(PPvsREal!$C:$C,'PPvsREal Summary'!C159,PPvsREal!$Y:$Y)</f>
        <v>0</v>
      </c>
      <c r="Z159" s="53">
        <f>SUMIF(PPvsREal!$C:$C,'PPvsREal Summary'!C159,PPvsREal!$Z:$Z)</f>
        <v>0</v>
      </c>
      <c r="AA159" s="76">
        <f>SUMIF(PPvsREal!$C:$C,'PPvsREal Summary'!C159,PPvsREal!$AA:$AA)</f>
        <v>0</v>
      </c>
      <c r="AB159" s="53"/>
      <c r="AC159" s="64">
        <f t="shared" si="46"/>
        <v>0</v>
      </c>
      <c r="AD159" s="64">
        <f t="shared" si="47"/>
        <v>0</v>
      </c>
    </row>
    <row r="160" spans="2:30" ht="12.75" customHeight="1" x14ac:dyDescent="0.25">
      <c r="B160" s="77"/>
      <c r="C160" s="78">
        <v>9.02E+20</v>
      </c>
      <c r="D160" s="49">
        <f t="shared" ref="D160:AA160" si="48">SUM(D154:D159)</f>
        <v>10500</v>
      </c>
      <c r="E160" s="49">
        <f t="shared" si="48"/>
        <v>8000</v>
      </c>
      <c r="F160" s="49">
        <f t="shared" si="48"/>
        <v>13500</v>
      </c>
      <c r="G160" s="49">
        <f t="shared" si="48"/>
        <v>4073.9700000000003</v>
      </c>
      <c r="H160" s="49">
        <f t="shared" si="48"/>
        <v>7000</v>
      </c>
      <c r="I160" s="49">
        <f t="shared" si="48"/>
        <v>5399.96</v>
      </c>
      <c r="J160" s="49">
        <f t="shared" si="48"/>
        <v>6000</v>
      </c>
      <c r="K160" s="49">
        <f t="shared" si="48"/>
        <v>5142.2299999999996</v>
      </c>
      <c r="L160" s="49">
        <f t="shared" si="48"/>
        <v>7000</v>
      </c>
      <c r="M160" s="49">
        <f t="shared" si="48"/>
        <v>3000</v>
      </c>
      <c r="N160" s="49">
        <f t="shared" si="48"/>
        <v>9500</v>
      </c>
      <c r="O160" s="49">
        <f t="shared" si="48"/>
        <v>5764.54</v>
      </c>
      <c r="P160" s="49">
        <f t="shared" si="48"/>
        <v>7000</v>
      </c>
      <c r="Q160" s="49">
        <f t="shared" si="48"/>
        <v>15720.69</v>
      </c>
      <c r="R160" s="49">
        <f t="shared" si="48"/>
        <v>6000</v>
      </c>
      <c r="S160" s="49">
        <f t="shared" si="48"/>
        <v>0</v>
      </c>
      <c r="T160" s="49">
        <f t="shared" si="48"/>
        <v>7000</v>
      </c>
      <c r="U160" s="49">
        <f t="shared" si="48"/>
        <v>0</v>
      </c>
      <c r="V160" s="49">
        <f t="shared" si="48"/>
        <v>6000</v>
      </c>
      <c r="W160" s="49">
        <f t="shared" si="48"/>
        <v>0</v>
      </c>
      <c r="X160" s="49">
        <f t="shared" si="48"/>
        <v>10500</v>
      </c>
      <c r="Y160" s="49">
        <f t="shared" si="48"/>
        <v>0</v>
      </c>
      <c r="Z160" s="49">
        <f t="shared" si="48"/>
        <v>6000</v>
      </c>
      <c r="AA160" s="79">
        <f t="shared" si="48"/>
        <v>0</v>
      </c>
      <c r="AB160" s="53"/>
      <c r="AC160" s="63">
        <f t="shared" si="46"/>
        <v>60500</v>
      </c>
      <c r="AD160" s="63">
        <f t="shared" si="47"/>
        <v>47101.39</v>
      </c>
    </row>
    <row r="161" spans="2:30" ht="12.75" customHeight="1" x14ac:dyDescent="0.25">
      <c r="B161" s="80"/>
      <c r="C161" s="37"/>
      <c r="D161" s="45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76"/>
      <c r="AB161" s="53"/>
      <c r="AC161" s="64"/>
      <c r="AD161" s="64"/>
    </row>
    <row r="162" spans="2:30" ht="12.75" customHeight="1" x14ac:dyDescent="0.25">
      <c r="B162" s="80" t="s">
        <v>237</v>
      </c>
      <c r="C162" s="37" t="s">
        <v>325</v>
      </c>
      <c r="D162" s="45">
        <f>SUMIF(PPvsREal!$C:$C,'PPvsREal Summary'!C162,PPvsREal!$D:$D)</f>
        <v>326722.30196384934</v>
      </c>
      <c r="E162" s="53">
        <f>SUMIF(PPvsREal!$C:$C,'PPvsREal Summary'!C162,PPvsREal!$E:$E)</f>
        <v>299581.09999999998</v>
      </c>
      <c r="F162" s="53">
        <f>SUMIF(PPvsREal!$C:$C,'PPvsREal Summary'!C162,PPvsREal!$F:$F)</f>
        <v>326722.30196384934</v>
      </c>
      <c r="G162" s="53">
        <f>SUMIF(PPvsREal!$C:$C,'PPvsREal Summary'!C162,PPvsREal!$G:$G)</f>
        <v>298143.42000000004</v>
      </c>
      <c r="H162" s="53">
        <f>SUMIF(PPvsREal!$C:$C,'PPvsREal Summary'!C162,PPvsREal!$H:$H)</f>
        <v>326722.30196384934</v>
      </c>
      <c r="I162" s="53">
        <f>SUMIF(PPvsREal!$C:$C,'PPvsREal Summary'!C162,PPvsREal!$I:$I)</f>
        <v>307809.7</v>
      </c>
      <c r="J162" s="53">
        <f>SUMIF(PPvsREal!$C:$C,'PPvsREal Summary'!C162,PPvsREal!$J:$J)</f>
        <v>326722.30196384934</v>
      </c>
      <c r="K162" s="53">
        <f>SUMIF(PPvsREal!$C:$C,'PPvsREal Summary'!C162,PPvsREal!$K:$K)</f>
        <v>299807.92000000004</v>
      </c>
      <c r="L162" s="53">
        <f>SUMIF(PPvsREal!$C:$C,'PPvsREal Summary'!C162,PPvsREal!$L:$L)</f>
        <v>326722.30196384934</v>
      </c>
      <c r="M162" s="53">
        <f>SUMIF(PPvsREal!$C:$C,'PPvsREal Summary'!C162,PPvsREal!$M:$M)</f>
        <v>311622.34999999998</v>
      </c>
      <c r="N162" s="53">
        <f>SUMIF(PPvsREal!$C:$C,'PPvsREal Summary'!C162,PPvsREal!$N:$N)</f>
        <v>326722.30196384934</v>
      </c>
      <c r="O162" s="53">
        <f>SUMIF(PPvsREal!$C:$C,'PPvsREal Summary'!C162,PPvsREal!$O:$O)</f>
        <v>303994.33</v>
      </c>
      <c r="P162" s="53">
        <f>SUMIF(PPvsREal!$C:$C,'PPvsREal Summary'!C162,PPvsREal!$P:$P)</f>
        <v>326722.30196384934</v>
      </c>
      <c r="Q162" s="53">
        <f>SUMIF(PPvsREal!$C:$C,'PPvsREal Summary'!C162,PPvsREal!$Q:$Q)</f>
        <v>305326.69</v>
      </c>
      <c r="R162" s="53">
        <f>SUMIF(PPvsREal!$C:$C,'PPvsREal Summary'!C162,PPvsREal!$R:$R)</f>
        <v>326722.30196384934</v>
      </c>
      <c r="S162" s="53">
        <f>SUMIF(PPvsREal!$C:$C,'PPvsREal Summary'!C162,PPvsREal!$S:$S)</f>
        <v>0</v>
      </c>
      <c r="T162" s="53">
        <f>SUMIF(PPvsREal!$C:$C,'PPvsREal Summary'!C162,PPvsREal!$T:$T)</f>
        <v>326722.30196384934</v>
      </c>
      <c r="U162" s="53">
        <f>SUMIF(PPvsREal!$C:$C,'PPvsREal Summary'!C162,PPvsREal!$U:$U)</f>
        <v>0</v>
      </c>
      <c r="V162" s="53">
        <f>SUMIF(PPvsREal!$C:$C,'PPvsREal Summary'!C162,PPvsREal!$V:$V)</f>
        <v>326722.30196384934</v>
      </c>
      <c r="W162" s="53">
        <f>SUMIF(PPvsREal!$C:$C,'PPvsREal Summary'!C162,PPvsREal!$W:$W)</f>
        <v>0</v>
      </c>
      <c r="X162" s="53">
        <f>SUMIF(PPvsREal!$C:$C,'PPvsREal Summary'!C162,PPvsREal!$X:$X)</f>
        <v>326722.30196384934</v>
      </c>
      <c r="Y162" s="53">
        <f>SUMIF(PPvsREal!$C:$C,'PPvsREal Summary'!C162,PPvsREal!$Y:$Y)</f>
        <v>0</v>
      </c>
      <c r="Z162" s="53">
        <f>SUMIF(PPvsREal!$C:$C,'PPvsREal Summary'!C162,PPvsREal!$Z:$Z)</f>
        <v>326722.30196384934</v>
      </c>
      <c r="AA162" s="76">
        <f>SUMIF(PPvsREal!$C:$C,'PPvsREal Summary'!C162,PPvsREal!$AA:$AA)</f>
        <v>0</v>
      </c>
      <c r="AB162" s="53"/>
      <c r="AC162" s="64">
        <f t="shared" ref="AC162:AC164" si="49">D162+F162+H162+J162+L162+N162+P162</f>
        <v>2287056.1137469457</v>
      </c>
      <c r="AD162" s="64">
        <f t="shared" ref="AD162:AD164" si="50">E162+G162+I162+K162+M162+O162+Q162</f>
        <v>2126285.5100000002</v>
      </c>
    </row>
    <row r="163" spans="2:30" ht="12.75" customHeight="1" x14ac:dyDescent="0.25">
      <c r="B163" s="80" t="s">
        <v>11</v>
      </c>
      <c r="C163" s="37" t="s">
        <v>58</v>
      </c>
      <c r="D163" s="45">
        <f>SUMIF(PPvsREal!$C:$C,'PPvsREal Summary'!C163,PPvsREal!$D:$D)</f>
        <v>0</v>
      </c>
      <c r="E163" s="53">
        <f>SUMIF(PPvsREal!$C:$C,'PPvsREal Summary'!C163,PPvsREal!$E:$E)</f>
        <v>0</v>
      </c>
      <c r="F163" s="53">
        <f>SUMIF(PPvsREal!$C:$C,'PPvsREal Summary'!C163,PPvsREal!$F:$F)</f>
        <v>0</v>
      </c>
      <c r="G163" s="53">
        <f>SUMIF(PPvsREal!$C:$C,'PPvsREal Summary'!C163,PPvsREal!$G:$G)</f>
        <v>0</v>
      </c>
      <c r="H163" s="53">
        <f>SUMIF(PPvsREal!$C:$C,'PPvsREal Summary'!C163,PPvsREal!$H:$H)</f>
        <v>0</v>
      </c>
      <c r="I163" s="53">
        <f>SUMIF(PPvsREal!$C:$C,'PPvsREal Summary'!C163,PPvsREal!$I:$I)</f>
        <v>0</v>
      </c>
      <c r="J163" s="53">
        <f>SUMIF(PPvsREal!$C:$C,'PPvsREal Summary'!C163,PPvsREal!$J:$J)</f>
        <v>0</v>
      </c>
      <c r="K163" s="53">
        <f>SUMIF(PPvsREal!$C:$C,'PPvsREal Summary'!C163,PPvsREal!$K:$K)</f>
        <v>0</v>
      </c>
      <c r="L163" s="53">
        <f>SUMIF(PPvsREal!$C:$C,'PPvsREal Summary'!C163,PPvsREal!$L:$L)</f>
        <v>0</v>
      </c>
      <c r="M163" s="53">
        <f>SUMIF(PPvsREal!$C:$C,'PPvsREal Summary'!C163,PPvsREal!$M:$M)</f>
        <v>0</v>
      </c>
      <c r="N163" s="53">
        <f>SUMIF(PPvsREal!$C:$C,'PPvsREal Summary'!C163,PPvsREal!$N:$N)</f>
        <v>0</v>
      </c>
      <c r="O163" s="53">
        <f>SUMIF(PPvsREal!$C:$C,'PPvsREal Summary'!C163,PPvsREal!$O:$O)</f>
        <v>0</v>
      </c>
      <c r="P163" s="53">
        <f>SUMIF(PPvsREal!$C:$C,'PPvsREal Summary'!C163,PPvsREal!$P:$P)</f>
        <v>0</v>
      </c>
      <c r="Q163" s="53">
        <f>SUMIF(PPvsREal!$C:$C,'PPvsREal Summary'!C163,PPvsREal!$Q:$Q)</f>
        <v>0</v>
      </c>
      <c r="R163" s="53">
        <f>SUMIF(PPvsREal!$C:$C,'PPvsREal Summary'!C163,PPvsREal!$R:$R)</f>
        <v>0</v>
      </c>
      <c r="S163" s="53">
        <f>SUMIF(PPvsREal!$C:$C,'PPvsREal Summary'!C163,PPvsREal!$S:$S)</f>
        <v>0</v>
      </c>
      <c r="T163" s="53">
        <f>SUMIF(PPvsREal!$C:$C,'PPvsREal Summary'!C163,PPvsREal!$T:$T)</f>
        <v>0</v>
      </c>
      <c r="U163" s="53">
        <f>SUMIF(PPvsREal!$C:$C,'PPvsREal Summary'!C163,PPvsREal!$U:$U)</f>
        <v>0</v>
      </c>
      <c r="V163" s="53">
        <f>SUMIF(PPvsREal!$C:$C,'PPvsREal Summary'!C163,PPvsREal!$V:$V)</f>
        <v>0</v>
      </c>
      <c r="W163" s="53">
        <f>SUMIF(PPvsREal!$C:$C,'PPvsREal Summary'!C163,PPvsREal!$W:$W)</f>
        <v>0</v>
      </c>
      <c r="X163" s="53">
        <f>SUMIF(PPvsREal!$C:$C,'PPvsREal Summary'!C163,PPvsREal!$X:$X)</f>
        <v>0</v>
      </c>
      <c r="Y163" s="53">
        <f>SUMIF(PPvsREal!$C:$C,'PPvsREal Summary'!C163,PPvsREal!$Y:$Y)</f>
        <v>0</v>
      </c>
      <c r="Z163" s="53">
        <f>SUMIF(PPvsREal!$C:$C,'PPvsREal Summary'!C163,PPvsREal!$Z:$Z)</f>
        <v>0</v>
      </c>
      <c r="AA163" s="76">
        <f>SUMIF(PPvsREal!$C:$C,'PPvsREal Summary'!C163,PPvsREal!$AA:$AA)</f>
        <v>0</v>
      </c>
      <c r="AB163" s="53"/>
      <c r="AC163" s="64">
        <f t="shared" si="49"/>
        <v>0</v>
      </c>
      <c r="AD163" s="64">
        <f t="shared" si="50"/>
        <v>0</v>
      </c>
    </row>
    <row r="164" spans="2:30" ht="12.75" customHeight="1" x14ac:dyDescent="0.25">
      <c r="B164" s="77"/>
      <c r="C164" s="78">
        <v>9.03E+20</v>
      </c>
      <c r="D164" s="50">
        <f t="shared" ref="D164:AA164" si="51">SUM(D162:D163)</f>
        <v>326722.30196384934</v>
      </c>
      <c r="E164" s="50">
        <f t="shared" si="51"/>
        <v>299581.09999999998</v>
      </c>
      <c r="F164" s="50">
        <f t="shared" si="51"/>
        <v>326722.30196384934</v>
      </c>
      <c r="G164" s="50">
        <f t="shared" si="51"/>
        <v>298143.42000000004</v>
      </c>
      <c r="H164" s="50">
        <f t="shared" si="51"/>
        <v>326722.30196384934</v>
      </c>
      <c r="I164" s="50">
        <f t="shared" si="51"/>
        <v>307809.7</v>
      </c>
      <c r="J164" s="50">
        <f t="shared" si="51"/>
        <v>326722.30196384934</v>
      </c>
      <c r="K164" s="50">
        <f t="shared" si="51"/>
        <v>299807.92000000004</v>
      </c>
      <c r="L164" s="50">
        <f t="shared" si="51"/>
        <v>326722.30196384934</v>
      </c>
      <c r="M164" s="50">
        <f t="shared" si="51"/>
        <v>311622.34999999998</v>
      </c>
      <c r="N164" s="50">
        <f t="shared" si="51"/>
        <v>326722.30196384934</v>
      </c>
      <c r="O164" s="50">
        <f t="shared" si="51"/>
        <v>303994.33</v>
      </c>
      <c r="P164" s="50">
        <f t="shared" si="51"/>
        <v>326722.30196384934</v>
      </c>
      <c r="Q164" s="50">
        <f t="shared" si="51"/>
        <v>305326.69</v>
      </c>
      <c r="R164" s="50">
        <f t="shared" si="51"/>
        <v>326722.30196384934</v>
      </c>
      <c r="S164" s="50">
        <f t="shared" si="51"/>
        <v>0</v>
      </c>
      <c r="T164" s="50">
        <f t="shared" si="51"/>
        <v>326722.30196384934</v>
      </c>
      <c r="U164" s="50">
        <f t="shared" si="51"/>
        <v>0</v>
      </c>
      <c r="V164" s="50">
        <f t="shared" si="51"/>
        <v>326722.30196384934</v>
      </c>
      <c r="W164" s="50">
        <f t="shared" si="51"/>
        <v>0</v>
      </c>
      <c r="X164" s="50">
        <f t="shared" si="51"/>
        <v>326722.30196384934</v>
      </c>
      <c r="Y164" s="50">
        <f t="shared" si="51"/>
        <v>0</v>
      </c>
      <c r="Z164" s="50">
        <f t="shared" si="51"/>
        <v>326722.30196384934</v>
      </c>
      <c r="AA164" s="79">
        <f t="shared" si="51"/>
        <v>0</v>
      </c>
      <c r="AB164" s="53"/>
      <c r="AC164" s="63">
        <f t="shared" si="49"/>
        <v>2287056.1137469457</v>
      </c>
      <c r="AD164" s="63">
        <f t="shared" si="50"/>
        <v>2126285.5100000002</v>
      </c>
    </row>
    <row r="165" spans="2:30" ht="12.75" customHeight="1" x14ac:dyDescent="0.25">
      <c r="B165" s="80"/>
      <c r="C165" s="37"/>
      <c r="D165" s="45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76"/>
      <c r="AB165" s="53"/>
      <c r="AC165" s="64"/>
      <c r="AD165" s="64"/>
    </row>
    <row r="166" spans="2:30" ht="12.75" customHeight="1" x14ac:dyDescent="0.25">
      <c r="B166" s="80" t="s">
        <v>237</v>
      </c>
      <c r="C166" s="37" t="s">
        <v>327</v>
      </c>
      <c r="D166" s="45">
        <f>SUMIF(PPvsREal!$C:$C,'PPvsREal Summary'!C166,PPvsREal!$D:$D)</f>
        <v>0</v>
      </c>
      <c r="E166" s="53">
        <f>SUMIF(PPvsREal!$C:$C,'PPvsREal Summary'!C166,PPvsREal!$E:$E)</f>
        <v>41606.6</v>
      </c>
      <c r="F166" s="53">
        <f>SUMIF(PPvsREal!$C:$C,'PPvsREal Summary'!C166,PPvsREal!$F:$F)</f>
        <v>0</v>
      </c>
      <c r="G166" s="53">
        <f>SUMIF(PPvsREal!$C:$C,'PPvsREal Summary'!C166,PPvsREal!$G:$G)</f>
        <v>17657.62</v>
      </c>
      <c r="H166" s="53">
        <f>SUMIF(PPvsREal!$C:$C,'PPvsREal Summary'!C166,PPvsREal!$H:$H)</f>
        <v>0</v>
      </c>
      <c r="I166" s="53">
        <f>SUMIF(PPvsREal!$C:$C,'PPvsREal Summary'!C166,PPvsREal!$I:$I)</f>
        <v>58913.760000000002</v>
      </c>
      <c r="J166" s="53">
        <f>SUMIF(PPvsREal!$C:$C,'PPvsREal Summary'!C166,PPvsREal!$J:$J)</f>
        <v>0</v>
      </c>
      <c r="K166" s="53">
        <f>SUMIF(PPvsREal!$C:$C,'PPvsREal Summary'!C166,PPvsREal!$K:$K)</f>
        <v>34155.83</v>
      </c>
      <c r="L166" s="53">
        <f>SUMIF(PPvsREal!$C:$C,'PPvsREal Summary'!C166,PPvsREal!$L:$L)</f>
        <v>0</v>
      </c>
      <c r="M166" s="53">
        <f>SUMIF(PPvsREal!$C:$C,'PPvsREal Summary'!C166,PPvsREal!$M:$M)</f>
        <v>35336.78</v>
      </c>
      <c r="N166" s="53">
        <f>SUMIF(PPvsREal!$C:$C,'PPvsREal Summary'!C166,PPvsREal!$N:$N)</f>
        <v>0</v>
      </c>
      <c r="O166" s="53">
        <f>SUMIF(PPvsREal!$C:$C,'PPvsREal Summary'!C166,PPvsREal!$O:$O)</f>
        <v>59646.77</v>
      </c>
      <c r="P166" s="53">
        <f>SUMIF(PPvsREal!$C:$C,'PPvsREal Summary'!C166,PPvsREal!$P:$P)</f>
        <v>0</v>
      </c>
      <c r="Q166" s="53">
        <f>SUMIF(PPvsREal!$C:$C,'PPvsREal Summary'!C166,PPvsREal!$Q:$Q)</f>
        <v>100829.45</v>
      </c>
      <c r="R166" s="53">
        <f>SUMIF(PPvsREal!$C:$C,'PPvsREal Summary'!C166,PPvsREal!$R:$R)</f>
        <v>0</v>
      </c>
      <c r="S166" s="53">
        <f>SUMIF(PPvsREal!$C:$C,'PPvsREal Summary'!C166,PPvsREal!$S:$S)</f>
        <v>0</v>
      </c>
      <c r="T166" s="53">
        <f>SUMIF(PPvsREal!$C:$C,'PPvsREal Summary'!C166,PPvsREal!$T:$T)</f>
        <v>0</v>
      </c>
      <c r="U166" s="53">
        <f>SUMIF(PPvsREal!$C:$C,'PPvsREal Summary'!C166,PPvsREal!$U:$U)</f>
        <v>0</v>
      </c>
      <c r="V166" s="53">
        <f>SUMIF(PPvsREal!$C:$C,'PPvsREal Summary'!C166,PPvsREal!$V:$V)</f>
        <v>0</v>
      </c>
      <c r="W166" s="53">
        <f>SUMIF(PPvsREal!$C:$C,'PPvsREal Summary'!C166,PPvsREal!$W:$W)</f>
        <v>0</v>
      </c>
      <c r="X166" s="53">
        <f>SUMIF(PPvsREal!$C:$C,'PPvsREal Summary'!C166,PPvsREal!$X:$X)</f>
        <v>0</v>
      </c>
      <c r="Y166" s="53">
        <f>SUMIF(PPvsREal!$C:$C,'PPvsREal Summary'!C166,PPvsREal!$Y:$Y)</f>
        <v>0</v>
      </c>
      <c r="Z166" s="53">
        <f>SUMIF(PPvsREal!$C:$C,'PPvsREal Summary'!C166,PPvsREal!$Z:$Z)</f>
        <v>0</v>
      </c>
      <c r="AA166" s="76">
        <f>SUMIF(PPvsREal!$C:$C,'PPvsREal Summary'!C166,PPvsREal!$AA:$AA)</f>
        <v>0</v>
      </c>
      <c r="AB166" s="53"/>
      <c r="AC166" s="64">
        <f t="shared" ref="AC166:AC167" si="52">D166+F166+H166+J166+L166+N166+P166</f>
        <v>0</v>
      </c>
      <c r="AD166" s="64">
        <f t="shared" ref="AD166:AD167" si="53">E166+G166+I166+K166+M166+O166+Q166</f>
        <v>348146.81</v>
      </c>
    </row>
    <row r="167" spans="2:30" ht="12.75" customHeight="1" x14ac:dyDescent="0.25">
      <c r="B167" s="82"/>
      <c r="C167" s="83">
        <v>9.04E+20</v>
      </c>
      <c r="D167" s="84">
        <f t="shared" ref="D167:AA167" si="54">D166</f>
        <v>0</v>
      </c>
      <c r="E167" s="84">
        <f t="shared" si="54"/>
        <v>41606.6</v>
      </c>
      <c r="F167" s="84">
        <f t="shared" si="54"/>
        <v>0</v>
      </c>
      <c r="G167" s="84">
        <f t="shared" si="54"/>
        <v>17657.62</v>
      </c>
      <c r="H167" s="84">
        <f t="shared" si="54"/>
        <v>0</v>
      </c>
      <c r="I167" s="84">
        <f t="shared" si="54"/>
        <v>58913.760000000002</v>
      </c>
      <c r="J167" s="84">
        <f t="shared" si="54"/>
        <v>0</v>
      </c>
      <c r="K167" s="84">
        <f t="shared" si="54"/>
        <v>34155.83</v>
      </c>
      <c r="L167" s="84">
        <f t="shared" si="54"/>
        <v>0</v>
      </c>
      <c r="M167" s="84">
        <f t="shared" si="54"/>
        <v>35336.78</v>
      </c>
      <c r="N167" s="84">
        <f t="shared" si="54"/>
        <v>0</v>
      </c>
      <c r="O167" s="84">
        <f t="shared" si="54"/>
        <v>59646.77</v>
      </c>
      <c r="P167" s="84">
        <f t="shared" si="54"/>
        <v>0</v>
      </c>
      <c r="Q167" s="84">
        <f t="shared" si="54"/>
        <v>100829.45</v>
      </c>
      <c r="R167" s="84">
        <f t="shared" si="54"/>
        <v>0</v>
      </c>
      <c r="S167" s="84">
        <f t="shared" si="54"/>
        <v>0</v>
      </c>
      <c r="T167" s="84">
        <f t="shared" si="54"/>
        <v>0</v>
      </c>
      <c r="U167" s="84">
        <f t="shared" si="54"/>
        <v>0</v>
      </c>
      <c r="V167" s="84">
        <f t="shared" si="54"/>
        <v>0</v>
      </c>
      <c r="W167" s="84">
        <f t="shared" si="54"/>
        <v>0</v>
      </c>
      <c r="X167" s="84">
        <f t="shared" si="54"/>
        <v>0</v>
      </c>
      <c r="Y167" s="84">
        <f t="shared" si="54"/>
        <v>0</v>
      </c>
      <c r="Z167" s="84">
        <f t="shared" si="54"/>
        <v>0</v>
      </c>
      <c r="AA167" s="85">
        <f t="shared" si="54"/>
        <v>0</v>
      </c>
      <c r="AB167" s="53"/>
      <c r="AC167" s="67">
        <f t="shared" si="52"/>
        <v>0</v>
      </c>
      <c r="AD167" s="67">
        <f t="shared" si="53"/>
        <v>348146.81</v>
      </c>
    </row>
    <row r="168" spans="2:30" ht="15.75" customHeight="1" x14ac:dyDescent="0.25"/>
    <row r="169" spans="2:30" ht="15.75" customHeight="1" x14ac:dyDescent="0.25"/>
    <row r="170" spans="2:30" ht="15.75" customHeight="1" x14ac:dyDescent="0.25"/>
    <row r="171" spans="2:30" ht="15.75" customHeight="1" x14ac:dyDescent="0.25"/>
    <row r="172" spans="2:30" ht="15.75" customHeight="1" x14ac:dyDescent="0.25"/>
    <row r="173" spans="2:30" ht="15.75" customHeight="1" x14ac:dyDescent="0.25"/>
    <row r="174" spans="2:30" ht="15.75" customHeight="1" x14ac:dyDescent="0.25"/>
    <row r="175" spans="2:30" ht="15.75" customHeight="1" x14ac:dyDescent="0.25"/>
    <row r="176" spans="2:30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autoFilter ref="B3:AD167" xr:uid="{CEA2B00E-D046-4B3B-AEBC-AB0645910086}"/>
  <conditionalFormatting sqref="C1:C1048576">
    <cfRule type="duplicateValues" dxfId="0" priority="1"/>
  </conditionalFormatting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</vt:lpstr>
      <vt:lpstr>Gtos. Corporativos</vt:lpstr>
      <vt:lpstr>Gtos. Corporativos (P)</vt:lpstr>
      <vt:lpstr>DN</vt:lpstr>
      <vt:lpstr>Comités</vt:lpstr>
      <vt:lpstr>Eventos</vt:lpstr>
      <vt:lpstr>Dirección</vt:lpstr>
      <vt:lpstr>Gastos Generales</vt:lpstr>
      <vt:lpstr>PPvsREal</vt:lpstr>
      <vt:lpstr>PPvsREal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Valencia</dc:creator>
  <cp:lastModifiedBy>Alberto Arredondo</cp:lastModifiedBy>
  <dcterms:created xsi:type="dcterms:W3CDTF">2019-09-24T17:03:46Z</dcterms:created>
  <dcterms:modified xsi:type="dcterms:W3CDTF">2025-08-19T21:58:19Z</dcterms:modified>
</cp:coreProperties>
</file>