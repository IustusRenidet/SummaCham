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527A7EA0-0FAB-4A25-9DE3-02C9D8EC372E}" xr6:coauthVersionLast="47" xr6:coauthVersionMax="47" xr10:uidLastSave="{00000000-0000-0000-0000-000000000000}"/>
  <bookViews>
    <workbookView xWindow="-120" yWindow="-120" windowWidth="20730" windowHeight="11040" xr2:uid="{A33431BB-7133-4C8E-A092-BB21C5F22416}"/>
  </bookViews>
  <sheets>
    <sheet name="Gtos. Corporativos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" i="1" l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D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" i="1"/>
  <c r="E3" i="1"/>
  <c r="E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C9" authorId="0" shapeId="0" xr:uid="{AD8D1A2D-7898-4444-92EB-D8DF6D894BD0}">
      <text>
        <r>
          <rPr>
            <b/>
            <sz val="9"/>
            <color indexed="81"/>
            <rFont val="Tahoma"/>
            <family val="2"/>
          </rPr>
          <t>EA y Worky</t>
        </r>
      </text>
    </comment>
    <comment ref="C11" authorId="0" shapeId="0" xr:uid="{CBF5C050-056E-459B-A09C-1504F66B72D4}">
      <text>
        <r>
          <rPr>
            <b/>
            <sz val="9"/>
            <color indexed="81"/>
            <rFont val="Tahoma"/>
            <family val="2"/>
          </rPr>
          <t>Adicionales considerar Zendesk / Grammarly Pro / Herramienta de Pptos. Y herramienta de Proveedores</t>
        </r>
      </text>
    </comment>
    <comment ref="C22" authorId="0" shapeId="0" xr:uid="{FA75D087-2CE7-4248-9CD3-B120C9FAD9B4}">
      <text>
        <r>
          <rPr>
            <b/>
            <sz val="9"/>
            <color indexed="81"/>
            <rFont val="Tahoma"/>
            <family val="2"/>
          </rPr>
          <t>Global Nexus, LinkedIn, Meta y Google.</t>
        </r>
      </text>
    </comment>
  </commentList>
</comments>
</file>

<file path=xl/sharedStrings.xml><?xml version="1.0" encoding="utf-8"?>
<sst xmlns="http://schemas.openxmlformats.org/spreadsheetml/2006/main" count="46" uniqueCount="46">
  <si>
    <t>TOTAL CARGOS CORPORATIVOS</t>
  </si>
  <si>
    <t>Sueldos y Salarios VPE/Nacionales</t>
  </si>
  <si>
    <t>Registro de Marcas</t>
  </si>
  <si>
    <t>Seguro Empresarial</t>
  </si>
  <si>
    <t>Seguro de Vida</t>
  </si>
  <si>
    <t>Seguro Gtos Médicos Mayores</t>
  </si>
  <si>
    <t>GASTOS CORPORATIVOS 2026</t>
  </si>
  <si>
    <t>Ppto.  2026</t>
  </si>
  <si>
    <t>Mensual</t>
  </si>
  <si>
    <t>903-002-000-00</t>
  </si>
  <si>
    <t>903-003-000-00</t>
  </si>
  <si>
    <t>903-004-000-00</t>
  </si>
  <si>
    <t>Seguro Gobierno Corporativo</t>
  </si>
  <si>
    <t>903-005-000-00</t>
  </si>
  <si>
    <t>Programa de Asistencia Empresarial (PAE)</t>
  </si>
  <si>
    <t>903-006-000-00</t>
  </si>
  <si>
    <t>Dominios</t>
  </si>
  <si>
    <t>903-007-000-00</t>
  </si>
  <si>
    <t>CRM</t>
  </si>
  <si>
    <t>903-008-000-00</t>
  </si>
  <si>
    <t>Servicios de Telecomunicaciones</t>
  </si>
  <si>
    <t>903-009-000-00</t>
  </si>
  <si>
    <t>Licencias Generales</t>
  </si>
  <si>
    <t>903-010-000-00</t>
  </si>
  <si>
    <t>Licencias Correos Corporativos</t>
  </si>
  <si>
    <t>903-011-000-00</t>
  </si>
  <si>
    <t>Estudio Actuarial</t>
  </si>
  <si>
    <t>903-012-000-00</t>
  </si>
  <si>
    <t>Gastos Notariales</t>
  </si>
  <si>
    <t>903-013-000-00</t>
  </si>
  <si>
    <t>Auditorías Externas</t>
  </si>
  <si>
    <t>903-014-000-00</t>
  </si>
  <si>
    <t>903-015-000-00</t>
  </si>
  <si>
    <t>Membresía AACCLA</t>
  </si>
  <si>
    <t>903-016-000-00</t>
  </si>
  <si>
    <t>903-017-000-00</t>
  </si>
  <si>
    <t>T&amp;IC Licencias</t>
  </si>
  <si>
    <t>903-018-000-00</t>
  </si>
  <si>
    <t>903-019-000-00</t>
  </si>
  <si>
    <t>LinkedIn Herramienta</t>
  </si>
  <si>
    <t>903-020-000-00</t>
  </si>
  <si>
    <t>Zoom Herramienta</t>
  </si>
  <si>
    <t>903-021-000-00</t>
  </si>
  <si>
    <t>NarwhalHub Herramienta</t>
  </si>
  <si>
    <t>Posicionamiento</t>
  </si>
  <si>
    <t>903-001-000-00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</si>
</sst>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indexed="81"/>
      <name val="Tahoma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17" fontId="5" fillId="3" borderId="3" xfId="0" applyNumberFormat="1" applyFont="1" applyFill="1" applyBorder="1" applyAlignment="1">
      <alignment horizontal="center" vertical="center"/>
    </xf>
    <xf numFmtId="17" fontId="5" fillId="3" borderId="1" xfId="0" applyNumberFormat="1" applyFont="1" applyFill="1" applyBorder="1" applyAlignment="1">
      <alignment horizontal="center" vertical="center"/>
    </xf>
    <xf numFmtId="0" fontId="2" fillId="0" borderId="4" xfId="0" applyFont="1" applyBorder="1"/>
    <xf numFmtId="164" fontId="2" fillId="0" borderId="4" xfId="0" applyNumberFormat="1" applyFont="1" applyBorder="1"/>
    <xf numFmtId="0" fontId="3" fillId="0" borderId="4" xfId="0" applyFont="1" applyBorder="1"/>
    <xf numFmtId="164" fontId="3" fillId="0" borderId="4" xfId="0" applyNumberFormat="1" applyFont="1" applyBorder="1"/>
    <xf numFmtId="17" fontId="5" fillId="4" borderId="3" xfId="0" applyNumberFormat="1" applyFont="1" applyFill="1" applyBorder="1" applyAlignment="1">
      <alignment horizontal="center" vertical="center"/>
    </xf>
  </cellXfs>
  <cellStyles count="5">
    <cellStyle name="Millares 10 2" xfId="2" xr:uid="{3CC3E5C3-6C50-40C6-BA6C-1811C0597F2B}"/>
    <cellStyle name="Millares 5 2" xfId="3" xr:uid="{EE3C2375-ADF7-4513-AFE3-643890BBE6AA}"/>
    <cellStyle name="Normal" xfId="0" builtinId="0"/>
    <cellStyle name="Normal 2" xfId="1" xr:uid="{5C8F160D-52CF-410F-BCA6-1584EC27371F}"/>
    <cellStyle name="Normal 3" xfId="4" xr:uid="{E070867A-D341-4434-841B-972EBDFAEEE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57D7-1EBF-4673-9B27-2D1260392222}">
  <sheetPr>
    <pageSetUpPr fitToPage="1"/>
  </sheetPr>
  <dimension ref="B1:AD1017"/>
  <sheetViews>
    <sheetView showGridLines="0" tabSelected="1" zoomScaleNormal="100" workbookViewId="0">
      <selection activeCell="B23" sqref="B23"/>
    </sheetView>
  </sheetViews>
  <sheetFormatPr baseColWidth="10" defaultColWidth="14.42578125" defaultRowHeight="12.75" x14ac:dyDescent="0.2"/>
  <cols>
    <col min="1" max="1" width="3.140625" style="1" customWidth="1"/>
    <col min="2" max="2" width="14.140625" style="1" customWidth="1"/>
    <col min="3" max="3" width="37.5703125" style="1" bestFit="1" customWidth="1"/>
    <col min="4" max="4" width="14.42578125" style="1" customWidth="1"/>
    <col min="5" max="5" width="11.28515625" style="1" customWidth="1"/>
    <col min="6" max="6" width="3" style="1" customWidth="1"/>
    <col min="7" max="26" width="10.7109375" style="1" customWidth="1"/>
    <col min="27" max="16384" width="14.42578125" style="1"/>
  </cols>
  <sheetData>
    <row r="1" spans="2:30" ht="12.75" customHeight="1" x14ac:dyDescent="0.2"/>
    <row r="2" spans="2:30" s="3" customFormat="1" x14ac:dyDescent="0.25">
      <c r="C2" s="4" t="s">
        <v>6</v>
      </c>
      <c r="D2" s="5" t="s">
        <v>7</v>
      </c>
      <c r="E2" s="5" t="s">
        <v>8</v>
      </c>
      <c r="G2" s="12">
        <v>46023</v>
      </c>
      <c r="H2" s="6">
        <v>46023</v>
      </c>
      <c r="I2" s="12">
        <v>46054</v>
      </c>
      <c r="J2" s="6">
        <v>46054</v>
      </c>
      <c r="K2" s="12">
        <v>46082</v>
      </c>
      <c r="L2" s="6">
        <v>46082</v>
      </c>
      <c r="M2" s="12">
        <v>46113</v>
      </c>
      <c r="N2" s="6">
        <v>46113</v>
      </c>
      <c r="O2" s="12">
        <v>46143</v>
      </c>
      <c r="P2" s="6">
        <v>46143</v>
      </c>
      <c r="Q2" s="12">
        <v>46174</v>
      </c>
      <c r="R2" s="6">
        <v>46174</v>
      </c>
      <c r="S2" s="12">
        <v>46204</v>
      </c>
      <c r="T2" s="6">
        <v>46204</v>
      </c>
      <c r="U2" s="12">
        <v>46235</v>
      </c>
      <c r="V2" s="6">
        <v>46235</v>
      </c>
      <c r="W2" s="12">
        <v>46266</v>
      </c>
      <c r="X2" s="6">
        <v>46266</v>
      </c>
      <c r="Y2" s="12">
        <v>46296</v>
      </c>
      <c r="Z2" s="6">
        <v>46296</v>
      </c>
      <c r="AA2" s="12">
        <v>46327</v>
      </c>
      <c r="AB2" s="6">
        <v>46327</v>
      </c>
      <c r="AC2" s="12">
        <v>46357</v>
      </c>
      <c r="AD2" s="7">
        <v>46357</v>
      </c>
    </row>
    <row r="3" spans="2:30" ht="12.75" customHeight="1" x14ac:dyDescent="0.2">
      <c r="B3" s="1" t="s">
        <v>9</v>
      </c>
      <c r="C3" s="8" t="s">
        <v>5</v>
      </c>
      <c r="D3" s="9">
        <v>0</v>
      </c>
      <c r="E3" s="9">
        <f>D3/12</f>
        <v>0</v>
      </c>
    </row>
    <row r="4" spans="2:30" ht="12.75" customHeight="1" x14ac:dyDescent="0.2">
      <c r="B4" s="1" t="s">
        <v>10</v>
      </c>
      <c r="C4" s="8" t="s">
        <v>4</v>
      </c>
      <c r="D4" s="9">
        <v>0</v>
      </c>
      <c r="E4" s="9">
        <f t="shared" ref="E4:E23" si="0">D4/12</f>
        <v>0</v>
      </c>
    </row>
    <row r="5" spans="2:30" ht="12.75" customHeight="1" x14ac:dyDescent="0.2">
      <c r="B5" s="1" t="s">
        <v>11</v>
      </c>
      <c r="C5" s="2" t="s">
        <v>3</v>
      </c>
      <c r="D5" s="9"/>
      <c r="E5" s="9"/>
    </row>
    <row r="6" spans="2:30" ht="12.75" customHeight="1" x14ac:dyDescent="0.2">
      <c r="B6" s="1" t="s">
        <v>13</v>
      </c>
      <c r="C6" s="8" t="s">
        <v>12</v>
      </c>
      <c r="D6" s="9">
        <v>0</v>
      </c>
      <c r="E6" s="9">
        <f t="shared" si="0"/>
        <v>0</v>
      </c>
    </row>
    <row r="7" spans="2:30" ht="12.75" customHeight="1" x14ac:dyDescent="0.2">
      <c r="B7" s="1" t="s">
        <v>15</v>
      </c>
      <c r="C7" s="8" t="s">
        <v>14</v>
      </c>
      <c r="D7" s="9">
        <v>0</v>
      </c>
      <c r="E7" s="9">
        <f t="shared" si="0"/>
        <v>0</v>
      </c>
    </row>
    <row r="8" spans="2:30" ht="12.75" customHeight="1" x14ac:dyDescent="0.2">
      <c r="B8" s="1" t="s">
        <v>17</v>
      </c>
      <c r="C8" s="8" t="s">
        <v>16</v>
      </c>
      <c r="D8" s="9">
        <v>0</v>
      </c>
      <c r="E8" s="9">
        <f t="shared" si="0"/>
        <v>0</v>
      </c>
    </row>
    <row r="9" spans="2:30" ht="12.75" customHeight="1" x14ac:dyDescent="0.2">
      <c r="B9" s="1" t="s">
        <v>19</v>
      </c>
      <c r="C9" s="8" t="s">
        <v>18</v>
      </c>
      <c r="D9" s="9">
        <v>0</v>
      </c>
      <c r="E9" s="9">
        <f t="shared" si="0"/>
        <v>0</v>
      </c>
    </row>
    <row r="10" spans="2:30" ht="12.75" customHeight="1" x14ac:dyDescent="0.2">
      <c r="B10" s="1" t="s">
        <v>21</v>
      </c>
      <c r="C10" s="8" t="s">
        <v>20</v>
      </c>
      <c r="D10" s="9">
        <v>0</v>
      </c>
      <c r="E10" s="9">
        <f t="shared" si="0"/>
        <v>0</v>
      </c>
    </row>
    <row r="11" spans="2:30" ht="12.75" customHeight="1" x14ac:dyDescent="0.2">
      <c r="B11" s="1" t="s">
        <v>23</v>
      </c>
      <c r="C11" s="8" t="s">
        <v>22</v>
      </c>
      <c r="D11" s="9">
        <v>0</v>
      </c>
      <c r="E11" s="9">
        <f t="shared" si="0"/>
        <v>0</v>
      </c>
    </row>
    <row r="12" spans="2:30" ht="12.75" customHeight="1" x14ac:dyDescent="0.2">
      <c r="B12" s="1" t="s">
        <v>25</v>
      </c>
      <c r="C12" s="8" t="s">
        <v>24</v>
      </c>
      <c r="D12" s="9">
        <v>0</v>
      </c>
      <c r="E12" s="9">
        <f t="shared" si="0"/>
        <v>0</v>
      </c>
    </row>
    <row r="13" spans="2:30" ht="12.75" customHeight="1" x14ac:dyDescent="0.2">
      <c r="B13" s="1" t="s">
        <v>27</v>
      </c>
      <c r="C13" s="8" t="s">
        <v>26</v>
      </c>
      <c r="D13" s="9">
        <v>0</v>
      </c>
      <c r="E13" s="9">
        <f t="shared" si="0"/>
        <v>0</v>
      </c>
    </row>
    <row r="14" spans="2:30" ht="12.75" customHeight="1" x14ac:dyDescent="0.2">
      <c r="B14" s="1" t="s">
        <v>29</v>
      </c>
      <c r="C14" s="8" t="s">
        <v>28</v>
      </c>
      <c r="D14" s="9">
        <v>0</v>
      </c>
      <c r="E14" s="9">
        <f t="shared" si="0"/>
        <v>0</v>
      </c>
    </row>
    <row r="15" spans="2:30" ht="12.75" customHeight="1" x14ac:dyDescent="0.2">
      <c r="B15" s="1" t="s">
        <v>31</v>
      </c>
      <c r="C15" s="8" t="s">
        <v>30</v>
      </c>
      <c r="D15" s="9">
        <v>0</v>
      </c>
      <c r="E15" s="9">
        <f t="shared" si="0"/>
        <v>0</v>
      </c>
    </row>
    <row r="16" spans="2:30" ht="12.75" customHeight="1" x14ac:dyDescent="0.2">
      <c r="B16" s="1" t="s">
        <v>32</v>
      </c>
      <c r="C16" s="8" t="s">
        <v>2</v>
      </c>
      <c r="D16" s="9">
        <v>0</v>
      </c>
      <c r="E16" s="9">
        <f t="shared" si="0"/>
        <v>0</v>
      </c>
    </row>
    <row r="17" spans="2:30" ht="12.75" customHeight="1" x14ac:dyDescent="0.2">
      <c r="B17" s="1" t="s">
        <v>34</v>
      </c>
      <c r="C17" s="8" t="s">
        <v>33</v>
      </c>
      <c r="D17" s="9">
        <v>0</v>
      </c>
      <c r="E17" s="9">
        <f t="shared" si="0"/>
        <v>0</v>
      </c>
    </row>
    <row r="18" spans="2:30" ht="12.75" customHeight="1" x14ac:dyDescent="0.2">
      <c r="B18" s="1" t="s">
        <v>35</v>
      </c>
      <c r="C18" s="8" t="s">
        <v>36</v>
      </c>
      <c r="D18" s="9">
        <v>0</v>
      </c>
      <c r="E18" s="9">
        <f t="shared" si="0"/>
        <v>0</v>
      </c>
    </row>
    <row r="19" spans="2:30" ht="12.75" customHeight="1" x14ac:dyDescent="0.2">
      <c r="B19" s="1" t="s">
        <v>37</v>
      </c>
      <c r="C19" s="8" t="s">
        <v>39</v>
      </c>
      <c r="D19" s="9">
        <v>0</v>
      </c>
      <c r="E19" s="9">
        <f t="shared" si="0"/>
        <v>0</v>
      </c>
    </row>
    <row r="20" spans="2:30" ht="12.75" customHeight="1" x14ac:dyDescent="0.2">
      <c r="B20" s="1" t="s">
        <v>38</v>
      </c>
      <c r="C20" s="8" t="s">
        <v>41</v>
      </c>
      <c r="D20" s="9">
        <v>0</v>
      </c>
      <c r="E20" s="9">
        <f t="shared" si="0"/>
        <v>0</v>
      </c>
    </row>
    <row r="21" spans="2:30" ht="12.75" customHeight="1" x14ac:dyDescent="0.2">
      <c r="B21" s="1" t="s">
        <v>40</v>
      </c>
      <c r="C21" s="8" t="s">
        <v>43</v>
      </c>
      <c r="D21" s="9">
        <v>0</v>
      </c>
      <c r="E21" s="9">
        <f t="shared" si="0"/>
        <v>0</v>
      </c>
    </row>
    <row r="22" spans="2:30" ht="12.75" customHeight="1" x14ac:dyDescent="0.2">
      <c r="B22" s="1" t="s">
        <v>42</v>
      </c>
      <c r="C22" s="8" t="s">
        <v>44</v>
      </c>
      <c r="D22" s="9">
        <v>0</v>
      </c>
      <c r="E22" s="9">
        <f t="shared" si="0"/>
        <v>0</v>
      </c>
    </row>
    <row r="23" spans="2:30" ht="12.75" customHeight="1" x14ac:dyDescent="0.2">
      <c r="B23" s="1" t="s">
        <v>45</v>
      </c>
      <c r="C23" s="8" t="s">
        <v>1</v>
      </c>
      <c r="D23" s="9">
        <v>0</v>
      </c>
      <c r="E23" s="9">
        <f t="shared" si="0"/>
        <v>0</v>
      </c>
    </row>
    <row r="24" spans="2:30" ht="12.75" customHeight="1" x14ac:dyDescent="0.2">
      <c r="C24" s="10" t="s">
        <v>0</v>
      </c>
      <c r="D24" s="11">
        <f>SUM(D3:D23)</f>
        <v>0</v>
      </c>
      <c r="E24" s="11">
        <f>SUM(E3:E23)</f>
        <v>0</v>
      </c>
      <c r="G24" s="11">
        <f t="shared" ref="G24:AD24" si="1">SUM(G3:G23)</f>
        <v>0</v>
      </c>
      <c r="H24" s="11">
        <f t="shared" si="1"/>
        <v>0</v>
      </c>
      <c r="I24" s="11">
        <f t="shared" si="1"/>
        <v>0</v>
      </c>
      <c r="J24" s="11">
        <f t="shared" si="1"/>
        <v>0</v>
      </c>
      <c r="K24" s="11">
        <f t="shared" si="1"/>
        <v>0</v>
      </c>
      <c r="L24" s="11">
        <f t="shared" si="1"/>
        <v>0</v>
      </c>
      <c r="M24" s="11">
        <f t="shared" si="1"/>
        <v>0</v>
      </c>
      <c r="N24" s="11">
        <f t="shared" si="1"/>
        <v>0</v>
      </c>
      <c r="O24" s="11">
        <f t="shared" si="1"/>
        <v>0</v>
      </c>
      <c r="P24" s="11">
        <f t="shared" si="1"/>
        <v>0</v>
      </c>
      <c r="Q24" s="11">
        <f t="shared" si="1"/>
        <v>0</v>
      </c>
      <c r="R24" s="11">
        <f t="shared" si="1"/>
        <v>0</v>
      </c>
      <c r="S24" s="11">
        <f t="shared" si="1"/>
        <v>0</v>
      </c>
      <c r="T24" s="11">
        <f t="shared" si="1"/>
        <v>0</v>
      </c>
      <c r="U24" s="11">
        <f t="shared" si="1"/>
        <v>0</v>
      </c>
      <c r="V24" s="11">
        <f t="shared" si="1"/>
        <v>0</v>
      </c>
      <c r="W24" s="11">
        <f t="shared" si="1"/>
        <v>0</v>
      </c>
      <c r="X24" s="11">
        <f t="shared" si="1"/>
        <v>0</v>
      </c>
      <c r="Y24" s="11">
        <f t="shared" si="1"/>
        <v>0</v>
      </c>
      <c r="Z24" s="11">
        <f t="shared" si="1"/>
        <v>0</v>
      </c>
      <c r="AA24" s="11">
        <f t="shared" si="1"/>
        <v>0</v>
      </c>
      <c r="AB24" s="11">
        <f t="shared" si="1"/>
        <v>0</v>
      </c>
      <c r="AC24" s="11">
        <f t="shared" si="1"/>
        <v>0</v>
      </c>
      <c r="AD24" s="11">
        <f t="shared" si="1"/>
        <v>0</v>
      </c>
    </row>
    <row r="25" spans="2:30" ht="12.75" customHeight="1" x14ac:dyDescent="0.2"/>
    <row r="26" spans="2:30" ht="12.75" customHeight="1" x14ac:dyDescent="0.2"/>
    <row r="27" spans="2:30" ht="12.75" customHeight="1" x14ac:dyDescent="0.2"/>
    <row r="28" spans="2:30" ht="12.75" customHeight="1" x14ac:dyDescent="0.2"/>
    <row r="29" spans="2:30" ht="12.75" customHeight="1" x14ac:dyDescent="0.2"/>
    <row r="30" spans="2:30" ht="12.75" customHeight="1" x14ac:dyDescent="0.2"/>
    <row r="31" spans="2:30" ht="12.75" customHeight="1" x14ac:dyDescent="0.2"/>
    <row r="32" spans="2:30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</sheetData>
  <conditionalFormatting sqref="B1 B3:B1048576">
    <cfRule type="duplicateValues" dxfId="1" priority="3"/>
  </conditionalFormatting>
  <conditionalFormatting sqref="B2">
    <cfRule type="duplicateValues" dxfId="0" priority="1"/>
  </conditionalFormatting>
  <pageMargins left="0.75" right="0.75" top="1" bottom="1" header="0" footer="0"/>
  <pageSetup scale="3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Gtos. Corporativos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2025-10-21T21:29:29Z</dcterms:created>
  <dcterms:modified xsi:type="dcterms:W3CDTF">2025-10-22T00:44:30Z</dcterms:modified>
</cp:coreProperties>
</file>