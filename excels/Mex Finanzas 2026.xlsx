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DEF07D77-FFF3-47B5-B6FA-06AFFED9F9BF}" xr6:coauthVersionLast="47" xr6:coauthVersionMax="47" xr10:uidLastSave="{00000000-0000-0000-0000-000000000000}"/>
  <bookViews>
    <workbookView xWindow="20370" yWindow="-4830" windowWidth="29040" windowHeight="15720" activeTab="2" xr2:uid="{4C1F475B-7D32-485F-8092-D98BEA20B8D4}"/>
  </bookViews>
  <sheets>
    <sheet name="Finanzas" sheetId="2" r:id="rId1"/>
    <sheet name="Gastos Generales" sheetId="3" r:id="rId2"/>
    <sheet name="Nómina" sheetId="4" r:id="rId3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4" l="1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K40" i="4"/>
  <c r="J40" i="4"/>
  <c r="I40" i="4"/>
  <c r="H40" i="4"/>
  <c r="G40" i="4"/>
  <c r="F40" i="4"/>
  <c r="E40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Z26" i="3" l="1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AA26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AB29" i="3"/>
  <c r="AA29" i="3"/>
  <c r="AB55" i="3"/>
  <c r="AB54" i="3"/>
  <c r="AB53" i="3"/>
  <c r="AB51" i="3"/>
  <c r="AB20" i="2"/>
  <c r="D40" i="4" l="1"/>
  <c r="AB38" i="4"/>
  <c r="AB37" i="4"/>
  <c r="AB36" i="4"/>
  <c r="D34" i="4"/>
  <c r="AB32" i="4"/>
  <c r="AB31" i="4"/>
  <c r="AB30" i="4"/>
  <c r="D28" i="4"/>
  <c r="AB26" i="4"/>
  <c r="AB25" i="4"/>
  <c r="D23" i="4"/>
  <c r="AB21" i="4"/>
  <c r="AB20" i="4"/>
  <c r="D18" i="4"/>
  <c r="AB16" i="4"/>
  <c r="AB15" i="4"/>
  <c r="AB12" i="4"/>
  <c r="AB11" i="4"/>
  <c r="D13" i="4"/>
  <c r="M42" i="4"/>
  <c r="I42" i="4"/>
  <c r="D8" i="4"/>
  <c r="AB6" i="4"/>
  <c r="AB5" i="4"/>
  <c r="Q52" i="3"/>
  <c r="I52" i="3"/>
  <c r="X52" i="3"/>
  <c r="T52" i="3"/>
  <c r="R52" i="3"/>
  <c r="O52" i="3"/>
  <c r="K52" i="3"/>
  <c r="J52" i="3"/>
  <c r="Z52" i="3"/>
  <c r="V52" i="3"/>
  <c r="S52" i="3"/>
  <c r="P52" i="3"/>
  <c r="N52" i="3"/>
  <c r="L52" i="3"/>
  <c r="H52" i="3"/>
  <c r="F52" i="3"/>
  <c r="D52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Z48" i="3"/>
  <c r="V48" i="3"/>
  <c r="T48" i="3"/>
  <c r="R48" i="3"/>
  <c r="P48" i="3"/>
  <c r="N48" i="3"/>
  <c r="H48" i="3"/>
  <c r="Z21" i="3"/>
  <c r="X21" i="3"/>
  <c r="V21" i="3"/>
  <c r="T21" i="3"/>
  <c r="R21" i="3"/>
  <c r="P21" i="3"/>
  <c r="N21" i="3"/>
  <c r="L21" i="3"/>
  <c r="J21" i="3"/>
  <c r="H21" i="3"/>
  <c r="F21" i="3"/>
  <c r="D21" i="3"/>
  <c r="AB20" i="3"/>
  <c r="AB19" i="3"/>
  <c r="Q21" i="3"/>
  <c r="O21" i="3"/>
  <c r="I21" i="3"/>
  <c r="AB18" i="3"/>
  <c r="Z14" i="3"/>
  <c r="X14" i="3"/>
  <c r="V14" i="3"/>
  <c r="T14" i="3"/>
  <c r="R14" i="3"/>
  <c r="P14" i="3"/>
  <c r="P23" i="3" s="1"/>
  <c r="N14" i="3"/>
  <c r="N23" i="3" s="1"/>
  <c r="L14" i="3"/>
  <c r="J14" i="3"/>
  <c r="H14" i="3"/>
  <c r="F14" i="3"/>
  <c r="D14" i="3"/>
  <c r="AB13" i="3"/>
  <c r="AB12" i="3"/>
  <c r="AB11" i="3"/>
  <c r="AB10" i="3"/>
  <c r="AB9" i="3"/>
  <c r="AB8" i="3"/>
  <c r="AB7" i="3"/>
  <c r="K14" i="3"/>
  <c r="AB6" i="3"/>
  <c r="Q14" i="3"/>
  <c r="I14" i="3"/>
  <c r="AB32" i="2"/>
  <c r="AB31" i="2"/>
  <c r="AB30" i="2"/>
  <c r="AB29" i="2"/>
  <c r="AB28" i="2"/>
  <c r="AB27" i="2"/>
  <c r="AB26" i="2"/>
  <c r="AB25" i="2"/>
  <c r="AB24" i="2"/>
  <c r="AB22" i="2"/>
  <c r="Z12" i="2"/>
  <c r="X12" i="2"/>
  <c r="X15" i="2" s="1"/>
  <c r="AB11" i="2"/>
  <c r="AB12" i="2" s="1"/>
  <c r="Z8" i="2"/>
  <c r="X8" i="2"/>
  <c r="AB7" i="2"/>
  <c r="AB8" i="2" s="1"/>
  <c r="K42" i="4" l="1"/>
  <c r="O42" i="4"/>
  <c r="Q42" i="4"/>
  <c r="AB52" i="3"/>
  <c r="Z23" i="3"/>
  <c r="Q23" i="3"/>
  <c r="X23" i="3"/>
  <c r="F56" i="3"/>
  <c r="AB21" i="3"/>
  <c r="T23" i="3"/>
  <c r="J23" i="3"/>
  <c r="R23" i="3"/>
  <c r="X56" i="3"/>
  <c r="I23" i="3"/>
  <c r="V42" i="4"/>
  <c r="K34" i="2"/>
  <c r="K37" i="2" s="1"/>
  <c r="S34" i="2"/>
  <c r="S37" i="2" s="1"/>
  <c r="F23" i="3"/>
  <c r="L23" i="3"/>
  <c r="V56" i="3"/>
  <c r="G52" i="3"/>
  <c r="R42" i="4"/>
  <c r="H23" i="3"/>
  <c r="M21" i="3"/>
  <c r="Q56" i="3"/>
  <c r="X42" i="4"/>
  <c r="U14" i="3"/>
  <c r="E34" i="2"/>
  <c r="E37" i="2" s="1"/>
  <c r="M34" i="2"/>
  <c r="M37" i="2" s="1"/>
  <c r="U34" i="2"/>
  <c r="U37" i="2" s="1"/>
  <c r="D34" i="2"/>
  <c r="D37" i="2" s="1"/>
  <c r="L34" i="2"/>
  <c r="L37" i="2" s="1"/>
  <c r="T34" i="2"/>
  <c r="T37" i="2" s="1"/>
  <c r="V23" i="3"/>
  <c r="AB26" i="3"/>
  <c r="AB48" i="3" s="1"/>
  <c r="S56" i="3"/>
  <c r="J56" i="3"/>
  <c r="Z56" i="3"/>
  <c r="E14" i="3"/>
  <c r="AB23" i="2"/>
  <c r="Z34" i="2"/>
  <c r="M14" i="3"/>
  <c r="D23" i="3"/>
  <c r="AB31" i="3"/>
  <c r="L56" i="3"/>
  <c r="P56" i="3"/>
  <c r="M52" i="3"/>
  <c r="J34" i="2"/>
  <c r="J37" i="2" s="1"/>
  <c r="R34" i="2"/>
  <c r="R37" i="2" s="1"/>
  <c r="N34" i="2"/>
  <c r="N37" i="2" s="1"/>
  <c r="V34" i="2"/>
  <c r="V37" i="2" s="1"/>
  <c r="G34" i="2"/>
  <c r="G37" i="2" s="1"/>
  <c r="O34" i="2"/>
  <c r="O37" i="2" s="1"/>
  <c r="X34" i="2"/>
  <c r="X37" i="2" s="1"/>
  <c r="F48" i="3"/>
  <c r="I56" i="3"/>
  <c r="N56" i="3"/>
  <c r="AB33" i="4"/>
  <c r="K56" i="3"/>
  <c r="H56" i="3"/>
  <c r="L42" i="4"/>
  <c r="AB15" i="2"/>
  <c r="Q34" i="2"/>
  <c r="Q37" i="2" s="1"/>
  <c r="P34" i="2"/>
  <c r="P37" i="2" s="1"/>
  <c r="AB33" i="2"/>
  <c r="S14" i="3"/>
  <c r="R56" i="3"/>
  <c r="S42" i="4"/>
  <c r="E21" i="3"/>
  <c r="U21" i="3"/>
  <c r="O56" i="3"/>
  <c r="T56" i="3"/>
  <c r="U52" i="3"/>
  <c r="U56" i="3" s="1"/>
  <c r="G42" i="4"/>
  <c r="U42" i="4"/>
  <c r="I34" i="2"/>
  <c r="I37" i="2" s="1"/>
  <c r="O14" i="3"/>
  <c r="O23" i="3" s="1"/>
  <c r="AB30" i="3"/>
  <c r="J42" i="4"/>
  <c r="Z42" i="4"/>
  <c r="U48" i="3"/>
  <c r="S21" i="3"/>
  <c r="Q48" i="3"/>
  <c r="M56" i="3"/>
  <c r="F42" i="4"/>
  <c r="G48" i="3"/>
  <c r="O48" i="3"/>
  <c r="X48" i="3"/>
  <c r="S48" i="3"/>
  <c r="P42" i="4"/>
  <c r="AB18" i="4"/>
  <c r="M48" i="3"/>
  <c r="G14" i="3"/>
  <c r="AB14" i="3"/>
  <c r="AB28" i="4"/>
  <c r="D42" i="4"/>
  <c r="AB8" i="4"/>
  <c r="T42" i="4"/>
  <c r="Z15" i="2"/>
  <c r="Z37" i="2" s="1"/>
  <c r="F34" i="2"/>
  <c r="F37" i="2" s="1"/>
  <c r="AB21" i="2"/>
  <c r="AB34" i="2" s="1"/>
  <c r="AB37" i="2" s="1"/>
  <c r="K21" i="3"/>
  <c r="K23" i="3" s="1"/>
  <c r="I48" i="3"/>
  <c r="G56" i="3"/>
  <c r="AB13" i="4"/>
  <c r="K48" i="3"/>
  <c r="H34" i="2"/>
  <c r="H37" i="2" s="1"/>
  <c r="G21" i="3"/>
  <c r="N42" i="4"/>
  <c r="AB23" i="4"/>
  <c r="AB40" i="4"/>
  <c r="J48" i="3"/>
  <c r="E52" i="3"/>
  <c r="E56" i="3" s="1"/>
  <c r="AB39" i="4"/>
  <c r="D48" i="3"/>
  <c r="L48" i="3"/>
  <c r="AB10" i="4"/>
  <c r="AB34" i="4"/>
  <c r="AB58" i="3"/>
  <c r="E42" i="4"/>
  <c r="AB7" i="4"/>
  <c r="AB17" i="4"/>
  <c r="AB22" i="4"/>
  <c r="AB27" i="4"/>
  <c r="AB23" i="3" l="1"/>
  <c r="AB56" i="3"/>
  <c r="F62" i="3"/>
  <c r="M23" i="3"/>
  <c r="M62" i="3" s="1"/>
  <c r="U23" i="3"/>
  <c r="U62" i="3" s="1"/>
  <c r="E23" i="3"/>
  <c r="S23" i="3"/>
  <c r="S62" i="3" s="1"/>
  <c r="I62" i="3"/>
  <c r="Q62" i="3"/>
  <c r="D56" i="3"/>
  <c r="D62" i="3" s="1"/>
  <c r="AB28" i="3"/>
  <c r="G23" i="3"/>
  <c r="G62" i="3" s="1"/>
  <c r="H62" i="3"/>
  <c r="H42" i="4"/>
  <c r="K62" i="3"/>
  <c r="AB27" i="3"/>
  <c r="AB42" i="4"/>
  <c r="E48" i="3"/>
  <c r="O62" i="3"/>
  <c r="E62" i="3" l="1"/>
  <c r="L62" i="3"/>
  <c r="J62" i="3"/>
  <c r="N62" i="3" l="1"/>
  <c r="P62" i="3" l="1"/>
  <c r="R62" i="3" l="1"/>
  <c r="T62" i="3" l="1"/>
  <c r="V62" i="3" l="1"/>
  <c r="X62" i="3" l="1"/>
  <c r="Z62" i="3" l="1"/>
  <c r="AB60" i="3"/>
  <c r="AB6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Bustillos</author>
    <author>Gerardo Lopez</author>
    <author>Victoria Garcia</author>
  </authors>
  <commentList>
    <comment ref="C33" authorId="0" shapeId="0" xr:uid="{A6D75559-14E7-4DDF-809E-D87CF6C8096E}">
      <text>
        <r>
          <rPr>
            <b/>
            <sz val="9"/>
            <color indexed="81"/>
            <rFont val="Tahoma"/>
            <family val="2"/>
          </rPr>
          <t>Ana Bustillos:</t>
        </r>
        <r>
          <rPr>
            <sz val="9"/>
            <color indexed="81"/>
            <rFont val="Tahoma"/>
            <family val="2"/>
          </rPr>
          <t xml:space="preserve">
Incluye fumigación, máquina de café, reparaciones diversas y lavado de alfombras.</t>
        </r>
      </text>
    </comment>
    <comment ref="C34" authorId="0" shapeId="0" xr:uid="{0B6AD020-7702-4ACF-B1D1-75588C0A6060}">
      <text>
        <r>
          <rPr>
            <b/>
            <sz val="9"/>
            <color indexed="81"/>
            <rFont val="Tahoma"/>
            <family val="2"/>
          </rPr>
          <t>$39K Mantenimiento Pantalla, $19K fumigación, $110K aire acondicionado, $50K Varios (Pintura, detalles)</t>
        </r>
      </text>
    </comment>
    <comment ref="C35" authorId="0" shapeId="0" xr:uid="{033650BE-57F3-4D26-BB8E-65631029246C}">
      <text>
        <r>
          <rPr>
            <b/>
            <sz val="9"/>
            <color indexed="81"/>
            <rFont val="Tahoma"/>
            <family val="2"/>
          </rPr>
          <t>Ana Bustillos:</t>
        </r>
        <r>
          <rPr>
            <sz val="9"/>
            <color indexed="81"/>
            <rFont val="Tahoma"/>
            <family val="2"/>
          </rPr>
          <t xml:space="preserve">
Incluye AA $150K, extinguidores $16K, limpieza $204K, mtto. Edificio $251K</t>
        </r>
      </text>
    </comment>
    <comment ref="B37" authorId="1" shapeId="0" xr:uid="{E2D185F6-3387-4DB8-B103-687F3740BF8F}">
      <text>
        <r>
          <rPr>
            <b/>
            <sz val="9"/>
            <color indexed="81"/>
            <rFont val="Tahoma"/>
            <family val="2"/>
          </rPr>
          <t>(-) Almacenaje de archivo Gastos Corporativos</t>
        </r>
      </text>
    </comment>
    <comment ref="C39" authorId="1" shapeId="0" xr:uid="{0B1A7ED8-1DA8-4C69-90D9-9E801B2F3739}">
      <text>
        <r>
          <rPr>
            <sz val="9"/>
            <color indexed="81"/>
            <rFont val="Tahoma"/>
            <family val="2"/>
          </rPr>
          <t>$42K Capsulas, $9K Purificador de agua, $25K Insumos oficina, $4K Medicinas</t>
        </r>
      </text>
    </comment>
    <comment ref="C40" authorId="2" shapeId="0" xr:uid="{267BA25F-BDB9-411A-A0DF-5858E1EBA6EF}">
      <text>
        <r>
          <rPr>
            <b/>
            <sz val="9"/>
            <color indexed="81"/>
            <rFont val="Tahoma"/>
            <family val="2"/>
          </rPr>
          <t>-Gastos Corporativos (Letra) 13, 14, 16, 17 y 27 - GG 56 (Amort. CRM)
Nota: Considerar 901-010-016-00 y 901-010-11-00 en Gtos. Corporativos.
Nota: Restar 901-010-006-00 Amortización.</t>
        </r>
      </text>
    </comment>
    <comment ref="C41" authorId="0" shapeId="0" xr:uid="{9E1E079F-4E86-4711-AB46-1C5DCCC87031}">
      <text>
        <r>
          <rPr>
            <b/>
            <sz val="9"/>
            <color indexed="81"/>
            <rFont val="Tahoma"/>
            <family val="2"/>
          </rPr>
          <t>$15K Comida fin de año, $62 vales navideños, $40K regalos fin de año
$15K Diversos (Tarjetas accesos nvas. a oficina, vasos, tazas, etc.)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B1" authorId="0" shapeId="0" xr:uid="{54A40357-1C8F-47C0-83F2-D72F985E6F98}">
      <text>
        <r>
          <rPr>
            <b/>
            <sz val="9"/>
            <color indexed="81"/>
            <rFont val="Tahoma"/>
            <family val="2"/>
          </rPr>
          <t>Adicionar un registro contable para separar la parte corporativa que se queda en CDMX, mandarla a Gastos corporativos. - Mismo caso en MTY</t>
        </r>
      </text>
    </comment>
    <comment ref="B8" authorId="0" shapeId="0" xr:uid="{EE0FB1B2-044A-496C-81C8-2ECB6733DC60}">
      <text>
        <r>
          <rPr>
            <b/>
            <sz val="9"/>
            <color indexed="81"/>
            <rFont val="Tahoma"/>
            <family val="2"/>
          </rPr>
          <t>(-) Comisiones KAM´s en pestaña DN</t>
        </r>
      </text>
    </comment>
    <comment ref="B23" authorId="0" shapeId="0" xr:uid="{46510EEE-6336-463C-8B61-F531FD398F0E}">
      <text>
        <r>
          <rPr>
            <b/>
            <sz val="9"/>
            <color indexed="81"/>
            <rFont val="Tahoma"/>
            <family val="2"/>
          </rPr>
          <t>(-) Comisiones Economex en pestaña de Comités</t>
        </r>
      </text>
    </comment>
    <comment ref="C37" authorId="0" shapeId="0" xr:uid="{2F78896A-499C-41CA-B761-2CD9044098E5}">
      <text>
        <r>
          <rPr>
            <b/>
            <sz val="9"/>
            <color indexed="81"/>
            <rFont val="Tahoma"/>
            <family val="2"/>
          </rPr>
          <t>3 meses para 2025 // $693,240.32 considerado en Sueldos Corporativos</t>
        </r>
      </text>
    </comment>
  </commentList>
</comments>
</file>

<file path=xl/sharedStrings.xml><?xml version="1.0" encoding="utf-8"?>
<sst xmlns="http://schemas.openxmlformats.org/spreadsheetml/2006/main" count="166" uniqueCount="145">
  <si>
    <t>Ingresos</t>
  </si>
  <si>
    <t>Ingresos Admon y Finanzas</t>
  </si>
  <si>
    <t xml:space="preserve">Suma de Ingresos Admon y Finanzas </t>
  </si>
  <si>
    <t>Gastos Admon y Finanzas</t>
  </si>
  <si>
    <t>Ver Gastos Generales</t>
  </si>
  <si>
    <t xml:space="preserve"> </t>
  </si>
  <si>
    <t xml:space="preserve">Suma de Gastos Admon y Finanzas </t>
  </si>
  <si>
    <t xml:space="preserve">Resultado Operativo Admon y Finanzas </t>
  </si>
  <si>
    <t>Gastos Administrativos</t>
  </si>
  <si>
    <t>801-005-001-00</t>
  </si>
  <si>
    <t xml:space="preserve">Teléfono Móvil </t>
  </si>
  <si>
    <t>801-005-004-00</t>
  </si>
  <si>
    <t xml:space="preserve">Mantenimiento de Automóvil </t>
  </si>
  <si>
    <t>801-005-003-00</t>
  </si>
  <si>
    <t xml:space="preserve">Gasolina </t>
  </si>
  <si>
    <t>801-005-010-00</t>
  </si>
  <si>
    <t>Becarios</t>
  </si>
  <si>
    <t>801-005-005-00</t>
  </si>
  <si>
    <t>Pasajes y taxis</t>
  </si>
  <si>
    <t>801-005-006-00</t>
  </si>
  <si>
    <t>Estacionamientos</t>
  </si>
  <si>
    <t>801-005-011-00</t>
  </si>
  <si>
    <t>Impresión Tarjetas</t>
  </si>
  <si>
    <t>801-005-008-00</t>
  </si>
  <si>
    <t>Suscripciones y varios</t>
  </si>
  <si>
    <t>801-005-017-00</t>
  </si>
  <si>
    <t>Gastos de viaje</t>
  </si>
  <si>
    <t>801-005-012-00</t>
  </si>
  <si>
    <t>Gastos varios</t>
  </si>
  <si>
    <t>801-005-013-00</t>
  </si>
  <si>
    <t>No deducibles</t>
  </si>
  <si>
    <t>801-005-015-00</t>
  </si>
  <si>
    <t>PAPELERIA Y ARTICULOS DE OFICINA</t>
  </si>
  <si>
    <t>801-005-009-00</t>
  </si>
  <si>
    <t>SERVICIOS ADMINISTRATIVOS (PERSONAL)</t>
  </si>
  <si>
    <t>801-005-007-00</t>
  </si>
  <si>
    <t>HERRAMIENTAS TELE-TRABAJO</t>
  </si>
  <si>
    <t>Suma Gastos Administrativos</t>
  </si>
  <si>
    <t xml:space="preserve">Resultado Admon y Finanzas </t>
  </si>
  <si>
    <t>GASTOS GENERALES</t>
  </si>
  <si>
    <t>Otros ingresos</t>
  </si>
  <si>
    <t>414-000-000-00</t>
  </si>
  <si>
    <t>Rendimientos de Inversión</t>
  </si>
  <si>
    <t>418-000-000-00</t>
  </si>
  <si>
    <t>Plusvalía/Minusvalía Portafolio de Inversiones</t>
  </si>
  <si>
    <t>413-014-001-00</t>
  </si>
  <si>
    <t>Renta oficinas Reforma</t>
  </si>
  <si>
    <t>413-006-000-00</t>
  </si>
  <si>
    <t>Vta. De activo fijo</t>
  </si>
  <si>
    <t>413-001-000-00</t>
  </si>
  <si>
    <t>Regalias</t>
  </si>
  <si>
    <t>413-002-000-00</t>
  </si>
  <si>
    <t>Miscelaneos</t>
  </si>
  <si>
    <t>413-003-000-00</t>
  </si>
  <si>
    <t>Trade &amp; Investment Center</t>
  </si>
  <si>
    <t>413-007-000-00</t>
  </si>
  <si>
    <t>Suma Otros Ingresos</t>
  </si>
  <si>
    <t>Gastos Financieros</t>
  </si>
  <si>
    <t>416-000-000-00</t>
  </si>
  <si>
    <t>Utilidad cambiaria</t>
  </si>
  <si>
    <t>901-096-000-00</t>
  </si>
  <si>
    <t>Pérdida cambiaria</t>
  </si>
  <si>
    <t>901-020-000-00</t>
  </si>
  <si>
    <t>Gtos Financieros (comisiones)</t>
  </si>
  <si>
    <t>Suma Gastos Financieros</t>
  </si>
  <si>
    <t>Otros Ingresos vs Gastos</t>
  </si>
  <si>
    <t>Gastos Generales</t>
  </si>
  <si>
    <t>901-001-001-00</t>
  </si>
  <si>
    <t>Tota Play internet inalámbrico</t>
  </si>
  <si>
    <t>Oficinas</t>
  </si>
  <si>
    <t>Biblioteca AmCham</t>
  </si>
  <si>
    <t>Energía Eléctrica</t>
  </si>
  <si>
    <t>901-022-000-00</t>
  </si>
  <si>
    <t>Agua</t>
  </si>
  <si>
    <t>901-009-001-00</t>
  </si>
  <si>
    <t xml:space="preserve">Matto. de Local </t>
  </si>
  <si>
    <t>Matto. de Biblioteca</t>
  </si>
  <si>
    <t>901-009-002-00</t>
  </si>
  <si>
    <t>Pólizas de Mantenimiento</t>
  </si>
  <si>
    <t>901-021-000-00</t>
  </si>
  <si>
    <t>Predial oficinas Reforma 295</t>
  </si>
  <si>
    <t>901-016-002-00</t>
  </si>
  <si>
    <t>Papeleria Oficina y Almacén</t>
  </si>
  <si>
    <t>901-016-004-00</t>
  </si>
  <si>
    <t>Servicio de Mensajeria Fedex</t>
  </si>
  <si>
    <t>901-013-007-00</t>
  </si>
  <si>
    <t>Artículos de Limpieza y cafetería</t>
  </si>
  <si>
    <t>901-010-000-00</t>
  </si>
  <si>
    <t>Matto. Equipo de Computo y Red</t>
  </si>
  <si>
    <t>901-016-006-00</t>
  </si>
  <si>
    <t>Gtos Diversos/Eventos internos</t>
  </si>
  <si>
    <t>901-099-000-00</t>
  </si>
  <si>
    <t>Ajustes y diferencias</t>
  </si>
  <si>
    <t>901-014-002-00</t>
  </si>
  <si>
    <t>Gastos Extraordinarios</t>
  </si>
  <si>
    <t>901-014-007-00</t>
  </si>
  <si>
    <t>Otros gastos de operación no presupuestados</t>
  </si>
  <si>
    <t>901-014-003-00</t>
  </si>
  <si>
    <t>Dif. De impuestos de ejercicios anteriores</t>
  </si>
  <si>
    <t>901-017-000-00</t>
  </si>
  <si>
    <t>IVA  a Prorrata No Acreditable</t>
  </si>
  <si>
    <t>901-098-000-00</t>
  </si>
  <si>
    <t>No Deducibles</t>
  </si>
  <si>
    <t>Suma de Gastos Generales</t>
  </si>
  <si>
    <t>Depreciaciones y Amortizaciones</t>
  </si>
  <si>
    <t>901-004-000-00</t>
  </si>
  <si>
    <t>Depreciaciones de equipo</t>
  </si>
  <si>
    <t>Amortizaciones</t>
  </si>
  <si>
    <t>901-005-002-00</t>
  </si>
  <si>
    <t>Gastos de instalación oficina/BA</t>
  </si>
  <si>
    <t>901-005-004-00</t>
  </si>
  <si>
    <t>Software Activo fijo</t>
  </si>
  <si>
    <t>CRM</t>
  </si>
  <si>
    <t>Suma Depreciaciones y Amortizaciones</t>
  </si>
  <si>
    <t>Gastos Corporativos CdMx</t>
  </si>
  <si>
    <t>902-000-000-00</t>
  </si>
  <si>
    <t>Member Centricity</t>
  </si>
  <si>
    <t>Total GA CdMx</t>
  </si>
  <si>
    <t>Nómina</t>
  </si>
  <si>
    <t>Sueldos DN</t>
  </si>
  <si>
    <t>Corporativo</t>
  </si>
  <si>
    <t>Indem. y Prima de Ant.</t>
  </si>
  <si>
    <t>517-000-000-00</t>
  </si>
  <si>
    <t>Suma</t>
  </si>
  <si>
    <t>Sueldos Servicios a la membresia</t>
  </si>
  <si>
    <t>515-000-000-00</t>
  </si>
  <si>
    <t>Sueldos eventos</t>
  </si>
  <si>
    <t>518-000-000-00</t>
  </si>
  <si>
    <t>Sueldos Comités</t>
  </si>
  <si>
    <t>516-000-000-00</t>
  </si>
  <si>
    <t>Sueldos Comunicación</t>
  </si>
  <si>
    <t>519-000-000-00</t>
  </si>
  <si>
    <t>Sueldos Admon y Finanzas</t>
  </si>
  <si>
    <t>Sueldos RH</t>
  </si>
  <si>
    <t>514-000-000-00</t>
  </si>
  <si>
    <t>Sueldos VPE</t>
  </si>
  <si>
    <t>Bono anual  VPE</t>
  </si>
  <si>
    <t>513-000-000-00</t>
  </si>
  <si>
    <t>DIRECCIÓN DE ADMON Y FINANZAS</t>
  </si>
  <si>
    <t>903-000-000-00</t>
  </si>
  <si>
    <t>901-005-001-00</t>
  </si>
  <si>
    <t>901-002-001-00</t>
  </si>
  <si>
    <t>901-002-002-00</t>
  </si>
  <si>
    <t>901-001-002-00</t>
  </si>
  <si>
    <t>901-009-003-00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</si>
</sst>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i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sz val="9"/>
      <color indexed="81"/>
      <name val="Tahoma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43" fontId="4" fillId="0" borderId="0" xfId="1" applyFont="1"/>
    <xf numFmtId="43" fontId="2" fillId="0" borderId="0" xfId="1" applyFont="1"/>
    <xf numFmtId="17" fontId="5" fillId="5" borderId="4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0" borderId="0" xfId="0" applyFont="1"/>
    <xf numFmtId="43" fontId="6" fillId="0" borderId="0" xfId="1" applyFont="1"/>
    <xf numFmtId="43" fontId="7" fillId="0" borderId="0" xfId="1" applyFont="1" applyFill="1" applyAlignment="1">
      <alignment horizontal="center"/>
    </xf>
    <xf numFmtId="164" fontId="2" fillId="0" borderId="0" xfId="1" applyNumberFormat="1" applyFont="1" applyFill="1"/>
    <xf numFmtId="164" fontId="2" fillId="0" borderId="0" xfId="1" applyNumberFormat="1" applyFont="1"/>
    <xf numFmtId="0" fontId="4" fillId="0" borderId="0" xfId="0" applyFont="1"/>
    <xf numFmtId="0" fontId="8" fillId="6" borderId="5" xfId="0" applyFont="1" applyFill="1" applyBorder="1"/>
    <xf numFmtId="164" fontId="5" fillId="6" borderId="6" xfId="1" applyNumberFormat="1" applyFont="1" applyFill="1" applyBorder="1"/>
    <xf numFmtId="164" fontId="5" fillId="6" borderId="7" xfId="1" applyNumberFormat="1" applyFont="1" applyFill="1" applyBorder="1"/>
    <xf numFmtId="38" fontId="2" fillId="0" borderId="0" xfId="0" applyNumberFormat="1" applyFont="1"/>
    <xf numFmtId="164" fontId="2" fillId="0" borderId="0" xfId="7" applyNumberFormat="1" applyFont="1" applyFill="1"/>
    <xf numFmtId="43" fontId="4" fillId="0" borderId="0" xfId="8" applyFont="1"/>
    <xf numFmtId="3" fontId="2" fillId="0" borderId="0" xfId="1" applyNumberFormat="1" applyFont="1" applyBorder="1"/>
    <xf numFmtId="0" fontId="5" fillId="6" borderId="5" xfId="0" applyFont="1" applyFill="1" applyBorder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64" fontId="6" fillId="2" borderId="0" xfId="1" applyNumberFormat="1" applyFont="1" applyFill="1"/>
    <xf numFmtId="164" fontId="2" fillId="2" borderId="0" xfId="1" applyNumberFormat="1" applyFont="1" applyFill="1"/>
    <xf numFmtId="0" fontId="2" fillId="0" borderId="0" xfId="0" applyFont="1" applyAlignment="1">
      <alignment horizontal="left"/>
    </xf>
    <xf numFmtId="164" fontId="6" fillId="0" borderId="0" xfId="1" applyNumberFormat="1" applyFont="1"/>
    <xf numFmtId="0" fontId="9" fillId="0" borderId="0" xfId="0" applyFont="1"/>
    <xf numFmtId="38" fontId="4" fillId="0" borderId="0" xfId="0" applyNumberFormat="1" applyFont="1"/>
    <xf numFmtId="9" fontId="4" fillId="0" borderId="0" xfId="2" applyFont="1"/>
    <xf numFmtId="0" fontId="2" fillId="3" borderId="0" xfId="0" applyFont="1" applyFill="1"/>
    <xf numFmtId="0" fontId="5" fillId="3" borderId="0" xfId="0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164" fontId="2" fillId="3" borderId="0" xfId="1" applyNumberFormat="1" applyFont="1" applyFill="1"/>
    <xf numFmtId="43" fontId="7" fillId="0" borderId="0" xfId="1" applyFont="1" applyFill="1" applyBorder="1" applyAlignment="1">
      <alignment horizontal="center"/>
    </xf>
    <xf numFmtId="43" fontId="2" fillId="0" borderId="0" xfId="1" applyFont="1" applyFill="1"/>
    <xf numFmtId="164" fontId="4" fillId="3" borderId="0" xfId="1" applyNumberFormat="1" applyFont="1" applyFill="1" applyBorder="1"/>
    <xf numFmtId="164" fontId="4" fillId="3" borderId="2" xfId="1" applyNumberFormat="1" applyFont="1" applyFill="1" applyBorder="1"/>
    <xf numFmtId="3" fontId="2" fillId="3" borderId="0" xfId="1" applyNumberFormat="1" applyFont="1" applyFill="1"/>
    <xf numFmtId="164" fontId="2" fillId="0" borderId="0" xfId="0" applyNumberFormat="1" applyFont="1"/>
    <xf numFmtId="164" fontId="9" fillId="3" borderId="0" xfId="1" applyNumberFormat="1" applyFont="1" applyFill="1"/>
    <xf numFmtId="38" fontId="4" fillId="3" borderId="0" xfId="0" applyNumberFormat="1" applyFont="1" applyFill="1"/>
    <xf numFmtId="164" fontId="2" fillId="3" borderId="0" xfId="0" applyNumberFormat="1" applyFont="1" applyFill="1"/>
    <xf numFmtId="0" fontId="7" fillId="0" borderId="0" xfId="0" applyFont="1" applyAlignment="1">
      <alignment horizontal="left"/>
    </xf>
    <xf numFmtId="3" fontId="2" fillId="3" borderId="0" xfId="0" applyNumberFormat="1" applyFont="1" applyFill="1"/>
    <xf numFmtId="1" fontId="2" fillId="3" borderId="0" xfId="0" applyNumberFormat="1" applyFont="1" applyFill="1"/>
    <xf numFmtId="165" fontId="2" fillId="3" borderId="0" xfId="0" applyNumberFormat="1" applyFont="1" applyFill="1"/>
    <xf numFmtId="164" fontId="2" fillId="3" borderId="3" xfId="1" applyNumberFormat="1" applyFont="1" applyFill="1" applyBorder="1"/>
    <xf numFmtId="164" fontId="2" fillId="0" borderId="3" xfId="1" applyNumberFormat="1" applyFont="1" applyFill="1" applyBorder="1"/>
    <xf numFmtId="0" fontId="10" fillId="0" borderId="0" xfId="0" applyFont="1"/>
    <xf numFmtId="164" fontId="10" fillId="3" borderId="0" xfId="1" applyNumberFormat="1" applyFont="1" applyFill="1"/>
    <xf numFmtId="164" fontId="10" fillId="0" borderId="0" xfId="1" applyNumberFormat="1" applyFont="1" applyFill="1"/>
    <xf numFmtId="164" fontId="10" fillId="0" borderId="0" xfId="1" applyNumberFormat="1" applyFont="1"/>
    <xf numFmtId="164" fontId="9" fillId="0" borderId="0" xfId="1" applyNumberFormat="1" applyFont="1"/>
    <xf numFmtId="164" fontId="9" fillId="0" borderId="0" xfId="1" applyNumberFormat="1" applyFont="1" applyFill="1"/>
    <xf numFmtId="164" fontId="6" fillId="0" borderId="0" xfId="1" applyNumberFormat="1" applyFont="1" applyFill="1"/>
    <xf numFmtId="0" fontId="10" fillId="3" borderId="0" xfId="0" applyFont="1" applyFill="1"/>
    <xf numFmtId="164" fontId="10" fillId="0" borderId="0" xfId="0" applyNumberFormat="1" applyFont="1"/>
    <xf numFmtId="0" fontId="4" fillId="3" borderId="0" xfId="0" applyFont="1" applyFill="1"/>
    <xf numFmtId="164" fontId="6" fillId="0" borderId="0" xfId="9" applyNumberFormat="1" applyFont="1"/>
    <xf numFmtId="164" fontId="6" fillId="0" borderId="0" xfId="9" applyNumberFormat="1" applyFont="1" applyFill="1"/>
    <xf numFmtId="164" fontId="12" fillId="0" borderId="8" xfId="1" applyNumberFormat="1" applyFont="1" applyFill="1" applyBorder="1"/>
    <xf numFmtId="164" fontId="12" fillId="0" borderId="0" xfId="1" applyNumberFormat="1" applyFont="1" applyFill="1" applyBorder="1"/>
    <xf numFmtId="164" fontId="12" fillId="0" borderId="2" xfId="1" applyNumberFormat="1" applyFont="1" applyFill="1" applyBorder="1"/>
    <xf numFmtId="43" fontId="6" fillId="0" borderId="0" xfId="0" applyNumberFormat="1" applyFont="1"/>
    <xf numFmtId="164" fontId="4" fillId="0" borderId="0" xfId="1" applyNumberFormat="1" applyFont="1" applyFill="1" applyBorder="1"/>
    <xf numFmtId="17" fontId="5" fillId="7" borderId="4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6" fillId="4" borderId="0" xfId="0" applyFont="1" applyFill="1"/>
  </cellXfs>
  <cellStyles count="10">
    <cellStyle name="Millares" xfId="1" builtinId="3"/>
    <cellStyle name="Millares 10" xfId="9" xr:uid="{CB5C52D5-2996-4122-98E4-E664D469841F}"/>
    <cellStyle name="Millares 10 2" xfId="4" xr:uid="{53B09F10-D419-4585-B8DF-31755C03E961}"/>
    <cellStyle name="Millares 2 2" xfId="8" xr:uid="{CE6F89CE-39B8-4D66-B27A-C9A6AD01EBD1}"/>
    <cellStyle name="Millares 5 2" xfId="6" xr:uid="{99CB3CD4-7E4C-49CF-847A-A50B2600B0F2}"/>
    <cellStyle name="Millares 6" xfId="7" xr:uid="{48DFFF22-155C-4C6B-A9BF-D99311648DC7}"/>
    <cellStyle name="Normal" xfId="0" builtinId="0"/>
    <cellStyle name="Normal 2" xfId="3" xr:uid="{1EF84D6D-FCDE-4BE8-8878-00F45BD87AF9}"/>
    <cellStyle name="Normal 3" xfId="5" xr:uid="{A570895F-385A-4B25-AC1A-4448515A629E}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0682-A9C3-4CF5-84E0-62B2F87D1B22}">
  <dimension ref="B2:AC37"/>
  <sheetViews>
    <sheetView showGridLines="0" zoomScale="120" zoomScaleNormal="120" zoomScalePageLayoutView="150" workbookViewId="0">
      <pane xSplit="3" ySplit="3" topLeftCell="D4" activePane="bottomRight" state="frozen"/>
      <selection activeCell="BN26" sqref="BN26"/>
      <selection pane="topRight" activeCell="BN26" sqref="BN26"/>
      <selection pane="bottomLeft" activeCell="BN26" sqref="BN26"/>
      <selection pane="bottomRight" activeCell="AB21" sqref="AB21"/>
    </sheetView>
  </sheetViews>
  <sheetFormatPr baseColWidth="10" defaultColWidth="11.5703125" defaultRowHeight="12.75" x14ac:dyDescent="0.2"/>
  <cols>
    <col min="1" max="1" width="2.5703125" style="6" customWidth="1"/>
    <col min="2" max="2" width="15" style="1" customWidth="1"/>
    <col min="3" max="3" width="37.7109375" style="6" bestFit="1" customWidth="1"/>
    <col min="4" max="5" width="8.7109375" style="6" customWidth="1"/>
    <col min="6" max="6" width="10" style="6" bestFit="1" customWidth="1"/>
    <col min="7" max="7" width="10" style="6" customWidth="1"/>
    <col min="8" max="8" width="11.140625" style="6" bestFit="1" customWidth="1"/>
    <col min="9" max="9" width="11.140625" style="6" customWidth="1"/>
    <col min="10" max="11" width="8.7109375" style="6" customWidth="1"/>
    <col min="12" max="13" width="10.28515625" style="6" customWidth="1"/>
    <col min="14" max="14" width="10" style="6" bestFit="1" customWidth="1"/>
    <col min="15" max="19" width="10" style="6" customWidth="1"/>
    <col min="20" max="23" width="9.42578125" style="6" customWidth="1"/>
    <col min="24" max="25" width="8.7109375" style="6" customWidth="1"/>
    <col min="26" max="27" width="11.42578125" style="6" customWidth="1"/>
    <col min="28" max="28" width="11.140625" style="6" customWidth="1"/>
    <col min="29" max="29" width="7" style="6" customWidth="1"/>
    <col min="30" max="16384" width="11.5703125" style="6"/>
  </cols>
  <sheetData>
    <row r="2" spans="2:29" s="1" customForma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9" s="1" customFormat="1" x14ac:dyDescent="0.2">
      <c r="C3" s="5" t="s">
        <v>138</v>
      </c>
      <c r="D3" s="4">
        <v>46023</v>
      </c>
      <c r="E3" s="65">
        <v>46023</v>
      </c>
      <c r="F3" s="4">
        <v>46054</v>
      </c>
      <c r="G3" s="65">
        <v>46054</v>
      </c>
      <c r="H3" s="4">
        <v>46082</v>
      </c>
      <c r="I3" s="65">
        <v>46082</v>
      </c>
      <c r="J3" s="4">
        <v>46113</v>
      </c>
      <c r="K3" s="65">
        <v>46113</v>
      </c>
      <c r="L3" s="4">
        <v>46143</v>
      </c>
      <c r="M3" s="65">
        <v>46143</v>
      </c>
      <c r="N3" s="4">
        <v>46174</v>
      </c>
      <c r="O3" s="65">
        <v>46174</v>
      </c>
      <c r="P3" s="4">
        <v>46204</v>
      </c>
      <c r="Q3" s="65">
        <v>46204</v>
      </c>
      <c r="R3" s="4">
        <v>46235</v>
      </c>
      <c r="S3" s="65">
        <v>46235</v>
      </c>
      <c r="T3" s="4">
        <v>46266</v>
      </c>
      <c r="U3" s="65">
        <v>46266</v>
      </c>
      <c r="V3" s="4">
        <v>46296</v>
      </c>
      <c r="W3" s="65">
        <v>46296</v>
      </c>
      <c r="X3" s="4">
        <v>46327</v>
      </c>
      <c r="Y3" s="65">
        <v>46327</v>
      </c>
      <c r="Z3" s="4">
        <v>46357</v>
      </c>
      <c r="AA3" s="65">
        <v>46357</v>
      </c>
      <c r="AB3" s="66">
        <v>2026</v>
      </c>
    </row>
    <row r="4" spans="2:29" s="1" customFormat="1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9" ht="12" customHeight="1" x14ac:dyDescent="0.2">
      <c r="J5" s="2"/>
      <c r="K5" s="2"/>
    </row>
    <row r="6" spans="2:29" s="1" customFormat="1" x14ac:dyDescent="0.2">
      <c r="C6" s="8" t="s">
        <v>1</v>
      </c>
    </row>
    <row r="7" spans="2:29" s="1" customFormat="1" ht="13.5" thickBot="1" x14ac:dyDescent="0.25">
      <c r="C7" s="9" t="s">
        <v>0</v>
      </c>
      <c r="D7" s="10">
        <v>0</v>
      </c>
      <c r="E7" s="10"/>
      <c r="F7" s="10">
        <v>0</v>
      </c>
      <c r="G7" s="10"/>
      <c r="H7" s="10">
        <v>0</v>
      </c>
      <c r="I7" s="10"/>
      <c r="J7" s="10">
        <v>0</v>
      </c>
      <c r="K7" s="10"/>
      <c r="L7" s="10">
        <v>0</v>
      </c>
      <c r="M7" s="10"/>
      <c r="N7" s="10">
        <v>0</v>
      </c>
      <c r="O7" s="10"/>
      <c r="P7" s="10">
        <v>0</v>
      </c>
      <c r="Q7" s="10"/>
      <c r="R7" s="10">
        <v>0</v>
      </c>
      <c r="S7" s="10"/>
      <c r="T7" s="10">
        <v>0</v>
      </c>
      <c r="U7" s="10"/>
      <c r="V7" s="10">
        <v>0</v>
      </c>
      <c r="W7" s="10"/>
      <c r="X7" s="10">
        <v>0</v>
      </c>
      <c r="Y7" s="10"/>
      <c r="Z7" s="10">
        <v>0</v>
      </c>
      <c r="AA7" s="10"/>
      <c r="AB7" s="10">
        <f>D7+F7+H7+J7+L7+N7+P7+R7+T7+V7+X7+Z7</f>
        <v>0</v>
      </c>
    </row>
    <row r="8" spans="2:29" s="11" customFormat="1" ht="13.5" thickBot="1" x14ac:dyDescent="0.25">
      <c r="C8" s="12" t="s">
        <v>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/>
      <c r="X8" s="13">
        <f t="shared" ref="X8:Z8" si="0">SUM(X7:X7)</f>
        <v>0</v>
      </c>
      <c r="Y8" s="13"/>
      <c r="Z8" s="13">
        <f t="shared" si="0"/>
        <v>0</v>
      </c>
      <c r="AA8" s="13"/>
      <c r="AB8" s="14">
        <f t="shared" ref="AB8" si="1">SUM(AB7:AB7)</f>
        <v>0</v>
      </c>
    </row>
    <row r="9" spans="2:29" s="1" customFormat="1" x14ac:dyDescent="0.2">
      <c r="C9" s="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2:29" s="1" customFormat="1" x14ac:dyDescent="0.2">
      <c r="C10" s="8" t="s">
        <v>3</v>
      </c>
      <c r="AB10" s="10"/>
    </row>
    <row r="11" spans="2:29" s="1" customFormat="1" ht="13.5" thickBot="1" x14ac:dyDescent="0.25">
      <c r="B11" s="15"/>
      <c r="C11" s="16" t="s">
        <v>4</v>
      </c>
      <c r="D11" s="9">
        <v>0</v>
      </c>
      <c r="E11" s="9"/>
      <c r="F11" s="9">
        <v>0</v>
      </c>
      <c r="G11" s="9"/>
      <c r="H11" s="9">
        <v>0</v>
      </c>
      <c r="I11" s="9"/>
      <c r="J11" s="9">
        <v>0</v>
      </c>
      <c r="K11" s="9"/>
      <c r="L11" s="9">
        <v>0</v>
      </c>
      <c r="M11" s="9"/>
      <c r="N11" s="9">
        <v>0</v>
      </c>
      <c r="O11" s="9"/>
      <c r="P11" s="9">
        <v>0</v>
      </c>
      <c r="Q11" s="9"/>
      <c r="R11" s="9">
        <v>0</v>
      </c>
      <c r="S11" s="9"/>
      <c r="T11" s="9">
        <v>0</v>
      </c>
      <c r="U11" s="9"/>
      <c r="V11" s="9">
        <v>0</v>
      </c>
      <c r="W11" s="9"/>
      <c r="X11" s="9">
        <v>0</v>
      </c>
      <c r="Y11" s="9"/>
      <c r="Z11" s="9">
        <v>0</v>
      </c>
      <c r="AA11" s="9"/>
      <c r="AB11" s="10">
        <f>D11+F11+H11+J11+L11+N11+P11+R11+T11+V11+X11+Z11</f>
        <v>0</v>
      </c>
      <c r="AC11" s="9"/>
    </row>
    <row r="12" spans="2:29" s="11" customFormat="1" ht="13.5" thickBot="1" x14ac:dyDescent="0.25">
      <c r="B12" s="11" t="s">
        <v>5</v>
      </c>
      <c r="C12" s="12" t="s">
        <v>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/>
      <c r="X12" s="13">
        <f t="shared" ref="X12:Z12" si="2">SUM(X11:X11)</f>
        <v>0</v>
      </c>
      <c r="Y12" s="13"/>
      <c r="Z12" s="13">
        <f t="shared" si="2"/>
        <v>0</v>
      </c>
      <c r="AA12" s="13"/>
      <c r="AB12" s="14">
        <f t="shared" ref="AB12" si="3">SUM(AB11:AB11)</f>
        <v>0</v>
      </c>
    </row>
    <row r="13" spans="2:29" s="1" customFormat="1" x14ac:dyDescent="0.2"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2:29" ht="15" customHeight="1" thickBot="1" x14ac:dyDescent="0.25">
      <c r="X14" s="10"/>
      <c r="Y14" s="10"/>
      <c r="Z14" s="10"/>
      <c r="AA14" s="10"/>
      <c r="AB14" s="10"/>
    </row>
    <row r="15" spans="2:29" s="11" customFormat="1" ht="13.5" thickBot="1" x14ac:dyDescent="0.25">
      <c r="C15" s="19" t="s">
        <v>7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/>
      <c r="X15" s="13">
        <f t="shared" ref="X15:AB15" si="4">+X8-X12</f>
        <v>0</v>
      </c>
      <c r="Y15" s="13"/>
      <c r="Z15" s="13">
        <f t="shared" si="4"/>
        <v>0</v>
      </c>
      <c r="AA15" s="13"/>
      <c r="AB15" s="14">
        <f t="shared" si="4"/>
        <v>0</v>
      </c>
    </row>
    <row r="18" spans="2:29" s="7" customFormat="1" x14ac:dyDescent="0.2">
      <c r="B18" s="1"/>
      <c r="C18" s="8" t="s">
        <v>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20" spans="2:29" s="7" customFormat="1" x14ac:dyDescent="0.2">
      <c r="B20" s="20" t="s">
        <v>9</v>
      </c>
      <c r="C20" s="21" t="s">
        <v>10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3">
        <f>D20+F20+H20+J20+L20+N20+P20+R20+T20+V20+X20+Z20</f>
        <v>0</v>
      </c>
      <c r="AC20" s="6"/>
    </row>
    <row r="21" spans="2:29" s="7" customFormat="1" x14ac:dyDescent="0.2">
      <c r="B21" s="20" t="s">
        <v>11</v>
      </c>
      <c r="C21" s="21" t="s">
        <v>12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3">
        <f t="shared" ref="AB21:AB33" si="5">D21+F21+H21+J21+L21+N21+P21+R21+T21+V21+X21+Z21</f>
        <v>0</v>
      </c>
      <c r="AC21" s="6"/>
    </row>
    <row r="22" spans="2:29" s="7" customFormat="1" x14ac:dyDescent="0.2">
      <c r="B22" s="20" t="s">
        <v>13</v>
      </c>
      <c r="C22" s="21" t="s">
        <v>14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3">
        <f t="shared" si="5"/>
        <v>0</v>
      </c>
      <c r="AC22" s="6"/>
    </row>
    <row r="23" spans="2:29" s="7" customFormat="1" x14ac:dyDescent="0.2">
      <c r="B23" s="1" t="s">
        <v>15</v>
      </c>
      <c r="C23" s="24" t="s">
        <v>16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9">
        <f t="shared" si="5"/>
        <v>0</v>
      </c>
      <c r="AC23" s="26"/>
    </row>
    <row r="24" spans="2:29" s="7" customFormat="1" x14ac:dyDescent="0.2">
      <c r="B24" s="1" t="s">
        <v>17</v>
      </c>
      <c r="C24" s="24" t="s">
        <v>18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10">
        <f t="shared" si="5"/>
        <v>0</v>
      </c>
      <c r="AC24" s="6"/>
    </row>
    <row r="25" spans="2:29" s="7" customFormat="1" x14ac:dyDescent="0.2">
      <c r="B25" s="1" t="s">
        <v>19</v>
      </c>
      <c r="C25" s="24" t="s">
        <v>20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10">
        <f t="shared" si="5"/>
        <v>0</v>
      </c>
      <c r="AC25" s="6"/>
    </row>
    <row r="26" spans="2:29" s="7" customFormat="1" x14ac:dyDescent="0.2">
      <c r="B26" s="1" t="s">
        <v>21</v>
      </c>
      <c r="C26" s="24" t="s">
        <v>22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9">
        <f t="shared" si="5"/>
        <v>0</v>
      </c>
      <c r="AC26" s="26"/>
    </row>
    <row r="27" spans="2:29" s="7" customFormat="1" x14ac:dyDescent="0.2">
      <c r="B27" s="1" t="s">
        <v>23</v>
      </c>
      <c r="C27" s="24" t="s">
        <v>24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10">
        <f t="shared" si="5"/>
        <v>0</v>
      </c>
      <c r="AC27" s="6"/>
    </row>
    <row r="28" spans="2:29" s="7" customFormat="1" x14ac:dyDescent="0.2">
      <c r="B28" s="1" t="s">
        <v>25</v>
      </c>
      <c r="C28" s="24" t="s">
        <v>26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9">
        <f t="shared" si="5"/>
        <v>0</v>
      </c>
      <c r="AC28" s="26"/>
    </row>
    <row r="29" spans="2:29" s="7" customFormat="1" x14ac:dyDescent="0.2">
      <c r="B29" s="1" t="s">
        <v>27</v>
      </c>
      <c r="C29" s="24" t="s">
        <v>28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9">
        <f t="shared" si="5"/>
        <v>0</v>
      </c>
      <c r="AC29" s="26"/>
    </row>
    <row r="30" spans="2:29" s="7" customFormat="1" x14ac:dyDescent="0.2">
      <c r="B30" s="1" t="s">
        <v>29</v>
      </c>
      <c r="C30" s="24" t="s">
        <v>30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9">
        <f t="shared" si="5"/>
        <v>0</v>
      </c>
      <c r="AC30" s="6"/>
    </row>
    <row r="31" spans="2:29" s="7" customFormat="1" x14ac:dyDescent="0.2">
      <c r="B31" s="1" t="s">
        <v>31</v>
      </c>
      <c r="C31" s="24" t="s">
        <v>32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9">
        <f t="shared" si="5"/>
        <v>0</v>
      </c>
      <c r="AC31" s="26"/>
    </row>
    <row r="32" spans="2:29" s="7" customFormat="1" x14ac:dyDescent="0.2">
      <c r="B32" s="20" t="s">
        <v>33</v>
      </c>
      <c r="C32" s="21" t="s">
        <v>34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3">
        <f t="shared" si="5"/>
        <v>0</v>
      </c>
      <c r="AC32" s="6"/>
    </row>
    <row r="33" spans="2:29" ht="13.5" thickBot="1" x14ac:dyDescent="0.25">
      <c r="B33" s="20" t="s">
        <v>35</v>
      </c>
      <c r="C33" s="21" t="s">
        <v>36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3">
        <f t="shared" si="5"/>
        <v>0</v>
      </c>
      <c r="AC33" s="26"/>
    </row>
    <row r="34" spans="2:29" s="11" customFormat="1" ht="13.5" thickBot="1" x14ac:dyDescent="0.25">
      <c r="C34" s="12" t="s">
        <v>37</v>
      </c>
      <c r="D34" s="13">
        <f>SUM(D20:D33)</f>
        <v>0</v>
      </c>
      <c r="E34" s="13">
        <f>SUM(E20:E33)</f>
        <v>0</v>
      </c>
      <c r="F34" s="13">
        <f t="shared" ref="F34:Z34" si="6">SUM(F20:F33)</f>
        <v>0</v>
      </c>
      <c r="G34" s="13">
        <f>SUM(G20:G33)</f>
        <v>0</v>
      </c>
      <c r="H34" s="13">
        <f t="shared" si="6"/>
        <v>0</v>
      </c>
      <c r="I34" s="13">
        <f>SUM(I20:I33)</f>
        <v>0</v>
      </c>
      <c r="J34" s="13">
        <f t="shared" si="6"/>
        <v>0</v>
      </c>
      <c r="K34" s="13">
        <f>SUM(K20:K33)</f>
        <v>0</v>
      </c>
      <c r="L34" s="13">
        <f t="shared" si="6"/>
        <v>0</v>
      </c>
      <c r="M34" s="13">
        <f>SUM(M20:M33)</f>
        <v>0</v>
      </c>
      <c r="N34" s="13">
        <f t="shared" si="6"/>
        <v>0</v>
      </c>
      <c r="O34" s="13">
        <f>SUM(O20:O33)</f>
        <v>0</v>
      </c>
      <c r="P34" s="13">
        <f t="shared" si="6"/>
        <v>0</v>
      </c>
      <c r="Q34" s="13">
        <f>SUM(Q20:Q33)</f>
        <v>0</v>
      </c>
      <c r="R34" s="13">
        <f t="shared" si="6"/>
        <v>0</v>
      </c>
      <c r="S34" s="13">
        <f>SUM(S20:S33)</f>
        <v>0</v>
      </c>
      <c r="T34" s="13">
        <f t="shared" si="6"/>
        <v>0</v>
      </c>
      <c r="U34" s="13">
        <f>SUM(U20:U33)</f>
        <v>0</v>
      </c>
      <c r="V34" s="13">
        <f t="shared" si="6"/>
        <v>0</v>
      </c>
      <c r="W34" s="13"/>
      <c r="X34" s="13">
        <f t="shared" si="6"/>
        <v>0</v>
      </c>
      <c r="Y34" s="13"/>
      <c r="Z34" s="13">
        <f t="shared" si="6"/>
        <v>0</v>
      </c>
      <c r="AA34" s="13"/>
      <c r="AB34" s="14">
        <f>SUM(AB20:AB33)</f>
        <v>0</v>
      </c>
    </row>
    <row r="36" spans="2:29" ht="13.5" thickBot="1" x14ac:dyDescent="0.25"/>
    <row r="37" spans="2:29" s="11" customFormat="1" ht="13.5" thickBot="1" x14ac:dyDescent="0.25">
      <c r="C37" s="19" t="s">
        <v>38</v>
      </c>
      <c r="D37" s="13">
        <f t="shared" ref="D37:Z37" si="7">+D15-D34</f>
        <v>0</v>
      </c>
      <c r="E37" s="13">
        <f t="shared" si="7"/>
        <v>0</v>
      </c>
      <c r="F37" s="13">
        <f t="shared" si="7"/>
        <v>0</v>
      </c>
      <c r="G37" s="13">
        <f t="shared" si="7"/>
        <v>0</v>
      </c>
      <c r="H37" s="13">
        <f t="shared" si="7"/>
        <v>0</v>
      </c>
      <c r="I37" s="13">
        <f t="shared" si="7"/>
        <v>0</v>
      </c>
      <c r="J37" s="13">
        <f t="shared" si="7"/>
        <v>0</v>
      </c>
      <c r="K37" s="13">
        <f t="shared" si="7"/>
        <v>0</v>
      </c>
      <c r="L37" s="13">
        <f t="shared" si="7"/>
        <v>0</v>
      </c>
      <c r="M37" s="13">
        <f t="shared" si="7"/>
        <v>0</v>
      </c>
      <c r="N37" s="13">
        <f t="shared" si="7"/>
        <v>0</v>
      </c>
      <c r="O37" s="13">
        <f t="shared" si="7"/>
        <v>0</v>
      </c>
      <c r="P37" s="13">
        <f t="shared" si="7"/>
        <v>0</v>
      </c>
      <c r="Q37" s="13">
        <f t="shared" si="7"/>
        <v>0</v>
      </c>
      <c r="R37" s="13">
        <f t="shared" si="7"/>
        <v>0</v>
      </c>
      <c r="S37" s="13">
        <f t="shared" si="7"/>
        <v>0</v>
      </c>
      <c r="T37" s="13">
        <f t="shared" si="7"/>
        <v>0</v>
      </c>
      <c r="U37" s="13">
        <f t="shared" si="7"/>
        <v>0</v>
      </c>
      <c r="V37" s="13">
        <f t="shared" si="7"/>
        <v>0</v>
      </c>
      <c r="W37" s="13"/>
      <c r="X37" s="13">
        <f t="shared" si="7"/>
        <v>0</v>
      </c>
      <c r="Y37" s="13"/>
      <c r="Z37" s="13">
        <f t="shared" si="7"/>
        <v>0</v>
      </c>
      <c r="AA37" s="13"/>
      <c r="AB37" s="14">
        <f>+AB15-AB34</f>
        <v>0</v>
      </c>
    </row>
  </sheetData>
  <conditionalFormatting sqref="B1:B104857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D49A-4F65-4580-B70F-BE723A79FC7F}">
  <dimension ref="B2:AC62"/>
  <sheetViews>
    <sheetView showGridLines="0" zoomScale="140" zoomScaleNormal="140" workbookViewId="0">
      <pane xSplit="3" ySplit="3" topLeftCell="D39" activePane="bottomRight" state="frozen"/>
      <selection activeCell="W28" sqref="W28"/>
      <selection pane="topRight" activeCell="W28" sqref="W28"/>
      <selection pane="bottomLeft" activeCell="W28" sqref="W28"/>
      <selection pane="bottomRight" activeCell="A33" sqref="A33:XFD34"/>
    </sheetView>
  </sheetViews>
  <sheetFormatPr baseColWidth="10" defaultColWidth="11.42578125" defaultRowHeight="12.75" x14ac:dyDescent="0.2"/>
  <cols>
    <col min="1" max="1" width="1.28515625" style="6" customWidth="1"/>
    <col min="2" max="2" width="15.28515625" style="6" bestFit="1" customWidth="1"/>
    <col min="3" max="3" width="25" style="6" customWidth="1"/>
    <col min="4" max="5" width="12.42578125" style="6" customWidth="1"/>
    <col min="6" max="27" width="12" style="6" customWidth="1"/>
    <col min="28" max="28" width="12.7109375" style="6" customWidth="1"/>
    <col min="29" max="29" width="7" style="25" customWidth="1"/>
    <col min="30" max="16384" width="11.42578125" style="6"/>
  </cols>
  <sheetData>
    <row r="2" spans="2:29" s="1" customFormat="1" x14ac:dyDescent="0.2">
      <c r="C2" s="27"/>
      <c r="D2" s="28"/>
      <c r="E2" s="28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10"/>
    </row>
    <row r="3" spans="2:29" s="1" customFormat="1" x14ac:dyDescent="0.2">
      <c r="C3" s="5" t="s">
        <v>39</v>
      </c>
      <c r="D3" s="4">
        <v>46023</v>
      </c>
      <c r="E3" s="65">
        <v>46023</v>
      </c>
      <c r="F3" s="4">
        <v>46054</v>
      </c>
      <c r="G3" s="65">
        <v>46054</v>
      </c>
      <c r="H3" s="4">
        <v>46082</v>
      </c>
      <c r="I3" s="65">
        <v>46082</v>
      </c>
      <c r="J3" s="4">
        <v>46113</v>
      </c>
      <c r="K3" s="65">
        <v>46113</v>
      </c>
      <c r="L3" s="4">
        <v>46143</v>
      </c>
      <c r="M3" s="65">
        <v>46143</v>
      </c>
      <c r="N3" s="4">
        <v>46174</v>
      </c>
      <c r="O3" s="65">
        <v>46174</v>
      </c>
      <c r="P3" s="4">
        <v>46204</v>
      </c>
      <c r="Q3" s="65">
        <v>46204</v>
      </c>
      <c r="R3" s="4">
        <v>46235</v>
      </c>
      <c r="S3" s="65">
        <v>46235</v>
      </c>
      <c r="T3" s="4">
        <v>46266</v>
      </c>
      <c r="U3" s="65">
        <v>46266</v>
      </c>
      <c r="V3" s="4">
        <v>46296</v>
      </c>
      <c r="W3" s="65">
        <v>46296</v>
      </c>
      <c r="X3" s="4">
        <v>46327</v>
      </c>
      <c r="Y3" s="65">
        <v>46327</v>
      </c>
      <c r="Z3" s="4">
        <v>46357</v>
      </c>
      <c r="AA3" s="65">
        <v>46357</v>
      </c>
      <c r="AB3" s="66">
        <v>2026</v>
      </c>
      <c r="AC3" s="10"/>
    </row>
    <row r="4" spans="2:29" s="29" customFormat="1" x14ac:dyDescent="0.2"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0"/>
      <c r="AC4" s="32"/>
    </row>
    <row r="5" spans="2:29" s="1" customFormat="1" x14ac:dyDescent="0.2">
      <c r="C5" s="33" t="s">
        <v>40</v>
      </c>
      <c r="AC5" s="10"/>
    </row>
    <row r="6" spans="2:29" s="29" customFormat="1" ht="13.15" customHeight="1" x14ac:dyDescent="0.2">
      <c r="B6" s="29" t="s">
        <v>41</v>
      </c>
      <c r="C6" s="32" t="s">
        <v>42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f t="shared" ref="AB6:AB13" si="0">D6+F6+H6+J6+L6+N6+P6+R6+T6+V6+X6+Z6</f>
        <v>0</v>
      </c>
      <c r="AC6" s="32"/>
    </row>
    <row r="7" spans="2:29" s="1" customFormat="1" ht="13.5" customHeight="1" x14ac:dyDescent="0.2">
      <c r="B7" s="1" t="s">
        <v>43</v>
      </c>
      <c r="C7" s="9" t="s">
        <v>44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9">
        <f t="shared" si="0"/>
        <v>0</v>
      </c>
      <c r="AC7" s="10"/>
    </row>
    <row r="8" spans="2:29" s="29" customFormat="1" ht="13.5" customHeight="1" x14ac:dyDescent="0.2">
      <c r="B8" s="29" t="s">
        <v>45</v>
      </c>
      <c r="C8" s="32" t="s">
        <v>46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f t="shared" si="0"/>
        <v>0</v>
      </c>
      <c r="AC8" s="32"/>
    </row>
    <row r="9" spans="2:29" s="1" customFormat="1" ht="13.5" customHeight="1" x14ac:dyDescent="0.2">
      <c r="B9" s="1" t="s">
        <v>47</v>
      </c>
      <c r="C9" s="9" t="s">
        <v>48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9">
        <f t="shared" si="0"/>
        <v>0</v>
      </c>
      <c r="AC9" s="10"/>
    </row>
    <row r="10" spans="2:29" s="1" customFormat="1" ht="13.5" customHeight="1" x14ac:dyDescent="0.2">
      <c r="B10" s="1" t="s">
        <v>49</v>
      </c>
      <c r="C10" s="9" t="s">
        <v>50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4">
        <f t="shared" si="0"/>
        <v>0</v>
      </c>
      <c r="AC10" s="10"/>
    </row>
    <row r="11" spans="2:29" s="1" customFormat="1" ht="13.5" customHeight="1" x14ac:dyDescent="0.2">
      <c r="B11" s="1" t="s">
        <v>51</v>
      </c>
      <c r="C11" s="9" t="s">
        <v>52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4">
        <f t="shared" si="0"/>
        <v>0</v>
      </c>
      <c r="AC11" s="10"/>
    </row>
    <row r="12" spans="2:29" s="1" customFormat="1" ht="13.5" customHeight="1" x14ac:dyDescent="0.2">
      <c r="B12" s="1" t="s">
        <v>53</v>
      </c>
      <c r="C12" s="9" t="s">
        <v>54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4">
        <f t="shared" si="0"/>
        <v>0</v>
      </c>
      <c r="AC12" s="10"/>
    </row>
    <row r="13" spans="2:29" s="1" customFormat="1" ht="13.5" customHeight="1" x14ac:dyDescent="0.2">
      <c r="B13" s="1" t="s">
        <v>55</v>
      </c>
      <c r="C13" s="9" t="s">
        <v>40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9">
        <f t="shared" si="0"/>
        <v>0</v>
      </c>
      <c r="AC13" s="10"/>
    </row>
    <row r="14" spans="2:29" s="29" customFormat="1" ht="13.5" customHeight="1" x14ac:dyDescent="0.2">
      <c r="C14" s="35" t="s">
        <v>56</v>
      </c>
      <c r="D14" s="36">
        <f>SUM(D6:D13)</f>
        <v>0</v>
      </c>
      <c r="E14" s="36">
        <f>SUM(E6:E13)</f>
        <v>0</v>
      </c>
      <c r="F14" s="36">
        <f t="shared" ref="F14:AB14" si="1">SUM(F6:F13)</f>
        <v>0</v>
      </c>
      <c r="G14" s="36">
        <f>SUM(G6:G13)</f>
        <v>0</v>
      </c>
      <c r="H14" s="36">
        <f t="shared" si="1"/>
        <v>0</v>
      </c>
      <c r="I14" s="36">
        <f>SUM(I6:I13)</f>
        <v>0</v>
      </c>
      <c r="J14" s="36">
        <f t="shared" si="1"/>
        <v>0</v>
      </c>
      <c r="K14" s="36">
        <f>SUM(K6:K13)</f>
        <v>0</v>
      </c>
      <c r="L14" s="36">
        <f t="shared" si="1"/>
        <v>0</v>
      </c>
      <c r="M14" s="36">
        <f>SUM(M6:M13)</f>
        <v>0</v>
      </c>
      <c r="N14" s="36">
        <f t="shared" si="1"/>
        <v>0</v>
      </c>
      <c r="O14" s="36">
        <f>SUM(O6:O13)</f>
        <v>0</v>
      </c>
      <c r="P14" s="36">
        <f t="shared" si="1"/>
        <v>0</v>
      </c>
      <c r="Q14" s="36">
        <f>SUM(Q6:Q13)</f>
        <v>0</v>
      </c>
      <c r="R14" s="36">
        <f t="shared" si="1"/>
        <v>0</v>
      </c>
      <c r="S14" s="36">
        <f>SUM(S6:S13)</f>
        <v>0</v>
      </c>
      <c r="T14" s="36">
        <f t="shared" si="1"/>
        <v>0</v>
      </c>
      <c r="U14" s="36">
        <f>SUM(U6:U13)</f>
        <v>0</v>
      </c>
      <c r="V14" s="36">
        <f t="shared" si="1"/>
        <v>0</v>
      </c>
      <c r="W14" s="36"/>
      <c r="X14" s="36">
        <f t="shared" si="1"/>
        <v>0</v>
      </c>
      <c r="Y14" s="36"/>
      <c r="Z14" s="36">
        <f t="shared" si="1"/>
        <v>0</v>
      </c>
      <c r="AA14" s="36"/>
      <c r="AB14" s="36">
        <f t="shared" si="1"/>
        <v>0</v>
      </c>
      <c r="AC14" s="32"/>
    </row>
    <row r="17" spans="2:29" s="29" customFormat="1" x14ac:dyDescent="0.2">
      <c r="C17" s="8" t="s">
        <v>57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2"/>
      <c r="AC17" s="32"/>
    </row>
    <row r="18" spans="2:29" s="29" customFormat="1" ht="12.75" customHeight="1" x14ac:dyDescent="0.2">
      <c r="B18" s="29" t="s">
        <v>58</v>
      </c>
      <c r="C18" s="32" t="s">
        <v>59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f>D18+F18+H18+J18+L18+N18+P18+R18+T18+V18+X18+Z18</f>
        <v>0</v>
      </c>
      <c r="AC18" s="32"/>
    </row>
    <row r="19" spans="2:29" s="29" customFormat="1" x14ac:dyDescent="0.2">
      <c r="B19" s="29" t="s">
        <v>60</v>
      </c>
      <c r="C19" s="29" t="s">
        <v>61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8">
        <f>D19+F19+H19+J19+L19+N19+P19+R19+T19+V19+X19+Z19</f>
        <v>0</v>
      </c>
      <c r="AC19" s="32"/>
    </row>
    <row r="20" spans="2:29" s="29" customFormat="1" x14ac:dyDescent="0.2">
      <c r="B20" s="29" t="s">
        <v>62</v>
      </c>
      <c r="C20" s="1" t="s">
        <v>63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8">
        <f>D20+F20+H20+J20+L20+N20+P20+R20+T20+V20+X20+Z20</f>
        <v>0</v>
      </c>
      <c r="AC20" s="39"/>
    </row>
    <row r="21" spans="2:29" s="29" customFormat="1" ht="13.5" customHeight="1" x14ac:dyDescent="0.2">
      <c r="C21" s="35" t="s">
        <v>64</v>
      </c>
      <c r="D21" s="36">
        <f>SUM(D19:D20)-D18</f>
        <v>0</v>
      </c>
      <c r="E21" s="36">
        <f>SUM(E19:E20)-E18</f>
        <v>0</v>
      </c>
      <c r="F21" s="36">
        <f t="shared" ref="F21:AB21" si="2">SUM(F19:F20)-F18</f>
        <v>0</v>
      </c>
      <c r="G21" s="36">
        <f>SUM(G19:G20)-G18</f>
        <v>0</v>
      </c>
      <c r="H21" s="36">
        <f t="shared" si="2"/>
        <v>0</v>
      </c>
      <c r="I21" s="36">
        <f>SUM(I19:I20)-I18</f>
        <v>0</v>
      </c>
      <c r="J21" s="36">
        <f t="shared" si="2"/>
        <v>0</v>
      </c>
      <c r="K21" s="36">
        <f>SUM(K19:K20)-K18</f>
        <v>0</v>
      </c>
      <c r="L21" s="36">
        <f t="shared" si="2"/>
        <v>0</v>
      </c>
      <c r="M21" s="36">
        <f>SUM(M19:M20)-M18</f>
        <v>0</v>
      </c>
      <c r="N21" s="36">
        <f t="shared" si="2"/>
        <v>0</v>
      </c>
      <c r="O21" s="36">
        <f>SUM(O19:O20)-O18</f>
        <v>0</v>
      </c>
      <c r="P21" s="36">
        <f t="shared" si="2"/>
        <v>0</v>
      </c>
      <c r="Q21" s="36">
        <f>SUM(Q19:Q20)-Q18</f>
        <v>0</v>
      </c>
      <c r="R21" s="36">
        <f t="shared" si="2"/>
        <v>0</v>
      </c>
      <c r="S21" s="36">
        <f>SUM(S19:S20)-S18</f>
        <v>0</v>
      </c>
      <c r="T21" s="36">
        <f t="shared" si="2"/>
        <v>0</v>
      </c>
      <c r="U21" s="36">
        <f>SUM(U19:U20)-U18</f>
        <v>0</v>
      </c>
      <c r="V21" s="36">
        <f t="shared" si="2"/>
        <v>0</v>
      </c>
      <c r="W21" s="36"/>
      <c r="X21" s="36">
        <f t="shared" si="2"/>
        <v>0</v>
      </c>
      <c r="Y21" s="36"/>
      <c r="Z21" s="36">
        <f t="shared" si="2"/>
        <v>0</v>
      </c>
      <c r="AA21" s="36"/>
      <c r="AB21" s="36">
        <f t="shared" si="2"/>
        <v>0</v>
      </c>
      <c r="AC21" s="32"/>
    </row>
    <row r="22" spans="2:29" s="29" customFormat="1" ht="13.5" thickBot="1" x14ac:dyDescent="0.25">
      <c r="C22" s="40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2"/>
    </row>
    <row r="23" spans="2:29" s="1" customFormat="1" ht="13.5" thickBot="1" x14ac:dyDescent="0.25">
      <c r="C23" s="12" t="s">
        <v>65</v>
      </c>
      <c r="D23" s="13">
        <f>D14-D21</f>
        <v>0</v>
      </c>
      <c r="E23" s="13">
        <f>E14-E21</f>
        <v>0</v>
      </c>
      <c r="F23" s="13">
        <f t="shared" ref="F23:AB23" si="3">F14-F21</f>
        <v>0</v>
      </c>
      <c r="G23" s="13">
        <f>G14-G21</f>
        <v>0</v>
      </c>
      <c r="H23" s="13">
        <f t="shared" si="3"/>
        <v>0</v>
      </c>
      <c r="I23" s="13">
        <f>I14-I21</f>
        <v>0</v>
      </c>
      <c r="J23" s="13">
        <f t="shared" si="3"/>
        <v>0</v>
      </c>
      <c r="K23" s="13">
        <f>K14-K21</f>
        <v>0</v>
      </c>
      <c r="L23" s="13">
        <f t="shared" si="3"/>
        <v>0</v>
      </c>
      <c r="M23" s="13">
        <f>M14-M21</f>
        <v>0</v>
      </c>
      <c r="N23" s="13">
        <f t="shared" si="3"/>
        <v>0</v>
      </c>
      <c r="O23" s="13">
        <f>O14-O21</f>
        <v>0</v>
      </c>
      <c r="P23" s="13">
        <f t="shared" si="3"/>
        <v>0</v>
      </c>
      <c r="Q23" s="13">
        <f>Q14-Q21</f>
        <v>0</v>
      </c>
      <c r="R23" s="13">
        <f t="shared" si="3"/>
        <v>0</v>
      </c>
      <c r="S23" s="13">
        <f>S14-S21</f>
        <v>0</v>
      </c>
      <c r="T23" s="13">
        <f t="shared" si="3"/>
        <v>0</v>
      </c>
      <c r="U23" s="13">
        <f>U14-U21</f>
        <v>0</v>
      </c>
      <c r="V23" s="13">
        <f t="shared" si="3"/>
        <v>0</v>
      </c>
      <c r="W23" s="13"/>
      <c r="X23" s="13">
        <f t="shared" si="3"/>
        <v>0</v>
      </c>
      <c r="Y23" s="13"/>
      <c r="Z23" s="13">
        <f t="shared" si="3"/>
        <v>0</v>
      </c>
      <c r="AA23" s="13"/>
      <c r="AB23" s="14">
        <f t="shared" si="3"/>
        <v>0</v>
      </c>
      <c r="AC23" s="10"/>
    </row>
    <row r="24" spans="2:29" s="29" customFormat="1" x14ac:dyDescent="0.2">
      <c r="C24" s="40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0"/>
      <c r="O24" s="40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2"/>
      <c r="AC24" s="32"/>
    </row>
    <row r="25" spans="2:29" s="29" customFormat="1" x14ac:dyDescent="0.2">
      <c r="C25" s="42" t="s">
        <v>66</v>
      </c>
      <c r="D25" s="41"/>
      <c r="E25" s="41"/>
      <c r="F25" s="41"/>
      <c r="G25" s="41"/>
      <c r="H25" s="43"/>
      <c r="I25" s="43"/>
      <c r="J25" s="44"/>
      <c r="K25" s="44"/>
      <c r="L25" s="45"/>
      <c r="M25" s="45"/>
      <c r="N25" s="43"/>
      <c r="O25" s="43"/>
      <c r="P25" s="43"/>
      <c r="Q25" s="43"/>
      <c r="R25" s="44"/>
      <c r="S25" s="44"/>
      <c r="T25" s="41"/>
      <c r="U25" s="41"/>
      <c r="V25" s="41"/>
      <c r="W25" s="41"/>
      <c r="X25" s="43"/>
      <c r="Y25" s="43"/>
      <c r="Z25" s="44"/>
      <c r="AA25" s="44"/>
      <c r="AB25" s="45"/>
      <c r="AC25" s="32"/>
    </row>
    <row r="26" spans="2:29" s="1" customFormat="1" x14ac:dyDescent="0.2">
      <c r="C26" s="1" t="s">
        <v>68</v>
      </c>
      <c r="D26" s="46">
        <f t="shared" ref="D26:Z26" si="4">D27+D28</f>
        <v>0</v>
      </c>
      <c r="E26" s="46">
        <f t="shared" si="4"/>
        <v>0</v>
      </c>
      <c r="F26" s="46">
        <f t="shared" si="4"/>
        <v>0</v>
      </c>
      <c r="G26" s="46">
        <f t="shared" si="4"/>
        <v>0</v>
      </c>
      <c r="H26" s="46">
        <f t="shared" si="4"/>
        <v>0</v>
      </c>
      <c r="I26" s="46">
        <f t="shared" si="4"/>
        <v>0</v>
      </c>
      <c r="J26" s="46">
        <f t="shared" si="4"/>
        <v>0</v>
      </c>
      <c r="K26" s="46">
        <f t="shared" si="4"/>
        <v>0</v>
      </c>
      <c r="L26" s="46">
        <f t="shared" si="4"/>
        <v>0</v>
      </c>
      <c r="M26" s="46">
        <f t="shared" si="4"/>
        <v>0</v>
      </c>
      <c r="N26" s="46">
        <f t="shared" si="4"/>
        <v>0</v>
      </c>
      <c r="O26" s="46">
        <f t="shared" si="4"/>
        <v>0</v>
      </c>
      <c r="P26" s="46">
        <f t="shared" si="4"/>
        <v>0</v>
      </c>
      <c r="Q26" s="46">
        <f t="shared" si="4"/>
        <v>0</v>
      </c>
      <c r="R26" s="46">
        <f t="shared" si="4"/>
        <v>0</v>
      </c>
      <c r="S26" s="46">
        <f t="shared" si="4"/>
        <v>0</v>
      </c>
      <c r="T26" s="46">
        <f t="shared" si="4"/>
        <v>0</v>
      </c>
      <c r="U26" s="46">
        <f t="shared" si="4"/>
        <v>0</v>
      </c>
      <c r="V26" s="46">
        <f t="shared" si="4"/>
        <v>0</v>
      </c>
      <c r="W26" s="46">
        <f t="shared" si="4"/>
        <v>0</v>
      </c>
      <c r="X26" s="46">
        <f t="shared" si="4"/>
        <v>0</v>
      </c>
      <c r="Y26" s="46">
        <f t="shared" si="4"/>
        <v>0</v>
      </c>
      <c r="Z26" s="46">
        <f t="shared" si="4"/>
        <v>0</v>
      </c>
      <c r="AA26" s="46">
        <f>AA27+AA28</f>
        <v>0</v>
      </c>
      <c r="AB26" s="47">
        <f t="shared" ref="AB26:AB47" si="5">D26+F26+H26+J26+L26+N26+P26+R26+T26+V26+X26+Z26</f>
        <v>0</v>
      </c>
      <c r="AC26" s="10"/>
    </row>
    <row r="27" spans="2:29" s="48" customFormat="1" x14ac:dyDescent="0.2">
      <c r="B27" s="1" t="s">
        <v>67</v>
      </c>
      <c r="C27" s="48" t="s">
        <v>69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50">
        <f t="shared" si="5"/>
        <v>0</v>
      </c>
      <c r="AC27" s="51"/>
    </row>
    <row r="28" spans="2:29" s="48" customFormat="1" x14ac:dyDescent="0.2">
      <c r="B28" s="1" t="s">
        <v>143</v>
      </c>
      <c r="C28" s="48" t="s">
        <v>70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50">
        <f t="shared" si="5"/>
        <v>0</v>
      </c>
      <c r="AC28" s="51"/>
    </row>
    <row r="29" spans="2:29" s="1" customFormat="1" x14ac:dyDescent="0.2">
      <c r="C29" s="1" t="s">
        <v>71</v>
      </c>
      <c r="D29" s="47">
        <f t="shared" ref="D29:Z29" si="6">D30+D31</f>
        <v>0</v>
      </c>
      <c r="E29" s="47">
        <f t="shared" si="6"/>
        <v>0</v>
      </c>
      <c r="F29" s="47">
        <f t="shared" si="6"/>
        <v>0</v>
      </c>
      <c r="G29" s="47">
        <f t="shared" si="6"/>
        <v>0</v>
      </c>
      <c r="H29" s="47">
        <f t="shared" si="6"/>
        <v>0</v>
      </c>
      <c r="I29" s="47">
        <f t="shared" si="6"/>
        <v>0</v>
      </c>
      <c r="J29" s="47">
        <f t="shared" si="6"/>
        <v>0</v>
      </c>
      <c r="K29" s="47">
        <f t="shared" si="6"/>
        <v>0</v>
      </c>
      <c r="L29" s="47">
        <f t="shared" si="6"/>
        <v>0</v>
      </c>
      <c r="M29" s="47">
        <f t="shared" si="6"/>
        <v>0</v>
      </c>
      <c r="N29" s="47">
        <f t="shared" si="6"/>
        <v>0</v>
      </c>
      <c r="O29" s="47">
        <f t="shared" si="6"/>
        <v>0</v>
      </c>
      <c r="P29" s="47">
        <f t="shared" si="6"/>
        <v>0</v>
      </c>
      <c r="Q29" s="47">
        <f t="shared" si="6"/>
        <v>0</v>
      </c>
      <c r="R29" s="47">
        <f t="shared" si="6"/>
        <v>0</v>
      </c>
      <c r="S29" s="47">
        <f t="shared" si="6"/>
        <v>0</v>
      </c>
      <c r="T29" s="47">
        <f t="shared" si="6"/>
        <v>0</v>
      </c>
      <c r="U29" s="47">
        <f t="shared" si="6"/>
        <v>0</v>
      </c>
      <c r="V29" s="47">
        <f t="shared" si="6"/>
        <v>0</v>
      </c>
      <c r="W29" s="47">
        <f t="shared" si="6"/>
        <v>0</v>
      </c>
      <c r="X29" s="47">
        <f t="shared" si="6"/>
        <v>0</v>
      </c>
      <c r="Y29" s="47">
        <f t="shared" si="6"/>
        <v>0</v>
      </c>
      <c r="Z29" s="47">
        <f t="shared" si="6"/>
        <v>0</v>
      </c>
      <c r="AA29" s="47">
        <f>AA30+AA31</f>
        <v>0</v>
      </c>
      <c r="AB29" s="47">
        <f>D29+F29+H29+J29+L29+N29+P29+R29+T29+V29+X29+Z29</f>
        <v>0</v>
      </c>
      <c r="AC29" s="26"/>
    </row>
    <row r="30" spans="2:29" s="48" customFormat="1" x14ac:dyDescent="0.2">
      <c r="B30" s="1" t="s">
        <v>141</v>
      </c>
      <c r="C30" s="48" t="s">
        <v>69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50">
        <f t="shared" si="5"/>
        <v>0</v>
      </c>
      <c r="AC30" s="51"/>
    </row>
    <row r="31" spans="2:29" s="48" customFormat="1" x14ac:dyDescent="0.2">
      <c r="B31" s="1" t="s">
        <v>142</v>
      </c>
      <c r="C31" s="48" t="s">
        <v>70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50">
        <f t="shared" si="5"/>
        <v>0</v>
      </c>
      <c r="AC31" s="51"/>
    </row>
    <row r="32" spans="2:29" s="1" customFormat="1" x14ac:dyDescent="0.2">
      <c r="B32" s="1" t="s">
        <v>72</v>
      </c>
      <c r="C32" s="1" t="s">
        <v>73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9">
        <f t="shared" si="5"/>
        <v>0</v>
      </c>
      <c r="AC32" s="52"/>
    </row>
    <row r="33" spans="2:29" s="1" customFormat="1" x14ac:dyDescent="0.2">
      <c r="B33" s="1" t="s">
        <v>74</v>
      </c>
      <c r="C33" s="1" t="s">
        <v>75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9">
        <f t="shared" si="5"/>
        <v>0</v>
      </c>
      <c r="AC33" s="10"/>
    </row>
    <row r="34" spans="2:29" s="1" customFormat="1" x14ac:dyDescent="0.2">
      <c r="B34" s="1" t="s">
        <v>144</v>
      </c>
      <c r="C34" s="1" t="s">
        <v>76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9">
        <f t="shared" si="5"/>
        <v>0</v>
      </c>
      <c r="AC34" s="10"/>
    </row>
    <row r="35" spans="2:29" s="1" customFormat="1" x14ac:dyDescent="0.2">
      <c r="B35" s="1" t="s">
        <v>77</v>
      </c>
      <c r="C35" s="1" t="s">
        <v>78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9">
        <f>D35+F35+H35+J35+L35+N35+P35+R35+T35+V35+X35+Z35</f>
        <v>0</v>
      </c>
      <c r="AC35" s="52"/>
    </row>
    <row r="36" spans="2:29" s="1" customFormat="1" x14ac:dyDescent="0.2">
      <c r="B36" s="1" t="s">
        <v>79</v>
      </c>
      <c r="C36" s="1" t="s">
        <v>80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9">
        <f t="shared" si="5"/>
        <v>0</v>
      </c>
      <c r="AC36" s="10"/>
    </row>
    <row r="37" spans="2:29" s="11" customFormat="1" x14ac:dyDescent="0.2">
      <c r="B37" s="1" t="s">
        <v>81</v>
      </c>
      <c r="C37" s="1" t="s">
        <v>82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9">
        <f t="shared" si="5"/>
        <v>0</v>
      </c>
      <c r="AC37" s="52"/>
    </row>
    <row r="38" spans="2:29" s="1" customFormat="1" x14ac:dyDescent="0.2">
      <c r="B38" s="1" t="s">
        <v>83</v>
      </c>
      <c r="C38" s="1" t="s">
        <v>84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9">
        <f t="shared" si="5"/>
        <v>0</v>
      </c>
      <c r="AC38" s="52"/>
    </row>
    <row r="39" spans="2:29" s="11" customFormat="1" x14ac:dyDescent="0.2">
      <c r="B39" s="1" t="s">
        <v>85</v>
      </c>
      <c r="C39" s="1" t="s">
        <v>86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9">
        <f t="shared" si="5"/>
        <v>0</v>
      </c>
      <c r="AC39" s="52"/>
    </row>
    <row r="40" spans="2:29" s="1" customFormat="1" x14ac:dyDescent="0.2">
      <c r="B40" s="1" t="s">
        <v>87</v>
      </c>
      <c r="C40" s="1" t="s">
        <v>88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9">
        <f t="shared" si="5"/>
        <v>0</v>
      </c>
      <c r="AC40" s="52"/>
    </row>
    <row r="41" spans="2:29" s="1" customFormat="1" x14ac:dyDescent="0.2">
      <c r="B41" s="1" t="s">
        <v>89</v>
      </c>
      <c r="C41" s="1" t="s">
        <v>90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9">
        <f t="shared" si="5"/>
        <v>0</v>
      </c>
      <c r="AC41" s="52"/>
    </row>
    <row r="42" spans="2:29" s="1" customFormat="1" x14ac:dyDescent="0.2">
      <c r="B42" s="1" t="s">
        <v>91</v>
      </c>
      <c r="C42" s="1" t="s">
        <v>92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9">
        <f t="shared" si="5"/>
        <v>0</v>
      </c>
      <c r="AC42" s="10"/>
    </row>
    <row r="43" spans="2:29" x14ac:dyDescent="0.2">
      <c r="B43" s="6" t="s">
        <v>93</v>
      </c>
      <c r="C43" s="24" t="s">
        <v>94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8">
        <f t="shared" si="5"/>
        <v>0</v>
      </c>
      <c r="AC43" s="52"/>
    </row>
    <row r="44" spans="2:29" x14ac:dyDescent="0.2">
      <c r="B44" s="6" t="s">
        <v>95</v>
      </c>
      <c r="C44" s="24" t="s">
        <v>96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0</v>
      </c>
      <c r="AA44" s="32">
        <v>0</v>
      </c>
      <c r="AB44" s="38">
        <f t="shared" si="5"/>
        <v>0</v>
      </c>
      <c r="AC44" s="53"/>
    </row>
    <row r="45" spans="2:29" s="1" customFormat="1" x14ac:dyDescent="0.2">
      <c r="B45" s="1" t="s">
        <v>97</v>
      </c>
      <c r="C45" s="1" t="s">
        <v>98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9">
        <f t="shared" si="5"/>
        <v>0</v>
      </c>
      <c r="AC45" s="9"/>
    </row>
    <row r="46" spans="2:29" s="1" customFormat="1" x14ac:dyDescent="0.2">
      <c r="B46" s="1" t="s">
        <v>99</v>
      </c>
      <c r="C46" s="1" t="s">
        <v>100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9">
        <f t="shared" si="5"/>
        <v>0</v>
      </c>
      <c r="AC46" s="9"/>
    </row>
    <row r="47" spans="2:29" s="29" customFormat="1" ht="13.5" thickBot="1" x14ac:dyDescent="0.25">
      <c r="B47" s="29" t="s">
        <v>101</v>
      </c>
      <c r="C47" s="1" t="s">
        <v>102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9">
        <f t="shared" si="5"/>
        <v>0</v>
      </c>
      <c r="AC47" s="39"/>
    </row>
    <row r="48" spans="2:29" s="1" customFormat="1" ht="13.5" thickBot="1" x14ac:dyDescent="0.25">
      <c r="C48" s="12" t="s">
        <v>103</v>
      </c>
      <c r="D48" s="13">
        <f t="shared" ref="D48:V48" si="7">SUM(D32:D47)+D29+D26</f>
        <v>0</v>
      </c>
      <c r="E48" s="13">
        <f t="shared" si="7"/>
        <v>0</v>
      </c>
      <c r="F48" s="13">
        <f t="shared" si="7"/>
        <v>0</v>
      </c>
      <c r="G48" s="13">
        <f t="shared" si="7"/>
        <v>0</v>
      </c>
      <c r="H48" s="13">
        <f t="shared" si="7"/>
        <v>0</v>
      </c>
      <c r="I48" s="13">
        <f t="shared" si="7"/>
        <v>0</v>
      </c>
      <c r="J48" s="13">
        <f t="shared" si="7"/>
        <v>0</v>
      </c>
      <c r="K48" s="13">
        <f t="shared" si="7"/>
        <v>0</v>
      </c>
      <c r="L48" s="13">
        <f t="shared" si="7"/>
        <v>0</v>
      </c>
      <c r="M48" s="13">
        <f t="shared" si="7"/>
        <v>0</v>
      </c>
      <c r="N48" s="13">
        <f t="shared" si="7"/>
        <v>0</v>
      </c>
      <c r="O48" s="13">
        <f t="shared" si="7"/>
        <v>0</v>
      </c>
      <c r="P48" s="13">
        <f t="shared" si="7"/>
        <v>0</v>
      </c>
      <c r="Q48" s="13">
        <f t="shared" si="7"/>
        <v>0</v>
      </c>
      <c r="R48" s="13">
        <f t="shared" si="7"/>
        <v>0</v>
      </c>
      <c r="S48" s="13">
        <f t="shared" si="7"/>
        <v>0</v>
      </c>
      <c r="T48" s="13">
        <f t="shared" si="7"/>
        <v>0</v>
      </c>
      <c r="U48" s="13">
        <f t="shared" si="7"/>
        <v>0</v>
      </c>
      <c r="V48" s="13">
        <f t="shared" si="7"/>
        <v>0</v>
      </c>
      <c r="W48" s="13"/>
      <c r="X48" s="13">
        <f>SUM(X32:X47)+X29+X26</f>
        <v>0</v>
      </c>
      <c r="Y48" s="13"/>
      <c r="Z48" s="13">
        <f>SUM(Z32:Z47)+Z29+Z26</f>
        <v>0</v>
      </c>
      <c r="AA48" s="13"/>
      <c r="AB48" s="14">
        <f>SUM(AB32:AB47)+AB29+AB26</f>
        <v>0</v>
      </c>
      <c r="AC48" s="9"/>
    </row>
    <row r="49" spans="2:29" x14ac:dyDescent="0.2">
      <c r="AC49" s="54"/>
    </row>
    <row r="50" spans="2:29" s="29" customFormat="1" x14ac:dyDescent="0.2">
      <c r="C50" s="42" t="s">
        <v>104</v>
      </c>
      <c r="D50" s="37"/>
      <c r="E50" s="37"/>
      <c r="F50" s="37"/>
      <c r="G50" s="37"/>
      <c r="H50" s="37"/>
      <c r="I50" s="37"/>
      <c r="J50" s="44"/>
      <c r="K50" s="44"/>
      <c r="L50" s="45"/>
      <c r="M50" s="45"/>
      <c r="N50" s="37"/>
      <c r="O50" s="37"/>
      <c r="P50" s="37"/>
      <c r="Q50" s="37"/>
      <c r="R50" s="44"/>
      <c r="S50" s="44"/>
      <c r="T50" s="32"/>
      <c r="U50" s="32"/>
      <c r="V50" s="37"/>
      <c r="W50" s="37"/>
      <c r="X50" s="37"/>
      <c r="Y50" s="37"/>
      <c r="Z50" s="44"/>
      <c r="AA50" s="44"/>
      <c r="AB50" s="45"/>
      <c r="AC50" s="9"/>
    </row>
    <row r="51" spans="2:29" s="29" customFormat="1" x14ac:dyDescent="0.2">
      <c r="B51" s="29" t="s">
        <v>105</v>
      </c>
      <c r="C51" s="29" t="s">
        <v>106</v>
      </c>
      <c r="D51" s="46">
        <v>0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6">
        <v>0</v>
      </c>
      <c r="Y51" s="46">
        <v>0</v>
      </c>
      <c r="Z51" s="46">
        <v>0</v>
      </c>
      <c r="AA51" s="46">
        <v>0</v>
      </c>
      <c r="AB51" s="46">
        <f t="shared" ref="AB51:AB55" si="8">D51+F51+H51+J51+L51+N51+P51+R51+T51+V51+X51+Z51</f>
        <v>0</v>
      </c>
      <c r="AC51" s="9"/>
    </row>
    <row r="52" spans="2:29" s="29" customFormat="1" x14ac:dyDescent="0.2">
      <c r="C52" s="29" t="s">
        <v>107</v>
      </c>
      <c r="D52" s="46">
        <f>SUM(D53:D55)</f>
        <v>0</v>
      </c>
      <c r="E52" s="46">
        <f>SUM(E53:E55)</f>
        <v>0</v>
      </c>
      <c r="F52" s="46">
        <f t="shared" ref="F52:V52" si="9">SUM(F53:F55)</f>
        <v>0</v>
      </c>
      <c r="G52" s="46">
        <f>SUM(G53:G55)</f>
        <v>0</v>
      </c>
      <c r="H52" s="46">
        <f t="shared" si="9"/>
        <v>0</v>
      </c>
      <c r="I52" s="46">
        <f>SUM(I53:I55)</f>
        <v>0</v>
      </c>
      <c r="J52" s="46">
        <f t="shared" si="9"/>
        <v>0</v>
      </c>
      <c r="K52" s="46">
        <f>SUM(K53:K55)</f>
        <v>0</v>
      </c>
      <c r="L52" s="46">
        <f t="shared" si="9"/>
        <v>0</v>
      </c>
      <c r="M52" s="46">
        <f>SUM(M53:M55)</f>
        <v>0</v>
      </c>
      <c r="N52" s="46">
        <f t="shared" si="9"/>
        <v>0</v>
      </c>
      <c r="O52" s="46">
        <f>SUM(O53:O55)</f>
        <v>0</v>
      </c>
      <c r="P52" s="46">
        <f t="shared" si="9"/>
        <v>0</v>
      </c>
      <c r="Q52" s="46">
        <f>SUM(Q53:Q55)</f>
        <v>0</v>
      </c>
      <c r="R52" s="46">
        <f t="shared" si="9"/>
        <v>0</v>
      </c>
      <c r="S52" s="46">
        <f>SUM(S53:S55)</f>
        <v>0</v>
      </c>
      <c r="T52" s="46">
        <f t="shared" si="9"/>
        <v>0</v>
      </c>
      <c r="U52" s="46">
        <f>SUM(U53:U55)</f>
        <v>0</v>
      </c>
      <c r="V52" s="46">
        <f t="shared" si="9"/>
        <v>0</v>
      </c>
      <c r="W52" s="46"/>
      <c r="X52" s="46">
        <f>SUM(X53:X55)</f>
        <v>0</v>
      </c>
      <c r="Y52" s="46"/>
      <c r="Z52" s="46">
        <f>SUM(Z53:Z55)</f>
        <v>0</v>
      </c>
      <c r="AA52" s="46"/>
      <c r="AB52" s="46">
        <f t="shared" si="8"/>
        <v>0</v>
      </c>
      <c r="AC52" s="9"/>
    </row>
    <row r="53" spans="2:29" s="55" customFormat="1" x14ac:dyDescent="0.2">
      <c r="B53" s="29" t="s">
        <v>108</v>
      </c>
      <c r="C53" s="55" t="s">
        <v>109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0</v>
      </c>
      <c r="AA53" s="49">
        <v>0</v>
      </c>
      <c r="AB53" s="56">
        <f t="shared" si="8"/>
        <v>0</v>
      </c>
      <c r="AC53" s="50"/>
    </row>
    <row r="54" spans="2:29" s="55" customFormat="1" x14ac:dyDescent="0.2">
      <c r="B54" s="29" t="s">
        <v>110</v>
      </c>
      <c r="C54" s="55" t="s">
        <v>111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0</v>
      </c>
      <c r="AB54" s="56">
        <f t="shared" si="8"/>
        <v>0</v>
      </c>
      <c r="AC54" s="50"/>
    </row>
    <row r="55" spans="2:29" s="55" customFormat="1" ht="13.5" thickBot="1" x14ac:dyDescent="0.25">
      <c r="B55" s="29" t="s">
        <v>140</v>
      </c>
      <c r="C55" s="55" t="s">
        <v>112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  <c r="W55" s="49">
        <v>0</v>
      </c>
      <c r="X55" s="49">
        <v>0</v>
      </c>
      <c r="Y55" s="49">
        <v>0</v>
      </c>
      <c r="Z55" s="49">
        <v>0</v>
      </c>
      <c r="AA55" s="49">
        <v>0</v>
      </c>
      <c r="AB55" s="56">
        <f t="shared" si="8"/>
        <v>0</v>
      </c>
      <c r="AC55" s="50"/>
    </row>
    <row r="56" spans="2:29" s="1" customFormat="1" ht="13.5" thickBot="1" x14ac:dyDescent="0.25">
      <c r="C56" s="12" t="s">
        <v>113</v>
      </c>
      <c r="D56" s="13">
        <f t="shared" ref="D56:V56" si="10">D51+D52</f>
        <v>0</v>
      </c>
      <c r="E56" s="13">
        <f t="shared" si="10"/>
        <v>0</v>
      </c>
      <c r="F56" s="13">
        <f t="shared" si="10"/>
        <v>0</v>
      </c>
      <c r="G56" s="13">
        <f t="shared" si="10"/>
        <v>0</v>
      </c>
      <c r="H56" s="13">
        <f t="shared" si="10"/>
        <v>0</v>
      </c>
      <c r="I56" s="13">
        <f t="shared" si="10"/>
        <v>0</v>
      </c>
      <c r="J56" s="13">
        <f t="shared" si="10"/>
        <v>0</v>
      </c>
      <c r="K56" s="13">
        <f t="shared" si="10"/>
        <v>0</v>
      </c>
      <c r="L56" s="13">
        <f t="shared" si="10"/>
        <v>0</v>
      </c>
      <c r="M56" s="13">
        <f t="shared" si="10"/>
        <v>0</v>
      </c>
      <c r="N56" s="13">
        <f t="shared" si="10"/>
        <v>0</v>
      </c>
      <c r="O56" s="13">
        <f t="shared" si="10"/>
        <v>0</v>
      </c>
      <c r="P56" s="13">
        <f t="shared" si="10"/>
        <v>0</v>
      </c>
      <c r="Q56" s="13">
        <f t="shared" si="10"/>
        <v>0</v>
      </c>
      <c r="R56" s="13">
        <f t="shared" si="10"/>
        <v>0</v>
      </c>
      <c r="S56" s="13">
        <f t="shared" si="10"/>
        <v>0</v>
      </c>
      <c r="T56" s="13">
        <f t="shared" si="10"/>
        <v>0</v>
      </c>
      <c r="U56" s="13">
        <f t="shared" si="10"/>
        <v>0</v>
      </c>
      <c r="V56" s="13">
        <f t="shared" si="10"/>
        <v>0</v>
      </c>
      <c r="W56" s="13"/>
      <c r="X56" s="13">
        <f>X51+X52</f>
        <v>0</v>
      </c>
      <c r="Y56" s="13"/>
      <c r="Z56" s="13">
        <f>Z51+Z52</f>
        <v>0</v>
      </c>
      <c r="AA56" s="13"/>
      <c r="AB56" s="14">
        <f>AB51+AB52</f>
        <v>0</v>
      </c>
      <c r="AC56" s="9"/>
    </row>
    <row r="57" spans="2:29" x14ac:dyDescent="0.2">
      <c r="AC57" s="54"/>
    </row>
    <row r="58" spans="2:29" s="29" customFormat="1" x14ac:dyDescent="0.2">
      <c r="B58" s="29" t="s">
        <v>139</v>
      </c>
      <c r="C58" s="57" t="s">
        <v>114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f>D58+F58+H58+J58+L58+N58+P58+R58+T58+V58+X58+Z58</f>
        <v>0</v>
      </c>
      <c r="AC58" s="9"/>
    </row>
    <row r="59" spans="2:29" s="29" customFormat="1" x14ac:dyDescent="0.2">
      <c r="D59" s="43"/>
      <c r="E59" s="43"/>
      <c r="F59" s="43"/>
      <c r="G59" s="43"/>
      <c r="H59" s="37"/>
      <c r="I59" s="37"/>
      <c r="J59" s="44"/>
      <c r="K59" s="44"/>
      <c r="L59" s="43"/>
      <c r="M59" s="43"/>
      <c r="N59" s="43"/>
      <c r="O59" s="43"/>
      <c r="P59" s="37"/>
      <c r="Q59" s="37"/>
      <c r="R59" s="44"/>
      <c r="S59" s="44"/>
      <c r="T59" s="32"/>
      <c r="U59" s="32"/>
      <c r="V59" s="43"/>
      <c r="W59" s="43"/>
      <c r="X59" s="37"/>
      <c r="Y59" s="37"/>
      <c r="Z59" s="44"/>
      <c r="AA59" s="44"/>
      <c r="AB59" s="43"/>
      <c r="AC59" s="32"/>
    </row>
    <row r="60" spans="2:29" s="29" customFormat="1" x14ac:dyDescent="0.2">
      <c r="B60" s="29" t="s">
        <v>115</v>
      </c>
      <c r="C60" s="57" t="s">
        <v>116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f>D60+F60+H60+J60+L60+N60+P60+R60+T60+V60+X60+Z60</f>
        <v>0</v>
      </c>
      <c r="AC60" s="32"/>
    </row>
    <row r="62" spans="2:29" s="1" customFormat="1" ht="13.5" thickBot="1" x14ac:dyDescent="0.25">
      <c r="C62" s="12" t="s">
        <v>117</v>
      </c>
      <c r="D62" s="13">
        <f t="shared" ref="D62:V62" si="11">D23-D48-D56-D58-D60</f>
        <v>0</v>
      </c>
      <c r="E62" s="13">
        <f t="shared" si="11"/>
        <v>0</v>
      </c>
      <c r="F62" s="13">
        <f t="shared" si="11"/>
        <v>0</v>
      </c>
      <c r="G62" s="13">
        <f t="shared" si="11"/>
        <v>0</v>
      </c>
      <c r="H62" s="13">
        <f t="shared" si="11"/>
        <v>0</v>
      </c>
      <c r="I62" s="13">
        <f t="shared" si="11"/>
        <v>0</v>
      </c>
      <c r="J62" s="13">
        <f t="shared" si="11"/>
        <v>0</v>
      </c>
      <c r="K62" s="13">
        <f t="shared" si="11"/>
        <v>0</v>
      </c>
      <c r="L62" s="13">
        <f t="shared" si="11"/>
        <v>0</v>
      </c>
      <c r="M62" s="13">
        <f t="shared" si="11"/>
        <v>0</v>
      </c>
      <c r="N62" s="13">
        <f t="shared" si="11"/>
        <v>0</v>
      </c>
      <c r="O62" s="13">
        <f t="shared" si="11"/>
        <v>0</v>
      </c>
      <c r="P62" s="13">
        <f t="shared" si="11"/>
        <v>0</v>
      </c>
      <c r="Q62" s="13">
        <f t="shared" si="11"/>
        <v>0</v>
      </c>
      <c r="R62" s="13">
        <f t="shared" si="11"/>
        <v>0</v>
      </c>
      <c r="S62" s="13">
        <f t="shared" si="11"/>
        <v>0</v>
      </c>
      <c r="T62" s="13">
        <f t="shared" si="11"/>
        <v>0</v>
      </c>
      <c r="U62" s="13">
        <f t="shared" si="11"/>
        <v>0</v>
      </c>
      <c r="V62" s="13">
        <f t="shared" si="11"/>
        <v>0</v>
      </c>
      <c r="W62" s="13"/>
      <c r="X62" s="13">
        <f>X23-X48-X56-X58-X60</f>
        <v>0</v>
      </c>
      <c r="Y62" s="13"/>
      <c r="Z62" s="13">
        <f>Z23-Z48-Z56-Z58-Z60</f>
        <v>0</v>
      </c>
      <c r="AA62" s="13"/>
      <c r="AB62" s="14">
        <f>AB23-AB48-AB56-AB58-AB60</f>
        <v>0</v>
      </c>
      <c r="AC62" s="10"/>
    </row>
  </sheetData>
  <conditionalFormatting sqref="B1:B1048576">
    <cfRule type="duplicateValues" dxfId="2" priority="1"/>
  </conditionalFormatting>
  <conditionalFormatting sqref="B37:B41">
    <cfRule type="duplicateValues" dxfId="1" priority="4"/>
  </conditionalFormatting>
  <conditionalFormatting sqref="B42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97F-6FC6-41BB-8DC1-DBA6AA9BABBD}">
  <dimension ref="B1:AB43"/>
  <sheetViews>
    <sheetView showGridLines="0" tabSelected="1" zoomScale="120" zoomScaleNormal="120" workbookViewId="0">
      <pane xSplit="3" ySplit="3" topLeftCell="D4" activePane="bottomRight" state="frozen"/>
      <selection activeCell="W28" sqref="W28"/>
      <selection pane="topRight" activeCell="W28" sqref="W28"/>
      <selection pane="bottomLeft" activeCell="W28" sqref="W28"/>
      <selection pane="bottomRight" activeCell="B1" sqref="B1"/>
    </sheetView>
  </sheetViews>
  <sheetFormatPr baseColWidth="10" defaultColWidth="11.42578125" defaultRowHeight="12.75" x14ac:dyDescent="0.2"/>
  <cols>
    <col min="1" max="1" width="1.85546875" style="6" customWidth="1"/>
    <col min="2" max="2" width="14.28515625" style="6" customWidth="1"/>
    <col min="3" max="3" width="22.85546875" style="6" customWidth="1"/>
    <col min="4" max="5" width="11.42578125" style="6"/>
    <col min="6" max="7" width="15.140625" style="6" customWidth="1"/>
    <col min="8" max="15" width="11.42578125" style="6"/>
    <col min="16" max="17" width="12.42578125" style="6" customWidth="1"/>
    <col min="18" max="27" width="11.42578125" style="6" customWidth="1"/>
    <col min="28" max="28" width="13.140625" style="25" customWidth="1"/>
    <col min="29" max="16384" width="11.42578125" style="6"/>
  </cols>
  <sheetData>
    <row r="1" spans="2:28" x14ac:dyDescent="0.2">
      <c r="B1" s="67"/>
    </row>
    <row r="3" spans="2:28" x14ac:dyDescent="0.2">
      <c r="C3" s="5" t="s">
        <v>118</v>
      </c>
      <c r="D3" s="4">
        <v>46023</v>
      </c>
      <c r="E3" s="65">
        <v>46023</v>
      </c>
      <c r="F3" s="4">
        <v>46054</v>
      </c>
      <c r="G3" s="65">
        <v>46054</v>
      </c>
      <c r="H3" s="4">
        <v>46082</v>
      </c>
      <c r="I3" s="65">
        <v>46082</v>
      </c>
      <c r="J3" s="4">
        <v>46113</v>
      </c>
      <c r="K3" s="65">
        <v>46113</v>
      </c>
      <c r="L3" s="4">
        <v>46143</v>
      </c>
      <c r="M3" s="65">
        <v>46143</v>
      </c>
      <c r="N3" s="4">
        <v>46174</v>
      </c>
      <c r="O3" s="65">
        <v>46174</v>
      </c>
      <c r="P3" s="4">
        <v>46204</v>
      </c>
      <c r="Q3" s="65">
        <v>46204</v>
      </c>
      <c r="R3" s="4">
        <v>46235</v>
      </c>
      <c r="S3" s="65">
        <v>46235</v>
      </c>
      <c r="T3" s="4">
        <v>46266</v>
      </c>
      <c r="U3" s="65">
        <v>46266</v>
      </c>
      <c r="V3" s="4">
        <v>46296</v>
      </c>
      <c r="W3" s="65">
        <v>46296</v>
      </c>
      <c r="X3" s="4">
        <v>46327</v>
      </c>
      <c r="Y3" s="65">
        <v>46327</v>
      </c>
      <c r="Z3" s="4">
        <v>46357</v>
      </c>
      <c r="AA3" s="65">
        <v>46357</v>
      </c>
      <c r="AB3" s="66">
        <v>2026</v>
      </c>
    </row>
    <row r="5" spans="2:28" ht="13.15" customHeight="1" x14ac:dyDescent="0.2">
      <c r="C5" s="24" t="s">
        <v>119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  <c r="AB5" s="38">
        <f>D5+F5+H5+J5+L5+N5+P5+R5+T5+V5+X5+Z5</f>
        <v>0</v>
      </c>
    </row>
    <row r="6" spans="2:28" ht="13.15" customHeight="1" x14ac:dyDescent="0.2">
      <c r="B6" s="1"/>
      <c r="C6" s="24" t="s">
        <v>120</v>
      </c>
      <c r="D6" s="54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38">
        <f>D6+F6+H6+J6+L6+N6+P6+R6+T6+V6+X6+Z6</f>
        <v>0</v>
      </c>
    </row>
    <row r="7" spans="2:28" ht="13.15" customHeight="1" x14ac:dyDescent="0.2">
      <c r="B7" s="1"/>
      <c r="C7" s="24" t="s">
        <v>121</v>
      </c>
      <c r="D7" s="59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38">
        <f>D7+F7+H7+J7+L7+N7+P7+R7+T7+V7+X7+Z7</f>
        <v>0</v>
      </c>
    </row>
    <row r="8" spans="2:28" ht="13.15" customHeight="1" thickBot="1" x14ac:dyDescent="0.25">
      <c r="B8" s="1" t="s">
        <v>122</v>
      </c>
      <c r="C8" s="24" t="s">
        <v>123</v>
      </c>
      <c r="D8" s="60">
        <f t="shared" ref="D8:AA8" si="0">SUM(D5:D7)</f>
        <v>0</v>
      </c>
      <c r="E8" s="60">
        <f t="shared" si="0"/>
        <v>0</v>
      </c>
      <c r="F8" s="60">
        <f t="shared" si="0"/>
        <v>0</v>
      </c>
      <c r="G8" s="60">
        <f t="shared" si="0"/>
        <v>0</v>
      </c>
      <c r="H8" s="60">
        <f t="shared" si="0"/>
        <v>0</v>
      </c>
      <c r="I8" s="60">
        <f t="shared" si="0"/>
        <v>0</v>
      </c>
      <c r="J8" s="60">
        <f t="shared" si="0"/>
        <v>0</v>
      </c>
      <c r="K8" s="60">
        <f t="shared" si="0"/>
        <v>0</v>
      </c>
      <c r="L8" s="60">
        <f t="shared" si="0"/>
        <v>0</v>
      </c>
      <c r="M8" s="60">
        <f t="shared" si="0"/>
        <v>0</v>
      </c>
      <c r="N8" s="60">
        <f t="shared" si="0"/>
        <v>0</v>
      </c>
      <c r="O8" s="60">
        <f t="shared" si="0"/>
        <v>0</v>
      </c>
      <c r="P8" s="60">
        <f t="shared" si="0"/>
        <v>0</v>
      </c>
      <c r="Q8" s="60">
        <f t="shared" si="0"/>
        <v>0</v>
      </c>
      <c r="R8" s="60">
        <f t="shared" si="0"/>
        <v>0</v>
      </c>
      <c r="S8" s="60">
        <f t="shared" si="0"/>
        <v>0</v>
      </c>
      <c r="T8" s="60">
        <f t="shared" si="0"/>
        <v>0</v>
      </c>
      <c r="U8" s="60">
        <f t="shared" si="0"/>
        <v>0</v>
      </c>
      <c r="V8" s="60">
        <f t="shared" si="0"/>
        <v>0</v>
      </c>
      <c r="W8" s="60">
        <f t="shared" si="0"/>
        <v>0</v>
      </c>
      <c r="X8" s="60">
        <f t="shared" si="0"/>
        <v>0</v>
      </c>
      <c r="Y8" s="60">
        <f t="shared" si="0"/>
        <v>0</v>
      </c>
      <c r="Z8" s="60">
        <f t="shared" si="0"/>
        <v>0</v>
      </c>
      <c r="AA8" s="60">
        <f t="shared" si="0"/>
        <v>0</v>
      </c>
      <c r="AB8" s="60">
        <f>D8+F8+H8+J8+L8+N8+P8+R8+T8+V8+X8+Z8</f>
        <v>0</v>
      </c>
    </row>
    <row r="9" spans="2:28" ht="13.15" customHeight="1" thickTop="1" x14ac:dyDescent="0.2">
      <c r="B9" s="1"/>
      <c r="C9" s="24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2"/>
    </row>
    <row r="10" spans="2:28" ht="13.15" customHeight="1" x14ac:dyDescent="0.2">
      <c r="B10" s="1"/>
      <c r="C10" s="24" t="s">
        <v>121</v>
      </c>
      <c r="D10" s="58">
        <v>0</v>
      </c>
      <c r="E10" s="58">
        <v>0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38">
        <f>D10+F10+H10+J10+L10+N10+P10+R10+T10+V10+X10+Z10</f>
        <v>0</v>
      </c>
    </row>
    <row r="11" spans="2:28" ht="13.15" customHeight="1" x14ac:dyDescent="0.2">
      <c r="B11" s="1"/>
      <c r="C11" s="24" t="s">
        <v>120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38">
        <f>D11+F11+H11+J11+L11+N11+P11+R11+T11+V11+X11+Z11</f>
        <v>0</v>
      </c>
    </row>
    <row r="12" spans="2:28" ht="13.15" customHeight="1" x14ac:dyDescent="0.2">
      <c r="B12" s="1"/>
      <c r="C12" s="24" t="s">
        <v>124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38">
        <f>D12+F12+H12+J12+L12+N12+P12+R12+T12+V12+X12+Z12</f>
        <v>0</v>
      </c>
    </row>
    <row r="13" spans="2:28" ht="13.5" thickBot="1" x14ac:dyDescent="0.25">
      <c r="B13" s="1" t="s">
        <v>125</v>
      </c>
      <c r="C13" s="24" t="s">
        <v>123</v>
      </c>
      <c r="D13" s="60">
        <f>SUM(D10:D12)</f>
        <v>0</v>
      </c>
      <c r="E13" s="60">
        <f t="shared" ref="E13:AA13" si="1">SUM(E10:E12)</f>
        <v>0</v>
      </c>
      <c r="F13" s="60">
        <f t="shared" si="1"/>
        <v>0</v>
      </c>
      <c r="G13" s="60">
        <f t="shared" si="1"/>
        <v>0</v>
      </c>
      <c r="H13" s="60">
        <f t="shared" si="1"/>
        <v>0</v>
      </c>
      <c r="I13" s="60">
        <f t="shared" si="1"/>
        <v>0</v>
      </c>
      <c r="J13" s="60">
        <f t="shared" si="1"/>
        <v>0</v>
      </c>
      <c r="K13" s="60">
        <f t="shared" si="1"/>
        <v>0</v>
      </c>
      <c r="L13" s="60">
        <f t="shared" si="1"/>
        <v>0</v>
      </c>
      <c r="M13" s="60">
        <f t="shared" si="1"/>
        <v>0</v>
      </c>
      <c r="N13" s="60">
        <f t="shared" si="1"/>
        <v>0</v>
      </c>
      <c r="O13" s="60">
        <f t="shared" si="1"/>
        <v>0</v>
      </c>
      <c r="P13" s="60">
        <f t="shared" si="1"/>
        <v>0</v>
      </c>
      <c r="Q13" s="60">
        <f t="shared" si="1"/>
        <v>0</v>
      </c>
      <c r="R13" s="60">
        <f t="shared" si="1"/>
        <v>0</v>
      </c>
      <c r="S13" s="60">
        <f t="shared" si="1"/>
        <v>0</v>
      </c>
      <c r="T13" s="60">
        <f t="shared" si="1"/>
        <v>0</v>
      </c>
      <c r="U13" s="60">
        <f t="shared" si="1"/>
        <v>0</v>
      </c>
      <c r="V13" s="60">
        <f t="shared" si="1"/>
        <v>0</v>
      </c>
      <c r="W13" s="60">
        <f t="shared" si="1"/>
        <v>0</v>
      </c>
      <c r="X13" s="60">
        <f t="shared" si="1"/>
        <v>0</v>
      </c>
      <c r="Y13" s="60">
        <f t="shared" si="1"/>
        <v>0</v>
      </c>
      <c r="Z13" s="60">
        <f t="shared" si="1"/>
        <v>0</v>
      </c>
      <c r="AA13" s="60">
        <f t="shared" si="1"/>
        <v>0</v>
      </c>
      <c r="AB13" s="60">
        <f>D13+F13+H13+J13+L13+N13+P13+R13+T13+V13+X13+Z13</f>
        <v>0</v>
      </c>
    </row>
    <row r="14" spans="2:28" ht="13.5" thickTop="1" x14ac:dyDescent="0.2">
      <c r="B14" s="1"/>
      <c r="C14" s="2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9"/>
    </row>
    <row r="15" spans="2:28" x14ac:dyDescent="0.2">
      <c r="B15" s="63"/>
      <c r="C15" s="24" t="s">
        <v>126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38">
        <f>D15+F15+H15+J15+L15+N15+P15+R15+T15+V15+X15+Z15</f>
        <v>0</v>
      </c>
    </row>
    <row r="16" spans="2:28" x14ac:dyDescent="0.2">
      <c r="B16" s="1"/>
      <c r="C16" s="24" t="s">
        <v>120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58">
        <v>0</v>
      </c>
      <c r="Z16" s="58">
        <v>0</v>
      </c>
      <c r="AA16" s="58">
        <v>0</v>
      </c>
      <c r="AB16" s="38">
        <f>D16+F16+H16+J16+L16+N16+P16+R16+T16+V16+X16+Z16</f>
        <v>0</v>
      </c>
    </row>
    <row r="17" spans="2:28" x14ac:dyDescent="0.2">
      <c r="B17" s="1"/>
      <c r="C17" s="24" t="s">
        <v>121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58">
        <v>0</v>
      </c>
      <c r="Z17" s="58">
        <v>0</v>
      </c>
      <c r="AA17" s="58">
        <v>0</v>
      </c>
      <c r="AB17" s="38">
        <f>D17+F17+H17+J17+L17+N17+P17+R17+T17+V17+X17+Z17</f>
        <v>0</v>
      </c>
    </row>
    <row r="18" spans="2:28" ht="13.5" thickBot="1" x14ac:dyDescent="0.25">
      <c r="B18" s="1" t="s">
        <v>127</v>
      </c>
      <c r="C18" s="24" t="s">
        <v>123</v>
      </c>
      <c r="D18" s="60">
        <f t="shared" ref="D18:AA18" si="2">SUM(D15:D17)</f>
        <v>0</v>
      </c>
      <c r="E18" s="60">
        <f t="shared" si="2"/>
        <v>0</v>
      </c>
      <c r="F18" s="60">
        <f t="shared" si="2"/>
        <v>0</v>
      </c>
      <c r="G18" s="60">
        <f t="shared" si="2"/>
        <v>0</v>
      </c>
      <c r="H18" s="60">
        <f t="shared" si="2"/>
        <v>0</v>
      </c>
      <c r="I18" s="60">
        <f t="shared" si="2"/>
        <v>0</v>
      </c>
      <c r="J18" s="60">
        <f t="shared" si="2"/>
        <v>0</v>
      </c>
      <c r="K18" s="60">
        <f t="shared" si="2"/>
        <v>0</v>
      </c>
      <c r="L18" s="60">
        <f t="shared" si="2"/>
        <v>0</v>
      </c>
      <c r="M18" s="60">
        <f t="shared" si="2"/>
        <v>0</v>
      </c>
      <c r="N18" s="60">
        <f t="shared" si="2"/>
        <v>0</v>
      </c>
      <c r="O18" s="60">
        <f t="shared" si="2"/>
        <v>0</v>
      </c>
      <c r="P18" s="60">
        <f t="shared" si="2"/>
        <v>0</v>
      </c>
      <c r="Q18" s="60">
        <f t="shared" si="2"/>
        <v>0</v>
      </c>
      <c r="R18" s="60">
        <f t="shared" si="2"/>
        <v>0</v>
      </c>
      <c r="S18" s="60">
        <f t="shared" si="2"/>
        <v>0</v>
      </c>
      <c r="T18" s="60">
        <f t="shared" si="2"/>
        <v>0</v>
      </c>
      <c r="U18" s="60">
        <f t="shared" si="2"/>
        <v>0</v>
      </c>
      <c r="V18" s="60">
        <f t="shared" si="2"/>
        <v>0</v>
      </c>
      <c r="W18" s="60">
        <f t="shared" si="2"/>
        <v>0</v>
      </c>
      <c r="X18" s="60">
        <f t="shared" si="2"/>
        <v>0</v>
      </c>
      <c r="Y18" s="60">
        <f t="shared" si="2"/>
        <v>0</v>
      </c>
      <c r="Z18" s="60">
        <f t="shared" si="2"/>
        <v>0</v>
      </c>
      <c r="AA18" s="60">
        <f t="shared" si="2"/>
        <v>0</v>
      </c>
      <c r="AB18" s="60">
        <f>D18+F18+H18+J18+L18+N18+P18+R18+T18+V18+X18+Z18</f>
        <v>0</v>
      </c>
    </row>
    <row r="19" spans="2:28" ht="13.5" thickTop="1" x14ac:dyDescent="0.2">
      <c r="B19" s="1"/>
      <c r="C19" s="24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4"/>
    </row>
    <row r="20" spans="2:28" x14ac:dyDescent="0.2">
      <c r="C20" s="24" t="s">
        <v>128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58">
        <v>0</v>
      </c>
      <c r="Z20" s="58">
        <v>0</v>
      </c>
      <c r="AA20" s="58">
        <v>0</v>
      </c>
      <c r="AB20" s="38">
        <f>D20+F20+H20+J20+L20+N20+P20+R20+T20+V20+X20+Z20</f>
        <v>0</v>
      </c>
    </row>
    <row r="21" spans="2:28" x14ac:dyDescent="0.2">
      <c r="B21" s="1"/>
      <c r="C21" s="24" t="s">
        <v>120</v>
      </c>
      <c r="D21" s="58">
        <v>0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58">
        <v>0</v>
      </c>
      <c r="Z21" s="58">
        <v>0</v>
      </c>
      <c r="AA21" s="58">
        <v>0</v>
      </c>
      <c r="AB21" s="38">
        <f>D21+F21+H21+J21+L21+N21+P21+R21+T21+V21+X21+Z21</f>
        <v>0</v>
      </c>
    </row>
    <row r="22" spans="2:28" x14ac:dyDescent="0.2">
      <c r="B22" s="1"/>
      <c r="C22" s="24" t="s">
        <v>121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0</v>
      </c>
      <c r="Z22" s="58">
        <v>0</v>
      </c>
      <c r="AA22" s="58">
        <v>0</v>
      </c>
      <c r="AB22" s="38">
        <f>D22+F22+H22+J22+L22+N22+P22+R22+T22+V22+X22+Z22</f>
        <v>0</v>
      </c>
    </row>
    <row r="23" spans="2:28" ht="13.5" thickBot="1" x14ac:dyDescent="0.25">
      <c r="B23" s="1" t="s">
        <v>129</v>
      </c>
      <c r="C23" s="24" t="s">
        <v>123</v>
      </c>
      <c r="D23" s="60">
        <f t="shared" ref="D23:AA23" si="3">SUM(D20:D22)</f>
        <v>0</v>
      </c>
      <c r="E23" s="60">
        <f t="shared" si="3"/>
        <v>0</v>
      </c>
      <c r="F23" s="60">
        <f t="shared" si="3"/>
        <v>0</v>
      </c>
      <c r="G23" s="60">
        <f t="shared" si="3"/>
        <v>0</v>
      </c>
      <c r="H23" s="60">
        <f t="shared" si="3"/>
        <v>0</v>
      </c>
      <c r="I23" s="60">
        <f t="shared" si="3"/>
        <v>0</v>
      </c>
      <c r="J23" s="60">
        <f t="shared" si="3"/>
        <v>0</v>
      </c>
      <c r="K23" s="60">
        <f t="shared" si="3"/>
        <v>0</v>
      </c>
      <c r="L23" s="60">
        <f t="shared" si="3"/>
        <v>0</v>
      </c>
      <c r="M23" s="60">
        <f t="shared" si="3"/>
        <v>0</v>
      </c>
      <c r="N23" s="60">
        <f t="shared" si="3"/>
        <v>0</v>
      </c>
      <c r="O23" s="60">
        <f t="shared" si="3"/>
        <v>0</v>
      </c>
      <c r="P23" s="60">
        <f t="shared" si="3"/>
        <v>0</v>
      </c>
      <c r="Q23" s="60">
        <f t="shared" si="3"/>
        <v>0</v>
      </c>
      <c r="R23" s="60">
        <f t="shared" si="3"/>
        <v>0</v>
      </c>
      <c r="S23" s="60">
        <f t="shared" si="3"/>
        <v>0</v>
      </c>
      <c r="T23" s="60">
        <f t="shared" si="3"/>
        <v>0</v>
      </c>
      <c r="U23" s="60">
        <f t="shared" si="3"/>
        <v>0</v>
      </c>
      <c r="V23" s="60">
        <f t="shared" si="3"/>
        <v>0</v>
      </c>
      <c r="W23" s="60">
        <f t="shared" si="3"/>
        <v>0</v>
      </c>
      <c r="X23" s="60">
        <f t="shared" si="3"/>
        <v>0</v>
      </c>
      <c r="Y23" s="60">
        <f t="shared" si="3"/>
        <v>0</v>
      </c>
      <c r="Z23" s="60">
        <f t="shared" si="3"/>
        <v>0</v>
      </c>
      <c r="AA23" s="60">
        <f t="shared" si="3"/>
        <v>0</v>
      </c>
      <c r="AB23" s="60">
        <f>D23+F23+H23+J23+L23+N23+P23+R23+T23+V23+X23+Z23</f>
        <v>0</v>
      </c>
    </row>
    <row r="24" spans="2:28" ht="13.5" thickTop="1" x14ac:dyDescent="0.2">
      <c r="B24" s="1"/>
      <c r="C24" s="24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</row>
    <row r="25" spans="2:28" x14ac:dyDescent="0.2">
      <c r="C25" s="24" t="s">
        <v>130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38">
        <f>D25+F25+H25+J25+L25+N25+P25+R25+T25+V25+X25+Z25</f>
        <v>0</v>
      </c>
    </row>
    <row r="26" spans="2:28" x14ac:dyDescent="0.2">
      <c r="B26" s="1"/>
      <c r="C26" s="24" t="s">
        <v>120</v>
      </c>
      <c r="D26" s="58">
        <v>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58">
        <v>0</v>
      </c>
      <c r="Z26" s="58">
        <v>0</v>
      </c>
      <c r="AA26" s="58">
        <v>0</v>
      </c>
      <c r="AB26" s="38">
        <f>D26+F26+H26+J26+L26+N26+P26+R26+T26+V26+X26+Z26</f>
        <v>0</v>
      </c>
    </row>
    <row r="27" spans="2:28" x14ac:dyDescent="0.2">
      <c r="B27" s="1"/>
      <c r="C27" s="24" t="s">
        <v>121</v>
      </c>
      <c r="D27" s="58">
        <v>0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0</v>
      </c>
      <c r="AB27" s="38">
        <f>D27+F27+H27+J27+L27+N27+P27+R27+T27+V27+X27+Z27</f>
        <v>0</v>
      </c>
    </row>
    <row r="28" spans="2:28" ht="13.5" thickBot="1" x14ac:dyDescent="0.25">
      <c r="B28" s="1" t="s">
        <v>131</v>
      </c>
      <c r="C28" s="24" t="s">
        <v>123</v>
      </c>
      <c r="D28" s="60">
        <f>SUM(D25:D27)</f>
        <v>0</v>
      </c>
      <c r="E28" s="60">
        <f t="shared" ref="E28:AA28" si="4">SUM(E25:E27)</f>
        <v>0</v>
      </c>
      <c r="F28" s="60">
        <f t="shared" si="4"/>
        <v>0</v>
      </c>
      <c r="G28" s="60">
        <f t="shared" si="4"/>
        <v>0</v>
      </c>
      <c r="H28" s="60">
        <f t="shared" si="4"/>
        <v>0</v>
      </c>
      <c r="I28" s="60">
        <f t="shared" si="4"/>
        <v>0</v>
      </c>
      <c r="J28" s="60">
        <f t="shared" si="4"/>
        <v>0</v>
      </c>
      <c r="K28" s="60">
        <f t="shared" si="4"/>
        <v>0</v>
      </c>
      <c r="L28" s="60">
        <f t="shared" si="4"/>
        <v>0</v>
      </c>
      <c r="M28" s="60">
        <f t="shared" si="4"/>
        <v>0</v>
      </c>
      <c r="N28" s="60">
        <f t="shared" si="4"/>
        <v>0</v>
      </c>
      <c r="O28" s="60">
        <f t="shared" si="4"/>
        <v>0</v>
      </c>
      <c r="P28" s="60">
        <f t="shared" si="4"/>
        <v>0</v>
      </c>
      <c r="Q28" s="60">
        <f t="shared" si="4"/>
        <v>0</v>
      </c>
      <c r="R28" s="60">
        <f t="shared" si="4"/>
        <v>0</v>
      </c>
      <c r="S28" s="60">
        <f t="shared" si="4"/>
        <v>0</v>
      </c>
      <c r="T28" s="60">
        <f t="shared" si="4"/>
        <v>0</v>
      </c>
      <c r="U28" s="60">
        <f t="shared" si="4"/>
        <v>0</v>
      </c>
      <c r="V28" s="60">
        <f t="shared" si="4"/>
        <v>0</v>
      </c>
      <c r="W28" s="60">
        <f t="shared" si="4"/>
        <v>0</v>
      </c>
      <c r="X28" s="60">
        <f t="shared" si="4"/>
        <v>0</v>
      </c>
      <c r="Y28" s="60">
        <f t="shared" si="4"/>
        <v>0</v>
      </c>
      <c r="Z28" s="60">
        <f t="shared" si="4"/>
        <v>0</v>
      </c>
      <c r="AA28" s="60">
        <f t="shared" si="4"/>
        <v>0</v>
      </c>
      <c r="AB28" s="60">
        <f>D28+F28+H28+J28+L28+N28+P28+R28+T28+V28+X28+Z28</f>
        <v>0</v>
      </c>
    </row>
    <row r="29" spans="2:28" ht="13.5" thickTop="1" x14ac:dyDescent="0.2">
      <c r="B29" s="1"/>
      <c r="C29" s="24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</row>
    <row r="30" spans="2:28" x14ac:dyDescent="0.2">
      <c r="C30" s="24" t="s">
        <v>132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58">
        <v>0</v>
      </c>
      <c r="Z30" s="58">
        <v>0</v>
      </c>
      <c r="AA30" s="58">
        <v>0</v>
      </c>
      <c r="AB30" s="38">
        <f>D30+F30+H30+J30+L30+N30+P30+R30+T30+V30+X30+Z30</f>
        <v>0</v>
      </c>
    </row>
    <row r="31" spans="2:28" x14ac:dyDescent="0.2">
      <c r="B31" s="1"/>
      <c r="C31" s="24" t="s">
        <v>120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58">
        <v>0</v>
      </c>
      <c r="Z31" s="58">
        <v>0</v>
      </c>
      <c r="AA31" s="58">
        <v>0</v>
      </c>
      <c r="AB31" s="38">
        <f>D31+F31+H31+J31+L31+N31+P31+R31+T31+V31+X31+Z31</f>
        <v>0</v>
      </c>
    </row>
    <row r="32" spans="2:28" x14ac:dyDescent="0.2">
      <c r="B32" s="1"/>
      <c r="C32" s="24" t="s">
        <v>133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58">
        <v>0</v>
      </c>
      <c r="Z32" s="58">
        <v>0</v>
      </c>
      <c r="AA32" s="58">
        <v>0</v>
      </c>
      <c r="AB32" s="38">
        <f>D32+F32+H32+J32+L32+N32+P32+R32+T32+V32+X32+Z32</f>
        <v>0</v>
      </c>
    </row>
    <row r="33" spans="2:28" x14ac:dyDescent="0.2">
      <c r="B33" s="1"/>
      <c r="C33" s="24" t="s">
        <v>121</v>
      </c>
      <c r="D33" s="58">
        <v>0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58">
        <v>0</v>
      </c>
      <c r="Z33" s="58">
        <v>0</v>
      </c>
      <c r="AA33" s="58">
        <v>0</v>
      </c>
      <c r="AB33" s="38">
        <f>D33+F33+H33+J33+L33+N33+P33+R33+T33+V33+X33+Z33</f>
        <v>0</v>
      </c>
    </row>
    <row r="34" spans="2:28" ht="13.5" thickBot="1" x14ac:dyDescent="0.25">
      <c r="B34" s="1" t="s">
        <v>134</v>
      </c>
      <c r="C34" s="24" t="s">
        <v>123</v>
      </c>
      <c r="D34" s="60">
        <f t="shared" ref="D34:AA34" si="5">SUM(D30:D33)</f>
        <v>0</v>
      </c>
      <c r="E34" s="60">
        <f t="shared" si="5"/>
        <v>0</v>
      </c>
      <c r="F34" s="60">
        <f t="shared" si="5"/>
        <v>0</v>
      </c>
      <c r="G34" s="60">
        <f t="shared" si="5"/>
        <v>0</v>
      </c>
      <c r="H34" s="60">
        <f t="shared" si="5"/>
        <v>0</v>
      </c>
      <c r="I34" s="60">
        <f t="shared" si="5"/>
        <v>0</v>
      </c>
      <c r="J34" s="60">
        <f t="shared" si="5"/>
        <v>0</v>
      </c>
      <c r="K34" s="60">
        <f t="shared" si="5"/>
        <v>0</v>
      </c>
      <c r="L34" s="60">
        <f t="shared" si="5"/>
        <v>0</v>
      </c>
      <c r="M34" s="60">
        <f t="shared" si="5"/>
        <v>0</v>
      </c>
      <c r="N34" s="60">
        <f t="shared" si="5"/>
        <v>0</v>
      </c>
      <c r="O34" s="60">
        <f t="shared" si="5"/>
        <v>0</v>
      </c>
      <c r="P34" s="60">
        <f t="shared" si="5"/>
        <v>0</v>
      </c>
      <c r="Q34" s="60">
        <f t="shared" si="5"/>
        <v>0</v>
      </c>
      <c r="R34" s="60">
        <f t="shared" si="5"/>
        <v>0</v>
      </c>
      <c r="S34" s="60">
        <f t="shared" si="5"/>
        <v>0</v>
      </c>
      <c r="T34" s="60">
        <f t="shared" si="5"/>
        <v>0</v>
      </c>
      <c r="U34" s="60">
        <f t="shared" si="5"/>
        <v>0</v>
      </c>
      <c r="V34" s="60">
        <f t="shared" si="5"/>
        <v>0</v>
      </c>
      <c r="W34" s="60">
        <f t="shared" si="5"/>
        <v>0</v>
      </c>
      <c r="X34" s="60">
        <f t="shared" si="5"/>
        <v>0</v>
      </c>
      <c r="Y34" s="60">
        <f t="shared" si="5"/>
        <v>0</v>
      </c>
      <c r="Z34" s="60">
        <f t="shared" si="5"/>
        <v>0</v>
      </c>
      <c r="AA34" s="60">
        <f t="shared" si="5"/>
        <v>0</v>
      </c>
      <c r="AB34" s="60">
        <f>D34+F34+H34+J34+L34+N34+P34+R34+T34+V34+X34+Z34</f>
        <v>0</v>
      </c>
    </row>
    <row r="35" spans="2:28" ht="13.5" thickTop="1" x14ac:dyDescent="0.2">
      <c r="B35" s="1"/>
      <c r="C35" s="24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</row>
    <row r="36" spans="2:28" x14ac:dyDescent="0.2">
      <c r="C36" s="24" t="s">
        <v>135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58">
        <v>0</v>
      </c>
      <c r="Z36" s="58">
        <v>0</v>
      </c>
      <c r="AA36" s="58">
        <v>0</v>
      </c>
      <c r="AB36" s="38">
        <f>D36+F36+H36+J36+L36+N36+P36+R36+T36+V36+X36+Z36</f>
        <v>0</v>
      </c>
    </row>
    <row r="37" spans="2:28" x14ac:dyDescent="0.2">
      <c r="C37" s="24" t="s">
        <v>136</v>
      </c>
      <c r="D37" s="58">
        <v>0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58">
        <v>0</v>
      </c>
      <c r="Z37" s="58">
        <v>0</v>
      </c>
      <c r="AA37" s="58">
        <v>0</v>
      </c>
      <c r="AB37" s="38">
        <f>D37+F37+H37+J37+L37+N37+P37+R37+T37+V37+X37+Z37</f>
        <v>0</v>
      </c>
    </row>
    <row r="38" spans="2:28" x14ac:dyDescent="0.2">
      <c r="C38" s="24" t="s">
        <v>120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58">
        <v>0</v>
      </c>
      <c r="Z38" s="58">
        <v>0</v>
      </c>
      <c r="AA38" s="58">
        <v>0</v>
      </c>
      <c r="AB38" s="38">
        <f>D38+F38+H38+J38+L38+N38+P38+R38+T38+V38+X38+Z38</f>
        <v>0</v>
      </c>
    </row>
    <row r="39" spans="2:28" x14ac:dyDescent="0.2">
      <c r="C39" s="24" t="s">
        <v>121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38">
        <f>D39+F39+H39+J39+L39+N39+P39+R39+T39+V39+X39+Z39</f>
        <v>0</v>
      </c>
    </row>
    <row r="40" spans="2:28" ht="13.5" thickBot="1" x14ac:dyDescent="0.25">
      <c r="B40" s="1" t="s">
        <v>137</v>
      </c>
      <c r="C40" s="24" t="s">
        <v>123</v>
      </c>
      <c r="D40" s="60">
        <f t="shared" ref="D40:AA40" si="6">SUM(D36:D39)</f>
        <v>0</v>
      </c>
      <c r="E40" s="60">
        <f t="shared" si="6"/>
        <v>0</v>
      </c>
      <c r="F40" s="60">
        <f t="shared" si="6"/>
        <v>0</v>
      </c>
      <c r="G40" s="60">
        <f t="shared" si="6"/>
        <v>0</v>
      </c>
      <c r="H40" s="60">
        <f t="shared" si="6"/>
        <v>0</v>
      </c>
      <c r="I40" s="60">
        <f t="shared" si="6"/>
        <v>0</v>
      </c>
      <c r="J40" s="60">
        <f t="shared" si="6"/>
        <v>0</v>
      </c>
      <c r="K40" s="60">
        <f t="shared" si="6"/>
        <v>0</v>
      </c>
      <c r="L40" s="60">
        <f>SUM(L36:L39)</f>
        <v>0</v>
      </c>
      <c r="M40" s="60">
        <f t="shared" si="6"/>
        <v>0</v>
      </c>
      <c r="N40" s="60">
        <f t="shared" si="6"/>
        <v>0</v>
      </c>
      <c r="O40" s="60">
        <f t="shared" si="6"/>
        <v>0</v>
      </c>
      <c r="P40" s="60">
        <f t="shared" si="6"/>
        <v>0</v>
      </c>
      <c r="Q40" s="60">
        <f t="shared" si="6"/>
        <v>0</v>
      </c>
      <c r="R40" s="60">
        <f t="shared" si="6"/>
        <v>0</v>
      </c>
      <c r="S40" s="60">
        <f t="shared" si="6"/>
        <v>0</v>
      </c>
      <c r="T40" s="60">
        <f t="shared" si="6"/>
        <v>0</v>
      </c>
      <c r="U40" s="60">
        <f t="shared" si="6"/>
        <v>0</v>
      </c>
      <c r="V40" s="60">
        <f t="shared" si="6"/>
        <v>0</v>
      </c>
      <c r="W40" s="60">
        <f t="shared" si="6"/>
        <v>0</v>
      </c>
      <c r="X40" s="60">
        <f t="shared" si="6"/>
        <v>0</v>
      </c>
      <c r="Y40" s="60">
        <f t="shared" si="6"/>
        <v>0</v>
      </c>
      <c r="Z40" s="60">
        <f t="shared" si="6"/>
        <v>0</v>
      </c>
      <c r="AA40" s="60">
        <f t="shared" si="6"/>
        <v>0</v>
      </c>
      <c r="AB40" s="60">
        <f>D40+F40+H40+J40+L40+N40+P40+R40+T40+V40+X40+Z40</f>
        <v>0</v>
      </c>
    </row>
    <row r="41" spans="2:28" ht="13.5" thickTop="1" x14ac:dyDescent="0.2"/>
    <row r="42" spans="2:28" ht="13.5" thickBot="1" x14ac:dyDescent="0.25">
      <c r="D42" s="60">
        <f>D8+D13+D18+D23+D28+D34+D40</f>
        <v>0</v>
      </c>
      <c r="E42" s="60">
        <f>E8+E13+E18+E23+E28+E34+E40</f>
        <v>0</v>
      </c>
      <c r="F42" s="60">
        <f t="shared" ref="F42:Z42" si="7">F8+F13+F18+F23+F28+F34+F40</f>
        <v>0</v>
      </c>
      <c r="G42" s="60">
        <f>G8+G13+G18+G23+G28+G34+G40</f>
        <v>0</v>
      </c>
      <c r="H42" s="60">
        <f t="shared" si="7"/>
        <v>0</v>
      </c>
      <c r="I42" s="60">
        <f>I8+I13+I18+I23+I28+I34+I40</f>
        <v>0</v>
      </c>
      <c r="J42" s="60">
        <f t="shared" si="7"/>
        <v>0</v>
      </c>
      <c r="K42" s="60">
        <f>K8+K13+K18+K23+K28+K34+K40</f>
        <v>0</v>
      </c>
      <c r="L42" s="60">
        <f t="shared" si="7"/>
        <v>0</v>
      </c>
      <c r="M42" s="60">
        <f>M8+M13+M18+M23+M28+M34+M40</f>
        <v>0</v>
      </c>
      <c r="N42" s="60">
        <f>N8+N13+N18+N23+N28+N34+N40</f>
        <v>0</v>
      </c>
      <c r="O42" s="60">
        <f>O8+O13+O18+O23+O28+O34+O40</f>
        <v>0</v>
      </c>
      <c r="P42" s="60">
        <f t="shared" si="7"/>
        <v>0</v>
      </c>
      <c r="Q42" s="60">
        <f>Q8+Q13+Q18+Q23+Q28+Q34+Q40</f>
        <v>0</v>
      </c>
      <c r="R42" s="60">
        <f>R8+R13+R18+R23+R28+R34+R40</f>
        <v>0</v>
      </c>
      <c r="S42" s="60">
        <f>S8+S13+S18+S23+S28+S34+S40</f>
        <v>0</v>
      </c>
      <c r="T42" s="60">
        <f t="shared" si="7"/>
        <v>0</v>
      </c>
      <c r="U42" s="60">
        <f>U8+U13+U18+U23+U28+U34+U40</f>
        <v>0</v>
      </c>
      <c r="V42" s="60">
        <f t="shared" si="7"/>
        <v>0</v>
      </c>
      <c r="W42" s="60"/>
      <c r="X42" s="60">
        <f>X8+X13+X18+X23+X28+X34+X40</f>
        <v>0</v>
      </c>
      <c r="Y42" s="60"/>
      <c r="Z42" s="60">
        <f t="shared" si="7"/>
        <v>0</v>
      </c>
      <c r="AA42" s="60"/>
      <c r="AB42" s="60">
        <f>AB8+AB13+AB18+AB23+AB28+AB34+AB40</f>
        <v>0</v>
      </c>
    </row>
    <row r="43" spans="2:28" ht="13.5" thickTop="1" x14ac:dyDescent="0.2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Finanzas</vt:lpstr>
      <vt:lpstr>Gastos Generales</vt:lpstr>
      <vt:lpstr>Nómina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2025-10-21T21:28:55Z</dcterms:created>
  <dcterms:modified xsi:type="dcterms:W3CDTF">2025-10-21T23:02:43Z</dcterms:modified>
</cp:coreProperties>
</file>