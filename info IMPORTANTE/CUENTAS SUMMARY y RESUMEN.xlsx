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da Sophia\Desktop\DESARROLLOS\amcham info\"/>
    </mc:Choice>
  </mc:AlternateContent>
  <xr:revisionPtr revIDLastSave="0" documentId="13_ncr:1_{B4085246-EA41-4B22-BC17-879321FCC6B3}" xr6:coauthVersionLast="47" xr6:coauthVersionMax="47" xr10:uidLastSave="{00000000-0000-0000-0000-000000000000}"/>
  <bookViews>
    <workbookView xWindow="-108" yWindow="-108" windowWidth="23256" windowHeight="13896" activeTab="1" xr2:uid="{36E9A0F6-4D31-41DF-861A-3E6AB8BAA0D2}"/>
  </bookViews>
  <sheets>
    <sheet name="SUMMARY" sheetId="10" r:id="rId1"/>
    <sheet name="SUMA DE VARIAS SECCIONES" sheetId="11" r:id="rId2"/>
    <sheet name="RESUMEN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1" l="1"/>
  <c r="C41" i="11"/>
  <c r="C40" i="11"/>
  <c r="C39" i="11"/>
  <c r="C38" i="11"/>
  <c r="C37" i="11"/>
  <c r="C36" i="11"/>
  <c r="C35" i="11"/>
  <c r="C34" i="11"/>
  <c r="C33" i="11"/>
  <c r="C32" i="11"/>
  <c r="C30" i="11" l="1"/>
  <c r="C29" i="11"/>
  <c r="C28" i="11"/>
  <c r="C27" i="11"/>
  <c r="C26" i="11"/>
  <c r="C25" i="11"/>
  <c r="C24" i="11"/>
  <c r="C23" i="11"/>
  <c r="C22" i="11"/>
  <c r="C21" i="11"/>
  <c r="C20" i="11" l="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</calcChain>
</file>

<file path=xl/sharedStrings.xml><?xml version="1.0" encoding="utf-8"?>
<sst xmlns="http://schemas.openxmlformats.org/spreadsheetml/2006/main" count="2058" uniqueCount="379">
  <si>
    <t>401000000000000000001</t>
  </si>
  <si>
    <t>402000000000000000001</t>
  </si>
  <si>
    <t>412000000000000000001</t>
  </si>
  <si>
    <t>407000000000000000001</t>
  </si>
  <si>
    <t>408000000000000000001</t>
  </si>
  <si>
    <t>417000000000000000001</t>
  </si>
  <si>
    <t>403000000000000000001</t>
  </si>
  <si>
    <t>409000000000000000001</t>
  </si>
  <si>
    <t>406000000000000000001</t>
  </si>
  <si>
    <t>450001000000000000002</t>
  </si>
  <si>
    <t>450002000000000000002</t>
  </si>
  <si>
    <t>705000000000000000001</t>
  </si>
  <si>
    <t>701000000000000000001</t>
  </si>
  <si>
    <t>702000000000000000001</t>
  </si>
  <si>
    <t>704000000000000000001</t>
  </si>
  <si>
    <t>601000000000000000001</t>
  </si>
  <si>
    <t>801001000000000000002</t>
  </si>
  <si>
    <t>801002000000000000002</t>
  </si>
  <si>
    <t>801003000000000000002</t>
  </si>
  <si>
    <t>801004000000000000002</t>
  </si>
  <si>
    <t>801005000000000000002</t>
  </si>
  <si>
    <t>801006000000000000002</t>
  </si>
  <si>
    <t>801007000000000000002</t>
  </si>
  <si>
    <t>801008000000000000002</t>
  </si>
  <si>
    <t>801009000000000000002</t>
  </si>
  <si>
    <t>801010000000000000002</t>
  </si>
  <si>
    <t>801011000000000000002</t>
  </si>
  <si>
    <t>801012000000000000002</t>
  </si>
  <si>
    <t>801013000000000000002</t>
  </si>
  <si>
    <t>901000000000000000001</t>
  </si>
  <si>
    <t>513000000000000000001</t>
  </si>
  <si>
    <t>517000000000000000001</t>
  </si>
  <si>
    <t>516000000000000000001</t>
  </si>
  <si>
    <t>519000000000000000001</t>
  </si>
  <si>
    <t>515000000000000000001</t>
  </si>
  <si>
    <t>518000000000000000001</t>
  </si>
  <si>
    <t>514000000000000000001</t>
  </si>
  <si>
    <t>950001002000000000003</t>
  </si>
  <si>
    <t>950002002000000000003</t>
  </si>
  <si>
    <t>Cuotas Netas</t>
  </si>
  <si>
    <t>Ingresos socios nuevos</t>
  </si>
  <si>
    <t>Economex</t>
  </si>
  <si>
    <t>Eventos</t>
  </si>
  <si>
    <t>Patrocinios</t>
  </si>
  <si>
    <t>Committees</t>
  </si>
  <si>
    <t>Patrocinios por Comites</t>
  </si>
  <si>
    <t>Venta Publicaciones</t>
  </si>
  <si>
    <t>Bolsa de Trabajo</t>
  </si>
  <si>
    <t>Guadalajara Income</t>
  </si>
  <si>
    <t>Monterrey Income</t>
  </si>
  <si>
    <t>Gastos Promoción</t>
  </si>
  <si>
    <t>Costo Eventos</t>
  </si>
  <si>
    <t>Servicio a la membresia</t>
  </si>
  <si>
    <t>Portafolio Económico</t>
  </si>
  <si>
    <t>Costo  directo de publicaciones</t>
  </si>
  <si>
    <t>Desarrollo de Negocios</t>
  </si>
  <si>
    <t>Relaciones Externas</t>
  </si>
  <si>
    <t>Servicios a las membresia</t>
  </si>
  <si>
    <t>Vicepresidencia</t>
  </si>
  <si>
    <t>Finanzas</t>
  </si>
  <si>
    <t>Administración</t>
  </si>
  <si>
    <t>Sistemas</t>
  </si>
  <si>
    <t>Empleos</t>
  </si>
  <si>
    <t>Servicios Generakes (Almacén)</t>
  </si>
  <si>
    <t>Comites</t>
  </si>
  <si>
    <t>Renta de Salas</t>
  </si>
  <si>
    <t>Comunicación</t>
  </si>
  <si>
    <t>Gastos Generales</t>
  </si>
  <si>
    <t>Nomina Vicepresidencia</t>
  </si>
  <si>
    <t>Nomina Desarrollo de Negocios</t>
  </si>
  <si>
    <t>Nomina Comites y Relaciones Externas</t>
  </si>
  <si>
    <t>Nomina Comunicación</t>
  </si>
  <si>
    <t>Nomina Servicios a la Membresia</t>
  </si>
  <si>
    <t>Nomina Eventos y Mercadotecnia</t>
  </si>
  <si>
    <t>Gastos Guadalajara</t>
  </si>
  <si>
    <t>Gastos Monterrey</t>
  </si>
  <si>
    <t>Otros Ingresos</t>
  </si>
  <si>
    <t>Intereses Bancos</t>
  </si>
  <si>
    <t>Utilidad Cambiaria Inversiones</t>
  </si>
  <si>
    <t xml:space="preserve">Plusvalia/Minusvalia Portafolio Inversiones </t>
  </si>
  <si>
    <t>413000000000000000001</t>
  </si>
  <si>
    <t>414000000000000000001</t>
  </si>
  <si>
    <t>416000000000000000001</t>
  </si>
  <si>
    <t>418000000000000000001</t>
  </si>
  <si>
    <t>Membership</t>
  </si>
  <si>
    <t>Events</t>
  </si>
  <si>
    <t>CDMX Income</t>
  </si>
  <si>
    <t>Services to Members</t>
  </si>
  <si>
    <t>CDMX Expense</t>
  </si>
  <si>
    <t>Gastos administrativos</t>
  </si>
  <si>
    <t>Other</t>
  </si>
  <si>
    <t>Gastos de Nomina</t>
  </si>
  <si>
    <t>Nomina Administración y Finanzas</t>
  </si>
  <si>
    <t>Guadalajara Expense</t>
  </si>
  <si>
    <t>Monterrey Expense</t>
  </si>
  <si>
    <t>México  Other Income</t>
  </si>
  <si>
    <t>Other Income</t>
  </si>
  <si>
    <t>Guadalajara Other Income</t>
  </si>
  <si>
    <t>Monterrey Other Income</t>
  </si>
  <si>
    <t>Northwest  Other Income</t>
  </si>
  <si>
    <t>Clase</t>
  </si>
  <si>
    <t xml:space="preserve">CONSOLIDATED INCOME </t>
  </si>
  <si>
    <t>CONSOLIDATED EXPENSES</t>
  </si>
  <si>
    <t>OPERATING RESULTS  MEXICO</t>
  </si>
  <si>
    <t>OPERATING RESULTS GUADALAJARA</t>
  </si>
  <si>
    <t>OPERATING RESULTS MONTERREY</t>
  </si>
  <si>
    <t xml:space="preserve">CONSOLIDATED OPERATING RESULTS </t>
  </si>
  <si>
    <t>NET RESULTS  MEXICO</t>
  </si>
  <si>
    <t>NET RESULTS GUADALAJARA</t>
  </si>
  <si>
    <t>NET RESULTS MONTERREY</t>
  </si>
  <si>
    <t>NET RESULTS NORTHWEST</t>
  </si>
  <si>
    <t>OPERATING RESULTS NORTHWEST</t>
  </si>
  <si>
    <t>CIUDAD DE MÉXICO</t>
  </si>
  <si>
    <t>OPERATING RESULTS MEXICO</t>
  </si>
  <si>
    <t>NET RESULTS MEXICO</t>
  </si>
  <si>
    <t>GUADALAJARA</t>
  </si>
  <si>
    <t>NORESTE</t>
  </si>
  <si>
    <t>400000000000000000001</t>
  </si>
  <si>
    <t>404000000000000000001</t>
  </si>
  <si>
    <t>405000000000000000001</t>
  </si>
  <si>
    <t>502000000000000000001</t>
  </si>
  <si>
    <t>902000000000000000001</t>
  </si>
  <si>
    <t>904000000000000000001</t>
  </si>
  <si>
    <t>501000000000000000001</t>
  </si>
  <si>
    <t>801000000000000000001</t>
  </si>
  <si>
    <t>903000000000000000001</t>
  </si>
  <si>
    <t>903016000000000000002</t>
  </si>
  <si>
    <t>410000000000000000001</t>
  </si>
  <si>
    <t>Comités</t>
  </si>
  <si>
    <t>Publicidad</t>
  </si>
  <si>
    <t>Visas</t>
  </si>
  <si>
    <t>Información comercial</t>
  </si>
  <si>
    <t>Costo comités</t>
  </si>
  <si>
    <t>Gastos directos de publicación</t>
  </si>
  <si>
    <t>Costo de publicidad</t>
  </si>
  <si>
    <t>Gtos promoción y juntas de trabajo</t>
  </si>
  <si>
    <t>Gastos extraordinarios</t>
  </si>
  <si>
    <t>Nómina Guadalajara</t>
  </si>
  <si>
    <t>Gasto de local</t>
  </si>
  <si>
    <t>Gastos de Administracion</t>
  </si>
  <si>
    <t>Gastos Corporativos</t>
  </si>
  <si>
    <t>CARGOS ADMINISTRATIVOS</t>
  </si>
  <si>
    <t>Otros ingresos</t>
  </si>
  <si>
    <t>Utilidad cambiaria</t>
  </si>
  <si>
    <t>Events and Committees</t>
  </si>
  <si>
    <t>G&amp;A</t>
  </si>
  <si>
    <t xml:space="preserve">OPERATING RESULTS </t>
  </si>
  <si>
    <t>other-Other</t>
  </si>
  <si>
    <t>NET RESULTS</t>
  </si>
  <si>
    <t>707000000000000000001</t>
  </si>
  <si>
    <t>703000000000000000001</t>
  </si>
  <si>
    <t>706000000000000000001</t>
  </si>
  <si>
    <t>600000000000000000001</t>
  </si>
  <si>
    <t>800007000000000000002</t>
  </si>
  <si>
    <t>901002000000000000002</t>
  </si>
  <si>
    <t>808000000000000000001</t>
  </si>
  <si>
    <t>800000000000000000001</t>
  </si>
  <si>
    <t>802000000000000000001</t>
  </si>
  <si>
    <t>900000000000000000001</t>
  </si>
  <si>
    <t>900001000000000000002</t>
  </si>
  <si>
    <t>810000000000000000001</t>
  </si>
  <si>
    <t>Eventos especiales</t>
  </si>
  <si>
    <t>Venta de publicidad</t>
  </si>
  <si>
    <t>Infocenter</t>
  </si>
  <si>
    <t>Bolsa de trabajo</t>
  </si>
  <si>
    <t>Venta de publicaciones</t>
  </si>
  <si>
    <t>Cuotas</t>
  </si>
  <si>
    <t>Comsiones por venta de membresía</t>
  </si>
  <si>
    <t>Paquete Anual</t>
  </si>
  <si>
    <t>Gastos Junta de Comité</t>
  </si>
  <si>
    <t>Gastos Junta de Consejo</t>
  </si>
  <si>
    <t>Juntas de Comité Extraordinarias</t>
  </si>
  <si>
    <t>Costo de publicaciones</t>
  </si>
  <si>
    <t>Becarios</t>
  </si>
  <si>
    <t>Campaña Institucional</t>
  </si>
  <si>
    <t>Sistema de proveedores confiables</t>
  </si>
  <si>
    <t>Nómina</t>
  </si>
  <si>
    <t>Cuotas club de industriales</t>
  </si>
  <si>
    <t>Comisiones bancarias</t>
  </si>
  <si>
    <t>no deducibles</t>
  </si>
  <si>
    <t>Rendimientos bancarios</t>
  </si>
  <si>
    <t>Other expenses</t>
  </si>
  <si>
    <t>CAPITULO</t>
  </si>
  <si>
    <t>SECCION</t>
  </si>
  <si>
    <t>CUENTA</t>
  </si>
  <si>
    <t>NOMBRE</t>
  </si>
  <si>
    <t>SECCIÓN Principal</t>
  </si>
  <si>
    <t>SECCION Secundaria</t>
  </si>
  <si>
    <t>NOROESTE</t>
  </si>
  <si>
    <t>HOJA</t>
  </si>
  <si>
    <t>sum-row</t>
  </si>
  <si>
    <t>sum-row-sumavarios</t>
  </si>
  <si>
    <t>result-row</t>
  </si>
  <si>
    <t>SUMMARY</t>
  </si>
  <si>
    <t>SUMA DE Membership</t>
  </si>
  <si>
    <t>SUMA DE Events</t>
  </si>
  <si>
    <t>SUMA DE Committees</t>
  </si>
  <si>
    <t>SUMA DE Services to Members</t>
  </si>
  <si>
    <t>SUMA DE Guadalajara Income</t>
  </si>
  <si>
    <t>SUMA DE Monterrey Income</t>
  </si>
  <si>
    <t>SUMA DE Gastos administrativos</t>
  </si>
  <si>
    <t>SUMA DE Other</t>
  </si>
  <si>
    <t>SUMA DE Gastos de Nomina</t>
  </si>
  <si>
    <t>SUMA DE Guadalajara Expense</t>
  </si>
  <si>
    <t>SUMA DE Monterrey Expense</t>
  </si>
  <si>
    <t>SUMA DE México  Other Income</t>
  </si>
  <si>
    <t>SUMA DE Guadalajara Other Income</t>
  </si>
  <si>
    <t>SUMA DE Monterrey Other Income</t>
  </si>
  <si>
    <t>SUMA DE Northwest  Other Income</t>
  </si>
  <si>
    <t>sum-row-operativo</t>
  </si>
  <si>
    <t>SUMA DE Events and Committees</t>
  </si>
  <si>
    <t>SUMA DE G&amp;A</t>
  </si>
  <si>
    <t>SUMA DE Gastos Corporativos</t>
  </si>
  <si>
    <t>SUMA DE CARGOS ADMINISTRATIVOS</t>
  </si>
  <si>
    <t>SUMA DE income-Membership</t>
  </si>
  <si>
    <t>SUMA DE income-Events and Committees</t>
  </si>
  <si>
    <t>SUMA DE income-Services to Members</t>
  </si>
  <si>
    <t>SUMA DE expense-Membership</t>
  </si>
  <si>
    <t>SUMA DE expense-Events and Committees</t>
  </si>
  <si>
    <t>SUMA DE expense-Services to Members</t>
  </si>
  <si>
    <t>SUMA DE expense-Other expenses</t>
  </si>
  <si>
    <t>SUMA DE expense-G&amp;A</t>
  </si>
  <si>
    <t>SUMA DE expense-Gastos Corporativos</t>
  </si>
  <si>
    <t>SUMA DE expense-CARGOS ADMINISTRATIVOS</t>
  </si>
  <si>
    <t>SUMA DE other-Other</t>
  </si>
  <si>
    <t>401-000-000-00</t>
  </si>
  <si>
    <t>402-000-000-00</t>
  </si>
  <si>
    <t>407-000-000-00</t>
  </si>
  <si>
    <t xml:space="preserve">Eventos </t>
  </si>
  <si>
    <t>408-000-000-00</t>
  </si>
  <si>
    <t>417-000-000-00</t>
  </si>
  <si>
    <t>412-000-000-00</t>
  </si>
  <si>
    <t>405-000-000-00</t>
  </si>
  <si>
    <t>Trade &amp; Investment Center</t>
  </si>
  <si>
    <t>406-001-000-00</t>
  </si>
  <si>
    <t>406-002-000-00</t>
  </si>
  <si>
    <t>Digital Training</t>
  </si>
  <si>
    <t>409-000-000-00</t>
  </si>
  <si>
    <t>450-001-000-00</t>
  </si>
  <si>
    <t>450-002-000-00</t>
  </si>
  <si>
    <t>450-003-000-00</t>
  </si>
  <si>
    <t>Northwest Income</t>
  </si>
  <si>
    <t>705-000-000-00</t>
  </si>
  <si>
    <t>520-000-000-00</t>
  </si>
  <si>
    <t>701-000-000-00</t>
  </si>
  <si>
    <t>702-000-000-00</t>
  </si>
  <si>
    <t>Costo Comités</t>
  </si>
  <si>
    <t>704-000-000-00</t>
  </si>
  <si>
    <t>Costo Economex</t>
  </si>
  <si>
    <t>521-000-000-00</t>
  </si>
  <si>
    <t>Comisiones EWDP y Economex</t>
  </si>
  <si>
    <t>703-000-000-00</t>
  </si>
  <si>
    <t>Costo Trade &amp; Investment Center</t>
  </si>
  <si>
    <t>601-002-003-00</t>
  </si>
  <si>
    <t>Costo Venta Publicaciones</t>
  </si>
  <si>
    <t>601-003-001-00</t>
  </si>
  <si>
    <t>Costo Digital Training</t>
  </si>
  <si>
    <t>801-001-000-00</t>
  </si>
  <si>
    <t>801-002-000-00</t>
  </si>
  <si>
    <t>801-003-000-00</t>
  </si>
  <si>
    <t>801-004-000-00</t>
  </si>
  <si>
    <t>801-005-000-00</t>
  </si>
  <si>
    <t>801-006-000-00</t>
  </si>
  <si>
    <t>801-007-000-00</t>
  </si>
  <si>
    <t>801-008-000-00</t>
  </si>
  <si>
    <t>801-009-000-00</t>
  </si>
  <si>
    <t>Servicios Generales (Almacén)</t>
  </si>
  <si>
    <t>801-010-000-00</t>
  </si>
  <si>
    <t>801-011-000-00</t>
  </si>
  <si>
    <t>801-012-000-00</t>
  </si>
  <si>
    <t>801-013-000-00</t>
  </si>
  <si>
    <t>901-000-000-00</t>
  </si>
  <si>
    <t>513-000-000-00</t>
  </si>
  <si>
    <t>517-000-000-00</t>
  </si>
  <si>
    <t>516-000-000-00</t>
  </si>
  <si>
    <t>519-000-000-00</t>
  </si>
  <si>
    <t>515-000-000-00</t>
  </si>
  <si>
    <t>518-000-000-00</t>
  </si>
  <si>
    <t>514-000-000-00</t>
  </si>
  <si>
    <t>903-000-000-00</t>
  </si>
  <si>
    <t>950-001-000-00</t>
  </si>
  <si>
    <t>950-002-000-00</t>
  </si>
  <si>
    <t>950-003-000-00</t>
  </si>
  <si>
    <t>Northwest Expense</t>
  </si>
  <si>
    <t>902-000-000-00</t>
  </si>
  <si>
    <t>Member Centricity</t>
  </si>
  <si>
    <t>413-000-000-00</t>
  </si>
  <si>
    <t>414-000-000-00</t>
  </si>
  <si>
    <t>416-000-000-00</t>
  </si>
  <si>
    <t>418-000-000-00</t>
  </si>
  <si>
    <t>T&amp;IC</t>
  </si>
  <si>
    <t>Gastos Administrativos</t>
  </si>
  <si>
    <t>INCOME</t>
  </si>
  <si>
    <t>EXPENSE</t>
  </si>
  <si>
    <t>MORE</t>
  </si>
  <si>
    <t>400-000-000-00</t>
  </si>
  <si>
    <t>406-000-000-00</t>
  </si>
  <si>
    <t>404-000-000-00</t>
  </si>
  <si>
    <t>403-000-000-00</t>
  </si>
  <si>
    <t>503-000-000-00</t>
  </si>
  <si>
    <t>Comisiones por venta de membresías</t>
  </si>
  <si>
    <t>502-000-000-00</t>
  </si>
  <si>
    <t>504-000-000-00</t>
  </si>
  <si>
    <t>Comisiones EWDP</t>
  </si>
  <si>
    <t>601-000-000-00</t>
  </si>
  <si>
    <t>Gastos Venta Publicaciones</t>
  </si>
  <si>
    <t>801-000-000-00</t>
  </si>
  <si>
    <t>Gasto de Administración</t>
  </si>
  <si>
    <t>501-000-000-00</t>
  </si>
  <si>
    <t>903-016-000-00</t>
  </si>
  <si>
    <t>Cargos Administrativos</t>
  </si>
  <si>
    <t>904-000-000-00</t>
  </si>
  <si>
    <t>410-000-000-00</t>
  </si>
  <si>
    <t>Commitees</t>
  </si>
  <si>
    <t>Gastos G&amp;A</t>
  </si>
  <si>
    <t>OPERATING RESULTS</t>
  </si>
  <si>
    <t>708-000-000-00</t>
  </si>
  <si>
    <t>Gastos de Promoción</t>
  </si>
  <si>
    <t>602-000-000-00</t>
  </si>
  <si>
    <t>Costo Trade&amp;Investment Center</t>
  </si>
  <si>
    <t>706-000-000-00</t>
  </si>
  <si>
    <t>600-000-000-00</t>
  </si>
  <si>
    <t>803-000-000-00</t>
  </si>
  <si>
    <t>802-000-000-00</t>
  </si>
  <si>
    <t>900-000-000-00</t>
  </si>
  <si>
    <t>900-001-000-00</t>
  </si>
  <si>
    <t>804-000-000-00</t>
  </si>
  <si>
    <t>Pérdida cambiaria</t>
  </si>
  <si>
    <t xml:space="preserve"> Gastos G&amp;A </t>
  </si>
  <si>
    <t>Cuotas de Inscripción</t>
  </si>
  <si>
    <t>402-001-000-00</t>
  </si>
  <si>
    <t>605-000-000-00</t>
  </si>
  <si>
    <t>Gtos. Corporativos</t>
  </si>
  <si>
    <t>903-001-000-00</t>
  </si>
  <si>
    <t>Perdida cambiaria</t>
  </si>
  <si>
    <t>RESUMEN</t>
  </si>
  <si>
    <t>income-Membership</t>
  </si>
  <si>
    <t xml:space="preserve">income-Events </t>
  </si>
  <si>
    <t xml:space="preserve">Events </t>
  </si>
  <si>
    <t>income-Committees</t>
  </si>
  <si>
    <t>income-T&amp;IC</t>
  </si>
  <si>
    <t>income-Services to Members</t>
  </si>
  <si>
    <t>income-Guadalajara Income</t>
  </si>
  <si>
    <t>income-Monterrey Income</t>
  </si>
  <si>
    <t>income-Northwest Income</t>
  </si>
  <si>
    <t>expense-Membership</t>
  </si>
  <si>
    <t xml:space="preserve">expense-Events </t>
  </si>
  <si>
    <t>expense-Committees</t>
  </si>
  <si>
    <t>expense-T&amp;IC</t>
  </si>
  <si>
    <t>expense-Services to Members</t>
  </si>
  <si>
    <t>expense-Gastos Administrativos</t>
  </si>
  <si>
    <t>expense-Gastos Generales</t>
  </si>
  <si>
    <t>expense-Nómina</t>
  </si>
  <si>
    <t>expense-Gastos Corporativos</t>
  </si>
  <si>
    <t>expense-Guadalajara Income</t>
  </si>
  <si>
    <t>expense-Monterrey Income</t>
  </si>
  <si>
    <t>expense-Northwest Income</t>
  </si>
  <si>
    <t>other-Member Centricity</t>
  </si>
  <si>
    <t>other-Guadalajara Other Income</t>
  </si>
  <si>
    <t>other-Monterrey Other Income</t>
  </si>
  <si>
    <t>other-Northwest Other Income</t>
  </si>
  <si>
    <t>Northwest Other Income</t>
  </si>
  <si>
    <t xml:space="preserve">SUMA DE Events </t>
  </si>
  <si>
    <t>SUMA DE T&amp;IC</t>
  </si>
  <si>
    <t>SUMA DE Northwest Income</t>
  </si>
  <si>
    <t>SUMA DE Gastos Administrativos</t>
  </si>
  <si>
    <t>SUMA DE Gastos Generales</t>
  </si>
  <si>
    <t>SUMA DE Nómina</t>
  </si>
  <si>
    <t>SUMA DE Northwest Expense</t>
  </si>
  <si>
    <t>SUMA DE Member Centricity</t>
  </si>
  <si>
    <t>SUMA DE Northwest Other Income</t>
  </si>
  <si>
    <t xml:space="preserve">CONSOLIDATED EXPENSES </t>
  </si>
  <si>
    <t>net-row</t>
  </si>
  <si>
    <t xml:space="preserve">CONSOLIDATED NET RESULTS </t>
  </si>
  <si>
    <t>result-net-row</t>
  </si>
  <si>
    <t>expense-Gastos G&amp;A</t>
  </si>
  <si>
    <t>expense-Cargos Administrativos</t>
  </si>
  <si>
    <t>SUMA DE Gastos G&amp;A</t>
  </si>
  <si>
    <t>SUMA DE Cargos Administrativos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</si>
</sst>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1" fontId="0" fillId="0" borderId="1" xfId="0" applyNumberFormat="1" applyBorder="1"/>
    <xf numFmtId="1" fontId="1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/>
    <xf numFmtId="0" fontId="0" fillId="0" borderId="7" xfId="0" applyFill="1" applyBorder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Millares 2 2 2" xfId="1" xr:uid="{608A8E64-77CF-463F-9370-027B15E161DB}"/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0CE0-4C30-408D-B18A-750429D33E24}">
  <dimension ref="A1:E106"/>
  <sheetViews>
    <sheetView topLeftCell="A79" zoomScale="78" workbookViewId="0">
      <selection activeCell="A77" sqref="A77"/>
    </sheetView>
  </sheetViews>
  <sheetFormatPr baseColWidth="10" defaultRowHeight="14.4" x14ac:dyDescent="0.3"/>
  <cols>
    <col min="1" max="1" width="16.88671875" bestFit="1" customWidth="1"/>
    <col min="2" max="2" width="21.21875" bestFit="1" customWidth="1"/>
    <col min="3" max="3" width="19.33203125" bestFit="1" customWidth="1"/>
    <col min="4" max="4" width="22.21875" bestFit="1" customWidth="1"/>
    <col min="5" max="5" width="35.5546875" bestFit="1" customWidth="1"/>
  </cols>
  <sheetData>
    <row r="1" spans="1:5" x14ac:dyDescent="0.3">
      <c r="A1" s="3" t="s">
        <v>182</v>
      </c>
      <c r="B1" s="3" t="s">
        <v>186</v>
      </c>
      <c r="C1" s="4" t="s">
        <v>187</v>
      </c>
      <c r="D1" s="4" t="s">
        <v>184</v>
      </c>
      <c r="E1" s="5" t="s">
        <v>185</v>
      </c>
    </row>
    <row r="2" spans="1:5" x14ac:dyDescent="0.3">
      <c r="A2" s="1" t="s">
        <v>112</v>
      </c>
      <c r="B2" s="1" t="s">
        <v>86</v>
      </c>
      <c r="C2" s="1" t="s">
        <v>84</v>
      </c>
      <c r="D2" s="1" t="s">
        <v>0</v>
      </c>
      <c r="E2" s="1" t="s">
        <v>39</v>
      </c>
    </row>
    <row r="3" spans="1:5" x14ac:dyDescent="0.3">
      <c r="A3" s="1" t="s">
        <v>112</v>
      </c>
      <c r="B3" s="1" t="s">
        <v>86</v>
      </c>
      <c r="C3" s="1" t="s">
        <v>84</v>
      </c>
      <c r="D3" s="1" t="s">
        <v>1</v>
      </c>
      <c r="E3" s="1" t="s">
        <v>40</v>
      </c>
    </row>
    <row r="4" spans="1:5" x14ac:dyDescent="0.3">
      <c r="A4" s="1" t="s">
        <v>112</v>
      </c>
      <c r="B4" s="1" t="s">
        <v>86</v>
      </c>
      <c r="C4" s="1" t="s">
        <v>84</v>
      </c>
      <c r="D4" s="1" t="s">
        <v>2</v>
      </c>
      <c r="E4" s="1" t="s">
        <v>41</v>
      </c>
    </row>
    <row r="5" spans="1:5" x14ac:dyDescent="0.3">
      <c r="A5" s="1" t="s">
        <v>112</v>
      </c>
      <c r="B5" s="1" t="s">
        <v>86</v>
      </c>
      <c r="C5" s="1" t="s">
        <v>85</v>
      </c>
      <c r="D5" s="1" t="s">
        <v>3</v>
      </c>
      <c r="E5" s="1" t="s">
        <v>42</v>
      </c>
    </row>
    <row r="6" spans="1:5" x14ac:dyDescent="0.3">
      <c r="A6" s="1" t="s">
        <v>112</v>
      </c>
      <c r="B6" s="1" t="s">
        <v>86</v>
      </c>
      <c r="C6" s="1" t="s">
        <v>85</v>
      </c>
      <c r="D6" s="1" t="s">
        <v>4</v>
      </c>
      <c r="E6" s="1" t="s">
        <v>43</v>
      </c>
    </row>
    <row r="7" spans="1:5" x14ac:dyDescent="0.3">
      <c r="A7" s="1" t="s">
        <v>112</v>
      </c>
      <c r="B7" s="1" t="s">
        <v>86</v>
      </c>
      <c r="C7" s="1" t="s">
        <v>44</v>
      </c>
      <c r="D7" s="1" t="s">
        <v>5</v>
      </c>
      <c r="E7" s="1" t="s">
        <v>44</v>
      </c>
    </row>
    <row r="8" spans="1:5" x14ac:dyDescent="0.3">
      <c r="A8" s="1" t="s">
        <v>112</v>
      </c>
      <c r="B8" s="1" t="s">
        <v>86</v>
      </c>
      <c r="C8" s="1" t="s">
        <v>44</v>
      </c>
      <c r="D8" s="1" t="s">
        <v>6</v>
      </c>
      <c r="E8" s="1" t="s">
        <v>45</v>
      </c>
    </row>
    <row r="9" spans="1:5" x14ac:dyDescent="0.3">
      <c r="A9" s="1" t="s">
        <v>112</v>
      </c>
      <c r="B9" s="1" t="s">
        <v>86</v>
      </c>
      <c r="C9" s="1" t="s">
        <v>87</v>
      </c>
      <c r="D9" s="1" t="s">
        <v>7</v>
      </c>
      <c r="E9" s="1" t="s">
        <v>46</v>
      </c>
    </row>
    <row r="10" spans="1:5" x14ac:dyDescent="0.3">
      <c r="A10" s="1" t="s">
        <v>112</v>
      </c>
      <c r="B10" s="1" t="s">
        <v>86</v>
      </c>
      <c r="C10" s="1" t="s">
        <v>87</v>
      </c>
      <c r="D10" s="1" t="s">
        <v>8</v>
      </c>
      <c r="E10" s="1" t="s">
        <v>47</v>
      </c>
    </row>
    <row r="11" spans="1:5" x14ac:dyDescent="0.3">
      <c r="A11" s="1" t="s">
        <v>112</v>
      </c>
      <c r="B11" s="1" t="s">
        <v>48</v>
      </c>
      <c r="C11" s="1" t="s">
        <v>48</v>
      </c>
      <c r="D11" s="1" t="s">
        <v>9</v>
      </c>
      <c r="E11" s="1" t="s">
        <v>48</v>
      </c>
    </row>
    <row r="12" spans="1:5" x14ac:dyDescent="0.3">
      <c r="A12" s="1" t="s">
        <v>112</v>
      </c>
      <c r="B12" s="1" t="s">
        <v>49</v>
      </c>
      <c r="C12" s="1" t="s">
        <v>49</v>
      </c>
      <c r="D12" s="1" t="s">
        <v>10</v>
      </c>
      <c r="E12" s="1" t="s">
        <v>49</v>
      </c>
    </row>
    <row r="13" spans="1:5" x14ac:dyDescent="0.3">
      <c r="A13" s="1" t="s">
        <v>112</v>
      </c>
      <c r="B13" s="1" t="s">
        <v>88</v>
      </c>
      <c r="C13" s="1" t="s">
        <v>84</v>
      </c>
      <c r="D13" s="1" t="s">
        <v>11</v>
      </c>
      <c r="E13" s="1" t="s">
        <v>50</v>
      </c>
    </row>
    <row r="14" spans="1:5" x14ac:dyDescent="0.3">
      <c r="A14" s="1" t="s">
        <v>112</v>
      </c>
      <c r="B14" s="1" t="s">
        <v>88</v>
      </c>
      <c r="C14" s="1" t="s">
        <v>85</v>
      </c>
      <c r="D14" s="1" t="s">
        <v>12</v>
      </c>
      <c r="E14" s="1" t="s">
        <v>51</v>
      </c>
    </row>
    <row r="15" spans="1:5" x14ac:dyDescent="0.3">
      <c r="A15" s="1" t="s">
        <v>112</v>
      </c>
      <c r="B15" s="1" t="s">
        <v>88</v>
      </c>
      <c r="C15" s="1" t="s">
        <v>44</v>
      </c>
      <c r="D15" s="1" t="s">
        <v>13</v>
      </c>
      <c r="E15" s="1" t="s">
        <v>52</v>
      </c>
    </row>
    <row r="16" spans="1:5" x14ac:dyDescent="0.3">
      <c r="A16" s="1" t="s">
        <v>112</v>
      </c>
      <c r="B16" s="1" t="s">
        <v>88</v>
      </c>
      <c r="C16" s="1" t="s">
        <v>44</v>
      </c>
      <c r="D16" s="1" t="s">
        <v>14</v>
      </c>
      <c r="E16" s="1" t="s">
        <v>53</v>
      </c>
    </row>
    <row r="17" spans="1:5" x14ac:dyDescent="0.3">
      <c r="A17" s="1" t="s">
        <v>112</v>
      </c>
      <c r="B17" s="1" t="s">
        <v>88</v>
      </c>
      <c r="C17" s="1" t="s">
        <v>87</v>
      </c>
      <c r="D17" s="1" t="s">
        <v>15</v>
      </c>
      <c r="E17" s="1" t="s">
        <v>54</v>
      </c>
    </row>
    <row r="18" spans="1:5" x14ac:dyDescent="0.3">
      <c r="A18" s="1" t="s">
        <v>112</v>
      </c>
      <c r="B18" s="1" t="s">
        <v>88</v>
      </c>
      <c r="C18" s="1" t="s">
        <v>89</v>
      </c>
      <c r="D18" s="1" t="s">
        <v>16</v>
      </c>
      <c r="E18" s="1" t="s">
        <v>55</v>
      </c>
    </row>
    <row r="19" spans="1:5" x14ac:dyDescent="0.3">
      <c r="A19" s="1" t="s">
        <v>112</v>
      </c>
      <c r="B19" s="1" t="s">
        <v>88</v>
      </c>
      <c r="C19" s="1" t="s">
        <v>89</v>
      </c>
      <c r="D19" s="1" t="s">
        <v>17</v>
      </c>
      <c r="E19" s="1" t="s">
        <v>56</v>
      </c>
    </row>
    <row r="20" spans="1:5" x14ac:dyDescent="0.3">
      <c r="A20" s="1" t="s">
        <v>112</v>
      </c>
      <c r="B20" s="1" t="s">
        <v>88</v>
      </c>
      <c r="C20" s="1" t="s">
        <v>89</v>
      </c>
      <c r="D20" s="1" t="s">
        <v>18</v>
      </c>
      <c r="E20" s="1" t="s">
        <v>57</v>
      </c>
    </row>
    <row r="21" spans="1:5" x14ac:dyDescent="0.3">
      <c r="A21" s="1" t="s">
        <v>112</v>
      </c>
      <c r="B21" s="1" t="s">
        <v>88</v>
      </c>
      <c r="C21" s="1" t="s">
        <v>89</v>
      </c>
      <c r="D21" s="1" t="s">
        <v>19</v>
      </c>
      <c r="E21" s="1" t="s">
        <v>58</v>
      </c>
    </row>
    <row r="22" spans="1:5" x14ac:dyDescent="0.3">
      <c r="A22" s="1" t="s">
        <v>112</v>
      </c>
      <c r="B22" s="1" t="s">
        <v>88</v>
      </c>
      <c r="C22" s="1" t="s">
        <v>89</v>
      </c>
      <c r="D22" s="1" t="s">
        <v>20</v>
      </c>
      <c r="E22" s="1" t="s">
        <v>59</v>
      </c>
    </row>
    <row r="23" spans="1:5" x14ac:dyDescent="0.3">
      <c r="A23" s="1" t="s">
        <v>112</v>
      </c>
      <c r="B23" s="1" t="s">
        <v>88</v>
      </c>
      <c r="C23" s="1" t="s">
        <v>89</v>
      </c>
      <c r="D23" s="1" t="s">
        <v>21</v>
      </c>
      <c r="E23" s="1" t="s">
        <v>60</v>
      </c>
    </row>
    <row r="24" spans="1:5" x14ac:dyDescent="0.3">
      <c r="A24" s="1" t="s">
        <v>112</v>
      </c>
      <c r="B24" s="1" t="s">
        <v>88</v>
      </c>
      <c r="C24" s="1" t="s">
        <v>89</v>
      </c>
      <c r="D24" s="1" t="s">
        <v>22</v>
      </c>
      <c r="E24" s="1" t="s">
        <v>61</v>
      </c>
    </row>
    <row r="25" spans="1:5" x14ac:dyDescent="0.3">
      <c r="A25" s="1" t="s">
        <v>112</v>
      </c>
      <c r="B25" s="1" t="s">
        <v>88</v>
      </c>
      <c r="C25" s="1" t="s">
        <v>89</v>
      </c>
      <c r="D25" s="1" t="s">
        <v>23</v>
      </c>
      <c r="E25" s="1" t="s">
        <v>62</v>
      </c>
    </row>
    <row r="26" spans="1:5" x14ac:dyDescent="0.3">
      <c r="A26" s="1" t="s">
        <v>112</v>
      </c>
      <c r="B26" s="1" t="s">
        <v>88</v>
      </c>
      <c r="C26" s="1" t="s">
        <v>89</v>
      </c>
      <c r="D26" s="1" t="s">
        <v>24</v>
      </c>
      <c r="E26" s="1" t="s">
        <v>63</v>
      </c>
    </row>
    <row r="27" spans="1:5" x14ac:dyDescent="0.3">
      <c r="A27" s="1" t="s">
        <v>112</v>
      </c>
      <c r="B27" s="1" t="s">
        <v>88</v>
      </c>
      <c r="C27" s="1" t="s">
        <v>89</v>
      </c>
      <c r="D27" s="1" t="s">
        <v>25</v>
      </c>
      <c r="E27" s="1" t="s">
        <v>42</v>
      </c>
    </row>
    <row r="28" spans="1:5" x14ac:dyDescent="0.3">
      <c r="A28" s="1" t="s">
        <v>112</v>
      </c>
      <c r="B28" s="1" t="s">
        <v>88</v>
      </c>
      <c r="C28" s="1" t="s">
        <v>89</v>
      </c>
      <c r="D28" s="1" t="s">
        <v>26</v>
      </c>
      <c r="E28" s="1" t="s">
        <v>64</v>
      </c>
    </row>
    <row r="29" spans="1:5" x14ac:dyDescent="0.3">
      <c r="A29" s="1" t="s">
        <v>112</v>
      </c>
      <c r="B29" s="1" t="s">
        <v>88</v>
      </c>
      <c r="C29" s="1" t="s">
        <v>89</v>
      </c>
      <c r="D29" s="1" t="s">
        <v>27</v>
      </c>
      <c r="E29" s="1" t="s">
        <v>65</v>
      </c>
    </row>
    <row r="30" spans="1:5" x14ac:dyDescent="0.3">
      <c r="A30" s="1" t="s">
        <v>112</v>
      </c>
      <c r="B30" s="1" t="s">
        <v>88</v>
      </c>
      <c r="C30" s="1" t="s">
        <v>89</v>
      </c>
      <c r="D30" s="1" t="s">
        <v>28</v>
      </c>
      <c r="E30" s="1" t="s">
        <v>66</v>
      </c>
    </row>
    <row r="31" spans="1:5" x14ac:dyDescent="0.3">
      <c r="A31" s="1" t="s">
        <v>112</v>
      </c>
      <c r="B31" s="1" t="s">
        <v>88</v>
      </c>
      <c r="C31" s="1" t="s">
        <v>90</v>
      </c>
      <c r="D31" s="1" t="s">
        <v>29</v>
      </c>
      <c r="E31" s="1" t="s">
        <v>67</v>
      </c>
    </row>
    <row r="32" spans="1:5" x14ac:dyDescent="0.3">
      <c r="A32" s="1" t="s">
        <v>112</v>
      </c>
      <c r="B32" s="1" t="s">
        <v>88</v>
      </c>
      <c r="C32" s="1" t="s">
        <v>91</v>
      </c>
      <c r="D32" s="1" t="s">
        <v>30</v>
      </c>
      <c r="E32" s="1" t="s">
        <v>68</v>
      </c>
    </row>
    <row r="33" spans="1:5" x14ac:dyDescent="0.3">
      <c r="A33" s="1" t="s">
        <v>112</v>
      </c>
      <c r="B33" s="1" t="s">
        <v>88</v>
      </c>
      <c r="C33" s="1" t="s">
        <v>91</v>
      </c>
      <c r="D33" s="1" t="s">
        <v>31</v>
      </c>
      <c r="E33" s="1" t="s">
        <v>69</v>
      </c>
    </row>
    <row r="34" spans="1:5" x14ac:dyDescent="0.3">
      <c r="A34" s="1" t="s">
        <v>112</v>
      </c>
      <c r="B34" s="1" t="s">
        <v>88</v>
      </c>
      <c r="C34" s="1" t="s">
        <v>91</v>
      </c>
      <c r="D34" s="1" t="s">
        <v>32</v>
      </c>
      <c r="E34" s="1" t="s">
        <v>70</v>
      </c>
    </row>
    <row r="35" spans="1:5" x14ac:dyDescent="0.3">
      <c r="A35" s="1" t="s">
        <v>112</v>
      </c>
      <c r="B35" s="1" t="s">
        <v>88</v>
      </c>
      <c r="C35" s="1" t="s">
        <v>91</v>
      </c>
      <c r="D35" s="1" t="s">
        <v>33</v>
      </c>
      <c r="E35" s="1" t="s">
        <v>71</v>
      </c>
    </row>
    <row r="36" spans="1:5" x14ac:dyDescent="0.3">
      <c r="A36" s="1" t="s">
        <v>112</v>
      </c>
      <c r="B36" s="1" t="s">
        <v>88</v>
      </c>
      <c r="C36" s="1" t="s">
        <v>91</v>
      </c>
      <c r="D36" s="1" t="s">
        <v>34</v>
      </c>
      <c r="E36" s="1" t="s">
        <v>72</v>
      </c>
    </row>
    <row r="37" spans="1:5" x14ac:dyDescent="0.3">
      <c r="A37" s="1" t="s">
        <v>112</v>
      </c>
      <c r="B37" s="1" t="s">
        <v>88</v>
      </c>
      <c r="C37" s="1" t="s">
        <v>91</v>
      </c>
      <c r="D37" s="1" t="s">
        <v>35</v>
      </c>
      <c r="E37" s="1" t="s">
        <v>73</v>
      </c>
    </row>
    <row r="38" spans="1:5" x14ac:dyDescent="0.3">
      <c r="A38" s="1" t="s">
        <v>112</v>
      </c>
      <c r="B38" s="1" t="s">
        <v>88</v>
      </c>
      <c r="C38" s="1" t="s">
        <v>91</v>
      </c>
      <c r="D38" s="1" t="s">
        <v>36</v>
      </c>
      <c r="E38" s="1" t="s">
        <v>92</v>
      </c>
    </row>
    <row r="39" spans="1:5" x14ac:dyDescent="0.3">
      <c r="A39" s="1" t="s">
        <v>112</v>
      </c>
      <c r="B39" s="1" t="s">
        <v>93</v>
      </c>
      <c r="C39" s="1" t="s">
        <v>93</v>
      </c>
      <c r="D39" s="1" t="s">
        <v>37</v>
      </c>
      <c r="E39" s="1" t="s">
        <v>74</v>
      </c>
    </row>
    <row r="40" spans="1:5" x14ac:dyDescent="0.3">
      <c r="A40" s="1" t="s">
        <v>112</v>
      </c>
      <c r="B40" s="1" t="s">
        <v>94</v>
      </c>
      <c r="C40" s="1" t="s">
        <v>94</v>
      </c>
      <c r="D40" s="1" t="s">
        <v>38</v>
      </c>
      <c r="E40" s="1" t="s">
        <v>75</v>
      </c>
    </row>
    <row r="41" spans="1:5" x14ac:dyDescent="0.3">
      <c r="A41" s="1" t="s">
        <v>112</v>
      </c>
      <c r="B41" s="1" t="s">
        <v>96</v>
      </c>
      <c r="C41" s="1" t="s">
        <v>95</v>
      </c>
      <c r="D41" s="2" t="s">
        <v>80</v>
      </c>
      <c r="E41" s="1" t="s">
        <v>76</v>
      </c>
    </row>
    <row r="42" spans="1:5" x14ac:dyDescent="0.3">
      <c r="A42" s="1" t="s">
        <v>112</v>
      </c>
      <c r="B42" s="1" t="s">
        <v>96</v>
      </c>
      <c r="C42" s="1" t="s">
        <v>95</v>
      </c>
      <c r="D42" s="2" t="s">
        <v>81</v>
      </c>
      <c r="E42" s="1" t="s">
        <v>77</v>
      </c>
    </row>
    <row r="43" spans="1:5" x14ac:dyDescent="0.3">
      <c r="A43" s="1" t="s">
        <v>112</v>
      </c>
      <c r="B43" s="1" t="s">
        <v>96</v>
      </c>
      <c r="C43" s="1" t="s">
        <v>95</v>
      </c>
      <c r="D43" s="2" t="s">
        <v>82</v>
      </c>
      <c r="E43" s="1" t="s">
        <v>78</v>
      </c>
    </row>
    <row r="44" spans="1:5" x14ac:dyDescent="0.3">
      <c r="A44" s="1" t="s">
        <v>112</v>
      </c>
      <c r="B44" s="1" t="s">
        <v>96</v>
      </c>
      <c r="C44" s="1" t="s">
        <v>95</v>
      </c>
      <c r="D44" s="2" t="s">
        <v>83</v>
      </c>
      <c r="E44" s="1" t="s">
        <v>79</v>
      </c>
    </row>
    <row r="45" spans="1:5" x14ac:dyDescent="0.3">
      <c r="A45" s="1" t="s">
        <v>115</v>
      </c>
      <c r="B45" s="1" t="s">
        <v>48</v>
      </c>
      <c r="C45" s="1" t="s">
        <v>84</v>
      </c>
      <c r="D45" s="1" t="s">
        <v>117</v>
      </c>
      <c r="E45" s="1" t="s">
        <v>39</v>
      </c>
    </row>
    <row r="46" spans="1:5" x14ac:dyDescent="0.3">
      <c r="A46" s="1" t="s">
        <v>115</v>
      </c>
      <c r="B46" s="1" t="s">
        <v>48</v>
      </c>
      <c r="C46" s="1" t="s">
        <v>84</v>
      </c>
      <c r="D46" s="1" t="s">
        <v>0</v>
      </c>
      <c r="E46" s="1" t="s">
        <v>40</v>
      </c>
    </row>
    <row r="47" spans="1:5" x14ac:dyDescent="0.3">
      <c r="A47" s="1" t="s">
        <v>115</v>
      </c>
      <c r="B47" s="1" t="s">
        <v>48</v>
      </c>
      <c r="C47" s="1" t="s">
        <v>144</v>
      </c>
      <c r="D47" s="1" t="s">
        <v>118</v>
      </c>
      <c r="E47" s="1" t="s">
        <v>128</v>
      </c>
    </row>
    <row r="48" spans="1:5" x14ac:dyDescent="0.3">
      <c r="A48" s="1" t="s">
        <v>115</v>
      </c>
      <c r="B48" s="1" t="s">
        <v>48</v>
      </c>
      <c r="C48" s="1" t="s">
        <v>144</v>
      </c>
      <c r="D48" s="1" t="s">
        <v>119</v>
      </c>
      <c r="E48" s="1" t="s">
        <v>42</v>
      </c>
    </row>
    <row r="49" spans="1:5" x14ac:dyDescent="0.3">
      <c r="A49" s="1" t="s">
        <v>115</v>
      </c>
      <c r="B49" s="1" t="s">
        <v>48</v>
      </c>
      <c r="C49" s="1" t="s">
        <v>87</v>
      </c>
      <c r="D49" s="1" t="s">
        <v>6</v>
      </c>
      <c r="E49" s="1" t="s">
        <v>46</v>
      </c>
    </row>
    <row r="50" spans="1:5" x14ac:dyDescent="0.3">
      <c r="A50" s="1" t="s">
        <v>115</v>
      </c>
      <c r="B50" s="1" t="s">
        <v>48</v>
      </c>
      <c r="C50" s="1" t="s">
        <v>87</v>
      </c>
      <c r="D50" s="1" t="s">
        <v>8</v>
      </c>
      <c r="E50" s="1" t="s">
        <v>47</v>
      </c>
    </row>
    <row r="51" spans="1:5" x14ac:dyDescent="0.3">
      <c r="A51" s="1" t="s">
        <v>115</v>
      </c>
      <c r="B51" s="1" t="s">
        <v>48</v>
      </c>
      <c r="C51" s="1" t="s">
        <v>87</v>
      </c>
      <c r="D51" s="1" t="s">
        <v>3</v>
      </c>
      <c r="E51" s="1" t="s">
        <v>129</v>
      </c>
    </row>
    <row r="52" spans="1:5" x14ac:dyDescent="0.3">
      <c r="A52" s="1" t="s">
        <v>115</v>
      </c>
      <c r="B52" s="1" t="s">
        <v>48</v>
      </c>
      <c r="C52" s="1" t="s">
        <v>87</v>
      </c>
      <c r="D52" s="1" t="s">
        <v>4</v>
      </c>
      <c r="E52" s="1" t="s">
        <v>130</v>
      </c>
    </row>
    <row r="53" spans="1:5" x14ac:dyDescent="0.3">
      <c r="A53" s="1" t="s">
        <v>115</v>
      </c>
      <c r="B53" s="1" t="s">
        <v>48</v>
      </c>
      <c r="C53" s="1" t="s">
        <v>87</v>
      </c>
      <c r="D53" s="1" t="s">
        <v>7</v>
      </c>
      <c r="E53" s="1" t="s">
        <v>131</v>
      </c>
    </row>
    <row r="54" spans="1:5" x14ac:dyDescent="0.3">
      <c r="A54" s="1" t="s">
        <v>115</v>
      </c>
      <c r="B54" s="1" t="s">
        <v>93</v>
      </c>
      <c r="C54" s="1" t="s">
        <v>144</v>
      </c>
      <c r="D54" s="1" t="s">
        <v>120</v>
      </c>
      <c r="E54" s="1" t="s">
        <v>132</v>
      </c>
    </row>
    <row r="55" spans="1:5" x14ac:dyDescent="0.3">
      <c r="A55" s="1" t="s">
        <v>115</v>
      </c>
      <c r="B55" s="1" t="s">
        <v>93</v>
      </c>
      <c r="C55" s="1" t="s">
        <v>144</v>
      </c>
      <c r="D55" s="1" t="s">
        <v>12</v>
      </c>
      <c r="E55" s="1" t="s">
        <v>51</v>
      </c>
    </row>
    <row r="56" spans="1:5" x14ac:dyDescent="0.3">
      <c r="A56" s="1" t="s">
        <v>115</v>
      </c>
      <c r="B56" s="1" t="s">
        <v>93</v>
      </c>
      <c r="C56" s="1" t="s">
        <v>87</v>
      </c>
      <c r="D56" s="1" t="s">
        <v>15</v>
      </c>
      <c r="E56" s="1" t="s">
        <v>133</v>
      </c>
    </row>
    <row r="57" spans="1:5" x14ac:dyDescent="0.3">
      <c r="A57" s="1" t="s">
        <v>115</v>
      </c>
      <c r="B57" s="1" t="s">
        <v>93</v>
      </c>
      <c r="C57" s="1" t="s">
        <v>87</v>
      </c>
      <c r="D57" s="1" t="s">
        <v>13</v>
      </c>
      <c r="E57" s="1" t="s">
        <v>134</v>
      </c>
    </row>
    <row r="58" spans="1:5" x14ac:dyDescent="0.3">
      <c r="A58" s="1" t="s">
        <v>115</v>
      </c>
      <c r="B58" s="1" t="s">
        <v>93</v>
      </c>
      <c r="C58" s="1" t="s">
        <v>87</v>
      </c>
      <c r="D58" s="1" t="s">
        <v>121</v>
      </c>
      <c r="E58" s="1" t="s">
        <v>135</v>
      </c>
    </row>
    <row r="59" spans="1:5" x14ac:dyDescent="0.3">
      <c r="A59" s="1" t="s">
        <v>115</v>
      </c>
      <c r="B59" s="1" t="s">
        <v>93</v>
      </c>
      <c r="C59" s="1" t="s">
        <v>90</v>
      </c>
      <c r="D59" s="1" t="s">
        <v>122</v>
      </c>
      <c r="E59" s="1" t="s">
        <v>136</v>
      </c>
    </row>
    <row r="60" spans="1:5" x14ac:dyDescent="0.3">
      <c r="A60" s="1" t="s">
        <v>115</v>
      </c>
      <c r="B60" s="1" t="s">
        <v>93</v>
      </c>
      <c r="C60" s="1" t="s">
        <v>145</v>
      </c>
      <c r="D60" s="1" t="s">
        <v>123</v>
      </c>
      <c r="E60" s="1" t="s">
        <v>137</v>
      </c>
    </row>
    <row r="61" spans="1:5" x14ac:dyDescent="0.3">
      <c r="A61" s="1" t="s">
        <v>115</v>
      </c>
      <c r="B61" s="1" t="s">
        <v>93</v>
      </c>
      <c r="C61" s="1" t="s">
        <v>145</v>
      </c>
      <c r="D61" s="1" t="s">
        <v>124</v>
      </c>
      <c r="E61" s="1" t="s">
        <v>138</v>
      </c>
    </row>
    <row r="62" spans="1:5" x14ac:dyDescent="0.3">
      <c r="A62" s="1" t="s">
        <v>115</v>
      </c>
      <c r="B62" s="1" t="s">
        <v>93</v>
      </c>
      <c r="C62" s="1" t="s">
        <v>145</v>
      </c>
      <c r="D62" s="1" t="s">
        <v>29</v>
      </c>
      <c r="E62" s="1" t="s">
        <v>139</v>
      </c>
    </row>
    <row r="63" spans="1:5" x14ac:dyDescent="0.3">
      <c r="A63" s="1" t="s">
        <v>115</v>
      </c>
      <c r="B63" s="1" t="s">
        <v>93</v>
      </c>
      <c r="C63" s="1" t="s">
        <v>140</v>
      </c>
      <c r="D63" s="1" t="s">
        <v>125</v>
      </c>
      <c r="E63" s="1" t="s">
        <v>140</v>
      </c>
    </row>
    <row r="64" spans="1:5" x14ac:dyDescent="0.3">
      <c r="A64" s="1" t="s">
        <v>115</v>
      </c>
      <c r="B64" s="1" t="s">
        <v>93</v>
      </c>
      <c r="C64" s="1" t="s">
        <v>141</v>
      </c>
      <c r="D64" s="1" t="s">
        <v>126</v>
      </c>
      <c r="E64" s="1" t="s">
        <v>141</v>
      </c>
    </row>
    <row r="65" spans="1:5" x14ac:dyDescent="0.3">
      <c r="A65" s="1" t="s">
        <v>115</v>
      </c>
      <c r="B65" s="1" t="s">
        <v>90</v>
      </c>
      <c r="C65" s="1" t="s">
        <v>90</v>
      </c>
      <c r="D65" s="1" t="s">
        <v>1</v>
      </c>
      <c r="E65" s="1" t="s">
        <v>142</v>
      </c>
    </row>
    <row r="66" spans="1:5" x14ac:dyDescent="0.3">
      <c r="A66" s="1" t="s">
        <v>115</v>
      </c>
      <c r="B66" s="1" t="s">
        <v>90</v>
      </c>
      <c r="C66" s="1" t="s">
        <v>90</v>
      </c>
      <c r="D66" s="1" t="s">
        <v>127</v>
      </c>
      <c r="E66" s="1" t="s">
        <v>143</v>
      </c>
    </row>
    <row r="67" spans="1:5" x14ac:dyDescent="0.3">
      <c r="A67" s="1" t="s">
        <v>116</v>
      </c>
      <c r="B67" s="1" t="s">
        <v>49</v>
      </c>
      <c r="C67" s="1" t="s">
        <v>84</v>
      </c>
      <c r="D67" s="1" t="s">
        <v>117</v>
      </c>
      <c r="E67" s="1" t="s">
        <v>39</v>
      </c>
    </row>
    <row r="68" spans="1:5" x14ac:dyDescent="0.3">
      <c r="A68" s="1" t="s">
        <v>116</v>
      </c>
      <c r="B68" s="1" t="s">
        <v>49</v>
      </c>
      <c r="C68" s="1" t="s">
        <v>84</v>
      </c>
      <c r="D68" s="1" t="s">
        <v>0</v>
      </c>
      <c r="E68" s="1" t="s">
        <v>40</v>
      </c>
    </row>
    <row r="69" spans="1:5" x14ac:dyDescent="0.3">
      <c r="A69" s="1" t="s">
        <v>116</v>
      </c>
      <c r="B69" s="1" t="s">
        <v>49</v>
      </c>
      <c r="C69" s="1" t="s">
        <v>144</v>
      </c>
      <c r="D69" s="1" t="s">
        <v>3</v>
      </c>
      <c r="E69" s="1" t="s">
        <v>128</v>
      </c>
    </row>
    <row r="70" spans="1:5" x14ac:dyDescent="0.3">
      <c r="A70" s="1" t="s">
        <v>116</v>
      </c>
      <c r="B70" s="1" t="s">
        <v>49</v>
      </c>
      <c r="C70" s="1" t="s">
        <v>144</v>
      </c>
      <c r="D70" s="1" t="s">
        <v>4</v>
      </c>
      <c r="E70" s="1" t="s">
        <v>42</v>
      </c>
    </row>
    <row r="71" spans="1:5" x14ac:dyDescent="0.3">
      <c r="A71" s="1" t="s">
        <v>116</v>
      </c>
      <c r="B71" s="1" t="s">
        <v>49</v>
      </c>
      <c r="C71" s="1" t="s">
        <v>144</v>
      </c>
      <c r="D71" s="1" t="s">
        <v>81</v>
      </c>
      <c r="E71" s="1" t="s">
        <v>161</v>
      </c>
    </row>
    <row r="72" spans="1:5" x14ac:dyDescent="0.3">
      <c r="A72" s="1" t="s">
        <v>116</v>
      </c>
      <c r="B72" s="1" t="s">
        <v>49</v>
      </c>
      <c r="C72" s="1" t="s">
        <v>87</v>
      </c>
      <c r="D72" s="1" t="s">
        <v>118</v>
      </c>
      <c r="E72" s="1" t="s">
        <v>162</v>
      </c>
    </row>
    <row r="73" spans="1:5" x14ac:dyDescent="0.3">
      <c r="A73" s="1" t="s">
        <v>116</v>
      </c>
      <c r="B73" s="1" t="s">
        <v>49</v>
      </c>
      <c r="C73" s="1" t="s">
        <v>87</v>
      </c>
      <c r="D73" s="1" t="s">
        <v>119</v>
      </c>
      <c r="E73" s="1" t="s">
        <v>163</v>
      </c>
    </row>
    <row r="74" spans="1:5" x14ac:dyDescent="0.3">
      <c r="A74" s="1" t="s">
        <v>116</v>
      </c>
      <c r="B74" s="1" t="s">
        <v>49</v>
      </c>
      <c r="C74" s="1" t="s">
        <v>87</v>
      </c>
      <c r="D74" s="1" t="s">
        <v>8</v>
      </c>
      <c r="E74" s="1" t="s">
        <v>164</v>
      </c>
    </row>
    <row r="75" spans="1:5" x14ac:dyDescent="0.3">
      <c r="A75" s="1" t="s">
        <v>116</v>
      </c>
      <c r="B75" s="1" t="s">
        <v>49</v>
      </c>
      <c r="C75" s="1" t="s">
        <v>87</v>
      </c>
      <c r="D75" s="1" t="s">
        <v>127</v>
      </c>
      <c r="E75" s="1" t="s">
        <v>165</v>
      </c>
    </row>
    <row r="76" spans="1:5" x14ac:dyDescent="0.3">
      <c r="A76" s="1" t="s">
        <v>116</v>
      </c>
      <c r="B76" s="1" t="s">
        <v>49</v>
      </c>
      <c r="C76" s="1" t="s">
        <v>87</v>
      </c>
      <c r="D76" s="1" t="s">
        <v>2</v>
      </c>
      <c r="E76" s="1" t="s">
        <v>130</v>
      </c>
    </row>
    <row r="77" spans="1:5" x14ac:dyDescent="0.3">
      <c r="A77" s="1" t="s">
        <v>116</v>
      </c>
      <c r="B77" s="1" t="s">
        <v>94</v>
      </c>
      <c r="C77" s="1" t="s">
        <v>84</v>
      </c>
      <c r="D77" s="1" t="s">
        <v>149</v>
      </c>
      <c r="E77" s="1" t="s">
        <v>166</v>
      </c>
    </row>
    <row r="78" spans="1:5" x14ac:dyDescent="0.3">
      <c r="A78" s="1" t="s">
        <v>116</v>
      </c>
      <c r="B78" s="1" t="s">
        <v>94</v>
      </c>
      <c r="C78" s="1" t="s">
        <v>84</v>
      </c>
      <c r="D78" s="1" t="s">
        <v>149</v>
      </c>
      <c r="E78" s="1" t="s">
        <v>167</v>
      </c>
    </row>
    <row r="79" spans="1:5" x14ac:dyDescent="0.3">
      <c r="A79" s="1" t="s">
        <v>116</v>
      </c>
      <c r="B79" s="1" t="s">
        <v>94</v>
      </c>
      <c r="C79" s="1" t="s">
        <v>84</v>
      </c>
      <c r="D79" s="1" t="s">
        <v>149</v>
      </c>
      <c r="E79" s="1" t="s">
        <v>168</v>
      </c>
    </row>
    <row r="80" spans="1:5" x14ac:dyDescent="0.3">
      <c r="A80" s="1" t="s">
        <v>116</v>
      </c>
      <c r="B80" s="1" t="s">
        <v>94</v>
      </c>
      <c r="C80" s="1" t="s">
        <v>144</v>
      </c>
      <c r="D80" s="1" t="s">
        <v>12</v>
      </c>
      <c r="E80" s="1" t="s">
        <v>169</v>
      </c>
    </row>
    <row r="81" spans="1:5" x14ac:dyDescent="0.3">
      <c r="A81" s="1" t="s">
        <v>116</v>
      </c>
      <c r="B81" s="1" t="s">
        <v>94</v>
      </c>
      <c r="C81" s="1" t="s">
        <v>144</v>
      </c>
      <c r="D81" s="1" t="s">
        <v>13</v>
      </c>
      <c r="E81" s="1" t="s">
        <v>170</v>
      </c>
    </row>
    <row r="82" spans="1:5" x14ac:dyDescent="0.3">
      <c r="A82" s="1" t="s">
        <v>116</v>
      </c>
      <c r="B82" s="1" t="s">
        <v>94</v>
      </c>
      <c r="C82" s="1" t="s">
        <v>144</v>
      </c>
      <c r="D82" s="1" t="s">
        <v>150</v>
      </c>
      <c r="E82" s="1" t="s">
        <v>171</v>
      </c>
    </row>
    <row r="83" spans="1:5" x14ac:dyDescent="0.3">
      <c r="A83" s="1" t="s">
        <v>116</v>
      </c>
      <c r="B83" s="1" t="s">
        <v>94</v>
      </c>
      <c r="C83" s="1" t="s">
        <v>144</v>
      </c>
      <c r="D83" s="1" t="s">
        <v>11</v>
      </c>
      <c r="E83" s="1" t="s">
        <v>42</v>
      </c>
    </row>
    <row r="84" spans="1:5" x14ac:dyDescent="0.3">
      <c r="A84" s="1" t="s">
        <v>116</v>
      </c>
      <c r="B84" s="1" t="s">
        <v>94</v>
      </c>
      <c r="C84" s="1" t="s">
        <v>87</v>
      </c>
      <c r="D84" s="1" t="s">
        <v>151</v>
      </c>
      <c r="E84" s="1" t="s">
        <v>130</v>
      </c>
    </row>
    <row r="85" spans="1:5" x14ac:dyDescent="0.3">
      <c r="A85" s="1" t="s">
        <v>116</v>
      </c>
      <c r="B85" s="1" t="s">
        <v>94</v>
      </c>
      <c r="C85" s="1" t="s">
        <v>87</v>
      </c>
      <c r="D85" s="1" t="s">
        <v>152</v>
      </c>
      <c r="E85" s="1" t="s">
        <v>172</v>
      </c>
    </row>
    <row r="86" spans="1:5" x14ac:dyDescent="0.3">
      <c r="A86" s="1" t="s">
        <v>116</v>
      </c>
      <c r="B86" s="1" t="s">
        <v>94</v>
      </c>
      <c r="C86" s="1" t="s">
        <v>87</v>
      </c>
      <c r="D86" s="1" t="s">
        <v>153</v>
      </c>
      <c r="E86" s="1" t="s">
        <v>173</v>
      </c>
    </row>
    <row r="87" spans="1:5" x14ac:dyDescent="0.3">
      <c r="A87" s="1" t="s">
        <v>116</v>
      </c>
      <c r="B87" s="1" t="s">
        <v>94</v>
      </c>
      <c r="C87" s="1" t="s">
        <v>87</v>
      </c>
      <c r="D87" s="1" t="s">
        <v>154</v>
      </c>
      <c r="E87" s="1" t="s">
        <v>174</v>
      </c>
    </row>
    <row r="88" spans="1:5" x14ac:dyDescent="0.3">
      <c r="A88" s="1" t="s">
        <v>116</v>
      </c>
      <c r="B88" s="1" t="s">
        <v>94</v>
      </c>
      <c r="C88" s="1" t="s">
        <v>87</v>
      </c>
      <c r="D88" s="1" t="s">
        <v>154</v>
      </c>
      <c r="E88" s="1" t="s">
        <v>175</v>
      </c>
    </row>
    <row r="89" spans="1:5" x14ac:dyDescent="0.3">
      <c r="A89" s="1" t="s">
        <v>116</v>
      </c>
      <c r="B89" s="1" t="s">
        <v>94</v>
      </c>
      <c r="C89" s="1" t="s">
        <v>181</v>
      </c>
      <c r="D89" s="1" t="s">
        <v>155</v>
      </c>
      <c r="E89" s="1" t="s">
        <v>90</v>
      </c>
    </row>
    <row r="90" spans="1:5" x14ac:dyDescent="0.3">
      <c r="A90" s="1" t="s">
        <v>116</v>
      </c>
      <c r="B90" s="1" t="s">
        <v>94</v>
      </c>
      <c r="C90" s="1" t="s">
        <v>145</v>
      </c>
      <c r="D90" s="1" t="s">
        <v>123</v>
      </c>
      <c r="E90" s="1" t="s">
        <v>176</v>
      </c>
    </row>
    <row r="91" spans="1:5" x14ac:dyDescent="0.3">
      <c r="A91" s="1" t="s">
        <v>116</v>
      </c>
      <c r="B91" s="1" t="s">
        <v>94</v>
      </c>
      <c r="C91" s="1" t="s">
        <v>145</v>
      </c>
      <c r="D91" s="1" t="s">
        <v>156</v>
      </c>
      <c r="E91" s="1" t="s">
        <v>89</v>
      </c>
    </row>
    <row r="92" spans="1:5" x14ac:dyDescent="0.3">
      <c r="A92" s="1" t="s">
        <v>116</v>
      </c>
      <c r="B92" s="1" t="s">
        <v>94</v>
      </c>
      <c r="C92" s="1" t="s">
        <v>145</v>
      </c>
      <c r="D92" s="1" t="s">
        <v>14</v>
      </c>
      <c r="E92" s="1" t="s">
        <v>177</v>
      </c>
    </row>
    <row r="93" spans="1:5" x14ac:dyDescent="0.3">
      <c r="A93" s="1" t="s">
        <v>116</v>
      </c>
      <c r="B93" s="1" t="s">
        <v>94</v>
      </c>
      <c r="C93" s="1" t="s">
        <v>145</v>
      </c>
      <c r="D93" s="1" t="s">
        <v>124</v>
      </c>
      <c r="E93" s="1" t="s">
        <v>178</v>
      </c>
    </row>
    <row r="94" spans="1:5" x14ac:dyDescent="0.3">
      <c r="A94" s="1" t="s">
        <v>116</v>
      </c>
      <c r="B94" s="1" t="s">
        <v>94</v>
      </c>
      <c r="C94" s="1" t="s">
        <v>145</v>
      </c>
      <c r="D94" s="1" t="s">
        <v>157</v>
      </c>
      <c r="E94" s="1" t="s">
        <v>67</v>
      </c>
    </row>
    <row r="95" spans="1:5" x14ac:dyDescent="0.3">
      <c r="A95" s="1" t="s">
        <v>116</v>
      </c>
      <c r="B95" s="1" t="s">
        <v>94</v>
      </c>
      <c r="C95" s="1" t="s">
        <v>140</v>
      </c>
      <c r="D95" s="1" t="s">
        <v>158</v>
      </c>
      <c r="E95" s="1" t="s">
        <v>140</v>
      </c>
    </row>
    <row r="96" spans="1:5" x14ac:dyDescent="0.3">
      <c r="A96" s="1" t="s">
        <v>116</v>
      </c>
      <c r="B96" s="1" t="s">
        <v>94</v>
      </c>
      <c r="C96" s="1" t="s">
        <v>141</v>
      </c>
      <c r="D96" s="1" t="s">
        <v>159</v>
      </c>
      <c r="E96" s="1" t="s">
        <v>141</v>
      </c>
    </row>
    <row r="97" spans="1:5" x14ac:dyDescent="0.3">
      <c r="A97" s="1" t="s">
        <v>116</v>
      </c>
      <c r="B97" s="1" t="s">
        <v>94</v>
      </c>
      <c r="C97" s="1" t="s">
        <v>141</v>
      </c>
      <c r="D97" s="1" t="s">
        <v>160</v>
      </c>
      <c r="E97" s="1" t="s">
        <v>179</v>
      </c>
    </row>
    <row r="98" spans="1:5" x14ac:dyDescent="0.3">
      <c r="A98" s="1" t="s">
        <v>116</v>
      </c>
      <c r="B98" s="1" t="s">
        <v>90</v>
      </c>
      <c r="C98" s="1" t="s">
        <v>90</v>
      </c>
      <c r="D98" s="1" t="s">
        <v>6</v>
      </c>
      <c r="E98" s="1" t="s">
        <v>142</v>
      </c>
    </row>
    <row r="99" spans="1:5" x14ac:dyDescent="0.3">
      <c r="A99" s="1" t="s">
        <v>116</v>
      </c>
      <c r="B99" s="1" t="s">
        <v>90</v>
      </c>
      <c r="C99" s="1" t="s">
        <v>90</v>
      </c>
      <c r="D99" s="1" t="s">
        <v>7</v>
      </c>
      <c r="E99" s="1" t="s">
        <v>143</v>
      </c>
    </row>
    <row r="100" spans="1:5" x14ac:dyDescent="0.3">
      <c r="A100" s="1" t="s">
        <v>116</v>
      </c>
      <c r="B100" s="1" t="s">
        <v>90</v>
      </c>
      <c r="C100" s="1" t="s">
        <v>90</v>
      </c>
      <c r="D100" s="1" t="s">
        <v>80</v>
      </c>
      <c r="E100" s="1" t="s">
        <v>180</v>
      </c>
    </row>
    <row r="101" spans="1:5" x14ac:dyDescent="0.3">
      <c r="A101" s="8"/>
    </row>
    <row r="102" spans="1:5" x14ac:dyDescent="0.3">
      <c r="A102" s="6"/>
    </row>
    <row r="103" spans="1:5" x14ac:dyDescent="0.3">
      <c r="A103" s="6"/>
    </row>
    <row r="104" spans="1:5" x14ac:dyDescent="0.3">
      <c r="A104" s="6"/>
    </row>
    <row r="105" spans="1:5" x14ac:dyDescent="0.3">
      <c r="A105" s="6"/>
    </row>
    <row r="106" spans="1:5" x14ac:dyDescent="0.3">
      <c r="A106" s="7"/>
    </row>
  </sheetData>
  <conditionalFormatting sqref="A1:C1">
    <cfRule type="containsText" dxfId="53" priority="21" operator="containsText" text="CIUDAD DE MÉXICO">
      <formula>NOT(ISERROR(SEARCH("CIUDAD DE MÉXICO",A1)))</formula>
    </cfRule>
    <cfRule type="containsText" dxfId="52" priority="22" operator="containsText" text="GUADALAJARA">
      <formula>NOT(ISERROR(SEARCH("GUADALAJARA",A1)))</formula>
    </cfRule>
    <cfRule type="containsText" dxfId="51" priority="23" operator="containsText" text="NORESTE">
      <formula>NOT(ISERROR(SEARCH("NORESTE",A1)))</formula>
    </cfRule>
    <cfRule type="containsText" dxfId="50" priority="24" operator="containsText" text="NOROESTE">
      <formula>NOT(ISERROR(SEARCH("NOROESTE",A1)))</formula>
    </cfRule>
  </conditionalFormatting>
  <conditionalFormatting sqref="A2:A44">
    <cfRule type="containsText" dxfId="49" priority="17" operator="containsText" text="CIUDAD DE MÉXICO">
      <formula>NOT(ISERROR(SEARCH("CIUDAD DE MÉXICO",A2)))</formula>
    </cfRule>
    <cfRule type="containsText" dxfId="48" priority="18" operator="containsText" text="GUADALAJARA">
      <formula>NOT(ISERROR(SEARCH("GUADALAJARA",A2)))</formula>
    </cfRule>
    <cfRule type="containsText" dxfId="47" priority="19" operator="containsText" text="NORESTE">
      <formula>NOT(ISERROR(SEARCH("NORESTE",A2)))</formula>
    </cfRule>
    <cfRule type="containsText" dxfId="46" priority="20" operator="containsText" text="NOROESTE">
      <formula>NOT(ISERROR(SEARCH("NOROESTE",A2)))</formula>
    </cfRule>
  </conditionalFormatting>
  <conditionalFormatting sqref="A45:A66">
    <cfRule type="containsText" dxfId="45" priority="13" operator="containsText" text="CIUDAD DE MÉXICO">
      <formula>NOT(ISERROR(SEARCH("CIUDAD DE MÉXICO",A45)))</formula>
    </cfRule>
    <cfRule type="containsText" dxfId="44" priority="14" operator="containsText" text="GUADALAJARA">
      <formula>NOT(ISERROR(SEARCH("GUADALAJARA",A45)))</formula>
    </cfRule>
    <cfRule type="containsText" dxfId="43" priority="15" operator="containsText" text="NORESTE">
      <formula>NOT(ISERROR(SEARCH("NORESTE",A45)))</formula>
    </cfRule>
    <cfRule type="containsText" dxfId="42" priority="16" operator="containsText" text="NOROESTE">
      <formula>NOT(ISERROR(SEARCH("NOROESTE",A45)))</formula>
    </cfRule>
  </conditionalFormatting>
  <conditionalFormatting sqref="A67:A100">
    <cfRule type="containsText" dxfId="41" priority="5" operator="containsText" text="CIUDAD DE MÉXICO">
      <formula>NOT(ISERROR(SEARCH("CIUDAD DE MÉXICO",A67)))</formula>
    </cfRule>
    <cfRule type="containsText" dxfId="40" priority="6" operator="containsText" text="GUADALAJARA">
      <formula>NOT(ISERROR(SEARCH("GUADALAJARA",A67)))</formula>
    </cfRule>
    <cfRule type="containsText" dxfId="39" priority="7" operator="containsText" text="NORESTE">
      <formula>NOT(ISERROR(SEARCH("NORESTE",A67)))</formula>
    </cfRule>
    <cfRule type="containsText" dxfId="38" priority="8" operator="containsText" text="NOROESTE">
      <formula>NOT(ISERROR(SEARCH("NOROESTE",A67)))</formula>
    </cfRule>
  </conditionalFormatting>
  <conditionalFormatting sqref="A101:A106">
    <cfRule type="containsText" dxfId="37" priority="1" operator="containsText" text="CIUDAD DE MÉXICO">
      <formula>NOT(ISERROR(SEARCH("CIUDAD DE MÉXICO",A101)))</formula>
    </cfRule>
    <cfRule type="containsText" dxfId="36" priority="2" operator="containsText" text="GUADALAJARA">
      <formula>NOT(ISERROR(SEARCH("GUADALAJARA",A101)))</formula>
    </cfRule>
    <cfRule type="containsText" dxfId="35" priority="3" operator="containsText" text="NORESTE">
      <formula>NOT(ISERROR(SEARCH("NORESTE",A101)))</formula>
    </cfRule>
    <cfRule type="containsText" dxfId="34" priority="4" operator="containsText" text="NOROESTE">
      <formula>NOT(ISERROR(SEARCH("NOROESTE",A101)))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8E38-B61B-4EC8-831F-686D0477EB49}">
  <dimension ref="A1:M118"/>
  <sheetViews>
    <sheetView tabSelected="1" topLeftCell="A89" zoomScale="52" workbookViewId="0">
      <selection activeCell="C124" sqref="C124"/>
    </sheetView>
  </sheetViews>
  <sheetFormatPr baseColWidth="10" defaultRowHeight="14.4" x14ac:dyDescent="0.3"/>
  <cols>
    <col min="2" max="2" width="21.88671875" bestFit="1" customWidth="1"/>
    <col min="3" max="3" width="34.109375" bestFit="1" customWidth="1"/>
    <col min="4" max="4" width="24.44140625" bestFit="1" customWidth="1"/>
    <col min="5" max="5" width="41.109375" bestFit="1" customWidth="1"/>
    <col min="6" max="6" width="23" bestFit="1" customWidth="1"/>
    <col min="7" max="7" width="30.77734375" bestFit="1" customWidth="1"/>
    <col min="8" max="8" width="32.21875" bestFit="1" customWidth="1"/>
    <col min="9" max="9" width="32.21875" customWidth="1"/>
    <col min="10" max="10" width="34.21875" bestFit="1" customWidth="1"/>
    <col min="11" max="11" width="20" bestFit="1" customWidth="1"/>
    <col min="12" max="12" width="25" bestFit="1" customWidth="1"/>
    <col min="13" max="13" width="36.21875" bestFit="1" customWidth="1"/>
  </cols>
  <sheetData>
    <row r="1" spans="1:13" x14ac:dyDescent="0.3">
      <c r="A1" s="3" t="s">
        <v>189</v>
      </c>
      <c r="B1" s="4" t="s">
        <v>182</v>
      </c>
      <c r="C1" s="4" t="s">
        <v>100</v>
      </c>
      <c r="D1" s="4" t="s">
        <v>183</v>
      </c>
      <c r="E1" s="4" t="s">
        <v>190</v>
      </c>
      <c r="F1" s="4" t="s">
        <v>191</v>
      </c>
      <c r="G1" s="4" t="s">
        <v>191</v>
      </c>
      <c r="H1" s="4" t="s">
        <v>209</v>
      </c>
      <c r="I1" s="4" t="s">
        <v>209</v>
      </c>
      <c r="J1" s="5" t="s">
        <v>192</v>
      </c>
      <c r="K1" s="5" t="s">
        <v>372</v>
      </c>
      <c r="L1" s="5" t="s">
        <v>372</v>
      </c>
      <c r="M1" s="5" t="s">
        <v>374</v>
      </c>
    </row>
    <row r="2" spans="1:13" x14ac:dyDescent="0.3">
      <c r="A2" s="1" t="s">
        <v>193</v>
      </c>
      <c r="B2" s="1" t="s">
        <v>112</v>
      </c>
      <c r="C2" s="1" t="str">
        <f>"income-" &amp; D2</f>
        <v>income-Membership</v>
      </c>
      <c r="D2" s="1" t="s">
        <v>84</v>
      </c>
      <c r="E2" s="1" t="s">
        <v>194</v>
      </c>
      <c r="F2" s="1" t="s">
        <v>86</v>
      </c>
      <c r="G2" s="1" t="s">
        <v>101</v>
      </c>
      <c r="H2" s="1" t="s">
        <v>103</v>
      </c>
      <c r="I2" s="1"/>
      <c r="J2" s="1" t="s">
        <v>106</v>
      </c>
      <c r="K2" s="1"/>
      <c r="L2" s="1"/>
      <c r="M2" s="1"/>
    </row>
    <row r="3" spans="1:13" x14ac:dyDescent="0.3">
      <c r="A3" s="1" t="s">
        <v>193</v>
      </c>
      <c r="B3" s="1" t="s">
        <v>112</v>
      </c>
      <c r="C3" s="1" t="str">
        <f t="shared" ref="C3:C7" si="0">"income-" &amp; D3</f>
        <v>income-Events</v>
      </c>
      <c r="D3" s="1" t="s">
        <v>85</v>
      </c>
      <c r="E3" s="1" t="s">
        <v>195</v>
      </c>
      <c r="F3" s="1" t="s">
        <v>86</v>
      </c>
      <c r="G3" s="1" t="s">
        <v>101</v>
      </c>
      <c r="H3" s="1" t="s">
        <v>103</v>
      </c>
      <c r="I3" s="1"/>
      <c r="J3" s="1" t="s">
        <v>106</v>
      </c>
      <c r="K3" s="1"/>
      <c r="L3" s="1"/>
      <c r="M3" s="1"/>
    </row>
    <row r="4" spans="1:13" x14ac:dyDescent="0.3">
      <c r="A4" s="1" t="s">
        <v>193</v>
      </c>
      <c r="B4" s="1" t="s">
        <v>112</v>
      </c>
      <c r="C4" s="1" t="str">
        <f t="shared" si="0"/>
        <v>income-Committees</v>
      </c>
      <c r="D4" s="1" t="s">
        <v>44</v>
      </c>
      <c r="E4" s="1" t="s">
        <v>196</v>
      </c>
      <c r="F4" s="1" t="s">
        <v>86</v>
      </c>
      <c r="G4" s="1" t="s">
        <v>101</v>
      </c>
      <c r="H4" s="1" t="s">
        <v>103</v>
      </c>
      <c r="I4" s="1"/>
      <c r="J4" s="1" t="s">
        <v>106</v>
      </c>
      <c r="K4" s="1"/>
      <c r="L4" s="1"/>
      <c r="M4" s="1"/>
    </row>
    <row r="5" spans="1:13" x14ac:dyDescent="0.3">
      <c r="A5" s="1" t="s">
        <v>193</v>
      </c>
      <c r="B5" s="1" t="s">
        <v>112</v>
      </c>
      <c r="C5" s="1" t="str">
        <f t="shared" si="0"/>
        <v>income-Services to Members</v>
      </c>
      <c r="D5" s="1" t="s">
        <v>87</v>
      </c>
      <c r="E5" s="1" t="s">
        <v>197</v>
      </c>
      <c r="F5" s="1" t="s">
        <v>86</v>
      </c>
      <c r="G5" s="1" t="s">
        <v>101</v>
      </c>
      <c r="H5" s="1" t="s">
        <v>103</v>
      </c>
      <c r="I5" s="1"/>
      <c r="J5" s="1" t="s">
        <v>106</v>
      </c>
      <c r="K5" s="1"/>
      <c r="L5" s="1"/>
      <c r="M5" s="1"/>
    </row>
    <row r="6" spans="1:13" x14ac:dyDescent="0.3">
      <c r="A6" s="1" t="s">
        <v>193</v>
      </c>
      <c r="B6" s="1" t="s">
        <v>112</v>
      </c>
      <c r="C6" s="1" t="str">
        <f t="shared" si="0"/>
        <v>income-Guadalajara Income</v>
      </c>
      <c r="D6" s="1" t="s">
        <v>48</v>
      </c>
      <c r="E6" s="1" t="s">
        <v>198</v>
      </c>
      <c r="F6" s="1" t="s">
        <v>48</v>
      </c>
      <c r="G6" s="1" t="s">
        <v>101</v>
      </c>
      <c r="H6" s="1" t="s">
        <v>104</v>
      </c>
      <c r="I6" s="1"/>
      <c r="J6" s="1" t="s">
        <v>106</v>
      </c>
      <c r="K6" s="1"/>
      <c r="L6" s="1"/>
      <c r="M6" s="1"/>
    </row>
    <row r="7" spans="1:13" x14ac:dyDescent="0.3">
      <c r="A7" s="1" t="s">
        <v>193</v>
      </c>
      <c r="B7" s="1" t="s">
        <v>112</v>
      </c>
      <c r="C7" s="1" t="str">
        <f t="shared" si="0"/>
        <v>income-Monterrey Income</v>
      </c>
      <c r="D7" s="1" t="s">
        <v>49</v>
      </c>
      <c r="E7" s="1" t="s">
        <v>199</v>
      </c>
      <c r="F7" s="1" t="s">
        <v>49</v>
      </c>
      <c r="G7" s="1" t="s">
        <v>101</v>
      </c>
      <c r="H7" s="1" t="s">
        <v>105</v>
      </c>
      <c r="I7" s="1"/>
      <c r="J7" s="1" t="s">
        <v>106</v>
      </c>
      <c r="K7" s="1"/>
      <c r="L7" s="16"/>
      <c r="M7" s="1"/>
    </row>
    <row r="8" spans="1:13" x14ac:dyDescent="0.3">
      <c r="A8" s="1" t="s">
        <v>193</v>
      </c>
      <c r="B8" s="1" t="s">
        <v>112</v>
      </c>
      <c r="C8" s="1" t="str">
        <f>"expense-" &amp; D8</f>
        <v>expense-Membership</v>
      </c>
      <c r="D8" s="1" t="s">
        <v>84</v>
      </c>
      <c r="E8" s="1" t="s">
        <v>194</v>
      </c>
      <c r="F8" s="1" t="s">
        <v>88</v>
      </c>
      <c r="G8" s="1" t="s">
        <v>102</v>
      </c>
      <c r="H8" s="1" t="s">
        <v>103</v>
      </c>
      <c r="I8" s="1"/>
      <c r="J8" s="1" t="s">
        <v>106</v>
      </c>
      <c r="K8" s="1"/>
      <c r="L8" s="16"/>
      <c r="M8" s="1"/>
    </row>
    <row r="9" spans="1:13" x14ac:dyDescent="0.3">
      <c r="A9" s="1" t="s">
        <v>193</v>
      </c>
      <c r="B9" s="1" t="s">
        <v>112</v>
      </c>
      <c r="C9" s="1" t="str">
        <f t="shared" ref="C9:C16" si="1">"expense-" &amp; D9</f>
        <v>expense-Events</v>
      </c>
      <c r="D9" s="1" t="s">
        <v>85</v>
      </c>
      <c r="E9" s="1" t="s">
        <v>195</v>
      </c>
      <c r="F9" s="1" t="s">
        <v>88</v>
      </c>
      <c r="G9" s="1" t="s">
        <v>102</v>
      </c>
      <c r="H9" s="1" t="s">
        <v>103</v>
      </c>
      <c r="I9" s="1"/>
      <c r="J9" s="1" t="s">
        <v>106</v>
      </c>
      <c r="K9" s="1"/>
      <c r="L9" s="16"/>
      <c r="M9" s="1"/>
    </row>
    <row r="10" spans="1:13" x14ac:dyDescent="0.3">
      <c r="A10" s="1" t="s">
        <v>193</v>
      </c>
      <c r="B10" s="1" t="s">
        <v>112</v>
      </c>
      <c r="C10" s="1" t="str">
        <f t="shared" si="1"/>
        <v>expense-Committees</v>
      </c>
      <c r="D10" s="1" t="s">
        <v>44</v>
      </c>
      <c r="E10" s="1" t="s">
        <v>196</v>
      </c>
      <c r="F10" s="1" t="s">
        <v>88</v>
      </c>
      <c r="G10" s="1" t="s">
        <v>102</v>
      </c>
      <c r="H10" s="1" t="s">
        <v>103</v>
      </c>
      <c r="I10" s="1"/>
      <c r="J10" s="1" t="s">
        <v>106</v>
      </c>
      <c r="K10" s="1"/>
      <c r="L10" s="1"/>
      <c r="M10" s="1"/>
    </row>
    <row r="11" spans="1:13" x14ac:dyDescent="0.3">
      <c r="A11" s="1" t="s">
        <v>193</v>
      </c>
      <c r="B11" s="1" t="s">
        <v>112</v>
      </c>
      <c r="C11" s="1" t="str">
        <f t="shared" si="1"/>
        <v>expense-Services to Members</v>
      </c>
      <c r="D11" s="1" t="s">
        <v>87</v>
      </c>
      <c r="E11" s="1" t="s">
        <v>197</v>
      </c>
      <c r="F11" s="1" t="s">
        <v>88</v>
      </c>
      <c r="G11" s="1" t="s">
        <v>102</v>
      </c>
      <c r="H11" s="1" t="s">
        <v>103</v>
      </c>
      <c r="I11" s="1"/>
      <c r="J11" s="1" t="s">
        <v>106</v>
      </c>
      <c r="K11" s="1"/>
      <c r="L11" s="1"/>
      <c r="M11" s="1"/>
    </row>
    <row r="12" spans="1:13" x14ac:dyDescent="0.3">
      <c r="A12" s="1" t="s">
        <v>193</v>
      </c>
      <c r="B12" s="1" t="s">
        <v>112</v>
      </c>
      <c r="C12" s="1" t="str">
        <f t="shared" si="1"/>
        <v>expense-Gastos administrativos</v>
      </c>
      <c r="D12" s="1" t="s">
        <v>89</v>
      </c>
      <c r="E12" s="1" t="s">
        <v>200</v>
      </c>
      <c r="F12" s="1" t="s">
        <v>88</v>
      </c>
      <c r="G12" s="1" t="s">
        <v>102</v>
      </c>
      <c r="H12" s="1" t="s">
        <v>103</v>
      </c>
      <c r="I12" s="1"/>
      <c r="J12" s="1" t="s">
        <v>106</v>
      </c>
      <c r="K12" s="1"/>
      <c r="L12" s="1"/>
      <c r="M12" s="1"/>
    </row>
    <row r="13" spans="1:13" x14ac:dyDescent="0.3">
      <c r="A13" s="1" t="s">
        <v>193</v>
      </c>
      <c r="B13" s="1" t="s">
        <v>112</v>
      </c>
      <c r="C13" s="1" t="str">
        <f t="shared" si="1"/>
        <v>expense-Other</v>
      </c>
      <c r="D13" s="1" t="s">
        <v>90</v>
      </c>
      <c r="E13" s="1" t="s">
        <v>201</v>
      </c>
      <c r="F13" s="1" t="s">
        <v>88</v>
      </c>
      <c r="G13" s="1" t="s">
        <v>102</v>
      </c>
      <c r="H13" s="1" t="s">
        <v>103</v>
      </c>
      <c r="I13" s="1"/>
      <c r="J13" s="1" t="s">
        <v>106</v>
      </c>
      <c r="K13" s="1"/>
      <c r="L13" s="1"/>
      <c r="M13" s="1"/>
    </row>
    <row r="14" spans="1:13" x14ac:dyDescent="0.3">
      <c r="A14" s="1" t="s">
        <v>193</v>
      </c>
      <c r="B14" s="1" t="s">
        <v>112</v>
      </c>
      <c r="C14" s="1" t="str">
        <f t="shared" si="1"/>
        <v>expense-Gastos de Nomina</v>
      </c>
      <c r="D14" s="1" t="s">
        <v>91</v>
      </c>
      <c r="E14" s="1" t="s">
        <v>202</v>
      </c>
      <c r="F14" s="1" t="s">
        <v>88</v>
      </c>
      <c r="G14" s="1" t="s">
        <v>102</v>
      </c>
      <c r="H14" s="1" t="s">
        <v>103</v>
      </c>
      <c r="I14" s="1"/>
      <c r="J14" s="1" t="s">
        <v>106</v>
      </c>
      <c r="K14" s="1"/>
      <c r="L14" s="1"/>
      <c r="M14" s="1"/>
    </row>
    <row r="15" spans="1:13" x14ac:dyDescent="0.3">
      <c r="A15" s="1" t="s">
        <v>193</v>
      </c>
      <c r="B15" s="1" t="s">
        <v>112</v>
      </c>
      <c r="C15" s="1" t="str">
        <f t="shared" si="1"/>
        <v>expense-Guadalajara Expense</v>
      </c>
      <c r="D15" s="1" t="s">
        <v>93</v>
      </c>
      <c r="E15" s="1" t="s">
        <v>203</v>
      </c>
      <c r="F15" s="1" t="s">
        <v>93</v>
      </c>
      <c r="G15" s="1" t="s">
        <v>102</v>
      </c>
      <c r="H15" s="1" t="s">
        <v>104</v>
      </c>
      <c r="I15" s="1"/>
      <c r="J15" s="1" t="s">
        <v>106</v>
      </c>
      <c r="K15" s="1"/>
      <c r="L15" s="1"/>
      <c r="M15" s="1"/>
    </row>
    <row r="16" spans="1:13" x14ac:dyDescent="0.3">
      <c r="A16" s="1" t="s">
        <v>193</v>
      </c>
      <c r="B16" s="1" t="s">
        <v>112</v>
      </c>
      <c r="C16" s="1" t="str">
        <f t="shared" si="1"/>
        <v>expense-Monterrey Expense</v>
      </c>
      <c r="D16" s="1" t="s">
        <v>94</v>
      </c>
      <c r="E16" s="1" t="s">
        <v>204</v>
      </c>
      <c r="F16" s="1" t="s">
        <v>94</v>
      </c>
      <c r="G16" s="1" t="s">
        <v>102</v>
      </c>
      <c r="H16" s="1" t="s">
        <v>105</v>
      </c>
      <c r="I16" s="1"/>
      <c r="J16" s="1" t="s">
        <v>106</v>
      </c>
      <c r="K16" s="1"/>
      <c r="L16" s="1"/>
      <c r="M16" s="1"/>
    </row>
    <row r="17" spans="1:13" x14ac:dyDescent="0.3">
      <c r="A17" s="1" t="s">
        <v>193</v>
      </c>
      <c r="B17" s="1" t="s">
        <v>112</v>
      </c>
      <c r="C17" s="1" t="str">
        <f>"other-income-" &amp; D17</f>
        <v>other-income-México  Other Income</v>
      </c>
      <c r="D17" s="1" t="s">
        <v>95</v>
      </c>
      <c r="E17" s="1" t="s">
        <v>205</v>
      </c>
      <c r="F17" s="1" t="s">
        <v>95</v>
      </c>
      <c r="G17" s="1"/>
      <c r="H17" s="1" t="s">
        <v>103</v>
      </c>
      <c r="I17" s="1"/>
      <c r="J17" s="1" t="s">
        <v>107</v>
      </c>
      <c r="K17" s="1"/>
      <c r="L17" s="1"/>
      <c r="M17" s="1"/>
    </row>
    <row r="18" spans="1:13" x14ac:dyDescent="0.3">
      <c r="A18" s="1" t="s">
        <v>193</v>
      </c>
      <c r="B18" s="1" t="s">
        <v>112</v>
      </c>
      <c r="C18" s="1" t="str">
        <f t="shared" ref="C18:C20" si="2">"other-income-" &amp; D18</f>
        <v>other-income-Guadalajara Other Income</v>
      </c>
      <c r="D18" s="1" t="s">
        <v>97</v>
      </c>
      <c r="E18" s="1" t="s">
        <v>206</v>
      </c>
      <c r="F18" s="1" t="s">
        <v>97</v>
      </c>
      <c r="G18" s="1"/>
      <c r="H18" s="1" t="s">
        <v>104</v>
      </c>
      <c r="I18" s="1"/>
      <c r="J18" s="1" t="s">
        <v>108</v>
      </c>
      <c r="K18" s="1"/>
      <c r="L18" s="1"/>
      <c r="M18" s="1"/>
    </row>
    <row r="19" spans="1:13" x14ac:dyDescent="0.3">
      <c r="A19" s="1" t="s">
        <v>193</v>
      </c>
      <c r="B19" s="1" t="s">
        <v>112</v>
      </c>
      <c r="C19" s="1" t="str">
        <f t="shared" si="2"/>
        <v>other-income-Monterrey Other Income</v>
      </c>
      <c r="D19" s="1" t="s">
        <v>98</v>
      </c>
      <c r="E19" s="1" t="s">
        <v>207</v>
      </c>
      <c r="F19" s="1" t="s">
        <v>98</v>
      </c>
      <c r="G19" s="1"/>
      <c r="H19" s="1" t="s">
        <v>105</v>
      </c>
      <c r="I19" s="1"/>
      <c r="J19" s="1" t="s">
        <v>109</v>
      </c>
      <c r="K19" s="1"/>
      <c r="L19" s="1"/>
      <c r="M19" s="1"/>
    </row>
    <row r="20" spans="1:13" x14ac:dyDescent="0.3">
      <c r="A20" s="1" t="s">
        <v>193</v>
      </c>
      <c r="B20" s="1" t="s">
        <v>112</v>
      </c>
      <c r="C20" s="1" t="str">
        <f t="shared" si="2"/>
        <v>other-income-Northwest  Other Income</v>
      </c>
      <c r="D20" s="1" t="s">
        <v>99</v>
      </c>
      <c r="E20" s="1" t="s">
        <v>208</v>
      </c>
      <c r="F20" s="1" t="s">
        <v>99</v>
      </c>
      <c r="G20" s="1"/>
      <c r="H20" s="1" t="s">
        <v>111</v>
      </c>
      <c r="I20" s="1"/>
      <c r="J20" s="1" t="s">
        <v>110</v>
      </c>
      <c r="K20" s="1"/>
      <c r="L20" s="1"/>
      <c r="M20" s="1"/>
    </row>
    <row r="21" spans="1:13" x14ac:dyDescent="0.3">
      <c r="A21" s="1" t="s">
        <v>193</v>
      </c>
      <c r="B21" s="1" t="s">
        <v>115</v>
      </c>
      <c r="C21" s="1" t="str">
        <f>"income-" &amp; D21</f>
        <v>income-Membership</v>
      </c>
      <c r="D21" s="1" t="s">
        <v>84</v>
      </c>
      <c r="E21" s="1" t="s">
        <v>194</v>
      </c>
      <c r="F21" s="1" t="s">
        <v>48</v>
      </c>
      <c r="G21" s="1"/>
      <c r="H21" s="1" t="s">
        <v>146</v>
      </c>
      <c r="I21" s="1"/>
      <c r="J21" s="1" t="s">
        <v>148</v>
      </c>
      <c r="K21" s="1"/>
      <c r="L21" s="1"/>
      <c r="M21" s="1"/>
    </row>
    <row r="22" spans="1:13" x14ac:dyDescent="0.3">
      <c r="A22" s="1" t="s">
        <v>193</v>
      </c>
      <c r="B22" s="1" t="s">
        <v>115</v>
      </c>
      <c r="C22" s="1" t="str">
        <f t="shared" ref="C22:C23" si="3">"income-" &amp; D22</f>
        <v>income-Events and Committees</v>
      </c>
      <c r="D22" s="1" t="s">
        <v>144</v>
      </c>
      <c r="E22" s="1" t="s">
        <v>210</v>
      </c>
      <c r="F22" s="1" t="s">
        <v>48</v>
      </c>
      <c r="G22" s="1"/>
      <c r="H22" s="1" t="s">
        <v>146</v>
      </c>
      <c r="I22" s="1"/>
      <c r="J22" s="1" t="s">
        <v>148</v>
      </c>
      <c r="K22" s="1"/>
      <c r="L22" s="1"/>
      <c r="M22" s="1"/>
    </row>
    <row r="23" spans="1:13" x14ac:dyDescent="0.3">
      <c r="A23" s="1" t="s">
        <v>193</v>
      </c>
      <c r="B23" s="1" t="s">
        <v>115</v>
      </c>
      <c r="C23" s="1" t="str">
        <f t="shared" si="3"/>
        <v>income-Services to Members</v>
      </c>
      <c r="D23" s="1" t="s">
        <v>87</v>
      </c>
      <c r="E23" s="1" t="s">
        <v>197</v>
      </c>
      <c r="F23" s="1" t="s">
        <v>48</v>
      </c>
      <c r="G23" s="1"/>
      <c r="H23" s="1" t="s">
        <v>146</v>
      </c>
      <c r="I23" s="1"/>
      <c r="J23" s="1" t="s">
        <v>148</v>
      </c>
      <c r="K23" s="1"/>
      <c r="L23" s="1"/>
      <c r="M23" s="1"/>
    </row>
    <row r="24" spans="1:13" x14ac:dyDescent="0.3">
      <c r="A24" s="1" t="s">
        <v>193</v>
      </c>
      <c r="B24" s="1" t="s">
        <v>115</v>
      </c>
      <c r="C24" s="1" t="str">
        <f>"expense-" &amp; D24</f>
        <v>expense-Membership</v>
      </c>
      <c r="D24" s="1" t="s">
        <v>84</v>
      </c>
      <c r="E24" s="1" t="s">
        <v>194</v>
      </c>
      <c r="F24" s="1" t="s">
        <v>93</v>
      </c>
      <c r="G24" s="1"/>
      <c r="H24" s="1" t="s">
        <v>146</v>
      </c>
      <c r="I24" s="1"/>
      <c r="J24" s="1" t="s">
        <v>148</v>
      </c>
      <c r="K24" s="1"/>
      <c r="L24" s="1"/>
      <c r="M24" s="1"/>
    </row>
    <row r="25" spans="1:13" x14ac:dyDescent="0.3">
      <c r="A25" s="1" t="s">
        <v>193</v>
      </c>
      <c r="B25" s="1" t="s">
        <v>115</v>
      </c>
      <c r="C25" s="1" t="str">
        <f t="shared" ref="C25:C30" si="4">"expense-" &amp; D25</f>
        <v>expense-Events and Committees</v>
      </c>
      <c r="D25" s="1" t="s">
        <v>144</v>
      </c>
      <c r="E25" s="1" t="s">
        <v>210</v>
      </c>
      <c r="F25" s="1" t="s">
        <v>93</v>
      </c>
      <c r="G25" s="1"/>
      <c r="H25" s="1" t="s">
        <v>146</v>
      </c>
      <c r="I25" s="1"/>
      <c r="J25" s="1" t="s">
        <v>148</v>
      </c>
      <c r="K25" s="1"/>
      <c r="L25" s="1"/>
      <c r="M25" s="1"/>
    </row>
    <row r="26" spans="1:13" x14ac:dyDescent="0.3">
      <c r="A26" s="1" t="s">
        <v>193</v>
      </c>
      <c r="B26" s="1" t="s">
        <v>115</v>
      </c>
      <c r="C26" s="1" t="str">
        <f t="shared" si="4"/>
        <v>expense-Services to Members</v>
      </c>
      <c r="D26" s="1" t="s">
        <v>87</v>
      </c>
      <c r="E26" s="1" t="s">
        <v>197</v>
      </c>
      <c r="F26" s="1" t="s">
        <v>93</v>
      </c>
      <c r="G26" s="1"/>
      <c r="H26" s="1" t="s">
        <v>146</v>
      </c>
      <c r="I26" s="1"/>
      <c r="J26" s="1" t="s">
        <v>148</v>
      </c>
      <c r="K26" s="1"/>
      <c r="L26" s="1"/>
      <c r="M26" s="1"/>
    </row>
    <row r="27" spans="1:13" x14ac:dyDescent="0.3">
      <c r="A27" s="1" t="s">
        <v>193</v>
      </c>
      <c r="B27" s="1" t="s">
        <v>115</v>
      </c>
      <c r="C27" s="1" t="str">
        <f t="shared" si="4"/>
        <v>expense-Other</v>
      </c>
      <c r="D27" s="1" t="s">
        <v>90</v>
      </c>
      <c r="E27" s="1" t="s">
        <v>201</v>
      </c>
      <c r="F27" s="1" t="s">
        <v>93</v>
      </c>
      <c r="G27" s="1"/>
      <c r="H27" s="1" t="s">
        <v>146</v>
      </c>
      <c r="I27" s="1"/>
      <c r="J27" s="1" t="s">
        <v>148</v>
      </c>
      <c r="K27" s="1"/>
      <c r="L27" s="1"/>
      <c r="M27" s="1"/>
    </row>
    <row r="28" spans="1:13" x14ac:dyDescent="0.3">
      <c r="A28" s="1" t="s">
        <v>193</v>
      </c>
      <c r="B28" s="1" t="s">
        <v>115</v>
      </c>
      <c r="C28" s="1" t="str">
        <f t="shared" si="4"/>
        <v>expense-G&amp;A</v>
      </c>
      <c r="D28" s="1" t="s">
        <v>145</v>
      </c>
      <c r="E28" s="1" t="s">
        <v>211</v>
      </c>
      <c r="F28" s="1" t="s">
        <v>93</v>
      </c>
      <c r="G28" s="1"/>
      <c r="H28" s="1" t="s">
        <v>146</v>
      </c>
      <c r="I28" s="1"/>
      <c r="J28" s="1" t="s">
        <v>148</v>
      </c>
      <c r="K28" s="1"/>
      <c r="L28" s="1"/>
      <c r="M28" s="1"/>
    </row>
    <row r="29" spans="1:13" x14ac:dyDescent="0.3">
      <c r="A29" s="1" t="s">
        <v>193</v>
      </c>
      <c r="B29" s="1" t="s">
        <v>115</v>
      </c>
      <c r="C29" s="1" t="str">
        <f t="shared" si="4"/>
        <v>expense-Gastos Corporativos</v>
      </c>
      <c r="D29" s="1" t="s">
        <v>140</v>
      </c>
      <c r="E29" s="1" t="s">
        <v>212</v>
      </c>
      <c r="F29" s="1" t="s">
        <v>93</v>
      </c>
      <c r="G29" s="1"/>
      <c r="H29" s="1" t="s">
        <v>146</v>
      </c>
      <c r="I29" s="1"/>
      <c r="J29" s="1" t="s">
        <v>148</v>
      </c>
      <c r="K29" s="1"/>
      <c r="L29" s="1"/>
      <c r="M29" s="1"/>
    </row>
    <row r="30" spans="1:13" x14ac:dyDescent="0.3">
      <c r="A30" s="1" t="s">
        <v>193</v>
      </c>
      <c r="B30" s="1" t="s">
        <v>115</v>
      </c>
      <c r="C30" s="1" t="str">
        <f t="shared" si="4"/>
        <v>expense-CARGOS ADMINISTRATIVOS</v>
      </c>
      <c r="D30" s="1" t="s">
        <v>141</v>
      </c>
      <c r="E30" s="1" t="s">
        <v>213</v>
      </c>
      <c r="F30" s="1" t="s">
        <v>93</v>
      </c>
      <c r="G30" s="1"/>
      <c r="H30" s="1" t="s">
        <v>146</v>
      </c>
      <c r="I30" s="1"/>
      <c r="J30" s="1" t="s">
        <v>148</v>
      </c>
      <c r="K30" s="1"/>
      <c r="L30" s="1"/>
      <c r="M30" s="1"/>
    </row>
    <row r="31" spans="1:13" x14ac:dyDescent="0.3">
      <c r="A31" s="1" t="s">
        <v>193</v>
      </c>
      <c r="B31" s="1" t="s">
        <v>115</v>
      </c>
      <c r="C31" s="1" t="s">
        <v>147</v>
      </c>
      <c r="D31" s="1" t="s">
        <v>90</v>
      </c>
      <c r="E31" s="1" t="s">
        <v>201</v>
      </c>
      <c r="F31" s="1" t="s">
        <v>90</v>
      </c>
      <c r="G31" s="1"/>
      <c r="H31" s="1"/>
      <c r="I31" s="1"/>
      <c r="J31" s="1" t="s">
        <v>148</v>
      </c>
      <c r="K31" s="1"/>
      <c r="L31" s="1"/>
      <c r="M31" s="1"/>
    </row>
    <row r="32" spans="1:13" x14ac:dyDescent="0.3">
      <c r="A32" s="1" t="s">
        <v>193</v>
      </c>
      <c r="B32" s="1" t="s">
        <v>116</v>
      </c>
      <c r="C32" s="1" t="str">
        <f>"income-" &amp; D32</f>
        <v>income-Membership</v>
      </c>
      <c r="D32" s="1" t="s">
        <v>84</v>
      </c>
      <c r="E32" s="1" t="s">
        <v>214</v>
      </c>
      <c r="F32" s="1" t="s">
        <v>49</v>
      </c>
      <c r="G32" s="1"/>
      <c r="H32" s="1" t="s">
        <v>146</v>
      </c>
      <c r="I32" s="1"/>
      <c r="J32" s="1" t="s">
        <v>148</v>
      </c>
      <c r="K32" s="1"/>
      <c r="L32" s="1"/>
      <c r="M32" s="1"/>
    </row>
    <row r="33" spans="1:13" x14ac:dyDescent="0.3">
      <c r="A33" s="1" t="s">
        <v>193</v>
      </c>
      <c r="B33" s="1" t="s">
        <v>116</v>
      </c>
      <c r="C33" s="1" t="str">
        <f t="shared" ref="C33:C34" si="5">"income-" &amp; D33</f>
        <v>income-Events and Committees</v>
      </c>
      <c r="D33" s="1" t="s">
        <v>144</v>
      </c>
      <c r="E33" s="1" t="s">
        <v>215</v>
      </c>
      <c r="F33" s="1" t="s">
        <v>49</v>
      </c>
      <c r="G33" s="1"/>
      <c r="H33" s="1" t="s">
        <v>146</v>
      </c>
      <c r="I33" s="1"/>
      <c r="J33" s="1" t="s">
        <v>148</v>
      </c>
      <c r="K33" s="1"/>
      <c r="L33" s="1"/>
      <c r="M33" s="1"/>
    </row>
    <row r="34" spans="1:13" x14ac:dyDescent="0.3">
      <c r="A34" s="1" t="s">
        <v>193</v>
      </c>
      <c r="B34" s="1" t="s">
        <v>116</v>
      </c>
      <c r="C34" s="1" t="str">
        <f t="shared" si="5"/>
        <v>income-Services to Members</v>
      </c>
      <c r="D34" s="1" t="s">
        <v>87</v>
      </c>
      <c r="E34" s="1" t="s">
        <v>216</v>
      </c>
      <c r="F34" s="1" t="s">
        <v>49</v>
      </c>
      <c r="G34" s="1"/>
      <c r="H34" s="1" t="s">
        <v>146</v>
      </c>
      <c r="I34" s="1"/>
      <c r="J34" s="1" t="s">
        <v>148</v>
      </c>
      <c r="K34" s="1"/>
      <c r="L34" s="1"/>
      <c r="M34" s="1"/>
    </row>
    <row r="35" spans="1:13" x14ac:dyDescent="0.3">
      <c r="A35" s="1" t="s">
        <v>193</v>
      </c>
      <c r="B35" s="1" t="s">
        <v>116</v>
      </c>
      <c r="C35" s="1" t="str">
        <f>"expense-" &amp; D35</f>
        <v>expense-Membership</v>
      </c>
      <c r="D35" s="1" t="s">
        <v>84</v>
      </c>
      <c r="E35" s="1" t="s">
        <v>217</v>
      </c>
      <c r="F35" s="1" t="s">
        <v>94</v>
      </c>
      <c r="G35" s="1"/>
      <c r="H35" s="1" t="s">
        <v>146</v>
      </c>
      <c r="I35" s="1"/>
      <c r="J35" s="1" t="s">
        <v>148</v>
      </c>
      <c r="K35" s="1"/>
      <c r="L35" s="1"/>
      <c r="M35" s="1"/>
    </row>
    <row r="36" spans="1:13" x14ac:dyDescent="0.3">
      <c r="A36" s="1" t="s">
        <v>193</v>
      </c>
      <c r="B36" s="1" t="s">
        <v>116</v>
      </c>
      <c r="C36" s="1" t="str">
        <f t="shared" ref="C36:C41" si="6">"expense-" &amp; D36</f>
        <v>expense-Events and Committees</v>
      </c>
      <c r="D36" s="1" t="s">
        <v>144</v>
      </c>
      <c r="E36" s="1" t="s">
        <v>218</v>
      </c>
      <c r="F36" s="1" t="s">
        <v>94</v>
      </c>
      <c r="G36" s="1"/>
      <c r="H36" s="1" t="s">
        <v>146</v>
      </c>
      <c r="I36" s="1"/>
      <c r="J36" s="1" t="s">
        <v>148</v>
      </c>
      <c r="K36" s="1"/>
      <c r="L36" s="1"/>
      <c r="M36" s="1"/>
    </row>
    <row r="37" spans="1:13" x14ac:dyDescent="0.3">
      <c r="A37" s="1" t="s">
        <v>193</v>
      </c>
      <c r="B37" s="1" t="s">
        <v>116</v>
      </c>
      <c r="C37" s="1" t="str">
        <f t="shared" si="6"/>
        <v>expense-Services to Members</v>
      </c>
      <c r="D37" s="1" t="s">
        <v>87</v>
      </c>
      <c r="E37" s="1" t="s">
        <v>219</v>
      </c>
      <c r="F37" s="1" t="s">
        <v>94</v>
      </c>
      <c r="G37" s="1"/>
      <c r="H37" s="1" t="s">
        <v>146</v>
      </c>
      <c r="I37" s="1"/>
      <c r="J37" s="1" t="s">
        <v>148</v>
      </c>
      <c r="K37" s="1"/>
      <c r="L37" s="1"/>
      <c r="M37" s="1"/>
    </row>
    <row r="38" spans="1:13" x14ac:dyDescent="0.3">
      <c r="A38" s="1" t="s">
        <v>193</v>
      </c>
      <c r="B38" s="1" t="s">
        <v>116</v>
      </c>
      <c r="C38" s="1" t="str">
        <f t="shared" si="6"/>
        <v>expense-Other expenses</v>
      </c>
      <c r="D38" s="1" t="s">
        <v>181</v>
      </c>
      <c r="E38" s="1" t="s">
        <v>220</v>
      </c>
      <c r="F38" s="1" t="s">
        <v>94</v>
      </c>
      <c r="G38" s="1"/>
      <c r="H38" s="1" t="s">
        <v>146</v>
      </c>
      <c r="I38" s="1"/>
      <c r="J38" s="1" t="s">
        <v>148</v>
      </c>
      <c r="K38" s="1"/>
      <c r="L38" s="1"/>
      <c r="M38" s="1"/>
    </row>
    <row r="39" spans="1:13" x14ac:dyDescent="0.3">
      <c r="A39" s="1" t="s">
        <v>193</v>
      </c>
      <c r="B39" s="1" t="s">
        <v>116</v>
      </c>
      <c r="C39" s="1" t="str">
        <f t="shared" si="6"/>
        <v>expense-G&amp;A</v>
      </c>
      <c r="D39" s="1" t="s">
        <v>145</v>
      </c>
      <c r="E39" s="1" t="s">
        <v>221</v>
      </c>
      <c r="F39" s="1" t="s">
        <v>94</v>
      </c>
      <c r="G39" s="1"/>
      <c r="H39" s="1" t="s">
        <v>146</v>
      </c>
      <c r="I39" s="1"/>
      <c r="J39" s="1" t="s">
        <v>148</v>
      </c>
      <c r="K39" s="1"/>
      <c r="L39" s="1"/>
      <c r="M39" s="1"/>
    </row>
    <row r="40" spans="1:13" x14ac:dyDescent="0.3">
      <c r="A40" s="1" t="s">
        <v>193</v>
      </c>
      <c r="B40" s="1" t="s">
        <v>116</v>
      </c>
      <c r="C40" s="1" t="str">
        <f t="shared" si="6"/>
        <v>expense-Gastos Corporativos</v>
      </c>
      <c r="D40" s="1" t="s">
        <v>140</v>
      </c>
      <c r="E40" s="1" t="s">
        <v>222</v>
      </c>
      <c r="F40" s="1" t="s">
        <v>94</v>
      </c>
      <c r="G40" s="1"/>
      <c r="H40" s="1" t="s">
        <v>146</v>
      </c>
      <c r="I40" s="1"/>
      <c r="J40" s="1" t="s">
        <v>148</v>
      </c>
      <c r="K40" s="1"/>
      <c r="L40" s="1"/>
      <c r="M40" s="1"/>
    </row>
    <row r="41" spans="1:13" x14ac:dyDescent="0.3">
      <c r="A41" s="1" t="s">
        <v>193</v>
      </c>
      <c r="B41" s="1" t="s">
        <v>116</v>
      </c>
      <c r="C41" s="1" t="str">
        <f t="shared" si="6"/>
        <v>expense-CARGOS ADMINISTRATIVOS</v>
      </c>
      <c r="D41" s="1" t="s">
        <v>141</v>
      </c>
      <c r="E41" s="1" t="s">
        <v>223</v>
      </c>
      <c r="F41" s="1" t="s">
        <v>94</v>
      </c>
      <c r="G41" s="1"/>
      <c r="H41" s="1" t="s">
        <v>146</v>
      </c>
      <c r="I41" s="1"/>
      <c r="J41" s="1" t="s">
        <v>148</v>
      </c>
      <c r="K41" s="1"/>
      <c r="L41" s="1"/>
      <c r="M41" s="1"/>
    </row>
    <row r="42" spans="1:13" x14ac:dyDescent="0.3">
      <c r="A42" s="1" t="s">
        <v>193</v>
      </c>
      <c r="B42" s="1" t="s">
        <v>116</v>
      </c>
      <c r="C42" s="1" t="str">
        <f>"other-" &amp; D42</f>
        <v>other-Other</v>
      </c>
      <c r="D42" s="1" t="s">
        <v>90</v>
      </c>
      <c r="E42" s="1" t="s">
        <v>224</v>
      </c>
      <c r="F42" s="1" t="s">
        <v>90</v>
      </c>
      <c r="G42" s="1"/>
      <c r="H42" s="1"/>
      <c r="I42" s="1"/>
      <c r="J42" s="1" t="s">
        <v>148</v>
      </c>
      <c r="K42" s="1"/>
      <c r="L42" s="1"/>
      <c r="M42" s="1"/>
    </row>
    <row r="43" spans="1:13" x14ac:dyDescent="0.3">
      <c r="A43" s="1" t="s">
        <v>335</v>
      </c>
      <c r="B43" s="1" t="s">
        <v>112</v>
      </c>
      <c r="C43" s="1" t="s">
        <v>336</v>
      </c>
      <c r="D43" s="1" t="s">
        <v>84</v>
      </c>
      <c r="E43" s="1" t="s">
        <v>194</v>
      </c>
      <c r="F43" s="17" t="s">
        <v>292</v>
      </c>
      <c r="G43" s="16" t="s">
        <v>101</v>
      </c>
      <c r="H43" s="17" t="s">
        <v>113</v>
      </c>
      <c r="I43" s="17"/>
      <c r="J43" s="17" t="s">
        <v>106</v>
      </c>
      <c r="K43" s="17" t="s">
        <v>114</v>
      </c>
      <c r="L43" s="1"/>
      <c r="M43" s="17" t="s">
        <v>373</v>
      </c>
    </row>
    <row r="44" spans="1:13" x14ac:dyDescent="0.3">
      <c r="A44" s="1" t="s">
        <v>335</v>
      </c>
      <c r="B44" s="1" t="s">
        <v>112</v>
      </c>
      <c r="C44" s="1" t="s">
        <v>337</v>
      </c>
      <c r="D44" s="1" t="s">
        <v>338</v>
      </c>
      <c r="E44" s="1" t="s">
        <v>362</v>
      </c>
      <c r="F44" s="17" t="s">
        <v>292</v>
      </c>
      <c r="G44" s="16" t="s">
        <v>101</v>
      </c>
      <c r="H44" s="17" t="s">
        <v>113</v>
      </c>
      <c r="I44" s="17"/>
      <c r="J44" s="17" t="s">
        <v>106</v>
      </c>
      <c r="K44" s="17" t="s">
        <v>114</v>
      </c>
      <c r="L44" s="1"/>
      <c r="M44" s="17" t="s">
        <v>373</v>
      </c>
    </row>
    <row r="45" spans="1:13" x14ac:dyDescent="0.3">
      <c r="A45" s="1" t="s">
        <v>335</v>
      </c>
      <c r="B45" s="1" t="s">
        <v>112</v>
      </c>
      <c r="C45" s="1" t="s">
        <v>339</v>
      </c>
      <c r="D45" s="1" t="s">
        <v>44</v>
      </c>
      <c r="E45" s="1" t="s">
        <v>196</v>
      </c>
      <c r="F45" s="17" t="s">
        <v>292</v>
      </c>
      <c r="G45" s="16" t="s">
        <v>101</v>
      </c>
      <c r="H45" s="17" t="s">
        <v>113</v>
      </c>
      <c r="I45" s="17"/>
      <c r="J45" s="17" t="s">
        <v>106</v>
      </c>
      <c r="K45" s="17" t="s">
        <v>114</v>
      </c>
      <c r="L45" s="1"/>
      <c r="M45" s="17" t="s">
        <v>373</v>
      </c>
    </row>
    <row r="46" spans="1:13" x14ac:dyDescent="0.3">
      <c r="A46" s="1" t="s">
        <v>335</v>
      </c>
      <c r="B46" s="1" t="s">
        <v>112</v>
      </c>
      <c r="C46" s="1" t="s">
        <v>340</v>
      </c>
      <c r="D46" s="1" t="s">
        <v>290</v>
      </c>
      <c r="E46" s="1" t="s">
        <v>363</v>
      </c>
      <c r="F46" s="17" t="s">
        <v>292</v>
      </c>
      <c r="G46" s="16" t="s">
        <v>101</v>
      </c>
      <c r="H46" s="17" t="s">
        <v>113</v>
      </c>
      <c r="I46" s="17"/>
      <c r="J46" s="17" t="s">
        <v>106</v>
      </c>
      <c r="K46" s="17" t="s">
        <v>114</v>
      </c>
      <c r="L46" s="1"/>
      <c r="M46" s="17" t="s">
        <v>373</v>
      </c>
    </row>
    <row r="47" spans="1:13" x14ac:dyDescent="0.3">
      <c r="A47" s="1" t="s">
        <v>335</v>
      </c>
      <c r="B47" s="1" t="s">
        <v>112</v>
      </c>
      <c r="C47" s="1" t="s">
        <v>341</v>
      </c>
      <c r="D47" s="1" t="s">
        <v>87</v>
      </c>
      <c r="E47" s="1" t="s">
        <v>197</v>
      </c>
      <c r="F47" s="17" t="s">
        <v>292</v>
      </c>
      <c r="G47" s="16" t="s">
        <v>101</v>
      </c>
      <c r="H47" s="17" t="s">
        <v>113</v>
      </c>
      <c r="I47" s="17"/>
      <c r="J47" s="17" t="s">
        <v>106</v>
      </c>
      <c r="K47" s="17" t="s">
        <v>114</v>
      </c>
      <c r="L47" s="1"/>
      <c r="M47" s="17" t="s">
        <v>373</v>
      </c>
    </row>
    <row r="48" spans="1:13" x14ac:dyDescent="0.3">
      <c r="A48" s="1" t="s">
        <v>335</v>
      </c>
      <c r="B48" s="1" t="s">
        <v>112</v>
      </c>
      <c r="C48" s="1" t="s">
        <v>342</v>
      </c>
      <c r="D48" s="1" t="s">
        <v>48</v>
      </c>
      <c r="E48" s="1" t="s">
        <v>198</v>
      </c>
      <c r="F48" s="17"/>
      <c r="G48" s="16" t="s">
        <v>101</v>
      </c>
      <c r="H48" s="17" t="s">
        <v>113</v>
      </c>
      <c r="I48" s="16" t="s">
        <v>104</v>
      </c>
      <c r="J48" s="17" t="s">
        <v>106</v>
      </c>
      <c r="K48" s="17" t="s">
        <v>114</v>
      </c>
      <c r="L48" s="1" t="s">
        <v>108</v>
      </c>
      <c r="M48" s="17" t="s">
        <v>373</v>
      </c>
    </row>
    <row r="49" spans="1:13" x14ac:dyDescent="0.3">
      <c r="A49" s="1" t="s">
        <v>335</v>
      </c>
      <c r="B49" s="1" t="s">
        <v>112</v>
      </c>
      <c r="C49" s="1" t="s">
        <v>343</v>
      </c>
      <c r="D49" s="1" t="s">
        <v>49</v>
      </c>
      <c r="E49" s="1" t="s">
        <v>199</v>
      </c>
      <c r="F49" s="17"/>
      <c r="G49" s="16" t="s">
        <v>101</v>
      </c>
      <c r="H49" s="17" t="s">
        <v>113</v>
      </c>
      <c r="I49" s="16" t="s">
        <v>105</v>
      </c>
      <c r="J49" s="17" t="s">
        <v>106</v>
      </c>
      <c r="K49" s="17" t="s">
        <v>114</v>
      </c>
      <c r="L49" s="1" t="s">
        <v>109</v>
      </c>
      <c r="M49" s="17" t="s">
        <v>373</v>
      </c>
    </row>
    <row r="50" spans="1:13" x14ac:dyDescent="0.3">
      <c r="A50" s="1" t="s">
        <v>335</v>
      </c>
      <c r="B50" s="1" t="s">
        <v>112</v>
      </c>
      <c r="C50" s="1" t="s">
        <v>344</v>
      </c>
      <c r="D50" s="1" t="s">
        <v>241</v>
      </c>
      <c r="E50" s="1" t="s">
        <v>364</v>
      </c>
      <c r="F50" s="17"/>
      <c r="G50" s="16" t="s">
        <v>101</v>
      </c>
      <c r="H50" s="17" t="s">
        <v>113</v>
      </c>
      <c r="I50" s="16" t="s">
        <v>111</v>
      </c>
      <c r="J50" s="17" t="s">
        <v>106</v>
      </c>
      <c r="K50" s="17" t="s">
        <v>114</v>
      </c>
      <c r="L50" s="1" t="s">
        <v>110</v>
      </c>
      <c r="M50" s="17" t="s">
        <v>373</v>
      </c>
    </row>
    <row r="51" spans="1:13" x14ac:dyDescent="0.3">
      <c r="A51" s="1" t="s">
        <v>335</v>
      </c>
      <c r="B51" s="1" t="s">
        <v>112</v>
      </c>
      <c r="C51" s="1" t="s">
        <v>345</v>
      </c>
      <c r="D51" s="1" t="s">
        <v>84</v>
      </c>
      <c r="E51" s="1" t="s">
        <v>194</v>
      </c>
      <c r="F51" s="17" t="s">
        <v>293</v>
      </c>
      <c r="G51" s="17" t="s">
        <v>371</v>
      </c>
      <c r="H51" s="17" t="s">
        <v>113</v>
      </c>
      <c r="I51" s="17"/>
      <c r="J51" s="17" t="s">
        <v>106</v>
      </c>
      <c r="K51" s="17" t="s">
        <v>114</v>
      </c>
      <c r="L51" s="1"/>
      <c r="M51" s="17" t="s">
        <v>373</v>
      </c>
    </row>
    <row r="52" spans="1:13" x14ac:dyDescent="0.3">
      <c r="A52" s="1" t="s">
        <v>335</v>
      </c>
      <c r="B52" s="1" t="s">
        <v>112</v>
      </c>
      <c r="C52" s="1" t="s">
        <v>346</v>
      </c>
      <c r="D52" s="1" t="s">
        <v>338</v>
      </c>
      <c r="E52" s="1" t="s">
        <v>362</v>
      </c>
      <c r="F52" s="17" t="s">
        <v>293</v>
      </c>
      <c r="G52" s="17" t="s">
        <v>371</v>
      </c>
      <c r="H52" s="17" t="s">
        <v>113</v>
      </c>
      <c r="I52" s="17"/>
      <c r="J52" s="17" t="s">
        <v>106</v>
      </c>
      <c r="K52" s="17" t="s">
        <v>114</v>
      </c>
      <c r="L52" s="1"/>
      <c r="M52" s="17" t="s">
        <v>373</v>
      </c>
    </row>
    <row r="53" spans="1:13" x14ac:dyDescent="0.3">
      <c r="A53" s="1" t="s">
        <v>335</v>
      </c>
      <c r="B53" s="1" t="s">
        <v>112</v>
      </c>
      <c r="C53" s="1" t="s">
        <v>347</v>
      </c>
      <c r="D53" s="1" t="s">
        <v>44</v>
      </c>
      <c r="E53" s="1" t="s">
        <v>196</v>
      </c>
      <c r="F53" s="17" t="s">
        <v>293</v>
      </c>
      <c r="G53" s="17" t="s">
        <v>371</v>
      </c>
      <c r="H53" s="17" t="s">
        <v>113</v>
      </c>
      <c r="I53" s="17"/>
      <c r="J53" s="17" t="s">
        <v>106</v>
      </c>
      <c r="K53" s="17" t="s">
        <v>114</v>
      </c>
      <c r="L53" s="1"/>
      <c r="M53" s="17" t="s">
        <v>373</v>
      </c>
    </row>
    <row r="54" spans="1:13" x14ac:dyDescent="0.3">
      <c r="A54" s="1" t="s">
        <v>335</v>
      </c>
      <c r="B54" s="1" t="s">
        <v>112</v>
      </c>
      <c r="C54" s="1" t="s">
        <v>348</v>
      </c>
      <c r="D54" s="1" t="s">
        <v>290</v>
      </c>
      <c r="E54" s="1" t="s">
        <v>363</v>
      </c>
      <c r="F54" s="17" t="s">
        <v>293</v>
      </c>
      <c r="G54" s="17" t="s">
        <v>371</v>
      </c>
      <c r="H54" s="17" t="s">
        <v>113</v>
      </c>
      <c r="I54" s="17"/>
      <c r="J54" s="17" t="s">
        <v>106</v>
      </c>
      <c r="K54" s="17" t="s">
        <v>114</v>
      </c>
      <c r="L54" s="1"/>
      <c r="M54" s="17" t="s">
        <v>373</v>
      </c>
    </row>
    <row r="55" spans="1:13" x14ac:dyDescent="0.3">
      <c r="A55" s="1" t="s">
        <v>335</v>
      </c>
      <c r="B55" s="1" t="s">
        <v>112</v>
      </c>
      <c r="C55" s="1" t="s">
        <v>349</v>
      </c>
      <c r="D55" s="1" t="s">
        <v>87</v>
      </c>
      <c r="E55" s="1" t="s">
        <v>197</v>
      </c>
      <c r="F55" s="17" t="s">
        <v>293</v>
      </c>
      <c r="G55" s="17" t="s">
        <v>371</v>
      </c>
      <c r="H55" s="17" t="s">
        <v>113</v>
      </c>
      <c r="I55" s="17"/>
      <c r="J55" s="17" t="s">
        <v>106</v>
      </c>
      <c r="K55" s="17" t="s">
        <v>114</v>
      </c>
      <c r="L55" s="1"/>
      <c r="M55" s="17" t="s">
        <v>373</v>
      </c>
    </row>
    <row r="56" spans="1:13" x14ac:dyDescent="0.3">
      <c r="A56" s="1" t="s">
        <v>335</v>
      </c>
      <c r="B56" s="1" t="s">
        <v>112</v>
      </c>
      <c r="C56" s="1" t="s">
        <v>350</v>
      </c>
      <c r="D56" s="1" t="s">
        <v>291</v>
      </c>
      <c r="E56" s="1" t="s">
        <v>365</v>
      </c>
      <c r="F56" s="17" t="s">
        <v>293</v>
      </c>
      <c r="G56" s="17" t="s">
        <v>371</v>
      </c>
      <c r="H56" s="17" t="s">
        <v>113</v>
      </c>
      <c r="I56" s="17"/>
      <c r="J56" s="17" t="s">
        <v>106</v>
      </c>
      <c r="K56" s="17" t="s">
        <v>114</v>
      </c>
      <c r="L56" s="1"/>
      <c r="M56" s="17" t="s">
        <v>373</v>
      </c>
    </row>
    <row r="57" spans="1:13" x14ac:dyDescent="0.3">
      <c r="A57" s="1" t="s">
        <v>335</v>
      </c>
      <c r="B57" s="1" t="s">
        <v>112</v>
      </c>
      <c r="C57" s="1" t="s">
        <v>351</v>
      </c>
      <c r="D57" s="1" t="s">
        <v>67</v>
      </c>
      <c r="E57" s="1" t="s">
        <v>366</v>
      </c>
      <c r="F57" s="17" t="s">
        <v>293</v>
      </c>
      <c r="G57" s="17" t="s">
        <v>371</v>
      </c>
      <c r="H57" s="17" t="s">
        <v>113</v>
      </c>
      <c r="I57" s="17"/>
      <c r="J57" s="17" t="s">
        <v>106</v>
      </c>
      <c r="K57" s="17" t="s">
        <v>114</v>
      </c>
      <c r="L57" s="1"/>
      <c r="M57" s="17" t="s">
        <v>373</v>
      </c>
    </row>
    <row r="58" spans="1:13" x14ac:dyDescent="0.3">
      <c r="A58" s="1" t="s">
        <v>335</v>
      </c>
      <c r="B58" s="1" t="s">
        <v>112</v>
      </c>
      <c r="C58" s="1" t="s">
        <v>352</v>
      </c>
      <c r="D58" s="1" t="s">
        <v>176</v>
      </c>
      <c r="E58" s="1" t="s">
        <v>367</v>
      </c>
      <c r="F58" s="17" t="s">
        <v>293</v>
      </c>
      <c r="G58" s="17" t="s">
        <v>371</v>
      </c>
      <c r="H58" s="17" t="s">
        <v>113</v>
      </c>
      <c r="I58" s="17"/>
      <c r="J58" s="17" t="s">
        <v>106</v>
      </c>
      <c r="K58" s="17" t="s">
        <v>114</v>
      </c>
      <c r="L58" s="1"/>
      <c r="M58" s="17" t="s">
        <v>373</v>
      </c>
    </row>
    <row r="59" spans="1:13" x14ac:dyDescent="0.3">
      <c r="A59" s="1" t="s">
        <v>335</v>
      </c>
      <c r="B59" s="1" t="s">
        <v>112</v>
      </c>
      <c r="C59" s="1" t="s">
        <v>353</v>
      </c>
      <c r="D59" s="1" t="s">
        <v>140</v>
      </c>
      <c r="E59" s="1" t="s">
        <v>212</v>
      </c>
      <c r="F59" s="17" t="s">
        <v>293</v>
      </c>
      <c r="G59" s="17" t="s">
        <v>371</v>
      </c>
      <c r="H59" s="17" t="s">
        <v>113</v>
      </c>
      <c r="I59" s="17"/>
      <c r="J59" s="17" t="s">
        <v>106</v>
      </c>
      <c r="K59" s="17" t="s">
        <v>114</v>
      </c>
      <c r="L59" s="1"/>
      <c r="M59" s="17" t="s">
        <v>373</v>
      </c>
    </row>
    <row r="60" spans="1:13" x14ac:dyDescent="0.3">
      <c r="A60" s="1" t="s">
        <v>335</v>
      </c>
      <c r="B60" s="1" t="s">
        <v>112</v>
      </c>
      <c r="C60" s="1" t="s">
        <v>354</v>
      </c>
      <c r="D60" s="1" t="s">
        <v>93</v>
      </c>
      <c r="E60" s="1" t="s">
        <v>203</v>
      </c>
      <c r="F60" s="17"/>
      <c r="G60" s="17" t="s">
        <v>371</v>
      </c>
      <c r="H60" s="1"/>
      <c r="I60" s="16" t="s">
        <v>104</v>
      </c>
      <c r="J60" s="17" t="s">
        <v>106</v>
      </c>
      <c r="K60" s="17" t="s">
        <v>114</v>
      </c>
      <c r="L60" s="1" t="s">
        <v>108</v>
      </c>
      <c r="M60" s="17" t="s">
        <v>373</v>
      </c>
    </row>
    <row r="61" spans="1:13" x14ac:dyDescent="0.3">
      <c r="A61" s="1" t="s">
        <v>335</v>
      </c>
      <c r="B61" s="1" t="s">
        <v>112</v>
      </c>
      <c r="C61" s="1" t="s">
        <v>355</v>
      </c>
      <c r="D61" s="1" t="s">
        <v>94</v>
      </c>
      <c r="E61" s="1" t="s">
        <v>204</v>
      </c>
      <c r="F61" s="17"/>
      <c r="G61" s="17" t="s">
        <v>371</v>
      </c>
      <c r="H61" s="1"/>
      <c r="I61" s="16" t="s">
        <v>105</v>
      </c>
      <c r="J61" s="17" t="s">
        <v>106</v>
      </c>
      <c r="K61" s="17" t="s">
        <v>114</v>
      </c>
      <c r="L61" s="1" t="s">
        <v>109</v>
      </c>
      <c r="M61" s="17" t="s">
        <v>373</v>
      </c>
    </row>
    <row r="62" spans="1:13" x14ac:dyDescent="0.3">
      <c r="A62" s="1" t="s">
        <v>335</v>
      </c>
      <c r="B62" s="1" t="s">
        <v>112</v>
      </c>
      <c r="C62" s="1" t="s">
        <v>356</v>
      </c>
      <c r="D62" s="1" t="s">
        <v>283</v>
      </c>
      <c r="E62" s="1" t="s">
        <v>368</v>
      </c>
      <c r="F62" s="17"/>
      <c r="G62" s="17" t="s">
        <v>371</v>
      </c>
      <c r="H62" s="1"/>
      <c r="I62" s="16" t="s">
        <v>111</v>
      </c>
      <c r="J62" s="17" t="s">
        <v>106</v>
      </c>
      <c r="K62" s="17" t="s">
        <v>114</v>
      </c>
      <c r="L62" s="1" t="s">
        <v>110</v>
      </c>
      <c r="M62" s="17" t="s">
        <v>373</v>
      </c>
    </row>
    <row r="63" spans="1:13" x14ac:dyDescent="0.3">
      <c r="A63" s="1" t="s">
        <v>335</v>
      </c>
      <c r="B63" s="1" t="s">
        <v>112</v>
      </c>
      <c r="C63" s="1" t="s">
        <v>357</v>
      </c>
      <c r="D63" s="1" t="s">
        <v>285</v>
      </c>
      <c r="E63" s="1" t="s">
        <v>369</v>
      </c>
      <c r="F63" s="17"/>
      <c r="G63" s="1"/>
      <c r="H63" s="1"/>
      <c r="I63" s="1"/>
      <c r="J63" s="1"/>
      <c r="K63" s="17" t="s">
        <v>114</v>
      </c>
      <c r="L63" s="1"/>
      <c r="M63" s="17" t="s">
        <v>373</v>
      </c>
    </row>
    <row r="64" spans="1:13" x14ac:dyDescent="0.3">
      <c r="A64" s="1" t="s">
        <v>335</v>
      </c>
      <c r="B64" s="1" t="s">
        <v>112</v>
      </c>
      <c r="C64" s="1" t="s">
        <v>147</v>
      </c>
      <c r="D64" s="1" t="s">
        <v>90</v>
      </c>
      <c r="E64" s="1" t="s">
        <v>201</v>
      </c>
      <c r="F64" s="17"/>
      <c r="G64" s="1"/>
      <c r="H64" s="1"/>
      <c r="I64" s="1"/>
      <c r="J64" s="1"/>
      <c r="K64" s="17" t="s">
        <v>114</v>
      </c>
      <c r="L64" s="1"/>
      <c r="M64" s="17" t="s">
        <v>373</v>
      </c>
    </row>
    <row r="65" spans="1:13" x14ac:dyDescent="0.3">
      <c r="A65" s="1" t="s">
        <v>335</v>
      </c>
      <c r="B65" s="1" t="s">
        <v>112</v>
      </c>
      <c r="C65" s="1" t="s">
        <v>358</v>
      </c>
      <c r="D65" s="1" t="s">
        <v>97</v>
      </c>
      <c r="E65" s="1" t="s">
        <v>206</v>
      </c>
      <c r="F65" s="17"/>
      <c r="G65" s="1"/>
      <c r="H65" s="1"/>
      <c r="I65" s="1"/>
      <c r="J65" s="1"/>
      <c r="K65" s="1"/>
      <c r="L65" s="1" t="s">
        <v>108</v>
      </c>
      <c r="M65" s="17" t="s">
        <v>373</v>
      </c>
    </row>
    <row r="66" spans="1:13" x14ac:dyDescent="0.3">
      <c r="A66" s="1" t="s">
        <v>335</v>
      </c>
      <c r="B66" s="1" t="s">
        <v>112</v>
      </c>
      <c r="C66" s="1" t="s">
        <v>359</v>
      </c>
      <c r="D66" s="1" t="s">
        <v>98</v>
      </c>
      <c r="E66" s="1" t="s">
        <v>207</v>
      </c>
      <c r="F66" s="17"/>
      <c r="G66" s="1"/>
      <c r="H66" s="1"/>
      <c r="I66" s="1"/>
      <c r="J66" s="1"/>
      <c r="K66" s="1"/>
      <c r="L66" s="1" t="s">
        <v>109</v>
      </c>
      <c r="M66" s="17" t="s">
        <v>373</v>
      </c>
    </row>
    <row r="67" spans="1:13" x14ac:dyDescent="0.3">
      <c r="A67" s="1" t="s">
        <v>335</v>
      </c>
      <c r="B67" s="1" t="s">
        <v>112</v>
      </c>
      <c r="C67" s="1" t="s">
        <v>360</v>
      </c>
      <c r="D67" s="1" t="s">
        <v>361</v>
      </c>
      <c r="E67" s="1" t="s">
        <v>370</v>
      </c>
      <c r="F67" s="17"/>
      <c r="G67" s="1"/>
      <c r="H67" s="1"/>
      <c r="I67" s="1"/>
      <c r="J67" s="1"/>
      <c r="K67" s="1"/>
      <c r="L67" s="1" t="s">
        <v>110</v>
      </c>
      <c r="M67" s="17" t="s">
        <v>373</v>
      </c>
    </row>
    <row r="68" spans="1:13" x14ac:dyDescent="0.3">
      <c r="A68" s="1" t="s">
        <v>335</v>
      </c>
      <c r="B68" s="1" t="s">
        <v>115</v>
      </c>
      <c r="C68" s="1" t="s">
        <v>336</v>
      </c>
      <c r="D68" s="1" t="s">
        <v>84</v>
      </c>
      <c r="E68" s="1" t="s">
        <v>194</v>
      </c>
      <c r="F68" s="17" t="s">
        <v>292</v>
      </c>
      <c r="G68" s="1"/>
      <c r="H68" s="17" t="s">
        <v>146</v>
      </c>
      <c r="I68" s="1"/>
      <c r="J68" s="1"/>
      <c r="K68" s="17" t="s">
        <v>148</v>
      </c>
      <c r="L68" s="1"/>
      <c r="M68" s="1"/>
    </row>
    <row r="69" spans="1:13" x14ac:dyDescent="0.3">
      <c r="A69" s="1" t="s">
        <v>335</v>
      </c>
      <c r="B69" s="1" t="s">
        <v>115</v>
      </c>
      <c r="C69" s="1" t="s">
        <v>337</v>
      </c>
      <c r="D69" s="1" t="s">
        <v>338</v>
      </c>
      <c r="E69" s="1" t="s">
        <v>362</v>
      </c>
      <c r="F69" s="17" t="s">
        <v>292</v>
      </c>
      <c r="G69" s="1"/>
      <c r="H69" s="17" t="s">
        <v>146</v>
      </c>
      <c r="I69" s="1"/>
      <c r="J69" s="1"/>
      <c r="K69" s="17" t="s">
        <v>148</v>
      </c>
      <c r="L69" s="1"/>
      <c r="M69" s="1"/>
    </row>
    <row r="70" spans="1:13" x14ac:dyDescent="0.3">
      <c r="A70" s="1" t="s">
        <v>335</v>
      </c>
      <c r="B70" s="1" t="s">
        <v>115</v>
      </c>
      <c r="C70" s="1" t="s">
        <v>339</v>
      </c>
      <c r="D70" s="1" t="s">
        <v>44</v>
      </c>
      <c r="E70" s="1" t="s">
        <v>196</v>
      </c>
      <c r="F70" s="17" t="s">
        <v>292</v>
      </c>
      <c r="G70" s="1"/>
      <c r="H70" s="17" t="s">
        <v>146</v>
      </c>
      <c r="I70" s="1"/>
      <c r="J70" s="1"/>
      <c r="K70" s="17" t="s">
        <v>148</v>
      </c>
      <c r="L70" s="1"/>
      <c r="M70" s="1"/>
    </row>
    <row r="71" spans="1:13" x14ac:dyDescent="0.3">
      <c r="A71" s="1" t="s">
        <v>335</v>
      </c>
      <c r="B71" s="1" t="s">
        <v>115</v>
      </c>
      <c r="C71" s="1" t="s">
        <v>340</v>
      </c>
      <c r="D71" s="1" t="s">
        <v>290</v>
      </c>
      <c r="E71" s="1" t="s">
        <v>363</v>
      </c>
      <c r="F71" s="17" t="s">
        <v>292</v>
      </c>
      <c r="G71" s="1"/>
      <c r="H71" s="17" t="s">
        <v>146</v>
      </c>
      <c r="I71" s="1"/>
      <c r="J71" s="1"/>
      <c r="K71" s="17" t="s">
        <v>148</v>
      </c>
      <c r="L71" s="1"/>
      <c r="M71" s="1"/>
    </row>
    <row r="72" spans="1:13" x14ac:dyDescent="0.3">
      <c r="A72" s="1" t="s">
        <v>335</v>
      </c>
      <c r="B72" s="1" t="s">
        <v>115</v>
      </c>
      <c r="C72" s="1" t="s">
        <v>341</v>
      </c>
      <c r="D72" s="1" t="s">
        <v>87</v>
      </c>
      <c r="E72" s="1" t="s">
        <v>197</v>
      </c>
      <c r="F72" s="17" t="s">
        <v>292</v>
      </c>
      <c r="G72" s="1"/>
      <c r="H72" s="17" t="s">
        <v>146</v>
      </c>
      <c r="I72" s="1"/>
      <c r="J72" s="1"/>
      <c r="K72" s="17" t="s">
        <v>148</v>
      </c>
      <c r="L72" s="1"/>
      <c r="M72" s="1"/>
    </row>
    <row r="73" spans="1:13" x14ac:dyDescent="0.3">
      <c r="A73" s="1" t="s">
        <v>335</v>
      </c>
      <c r="B73" s="1" t="s">
        <v>115</v>
      </c>
      <c r="C73" s="1" t="s">
        <v>345</v>
      </c>
      <c r="D73" s="1" t="s">
        <v>84</v>
      </c>
      <c r="E73" s="1" t="s">
        <v>194</v>
      </c>
      <c r="F73" s="17" t="s">
        <v>293</v>
      </c>
      <c r="G73" s="1"/>
      <c r="H73" s="17" t="s">
        <v>146</v>
      </c>
      <c r="I73" s="1"/>
      <c r="J73" s="1"/>
      <c r="K73" s="17" t="s">
        <v>148</v>
      </c>
      <c r="L73" s="1"/>
      <c r="M73" s="1"/>
    </row>
    <row r="74" spans="1:13" x14ac:dyDescent="0.3">
      <c r="A74" s="1" t="s">
        <v>335</v>
      </c>
      <c r="B74" s="1" t="s">
        <v>115</v>
      </c>
      <c r="C74" s="1" t="s">
        <v>346</v>
      </c>
      <c r="D74" s="1" t="s">
        <v>338</v>
      </c>
      <c r="E74" s="1" t="s">
        <v>362</v>
      </c>
      <c r="F74" s="17" t="s">
        <v>293</v>
      </c>
      <c r="G74" s="1"/>
      <c r="H74" s="17" t="s">
        <v>146</v>
      </c>
      <c r="I74" s="1"/>
      <c r="J74" s="1"/>
      <c r="K74" s="17" t="s">
        <v>148</v>
      </c>
      <c r="L74" s="1"/>
      <c r="M74" s="1"/>
    </row>
    <row r="75" spans="1:13" x14ac:dyDescent="0.3">
      <c r="A75" s="1" t="s">
        <v>335</v>
      </c>
      <c r="B75" s="1" t="s">
        <v>115</v>
      </c>
      <c r="C75" s="1" t="s">
        <v>347</v>
      </c>
      <c r="D75" s="1" t="s">
        <v>44</v>
      </c>
      <c r="E75" s="1" t="s">
        <v>196</v>
      </c>
      <c r="F75" s="17" t="s">
        <v>293</v>
      </c>
      <c r="G75" s="1"/>
      <c r="H75" s="17" t="s">
        <v>146</v>
      </c>
      <c r="I75" s="1"/>
      <c r="J75" s="1"/>
      <c r="K75" s="17" t="s">
        <v>148</v>
      </c>
      <c r="L75" s="1"/>
      <c r="M75" s="1"/>
    </row>
    <row r="76" spans="1:13" x14ac:dyDescent="0.3">
      <c r="A76" s="1" t="s">
        <v>335</v>
      </c>
      <c r="B76" s="1" t="s">
        <v>115</v>
      </c>
      <c r="C76" s="1" t="s">
        <v>348</v>
      </c>
      <c r="D76" s="1" t="s">
        <v>290</v>
      </c>
      <c r="E76" s="1" t="s">
        <v>363</v>
      </c>
      <c r="F76" s="17" t="s">
        <v>293</v>
      </c>
      <c r="G76" s="1"/>
      <c r="H76" s="17" t="s">
        <v>146</v>
      </c>
      <c r="I76" s="1"/>
      <c r="J76" s="1"/>
      <c r="K76" s="17" t="s">
        <v>148</v>
      </c>
      <c r="L76" s="1"/>
      <c r="M76" s="1"/>
    </row>
    <row r="77" spans="1:13" x14ac:dyDescent="0.3">
      <c r="A77" s="1" t="s">
        <v>335</v>
      </c>
      <c r="B77" s="1" t="s">
        <v>115</v>
      </c>
      <c r="C77" s="1" t="s">
        <v>349</v>
      </c>
      <c r="D77" s="1" t="s">
        <v>87</v>
      </c>
      <c r="E77" s="1" t="s">
        <v>197</v>
      </c>
      <c r="F77" s="17" t="s">
        <v>293</v>
      </c>
      <c r="G77" s="1"/>
      <c r="H77" s="17" t="s">
        <v>146</v>
      </c>
      <c r="I77" s="1"/>
      <c r="J77" s="1"/>
      <c r="K77" s="17" t="s">
        <v>148</v>
      </c>
      <c r="L77" s="1"/>
      <c r="M77" s="1"/>
    </row>
    <row r="78" spans="1:13" x14ac:dyDescent="0.3">
      <c r="A78" s="1" t="s">
        <v>335</v>
      </c>
      <c r="B78" s="1" t="s">
        <v>115</v>
      </c>
      <c r="C78" s="1" t="s">
        <v>375</v>
      </c>
      <c r="D78" s="1" t="s">
        <v>314</v>
      </c>
      <c r="E78" s="1" t="s">
        <v>377</v>
      </c>
      <c r="F78" s="17" t="s">
        <v>293</v>
      </c>
      <c r="G78" s="1"/>
      <c r="H78" s="17" t="s">
        <v>146</v>
      </c>
      <c r="I78" s="1"/>
      <c r="J78" s="1"/>
      <c r="K78" s="17" t="s">
        <v>148</v>
      </c>
      <c r="L78" s="1"/>
      <c r="M78" s="1"/>
    </row>
    <row r="79" spans="1:13" x14ac:dyDescent="0.3">
      <c r="A79" s="1" t="s">
        <v>335</v>
      </c>
      <c r="B79" s="1" t="s">
        <v>115</v>
      </c>
      <c r="C79" s="1" t="s">
        <v>352</v>
      </c>
      <c r="D79" s="1" t="s">
        <v>176</v>
      </c>
      <c r="E79" s="1" t="s">
        <v>367</v>
      </c>
      <c r="F79" s="17" t="s">
        <v>293</v>
      </c>
      <c r="G79" s="1"/>
      <c r="H79" s="17" t="s">
        <v>146</v>
      </c>
      <c r="I79" s="1"/>
      <c r="J79" s="1"/>
      <c r="K79" s="17" t="s">
        <v>148</v>
      </c>
      <c r="L79" s="1"/>
      <c r="M79" s="1"/>
    </row>
    <row r="80" spans="1:13" x14ac:dyDescent="0.3">
      <c r="A80" s="1" t="s">
        <v>335</v>
      </c>
      <c r="B80" s="1" t="s">
        <v>115</v>
      </c>
      <c r="C80" s="1" t="s">
        <v>353</v>
      </c>
      <c r="D80" s="1" t="s">
        <v>140</v>
      </c>
      <c r="E80" s="1" t="s">
        <v>212</v>
      </c>
      <c r="F80" s="17" t="s">
        <v>293</v>
      </c>
      <c r="G80" s="1"/>
      <c r="H80" s="17" t="s">
        <v>146</v>
      </c>
      <c r="I80" s="1"/>
      <c r="J80" s="1"/>
      <c r="K80" s="17" t="s">
        <v>148</v>
      </c>
      <c r="L80" s="1"/>
      <c r="M80" s="1"/>
    </row>
    <row r="81" spans="1:13" x14ac:dyDescent="0.3">
      <c r="A81" s="1" t="s">
        <v>335</v>
      </c>
      <c r="B81" s="1" t="s">
        <v>115</v>
      </c>
      <c r="C81" s="1" t="s">
        <v>376</v>
      </c>
      <c r="D81" s="1" t="s">
        <v>310</v>
      </c>
      <c r="E81" s="1" t="s">
        <v>378</v>
      </c>
      <c r="F81" s="17" t="s">
        <v>293</v>
      </c>
      <c r="G81" s="1"/>
      <c r="H81" s="17" t="s">
        <v>146</v>
      </c>
      <c r="I81" s="1"/>
      <c r="J81" s="1"/>
      <c r="K81" s="17" t="s">
        <v>148</v>
      </c>
      <c r="L81" s="1"/>
      <c r="M81" s="1"/>
    </row>
    <row r="82" spans="1:13" x14ac:dyDescent="0.3">
      <c r="A82" s="1" t="s">
        <v>335</v>
      </c>
      <c r="B82" s="1" t="s">
        <v>115</v>
      </c>
      <c r="C82" s="1" t="s">
        <v>357</v>
      </c>
      <c r="D82" s="1" t="s">
        <v>285</v>
      </c>
      <c r="E82" s="1" t="s">
        <v>369</v>
      </c>
      <c r="F82" s="1"/>
      <c r="G82" s="1"/>
      <c r="H82" s="1"/>
      <c r="I82" s="1"/>
      <c r="J82" s="1"/>
      <c r="K82" s="17" t="s">
        <v>148</v>
      </c>
      <c r="L82" s="1"/>
      <c r="M82" s="1"/>
    </row>
    <row r="83" spans="1:13" x14ac:dyDescent="0.3">
      <c r="A83" s="1" t="s">
        <v>335</v>
      </c>
      <c r="B83" s="1" t="s">
        <v>115</v>
      </c>
      <c r="C83" s="1" t="s">
        <v>147</v>
      </c>
      <c r="D83" s="1" t="s">
        <v>90</v>
      </c>
      <c r="E83" s="1" t="s">
        <v>201</v>
      </c>
      <c r="F83" s="1"/>
      <c r="G83" s="1"/>
      <c r="H83" s="1"/>
      <c r="I83" s="1"/>
      <c r="J83" s="1"/>
      <c r="K83" s="17" t="s">
        <v>148</v>
      </c>
      <c r="L83" s="1"/>
      <c r="M83" s="1"/>
    </row>
    <row r="84" spans="1:13" x14ac:dyDescent="0.3">
      <c r="A84" s="1" t="s">
        <v>335</v>
      </c>
      <c r="B84" s="1" t="s">
        <v>116</v>
      </c>
      <c r="C84" s="1" t="s">
        <v>336</v>
      </c>
      <c r="D84" s="1" t="s">
        <v>84</v>
      </c>
      <c r="E84" s="1" t="s">
        <v>194</v>
      </c>
      <c r="F84" s="17" t="s">
        <v>292</v>
      </c>
      <c r="G84" s="1"/>
      <c r="H84" s="17" t="s">
        <v>146</v>
      </c>
      <c r="I84" s="1"/>
      <c r="J84" s="1"/>
      <c r="K84" s="17" t="s">
        <v>148</v>
      </c>
      <c r="L84" s="1"/>
      <c r="M84" s="1"/>
    </row>
    <row r="85" spans="1:13" x14ac:dyDescent="0.3">
      <c r="A85" s="1" t="s">
        <v>335</v>
      </c>
      <c r="B85" s="1" t="s">
        <v>116</v>
      </c>
      <c r="C85" s="1" t="s">
        <v>337</v>
      </c>
      <c r="D85" s="1" t="s">
        <v>338</v>
      </c>
      <c r="E85" s="1" t="s">
        <v>362</v>
      </c>
      <c r="F85" s="17" t="s">
        <v>292</v>
      </c>
      <c r="G85" s="1"/>
      <c r="H85" s="17" t="s">
        <v>146</v>
      </c>
      <c r="I85" s="1"/>
      <c r="J85" s="1"/>
      <c r="K85" s="17" t="s">
        <v>148</v>
      </c>
      <c r="L85" s="1"/>
      <c r="M85" s="1"/>
    </row>
    <row r="86" spans="1:13" x14ac:dyDescent="0.3">
      <c r="A86" s="1" t="s">
        <v>335</v>
      </c>
      <c r="B86" s="1" t="s">
        <v>116</v>
      </c>
      <c r="C86" s="1" t="s">
        <v>339</v>
      </c>
      <c r="D86" s="1" t="s">
        <v>44</v>
      </c>
      <c r="E86" s="1" t="s">
        <v>196</v>
      </c>
      <c r="F86" s="17" t="s">
        <v>292</v>
      </c>
      <c r="G86" s="1"/>
      <c r="H86" s="17" t="s">
        <v>146</v>
      </c>
      <c r="I86" s="1"/>
      <c r="J86" s="1"/>
      <c r="K86" s="17" t="s">
        <v>148</v>
      </c>
      <c r="L86" s="1"/>
      <c r="M86" s="1"/>
    </row>
    <row r="87" spans="1:13" x14ac:dyDescent="0.3">
      <c r="A87" s="1" t="s">
        <v>335</v>
      </c>
      <c r="B87" s="1" t="s">
        <v>116</v>
      </c>
      <c r="C87" s="1" t="s">
        <v>340</v>
      </c>
      <c r="D87" s="1" t="s">
        <v>290</v>
      </c>
      <c r="E87" s="1" t="s">
        <v>363</v>
      </c>
      <c r="F87" s="17" t="s">
        <v>292</v>
      </c>
      <c r="G87" s="1"/>
      <c r="H87" s="17" t="s">
        <v>146</v>
      </c>
      <c r="I87" s="1"/>
      <c r="J87" s="1"/>
      <c r="K87" s="17" t="s">
        <v>148</v>
      </c>
      <c r="L87" s="1"/>
      <c r="M87" s="1"/>
    </row>
    <row r="88" spans="1:13" x14ac:dyDescent="0.3">
      <c r="A88" s="1" t="s">
        <v>335</v>
      </c>
      <c r="B88" s="1" t="s">
        <v>116</v>
      </c>
      <c r="C88" s="1" t="s">
        <v>341</v>
      </c>
      <c r="D88" s="1" t="s">
        <v>87</v>
      </c>
      <c r="E88" s="1" t="s">
        <v>197</v>
      </c>
      <c r="F88" s="17" t="s">
        <v>292</v>
      </c>
      <c r="G88" s="1"/>
      <c r="H88" s="17" t="s">
        <v>146</v>
      </c>
      <c r="I88" s="1"/>
      <c r="J88" s="1"/>
      <c r="K88" s="17" t="s">
        <v>148</v>
      </c>
      <c r="L88" s="1"/>
      <c r="M88" s="1"/>
    </row>
    <row r="89" spans="1:13" x14ac:dyDescent="0.3">
      <c r="A89" s="1" t="s">
        <v>335</v>
      </c>
      <c r="B89" s="1" t="s">
        <v>116</v>
      </c>
      <c r="C89" s="1" t="s">
        <v>345</v>
      </c>
      <c r="D89" s="1" t="s">
        <v>84</v>
      </c>
      <c r="E89" s="1" t="s">
        <v>194</v>
      </c>
      <c r="F89" s="17" t="s">
        <v>293</v>
      </c>
      <c r="G89" s="1"/>
      <c r="H89" s="17" t="s">
        <v>146</v>
      </c>
      <c r="I89" s="1"/>
      <c r="J89" s="1"/>
      <c r="K89" s="17" t="s">
        <v>148</v>
      </c>
      <c r="L89" s="1"/>
      <c r="M89" s="1"/>
    </row>
    <row r="90" spans="1:13" x14ac:dyDescent="0.3">
      <c r="A90" s="1" t="s">
        <v>335</v>
      </c>
      <c r="B90" s="1" t="s">
        <v>116</v>
      </c>
      <c r="C90" s="1" t="s">
        <v>346</v>
      </c>
      <c r="D90" s="1" t="s">
        <v>338</v>
      </c>
      <c r="E90" s="1" t="s">
        <v>362</v>
      </c>
      <c r="F90" s="17" t="s">
        <v>293</v>
      </c>
      <c r="G90" s="1"/>
      <c r="H90" s="17" t="s">
        <v>146</v>
      </c>
      <c r="I90" s="1"/>
      <c r="J90" s="1"/>
      <c r="K90" s="17" t="s">
        <v>148</v>
      </c>
      <c r="L90" s="1"/>
      <c r="M90" s="1"/>
    </row>
    <row r="91" spans="1:13" x14ac:dyDescent="0.3">
      <c r="A91" s="1" t="s">
        <v>335</v>
      </c>
      <c r="B91" s="1" t="s">
        <v>116</v>
      </c>
      <c r="C91" s="1" t="s">
        <v>347</v>
      </c>
      <c r="D91" s="1" t="s">
        <v>44</v>
      </c>
      <c r="E91" s="1" t="s">
        <v>196</v>
      </c>
      <c r="F91" s="17" t="s">
        <v>293</v>
      </c>
      <c r="G91" s="1"/>
      <c r="H91" s="17" t="s">
        <v>146</v>
      </c>
      <c r="I91" s="1"/>
      <c r="J91" s="1"/>
      <c r="K91" s="17" t="s">
        <v>148</v>
      </c>
      <c r="L91" s="1"/>
      <c r="M91" s="1"/>
    </row>
    <row r="92" spans="1:13" x14ac:dyDescent="0.3">
      <c r="A92" s="1" t="s">
        <v>335</v>
      </c>
      <c r="B92" s="1" t="s">
        <v>116</v>
      </c>
      <c r="C92" s="1" t="s">
        <v>348</v>
      </c>
      <c r="D92" s="1" t="s">
        <v>290</v>
      </c>
      <c r="E92" s="1" t="s">
        <v>363</v>
      </c>
      <c r="F92" s="17" t="s">
        <v>293</v>
      </c>
      <c r="G92" s="1"/>
      <c r="H92" s="17" t="s">
        <v>146</v>
      </c>
      <c r="I92" s="1"/>
      <c r="J92" s="1"/>
      <c r="K92" s="17" t="s">
        <v>148</v>
      </c>
      <c r="L92" s="1"/>
      <c r="M92" s="1"/>
    </row>
    <row r="93" spans="1:13" x14ac:dyDescent="0.3">
      <c r="A93" s="1" t="s">
        <v>335</v>
      </c>
      <c r="B93" s="1" t="s">
        <v>116</v>
      </c>
      <c r="C93" s="1" t="s">
        <v>349</v>
      </c>
      <c r="D93" s="1" t="s">
        <v>87</v>
      </c>
      <c r="E93" s="1" t="s">
        <v>197</v>
      </c>
      <c r="F93" s="17" t="s">
        <v>293</v>
      </c>
      <c r="G93" s="1"/>
      <c r="H93" s="17" t="s">
        <v>146</v>
      </c>
      <c r="I93" s="1"/>
      <c r="J93" s="1"/>
      <c r="K93" s="17" t="s">
        <v>148</v>
      </c>
      <c r="L93" s="1"/>
      <c r="M93" s="1"/>
    </row>
    <row r="94" spans="1:13" x14ac:dyDescent="0.3">
      <c r="A94" s="1" t="s">
        <v>335</v>
      </c>
      <c r="B94" s="1" t="s">
        <v>116</v>
      </c>
      <c r="C94" s="1" t="s">
        <v>375</v>
      </c>
      <c r="D94" s="1" t="s">
        <v>314</v>
      </c>
      <c r="E94" s="1" t="s">
        <v>377</v>
      </c>
      <c r="F94" s="17" t="s">
        <v>293</v>
      </c>
      <c r="G94" s="1"/>
      <c r="H94" s="17" t="s">
        <v>146</v>
      </c>
      <c r="I94" s="1"/>
      <c r="J94" s="1"/>
      <c r="K94" s="17" t="s">
        <v>148</v>
      </c>
      <c r="L94" s="1"/>
      <c r="M94" s="1"/>
    </row>
    <row r="95" spans="1:13" x14ac:dyDescent="0.3">
      <c r="A95" s="1" t="s">
        <v>335</v>
      </c>
      <c r="B95" s="1" t="s">
        <v>116</v>
      </c>
      <c r="C95" s="1" t="s">
        <v>352</v>
      </c>
      <c r="D95" s="1" t="s">
        <v>176</v>
      </c>
      <c r="E95" s="1" t="s">
        <v>367</v>
      </c>
      <c r="F95" s="17" t="s">
        <v>293</v>
      </c>
      <c r="G95" s="1"/>
      <c r="H95" s="17" t="s">
        <v>146</v>
      </c>
      <c r="I95" s="1"/>
      <c r="J95" s="1"/>
      <c r="K95" s="17" t="s">
        <v>148</v>
      </c>
      <c r="L95" s="1"/>
      <c r="M95" s="1"/>
    </row>
    <row r="96" spans="1:13" x14ac:dyDescent="0.3">
      <c r="A96" s="1" t="s">
        <v>335</v>
      </c>
      <c r="B96" s="1" t="s">
        <v>116</v>
      </c>
      <c r="C96" s="1" t="s">
        <v>353</v>
      </c>
      <c r="D96" s="1" t="s">
        <v>140</v>
      </c>
      <c r="E96" s="1" t="s">
        <v>212</v>
      </c>
      <c r="F96" s="17" t="s">
        <v>293</v>
      </c>
      <c r="G96" s="1"/>
      <c r="H96" s="17" t="s">
        <v>146</v>
      </c>
      <c r="I96" s="1"/>
      <c r="J96" s="1"/>
      <c r="K96" s="17" t="s">
        <v>148</v>
      </c>
      <c r="L96" s="1"/>
      <c r="M96" s="1"/>
    </row>
    <row r="97" spans="1:13" x14ac:dyDescent="0.3">
      <c r="A97" s="1" t="s">
        <v>335</v>
      </c>
      <c r="B97" s="1" t="s">
        <v>116</v>
      </c>
      <c r="C97" s="1" t="s">
        <v>376</v>
      </c>
      <c r="D97" s="1" t="s">
        <v>310</v>
      </c>
      <c r="E97" s="1" t="s">
        <v>378</v>
      </c>
      <c r="F97" s="17" t="s">
        <v>293</v>
      </c>
      <c r="G97" s="1"/>
      <c r="H97" s="17" t="s">
        <v>146</v>
      </c>
      <c r="I97" s="1"/>
      <c r="J97" s="1"/>
      <c r="K97" s="17" t="s">
        <v>148</v>
      </c>
      <c r="L97" s="1"/>
      <c r="M97" s="1"/>
    </row>
    <row r="98" spans="1:13" x14ac:dyDescent="0.3">
      <c r="A98" s="1" t="s">
        <v>335</v>
      </c>
      <c r="B98" s="1" t="s">
        <v>116</v>
      </c>
      <c r="C98" s="1" t="s">
        <v>357</v>
      </c>
      <c r="D98" s="1" t="s">
        <v>285</v>
      </c>
      <c r="E98" s="1" t="s">
        <v>369</v>
      </c>
      <c r="F98" s="1"/>
      <c r="G98" s="1"/>
      <c r="H98" s="1"/>
      <c r="I98" s="1"/>
      <c r="J98" s="1"/>
      <c r="K98" s="17" t="s">
        <v>148</v>
      </c>
      <c r="L98" s="1"/>
      <c r="M98" s="1"/>
    </row>
    <row r="99" spans="1:13" x14ac:dyDescent="0.3">
      <c r="A99" s="1" t="s">
        <v>335</v>
      </c>
      <c r="B99" s="1" t="s">
        <v>116</v>
      </c>
      <c r="C99" s="1" t="s">
        <v>147</v>
      </c>
      <c r="D99" s="1" t="s">
        <v>90</v>
      </c>
      <c r="E99" s="1" t="s">
        <v>201</v>
      </c>
      <c r="F99" s="1"/>
      <c r="G99" s="1"/>
      <c r="H99" s="1"/>
      <c r="I99" s="1"/>
      <c r="J99" s="1"/>
      <c r="K99" s="17" t="s">
        <v>148</v>
      </c>
      <c r="L99" s="1"/>
      <c r="M99" s="1"/>
    </row>
    <row r="100" spans="1:13" x14ac:dyDescent="0.3">
      <c r="A100" s="1" t="s">
        <v>335</v>
      </c>
      <c r="B100" s="1" t="s">
        <v>188</v>
      </c>
      <c r="C100" s="1" t="s">
        <v>336</v>
      </c>
      <c r="D100" s="1" t="s">
        <v>84</v>
      </c>
      <c r="E100" s="1" t="s">
        <v>194</v>
      </c>
      <c r="F100" s="17" t="s">
        <v>292</v>
      </c>
      <c r="G100" s="1"/>
      <c r="H100" s="17" t="s">
        <v>146</v>
      </c>
      <c r="I100" s="1"/>
      <c r="J100" s="1"/>
      <c r="K100" s="17" t="s">
        <v>148</v>
      </c>
      <c r="L100" s="1"/>
      <c r="M100" s="1"/>
    </row>
    <row r="101" spans="1:13" x14ac:dyDescent="0.3">
      <c r="A101" s="1" t="s">
        <v>335</v>
      </c>
      <c r="B101" s="1" t="s">
        <v>188</v>
      </c>
      <c r="C101" s="1" t="s">
        <v>337</v>
      </c>
      <c r="D101" s="1" t="s">
        <v>338</v>
      </c>
      <c r="E101" s="1" t="s">
        <v>362</v>
      </c>
      <c r="F101" s="17" t="s">
        <v>292</v>
      </c>
      <c r="G101" s="1"/>
      <c r="H101" s="17" t="s">
        <v>146</v>
      </c>
      <c r="I101" s="1"/>
      <c r="J101" s="1"/>
      <c r="K101" s="17" t="s">
        <v>148</v>
      </c>
      <c r="L101" s="1"/>
      <c r="M101" s="1"/>
    </row>
    <row r="102" spans="1:13" x14ac:dyDescent="0.3">
      <c r="A102" s="1" t="s">
        <v>335</v>
      </c>
      <c r="B102" s="1" t="s">
        <v>188</v>
      </c>
      <c r="C102" s="1" t="s">
        <v>339</v>
      </c>
      <c r="D102" s="1" t="s">
        <v>44</v>
      </c>
      <c r="E102" s="1" t="s">
        <v>196</v>
      </c>
      <c r="F102" s="17" t="s">
        <v>292</v>
      </c>
      <c r="G102" s="1"/>
      <c r="H102" s="17" t="s">
        <v>146</v>
      </c>
      <c r="I102" s="1"/>
      <c r="J102" s="1"/>
      <c r="K102" s="17" t="s">
        <v>148</v>
      </c>
      <c r="L102" s="1"/>
      <c r="M102" s="1"/>
    </row>
    <row r="103" spans="1:13" x14ac:dyDescent="0.3">
      <c r="A103" s="1" t="s">
        <v>335</v>
      </c>
      <c r="B103" s="1" t="s">
        <v>188</v>
      </c>
      <c r="C103" s="1" t="s">
        <v>340</v>
      </c>
      <c r="D103" s="1" t="s">
        <v>290</v>
      </c>
      <c r="E103" s="1" t="s">
        <v>363</v>
      </c>
      <c r="F103" s="17" t="s">
        <v>292</v>
      </c>
      <c r="G103" s="1"/>
      <c r="H103" s="17" t="s">
        <v>146</v>
      </c>
      <c r="I103" s="1"/>
      <c r="J103" s="1"/>
      <c r="K103" s="17" t="s">
        <v>148</v>
      </c>
      <c r="L103" s="1"/>
      <c r="M103" s="1"/>
    </row>
    <row r="104" spans="1:13" x14ac:dyDescent="0.3">
      <c r="A104" s="1" t="s">
        <v>335</v>
      </c>
      <c r="B104" s="1" t="s">
        <v>188</v>
      </c>
      <c r="C104" s="1" t="s">
        <v>341</v>
      </c>
      <c r="D104" s="1" t="s">
        <v>87</v>
      </c>
      <c r="E104" s="1" t="s">
        <v>197</v>
      </c>
      <c r="F104" s="17" t="s">
        <v>292</v>
      </c>
      <c r="G104" s="1"/>
      <c r="H104" s="17" t="s">
        <v>146</v>
      </c>
      <c r="I104" s="1"/>
      <c r="J104" s="1"/>
      <c r="K104" s="17" t="s">
        <v>148</v>
      </c>
      <c r="L104" s="1"/>
      <c r="M104" s="1"/>
    </row>
    <row r="105" spans="1:13" x14ac:dyDescent="0.3">
      <c r="A105" s="1" t="s">
        <v>335</v>
      </c>
      <c r="B105" s="1" t="s">
        <v>188</v>
      </c>
      <c r="C105" s="1" t="s">
        <v>345</v>
      </c>
      <c r="D105" s="1" t="s">
        <v>84</v>
      </c>
      <c r="E105" s="1" t="s">
        <v>194</v>
      </c>
      <c r="F105" s="17" t="s">
        <v>293</v>
      </c>
      <c r="G105" s="1"/>
      <c r="H105" s="17" t="s">
        <v>146</v>
      </c>
      <c r="I105" s="1"/>
      <c r="J105" s="1"/>
      <c r="K105" s="17" t="s">
        <v>148</v>
      </c>
      <c r="L105" s="1"/>
      <c r="M105" s="1"/>
    </row>
    <row r="106" spans="1:13" x14ac:dyDescent="0.3">
      <c r="A106" s="1" t="s">
        <v>335</v>
      </c>
      <c r="B106" s="1" t="s">
        <v>188</v>
      </c>
      <c r="C106" s="1" t="s">
        <v>346</v>
      </c>
      <c r="D106" s="1" t="s">
        <v>338</v>
      </c>
      <c r="E106" s="1" t="s">
        <v>362</v>
      </c>
      <c r="F106" s="17" t="s">
        <v>293</v>
      </c>
      <c r="G106" s="1"/>
      <c r="H106" s="17" t="s">
        <v>146</v>
      </c>
      <c r="I106" s="1"/>
      <c r="J106" s="1"/>
      <c r="K106" s="17" t="s">
        <v>148</v>
      </c>
      <c r="L106" s="1"/>
      <c r="M106" s="1"/>
    </row>
    <row r="107" spans="1:13" x14ac:dyDescent="0.3">
      <c r="A107" s="1" t="s">
        <v>335</v>
      </c>
      <c r="B107" s="1" t="s">
        <v>188</v>
      </c>
      <c r="C107" s="1" t="s">
        <v>347</v>
      </c>
      <c r="D107" s="1" t="s">
        <v>44</v>
      </c>
      <c r="E107" s="1" t="s">
        <v>196</v>
      </c>
      <c r="F107" s="17" t="s">
        <v>293</v>
      </c>
      <c r="G107" s="1"/>
      <c r="H107" s="17" t="s">
        <v>146</v>
      </c>
      <c r="I107" s="1"/>
      <c r="J107" s="1"/>
      <c r="K107" s="17" t="s">
        <v>148</v>
      </c>
      <c r="L107" s="1"/>
      <c r="M107" s="1"/>
    </row>
    <row r="108" spans="1:13" x14ac:dyDescent="0.3">
      <c r="A108" s="1" t="s">
        <v>335</v>
      </c>
      <c r="B108" s="1" t="s">
        <v>188</v>
      </c>
      <c r="C108" s="1" t="s">
        <v>348</v>
      </c>
      <c r="D108" s="1" t="s">
        <v>290</v>
      </c>
      <c r="E108" s="1" t="s">
        <v>363</v>
      </c>
      <c r="F108" s="17" t="s">
        <v>293</v>
      </c>
      <c r="G108" s="1"/>
      <c r="H108" s="17" t="s">
        <v>146</v>
      </c>
      <c r="I108" s="1"/>
      <c r="J108" s="1"/>
      <c r="K108" s="17" t="s">
        <v>148</v>
      </c>
      <c r="L108" s="1"/>
      <c r="M108" s="1"/>
    </row>
    <row r="109" spans="1:13" x14ac:dyDescent="0.3">
      <c r="A109" s="1" t="s">
        <v>335</v>
      </c>
      <c r="B109" s="1" t="s">
        <v>188</v>
      </c>
      <c r="C109" s="1" t="s">
        <v>349</v>
      </c>
      <c r="D109" s="1" t="s">
        <v>87</v>
      </c>
      <c r="E109" s="1" t="s">
        <v>197</v>
      </c>
      <c r="F109" s="17" t="s">
        <v>293</v>
      </c>
      <c r="G109" s="1"/>
      <c r="H109" s="17" t="s">
        <v>146</v>
      </c>
      <c r="I109" s="1"/>
      <c r="J109" s="1"/>
      <c r="K109" s="17" t="s">
        <v>148</v>
      </c>
      <c r="L109" s="1"/>
      <c r="M109" s="1"/>
    </row>
    <row r="110" spans="1:13" x14ac:dyDescent="0.3">
      <c r="A110" s="1" t="s">
        <v>335</v>
      </c>
      <c r="B110" s="1" t="s">
        <v>188</v>
      </c>
      <c r="C110" s="1" t="s">
        <v>375</v>
      </c>
      <c r="D110" s="1" t="s">
        <v>314</v>
      </c>
      <c r="E110" s="1" t="s">
        <v>377</v>
      </c>
      <c r="F110" s="17" t="s">
        <v>293</v>
      </c>
      <c r="G110" s="1"/>
      <c r="H110" s="17" t="s">
        <v>146</v>
      </c>
      <c r="I110" s="1"/>
      <c r="J110" s="1"/>
      <c r="K110" s="17" t="s">
        <v>148</v>
      </c>
      <c r="L110" s="1"/>
      <c r="M110" s="1"/>
    </row>
    <row r="111" spans="1:13" x14ac:dyDescent="0.3">
      <c r="A111" s="1" t="s">
        <v>335</v>
      </c>
      <c r="B111" s="1" t="s">
        <v>188</v>
      </c>
      <c r="C111" s="1" t="s">
        <v>352</v>
      </c>
      <c r="D111" s="1" t="s">
        <v>176</v>
      </c>
      <c r="E111" s="1" t="s">
        <v>367</v>
      </c>
      <c r="F111" s="17" t="s">
        <v>293</v>
      </c>
      <c r="G111" s="1"/>
      <c r="H111" s="17" t="s">
        <v>146</v>
      </c>
      <c r="I111" s="1"/>
      <c r="J111" s="1"/>
      <c r="K111" s="17" t="s">
        <v>148</v>
      </c>
      <c r="L111" s="1"/>
      <c r="M111" s="1"/>
    </row>
    <row r="112" spans="1:13" x14ac:dyDescent="0.3">
      <c r="A112" s="1" t="s">
        <v>335</v>
      </c>
      <c r="B112" s="1" t="s">
        <v>188</v>
      </c>
      <c r="C112" s="1" t="s">
        <v>353</v>
      </c>
      <c r="D112" s="1" t="s">
        <v>140</v>
      </c>
      <c r="E112" s="1" t="s">
        <v>212</v>
      </c>
      <c r="F112" s="17" t="s">
        <v>293</v>
      </c>
      <c r="G112" s="1"/>
      <c r="H112" s="17" t="s">
        <v>146</v>
      </c>
      <c r="I112" s="1"/>
      <c r="J112" s="1"/>
      <c r="K112" s="17" t="s">
        <v>148</v>
      </c>
      <c r="L112" s="1"/>
      <c r="M112" s="1"/>
    </row>
    <row r="113" spans="1:13" x14ac:dyDescent="0.3">
      <c r="A113" s="1" t="s">
        <v>335</v>
      </c>
      <c r="B113" s="1" t="s">
        <v>188</v>
      </c>
      <c r="C113" s="1" t="s">
        <v>376</v>
      </c>
      <c r="D113" s="1" t="s">
        <v>310</v>
      </c>
      <c r="E113" s="1" t="s">
        <v>378</v>
      </c>
      <c r="F113" s="17" t="s">
        <v>293</v>
      </c>
      <c r="G113" s="1"/>
      <c r="H113" s="17" t="s">
        <v>146</v>
      </c>
      <c r="I113" s="1"/>
      <c r="J113" s="1"/>
      <c r="K113" s="17" t="s">
        <v>148</v>
      </c>
      <c r="L113" s="1"/>
      <c r="M113" s="1"/>
    </row>
    <row r="114" spans="1:13" x14ac:dyDescent="0.3">
      <c r="A114" s="1" t="s">
        <v>335</v>
      </c>
      <c r="B114" s="1" t="s">
        <v>188</v>
      </c>
      <c r="C114" s="1" t="s">
        <v>357</v>
      </c>
      <c r="D114" s="1" t="s">
        <v>285</v>
      </c>
      <c r="E114" s="1" t="s">
        <v>369</v>
      </c>
      <c r="F114" s="1"/>
      <c r="G114" s="1"/>
      <c r="H114" s="1"/>
      <c r="I114" s="1"/>
      <c r="J114" s="1"/>
      <c r="K114" s="17" t="s">
        <v>148</v>
      </c>
      <c r="L114" s="1"/>
      <c r="M114" s="1"/>
    </row>
    <row r="115" spans="1:13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15"/>
      <c r="L115" s="9"/>
      <c r="M115" s="9"/>
    </row>
    <row r="116" spans="1:13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spans="1:13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13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</sheetData>
  <conditionalFormatting sqref="A1:B1 D1 C1:C10">
    <cfRule type="containsText" dxfId="33" priority="13" operator="containsText" text="CIUDAD DE MÉXICO">
      <formula>NOT(ISERROR(SEARCH("CIUDAD DE MÉXICO",A1)))</formula>
    </cfRule>
    <cfRule type="containsText" dxfId="32" priority="14" operator="containsText" text="GUADALAJARA">
      <formula>NOT(ISERROR(SEARCH("GUADALAJARA",A1)))</formula>
    </cfRule>
    <cfRule type="containsText" dxfId="31" priority="15" operator="containsText" text="NORESTE">
      <formula>NOT(ISERROR(SEARCH("NORESTE",A1)))</formula>
    </cfRule>
    <cfRule type="containsText" dxfId="30" priority="16" operator="containsText" text="NOROESTE">
      <formula>NOT(ISERROR(SEARCH("NOROESTE",A1)))</formula>
    </cfRule>
  </conditionalFormatting>
  <conditionalFormatting sqref="B2:B20">
    <cfRule type="containsText" dxfId="29" priority="9" operator="containsText" text="CIUDAD DE MÉXICO">
      <formula>NOT(ISERROR(SEARCH("CIUDAD DE MÉXICO",B2)))</formula>
    </cfRule>
    <cfRule type="containsText" dxfId="28" priority="10" operator="containsText" text="GUADALAJARA">
      <formula>NOT(ISERROR(SEARCH("GUADALAJARA",B2)))</formula>
    </cfRule>
    <cfRule type="containsText" dxfId="27" priority="11" operator="containsText" text="NORESTE">
      <formula>NOT(ISERROR(SEARCH("NORESTE",B2)))</formula>
    </cfRule>
    <cfRule type="containsText" dxfId="26" priority="12" operator="containsText" text="NOROESTE">
      <formula>NOT(ISERROR(SEARCH("NOROESTE",B2)))</formula>
    </cfRule>
  </conditionalFormatting>
  <conditionalFormatting sqref="B43">
    <cfRule type="containsText" dxfId="21" priority="1" operator="containsText" text="CIUDAD DE MÉXICO">
      <formula>NOT(ISERROR(SEARCH("CIUDAD DE MÉXICO",B43)))</formula>
    </cfRule>
    <cfRule type="containsText" dxfId="20" priority="2" operator="containsText" text="GUADALAJARA">
      <formula>NOT(ISERROR(SEARCH("GUADALAJARA",B43)))</formula>
    </cfRule>
    <cfRule type="containsText" dxfId="19" priority="3" operator="containsText" text="NORESTE">
      <formula>NOT(ISERROR(SEARCH("NORESTE",B43)))</formula>
    </cfRule>
    <cfRule type="containsText" dxfId="18" priority="4" operator="containsText" text="NOROESTE">
      <formula>NOT(ISERROR(SEARCH("NOROESTE",B43)))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9C11-88BD-4943-8CDC-044B0BA8159F}">
  <dimension ref="A1:E124"/>
  <sheetViews>
    <sheetView topLeftCell="A43" workbookViewId="0">
      <selection activeCell="D117" sqref="D117"/>
    </sheetView>
  </sheetViews>
  <sheetFormatPr baseColWidth="10" defaultRowHeight="14.4" x14ac:dyDescent="0.3"/>
  <cols>
    <col min="1" max="1" width="16.88671875" bestFit="1" customWidth="1"/>
    <col min="2" max="2" width="18.21875" bestFit="1" customWidth="1"/>
    <col min="3" max="3" width="19.44140625" bestFit="1" customWidth="1"/>
    <col min="4" max="4" width="14" bestFit="1" customWidth="1"/>
    <col min="5" max="5" width="35.5546875" bestFit="1" customWidth="1"/>
  </cols>
  <sheetData>
    <row r="1" spans="1:5" x14ac:dyDescent="0.3">
      <c r="A1" s="3" t="s">
        <v>182</v>
      </c>
      <c r="B1" s="3" t="s">
        <v>186</v>
      </c>
      <c r="C1" s="4" t="s">
        <v>187</v>
      </c>
      <c r="D1" s="4" t="s">
        <v>184</v>
      </c>
      <c r="E1" s="5" t="s">
        <v>185</v>
      </c>
    </row>
    <row r="2" spans="1:5" x14ac:dyDescent="0.3">
      <c r="A2" s="1" t="s">
        <v>112</v>
      </c>
      <c r="B2" s="1" t="s">
        <v>292</v>
      </c>
      <c r="C2" s="1" t="s">
        <v>84</v>
      </c>
      <c r="D2" s="1" t="s">
        <v>225</v>
      </c>
      <c r="E2" s="1" t="s">
        <v>39</v>
      </c>
    </row>
    <row r="3" spans="1:5" x14ac:dyDescent="0.3">
      <c r="A3" s="1" t="s">
        <v>112</v>
      </c>
      <c r="B3" s="1" t="s">
        <v>292</v>
      </c>
      <c r="C3" s="1" t="s">
        <v>84</v>
      </c>
      <c r="D3" s="1" t="s">
        <v>226</v>
      </c>
      <c r="E3" s="1" t="s">
        <v>40</v>
      </c>
    </row>
    <row r="4" spans="1:5" x14ac:dyDescent="0.3">
      <c r="A4" s="1" t="s">
        <v>112</v>
      </c>
      <c r="B4" s="1" t="s">
        <v>292</v>
      </c>
      <c r="C4" s="1" t="s">
        <v>85</v>
      </c>
      <c r="D4" s="1" t="s">
        <v>227</v>
      </c>
      <c r="E4" s="1" t="s">
        <v>228</v>
      </c>
    </row>
    <row r="5" spans="1:5" x14ac:dyDescent="0.3">
      <c r="A5" s="1" t="s">
        <v>112</v>
      </c>
      <c r="B5" s="1" t="s">
        <v>292</v>
      </c>
      <c r="C5" s="1" t="s">
        <v>85</v>
      </c>
      <c r="D5" s="1" t="s">
        <v>229</v>
      </c>
      <c r="E5" s="1" t="s">
        <v>43</v>
      </c>
    </row>
    <row r="6" spans="1:5" x14ac:dyDescent="0.3">
      <c r="A6" s="1" t="s">
        <v>112</v>
      </c>
      <c r="B6" s="1" t="s">
        <v>292</v>
      </c>
      <c r="C6" s="1" t="s">
        <v>44</v>
      </c>
      <c r="D6" s="1" t="s">
        <v>230</v>
      </c>
      <c r="E6" s="1" t="s">
        <v>128</v>
      </c>
    </row>
    <row r="7" spans="1:5" x14ac:dyDescent="0.3">
      <c r="A7" s="1" t="s">
        <v>112</v>
      </c>
      <c r="B7" s="1" t="s">
        <v>292</v>
      </c>
      <c r="C7" s="1" t="s">
        <v>44</v>
      </c>
      <c r="D7" s="1" t="s">
        <v>231</v>
      </c>
      <c r="E7" s="1" t="s">
        <v>41</v>
      </c>
    </row>
    <row r="8" spans="1:5" x14ac:dyDescent="0.3">
      <c r="A8" s="1" t="s">
        <v>112</v>
      </c>
      <c r="B8" s="1" t="s">
        <v>292</v>
      </c>
      <c r="C8" s="1" t="s">
        <v>290</v>
      </c>
      <c r="D8" s="1" t="s">
        <v>232</v>
      </c>
      <c r="E8" s="1" t="s">
        <v>233</v>
      </c>
    </row>
    <row r="9" spans="1:5" x14ac:dyDescent="0.3">
      <c r="A9" s="1" t="s">
        <v>112</v>
      </c>
      <c r="B9" s="1" t="s">
        <v>292</v>
      </c>
      <c r="C9" s="1" t="s">
        <v>87</v>
      </c>
      <c r="D9" s="1" t="s">
        <v>234</v>
      </c>
      <c r="E9" s="1" t="s">
        <v>46</v>
      </c>
    </row>
    <row r="10" spans="1:5" x14ac:dyDescent="0.3">
      <c r="A10" s="1" t="s">
        <v>112</v>
      </c>
      <c r="B10" s="1" t="s">
        <v>292</v>
      </c>
      <c r="C10" s="1" t="s">
        <v>87</v>
      </c>
      <c r="D10" s="1" t="s">
        <v>235</v>
      </c>
      <c r="E10" s="1" t="s">
        <v>236</v>
      </c>
    </row>
    <row r="11" spans="1:5" x14ac:dyDescent="0.3">
      <c r="A11" s="1" t="s">
        <v>112</v>
      </c>
      <c r="B11" s="1" t="s">
        <v>292</v>
      </c>
      <c r="C11" s="1" t="s">
        <v>87</v>
      </c>
      <c r="D11" s="1" t="s">
        <v>237</v>
      </c>
      <c r="E11" s="1" t="s">
        <v>130</v>
      </c>
    </row>
    <row r="12" spans="1:5" x14ac:dyDescent="0.3">
      <c r="A12" s="1" t="s">
        <v>112</v>
      </c>
      <c r="B12" s="1" t="s">
        <v>292</v>
      </c>
      <c r="C12" s="1" t="s">
        <v>48</v>
      </c>
      <c r="D12" s="1" t="s">
        <v>238</v>
      </c>
      <c r="E12" s="1" t="s">
        <v>48</v>
      </c>
    </row>
    <row r="13" spans="1:5" x14ac:dyDescent="0.3">
      <c r="A13" s="1" t="s">
        <v>112</v>
      </c>
      <c r="B13" s="1" t="s">
        <v>292</v>
      </c>
      <c r="C13" s="1" t="s">
        <v>49</v>
      </c>
      <c r="D13" s="1" t="s">
        <v>239</v>
      </c>
      <c r="E13" s="1" t="s">
        <v>49</v>
      </c>
    </row>
    <row r="14" spans="1:5" x14ac:dyDescent="0.3">
      <c r="A14" s="1" t="s">
        <v>112</v>
      </c>
      <c r="B14" s="1" t="s">
        <v>292</v>
      </c>
      <c r="C14" s="1" t="s">
        <v>241</v>
      </c>
      <c r="D14" s="1" t="s">
        <v>240</v>
      </c>
      <c r="E14" s="1" t="s">
        <v>241</v>
      </c>
    </row>
    <row r="15" spans="1:5" x14ac:dyDescent="0.3">
      <c r="A15" s="1" t="s">
        <v>112</v>
      </c>
      <c r="B15" s="1" t="s">
        <v>293</v>
      </c>
      <c r="C15" s="1" t="s">
        <v>84</v>
      </c>
      <c r="D15" s="1" t="s">
        <v>242</v>
      </c>
      <c r="E15" s="1" t="s">
        <v>50</v>
      </c>
    </row>
    <row r="16" spans="1:5" x14ac:dyDescent="0.3">
      <c r="A16" s="1" t="s">
        <v>112</v>
      </c>
      <c r="B16" s="1" t="s">
        <v>293</v>
      </c>
      <c r="C16" s="1" t="s">
        <v>84</v>
      </c>
      <c r="D16" s="1" t="s">
        <v>243</v>
      </c>
      <c r="E16" s="1" t="s">
        <v>167</v>
      </c>
    </row>
    <row r="17" spans="1:5" x14ac:dyDescent="0.3">
      <c r="A17" s="1" t="s">
        <v>112</v>
      </c>
      <c r="B17" s="1" t="s">
        <v>293</v>
      </c>
      <c r="C17" s="1" t="s">
        <v>85</v>
      </c>
      <c r="D17" s="1" t="s">
        <v>244</v>
      </c>
      <c r="E17" s="1" t="s">
        <v>51</v>
      </c>
    </row>
    <row r="18" spans="1:5" x14ac:dyDescent="0.3">
      <c r="A18" s="1" t="s">
        <v>112</v>
      </c>
      <c r="B18" s="1" t="s">
        <v>293</v>
      </c>
      <c r="C18" s="1" t="s">
        <v>44</v>
      </c>
      <c r="D18" s="1" t="s">
        <v>245</v>
      </c>
      <c r="E18" s="1" t="s">
        <v>246</v>
      </c>
    </row>
    <row r="19" spans="1:5" x14ac:dyDescent="0.3">
      <c r="A19" s="1" t="s">
        <v>112</v>
      </c>
      <c r="B19" s="1" t="s">
        <v>293</v>
      </c>
      <c r="C19" s="1" t="s">
        <v>44</v>
      </c>
      <c r="D19" s="1" t="s">
        <v>247</v>
      </c>
      <c r="E19" s="1" t="s">
        <v>248</v>
      </c>
    </row>
    <row r="20" spans="1:5" x14ac:dyDescent="0.3">
      <c r="A20" s="1" t="s">
        <v>112</v>
      </c>
      <c r="B20" s="1" t="s">
        <v>293</v>
      </c>
      <c r="C20" s="1" t="s">
        <v>44</v>
      </c>
      <c r="D20" s="1" t="s">
        <v>249</v>
      </c>
      <c r="E20" s="1" t="s">
        <v>250</v>
      </c>
    </row>
    <row r="21" spans="1:5" x14ac:dyDescent="0.3">
      <c r="A21" s="1" t="s">
        <v>112</v>
      </c>
      <c r="B21" s="1" t="s">
        <v>293</v>
      </c>
      <c r="C21" s="1" t="s">
        <v>290</v>
      </c>
      <c r="D21" s="1" t="s">
        <v>251</v>
      </c>
      <c r="E21" s="1" t="s">
        <v>252</v>
      </c>
    </row>
    <row r="22" spans="1:5" x14ac:dyDescent="0.3">
      <c r="A22" s="1" t="s">
        <v>112</v>
      </c>
      <c r="B22" s="1" t="s">
        <v>293</v>
      </c>
      <c r="C22" s="1" t="s">
        <v>87</v>
      </c>
      <c r="D22" s="1" t="s">
        <v>253</v>
      </c>
      <c r="E22" s="1" t="s">
        <v>254</v>
      </c>
    </row>
    <row r="23" spans="1:5" x14ac:dyDescent="0.3">
      <c r="A23" s="1" t="s">
        <v>112</v>
      </c>
      <c r="B23" s="1" t="s">
        <v>293</v>
      </c>
      <c r="C23" s="1" t="s">
        <v>87</v>
      </c>
      <c r="D23" s="1" t="s">
        <v>255</v>
      </c>
      <c r="E23" s="1" t="s">
        <v>256</v>
      </c>
    </row>
    <row r="24" spans="1:5" x14ac:dyDescent="0.3">
      <c r="A24" s="1" t="s">
        <v>112</v>
      </c>
      <c r="B24" s="1" t="s">
        <v>293</v>
      </c>
      <c r="C24" s="1" t="s">
        <v>291</v>
      </c>
      <c r="D24" s="1" t="s">
        <v>257</v>
      </c>
      <c r="E24" s="1" t="s">
        <v>55</v>
      </c>
    </row>
    <row r="25" spans="1:5" x14ac:dyDescent="0.3">
      <c r="A25" s="1" t="s">
        <v>112</v>
      </c>
      <c r="B25" s="1" t="s">
        <v>293</v>
      </c>
      <c r="C25" s="1" t="s">
        <v>291</v>
      </c>
      <c r="D25" s="1" t="s">
        <v>258</v>
      </c>
      <c r="E25" s="1" t="s">
        <v>56</v>
      </c>
    </row>
    <row r="26" spans="1:5" x14ac:dyDescent="0.3">
      <c r="A26" s="1" t="s">
        <v>112</v>
      </c>
      <c r="B26" s="1" t="s">
        <v>293</v>
      </c>
      <c r="C26" s="1" t="s">
        <v>291</v>
      </c>
      <c r="D26" s="1" t="s">
        <v>259</v>
      </c>
      <c r="E26" s="1" t="s">
        <v>57</v>
      </c>
    </row>
    <row r="27" spans="1:5" x14ac:dyDescent="0.3">
      <c r="A27" s="1" t="s">
        <v>112</v>
      </c>
      <c r="B27" s="1" t="s">
        <v>293</v>
      </c>
      <c r="C27" s="1" t="s">
        <v>291</v>
      </c>
      <c r="D27" s="1" t="s">
        <v>260</v>
      </c>
      <c r="E27" s="1" t="s">
        <v>58</v>
      </c>
    </row>
    <row r="28" spans="1:5" x14ac:dyDescent="0.3">
      <c r="A28" s="1" t="s">
        <v>112</v>
      </c>
      <c r="B28" s="1" t="s">
        <v>293</v>
      </c>
      <c r="C28" s="1" t="s">
        <v>291</v>
      </c>
      <c r="D28" s="1" t="s">
        <v>261</v>
      </c>
      <c r="E28" s="1" t="s">
        <v>59</v>
      </c>
    </row>
    <row r="29" spans="1:5" x14ac:dyDescent="0.3">
      <c r="A29" s="1" t="s">
        <v>112</v>
      </c>
      <c r="B29" s="1" t="s">
        <v>293</v>
      </c>
      <c r="C29" s="1" t="s">
        <v>291</v>
      </c>
      <c r="D29" s="1" t="s">
        <v>262</v>
      </c>
      <c r="E29" s="1" t="s">
        <v>60</v>
      </c>
    </row>
    <row r="30" spans="1:5" x14ac:dyDescent="0.3">
      <c r="A30" s="1" t="s">
        <v>112</v>
      </c>
      <c r="B30" s="1" t="s">
        <v>293</v>
      </c>
      <c r="C30" s="1" t="s">
        <v>291</v>
      </c>
      <c r="D30" s="1" t="s">
        <v>263</v>
      </c>
      <c r="E30" s="1" t="s">
        <v>61</v>
      </c>
    </row>
    <row r="31" spans="1:5" x14ac:dyDescent="0.3">
      <c r="A31" s="1" t="s">
        <v>112</v>
      </c>
      <c r="B31" s="1" t="s">
        <v>293</v>
      </c>
      <c r="C31" s="1" t="s">
        <v>291</v>
      </c>
      <c r="D31" s="1" t="s">
        <v>264</v>
      </c>
      <c r="E31" s="1" t="s">
        <v>62</v>
      </c>
    </row>
    <row r="32" spans="1:5" x14ac:dyDescent="0.3">
      <c r="A32" s="1" t="s">
        <v>112</v>
      </c>
      <c r="B32" s="1" t="s">
        <v>293</v>
      </c>
      <c r="C32" s="1" t="s">
        <v>291</v>
      </c>
      <c r="D32" s="1" t="s">
        <v>265</v>
      </c>
      <c r="E32" s="1" t="s">
        <v>266</v>
      </c>
    </row>
    <row r="33" spans="1:5" x14ac:dyDescent="0.3">
      <c r="A33" s="1" t="s">
        <v>112</v>
      </c>
      <c r="B33" s="1" t="s">
        <v>293</v>
      </c>
      <c r="C33" s="1" t="s">
        <v>291</v>
      </c>
      <c r="D33" s="1" t="s">
        <v>267</v>
      </c>
      <c r="E33" s="1" t="s">
        <v>42</v>
      </c>
    </row>
    <row r="34" spans="1:5" x14ac:dyDescent="0.3">
      <c r="A34" s="1" t="s">
        <v>112</v>
      </c>
      <c r="B34" s="1" t="s">
        <v>293</v>
      </c>
      <c r="C34" s="1" t="s">
        <v>291</v>
      </c>
      <c r="D34" s="1" t="s">
        <v>268</v>
      </c>
      <c r="E34" s="1" t="s">
        <v>64</v>
      </c>
    </row>
    <row r="35" spans="1:5" x14ac:dyDescent="0.3">
      <c r="A35" s="1" t="s">
        <v>112</v>
      </c>
      <c r="B35" s="1" t="s">
        <v>293</v>
      </c>
      <c r="C35" s="1" t="s">
        <v>291</v>
      </c>
      <c r="D35" s="1" t="s">
        <v>269</v>
      </c>
      <c r="E35" s="1" t="s">
        <v>65</v>
      </c>
    </row>
    <row r="36" spans="1:5" x14ac:dyDescent="0.3">
      <c r="A36" s="1" t="s">
        <v>112</v>
      </c>
      <c r="B36" s="1" t="s">
        <v>293</v>
      </c>
      <c r="C36" s="1" t="s">
        <v>291</v>
      </c>
      <c r="D36" s="1" t="s">
        <v>270</v>
      </c>
      <c r="E36" s="1" t="s">
        <v>66</v>
      </c>
    </row>
    <row r="37" spans="1:5" x14ac:dyDescent="0.3">
      <c r="A37" s="1" t="s">
        <v>112</v>
      </c>
      <c r="B37" s="1" t="s">
        <v>293</v>
      </c>
      <c r="C37" s="1" t="s">
        <v>67</v>
      </c>
      <c r="D37" s="1" t="s">
        <v>271</v>
      </c>
      <c r="E37" s="1" t="s">
        <v>67</v>
      </c>
    </row>
    <row r="38" spans="1:5" x14ac:dyDescent="0.3">
      <c r="A38" s="1" t="s">
        <v>112</v>
      </c>
      <c r="B38" s="1" t="s">
        <v>293</v>
      </c>
      <c r="C38" s="1" t="s">
        <v>176</v>
      </c>
      <c r="D38" s="1" t="s">
        <v>272</v>
      </c>
      <c r="E38" s="1" t="s">
        <v>68</v>
      </c>
    </row>
    <row r="39" spans="1:5" x14ac:dyDescent="0.3">
      <c r="A39" s="1" t="s">
        <v>112</v>
      </c>
      <c r="B39" s="1" t="s">
        <v>293</v>
      </c>
      <c r="C39" s="1" t="s">
        <v>176</v>
      </c>
      <c r="D39" s="1" t="s">
        <v>273</v>
      </c>
      <c r="E39" s="1" t="s">
        <v>69</v>
      </c>
    </row>
    <row r="40" spans="1:5" x14ac:dyDescent="0.3">
      <c r="A40" s="1" t="s">
        <v>112</v>
      </c>
      <c r="B40" s="1" t="s">
        <v>293</v>
      </c>
      <c r="C40" s="1" t="s">
        <v>176</v>
      </c>
      <c r="D40" s="1" t="s">
        <v>274</v>
      </c>
      <c r="E40" s="1" t="s">
        <v>70</v>
      </c>
    </row>
    <row r="41" spans="1:5" x14ac:dyDescent="0.3">
      <c r="A41" s="1" t="s">
        <v>112</v>
      </c>
      <c r="B41" s="1" t="s">
        <v>293</v>
      </c>
      <c r="C41" s="1" t="s">
        <v>176</v>
      </c>
      <c r="D41" s="1" t="s">
        <v>275</v>
      </c>
      <c r="E41" s="1" t="s">
        <v>71</v>
      </c>
    </row>
    <row r="42" spans="1:5" x14ac:dyDescent="0.3">
      <c r="A42" s="1" t="s">
        <v>112</v>
      </c>
      <c r="B42" s="1" t="s">
        <v>293</v>
      </c>
      <c r="C42" s="1" t="s">
        <v>176</v>
      </c>
      <c r="D42" s="1" t="s">
        <v>276</v>
      </c>
      <c r="E42" s="1" t="s">
        <v>72</v>
      </c>
    </row>
    <row r="43" spans="1:5" x14ac:dyDescent="0.3">
      <c r="A43" s="1" t="s">
        <v>112</v>
      </c>
      <c r="B43" s="1" t="s">
        <v>293</v>
      </c>
      <c r="C43" s="1" t="s">
        <v>176</v>
      </c>
      <c r="D43" s="1" t="s">
        <v>277</v>
      </c>
      <c r="E43" s="1" t="s">
        <v>73</v>
      </c>
    </row>
    <row r="44" spans="1:5" x14ac:dyDescent="0.3">
      <c r="A44" s="1" t="s">
        <v>112</v>
      </c>
      <c r="B44" s="1" t="s">
        <v>293</v>
      </c>
      <c r="C44" s="1" t="s">
        <v>176</v>
      </c>
      <c r="D44" s="1" t="s">
        <v>278</v>
      </c>
      <c r="E44" s="1" t="s">
        <v>92</v>
      </c>
    </row>
    <row r="45" spans="1:5" x14ac:dyDescent="0.3">
      <c r="A45" s="1" t="s">
        <v>112</v>
      </c>
      <c r="B45" s="1" t="s">
        <v>293</v>
      </c>
      <c r="C45" s="1" t="s">
        <v>140</v>
      </c>
      <c r="D45" s="1" t="s">
        <v>279</v>
      </c>
      <c r="E45" s="1" t="s">
        <v>140</v>
      </c>
    </row>
    <row r="46" spans="1:5" x14ac:dyDescent="0.3">
      <c r="A46" s="1" t="s">
        <v>112</v>
      </c>
      <c r="B46" s="1" t="s">
        <v>293</v>
      </c>
      <c r="C46" s="1" t="s">
        <v>93</v>
      </c>
      <c r="D46" s="1" t="s">
        <v>280</v>
      </c>
      <c r="E46" s="1" t="s">
        <v>93</v>
      </c>
    </row>
    <row r="47" spans="1:5" x14ac:dyDescent="0.3">
      <c r="A47" s="1" t="s">
        <v>112</v>
      </c>
      <c r="B47" s="1" t="s">
        <v>293</v>
      </c>
      <c r="C47" s="1" t="s">
        <v>94</v>
      </c>
      <c r="D47" s="1" t="s">
        <v>281</v>
      </c>
      <c r="E47" s="1" t="s">
        <v>94</v>
      </c>
    </row>
    <row r="48" spans="1:5" x14ac:dyDescent="0.3">
      <c r="A48" s="1" t="s">
        <v>112</v>
      </c>
      <c r="B48" s="1" t="s">
        <v>293</v>
      </c>
      <c r="C48" s="1" t="s">
        <v>283</v>
      </c>
      <c r="D48" s="1" t="s">
        <v>282</v>
      </c>
      <c r="E48" s="1" t="s">
        <v>283</v>
      </c>
    </row>
    <row r="49" spans="1:5" x14ac:dyDescent="0.3">
      <c r="A49" s="1" t="s">
        <v>112</v>
      </c>
      <c r="B49" s="1" t="s">
        <v>294</v>
      </c>
      <c r="C49" s="1" t="s">
        <v>285</v>
      </c>
      <c r="D49" s="1" t="s">
        <v>284</v>
      </c>
      <c r="E49" s="1" t="s">
        <v>285</v>
      </c>
    </row>
    <row r="50" spans="1:5" x14ac:dyDescent="0.3">
      <c r="A50" s="1" t="s">
        <v>112</v>
      </c>
      <c r="B50" s="1" t="s">
        <v>294</v>
      </c>
      <c r="C50" s="1" t="s">
        <v>90</v>
      </c>
      <c r="D50" s="1" t="s">
        <v>286</v>
      </c>
      <c r="E50" s="1" t="s">
        <v>76</v>
      </c>
    </row>
    <row r="51" spans="1:5" x14ac:dyDescent="0.3">
      <c r="A51" s="1" t="s">
        <v>112</v>
      </c>
      <c r="B51" s="1" t="s">
        <v>294</v>
      </c>
      <c r="C51" s="1" t="s">
        <v>90</v>
      </c>
      <c r="D51" s="1" t="s">
        <v>287</v>
      </c>
      <c r="E51" s="1" t="s">
        <v>77</v>
      </c>
    </row>
    <row r="52" spans="1:5" x14ac:dyDescent="0.3">
      <c r="A52" s="1" t="s">
        <v>112</v>
      </c>
      <c r="B52" s="1" t="s">
        <v>294</v>
      </c>
      <c r="C52" s="1" t="s">
        <v>90</v>
      </c>
      <c r="D52" s="1" t="s">
        <v>288</v>
      </c>
      <c r="E52" s="1" t="s">
        <v>78</v>
      </c>
    </row>
    <row r="53" spans="1:5" x14ac:dyDescent="0.3">
      <c r="A53" s="1" t="s">
        <v>112</v>
      </c>
      <c r="B53" s="1" t="s">
        <v>294</v>
      </c>
      <c r="C53" s="1" t="s">
        <v>90</v>
      </c>
      <c r="D53" s="1" t="s">
        <v>289</v>
      </c>
      <c r="E53" s="1" t="s">
        <v>79</v>
      </c>
    </row>
    <row r="54" spans="1:5" x14ac:dyDescent="0.3">
      <c r="A54" s="1" t="s">
        <v>115</v>
      </c>
      <c r="B54" s="1" t="s">
        <v>292</v>
      </c>
      <c r="C54" s="1" t="s">
        <v>84</v>
      </c>
      <c r="D54" s="10" t="s">
        <v>295</v>
      </c>
      <c r="E54" s="1" t="s">
        <v>39</v>
      </c>
    </row>
    <row r="55" spans="1:5" x14ac:dyDescent="0.3">
      <c r="A55" s="1" t="s">
        <v>115</v>
      </c>
      <c r="B55" s="1" t="s">
        <v>292</v>
      </c>
      <c r="C55" s="1" t="s">
        <v>84</v>
      </c>
      <c r="D55" s="10" t="s">
        <v>225</v>
      </c>
      <c r="E55" s="1" t="s">
        <v>40</v>
      </c>
    </row>
    <row r="56" spans="1:5" x14ac:dyDescent="0.3">
      <c r="A56" s="1" t="s">
        <v>115</v>
      </c>
      <c r="B56" s="1" t="s">
        <v>292</v>
      </c>
      <c r="C56" s="1" t="s">
        <v>85</v>
      </c>
      <c r="D56" s="10" t="s">
        <v>232</v>
      </c>
      <c r="E56" s="1" t="s">
        <v>42</v>
      </c>
    </row>
    <row r="57" spans="1:5" x14ac:dyDescent="0.3">
      <c r="A57" s="1" t="s">
        <v>115</v>
      </c>
      <c r="B57" s="1" t="s">
        <v>292</v>
      </c>
      <c r="C57" s="1" t="s">
        <v>85</v>
      </c>
      <c r="D57" s="10" t="s">
        <v>296</v>
      </c>
      <c r="E57" s="1" t="s">
        <v>43</v>
      </c>
    </row>
    <row r="58" spans="1:5" x14ac:dyDescent="0.3">
      <c r="A58" s="1" t="s">
        <v>115</v>
      </c>
      <c r="B58" s="1" t="s">
        <v>292</v>
      </c>
      <c r="C58" s="1" t="s">
        <v>313</v>
      </c>
      <c r="D58" s="10" t="s">
        <v>297</v>
      </c>
      <c r="E58" s="1" t="s">
        <v>128</v>
      </c>
    </row>
    <row r="59" spans="1:5" x14ac:dyDescent="0.3">
      <c r="A59" s="1" t="s">
        <v>115</v>
      </c>
      <c r="B59" s="1" t="s">
        <v>292</v>
      </c>
      <c r="C59" s="1" t="s">
        <v>290</v>
      </c>
      <c r="D59" s="10" t="s">
        <v>227</v>
      </c>
      <c r="E59" s="1" t="s">
        <v>233</v>
      </c>
    </row>
    <row r="60" spans="1:5" x14ac:dyDescent="0.3">
      <c r="A60" s="1" t="s">
        <v>115</v>
      </c>
      <c r="B60" s="1" t="s">
        <v>292</v>
      </c>
      <c r="C60" s="1" t="s">
        <v>87</v>
      </c>
      <c r="D60" s="10" t="s">
        <v>298</v>
      </c>
      <c r="E60" s="1" t="s">
        <v>46</v>
      </c>
    </row>
    <row r="61" spans="1:5" x14ac:dyDescent="0.3">
      <c r="A61" s="1" t="s">
        <v>115</v>
      </c>
      <c r="B61" s="1" t="s">
        <v>292</v>
      </c>
      <c r="C61" s="1" t="s">
        <v>87</v>
      </c>
      <c r="D61" s="10" t="s">
        <v>229</v>
      </c>
      <c r="E61" s="1" t="s">
        <v>130</v>
      </c>
    </row>
    <row r="62" spans="1:5" x14ac:dyDescent="0.3">
      <c r="A62" s="1" t="s">
        <v>115</v>
      </c>
      <c r="B62" s="1" t="s">
        <v>293</v>
      </c>
      <c r="C62" s="1" t="s">
        <v>84</v>
      </c>
      <c r="D62" s="10" t="s">
        <v>245</v>
      </c>
      <c r="E62" s="1" t="s">
        <v>50</v>
      </c>
    </row>
    <row r="63" spans="1:5" x14ac:dyDescent="0.3">
      <c r="A63" s="1" t="s">
        <v>115</v>
      </c>
      <c r="B63" s="1" t="s">
        <v>293</v>
      </c>
      <c r="C63" s="1" t="s">
        <v>84</v>
      </c>
      <c r="D63" s="10" t="s">
        <v>299</v>
      </c>
      <c r="E63" s="1" t="s">
        <v>300</v>
      </c>
    </row>
    <row r="64" spans="1:5" x14ac:dyDescent="0.3">
      <c r="A64" s="1" t="s">
        <v>115</v>
      </c>
      <c r="B64" s="1" t="s">
        <v>293</v>
      </c>
      <c r="C64" s="1" t="s">
        <v>85</v>
      </c>
      <c r="D64" s="10" t="s">
        <v>244</v>
      </c>
      <c r="E64" s="1" t="s">
        <v>51</v>
      </c>
    </row>
    <row r="65" spans="1:5" x14ac:dyDescent="0.3">
      <c r="A65" s="1" t="s">
        <v>115</v>
      </c>
      <c r="B65" s="1" t="s">
        <v>293</v>
      </c>
      <c r="C65" s="1" t="s">
        <v>313</v>
      </c>
      <c r="D65" s="10" t="s">
        <v>301</v>
      </c>
      <c r="E65" s="1" t="s">
        <v>132</v>
      </c>
    </row>
    <row r="66" spans="1:5" x14ac:dyDescent="0.3">
      <c r="A66" s="1" t="s">
        <v>115</v>
      </c>
      <c r="B66" s="1" t="s">
        <v>293</v>
      </c>
      <c r="C66" s="1" t="s">
        <v>313</v>
      </c>
      <c r="D66" s="10" t="s">
        <v>302</v>
      </c>
      <c r="E66" s="1" t="s">
        <v>303</v>
      </c>
    </row>
    <row r="67" spans="1:5" x14ac:dyDescent="0.3">
      <c r="A67" s="1" t="s">
        <v>115</v>
      </c>
      <c r="B67" s="1" t="s">
        <v>293</v>
      </c>
      <c r="C67" s="1" t="s">
        <v>290</v>
      </c>
      <c r="D67" s="10" t="s">
        <v>251</v>
      </c>
      <c r="E67" s="1" t="s">
        <v>252</v>
      </c>
    </row>
    <row r="68" spans="1:5" x14ac:dyDescent="0.3">
      <c r="A68" s="1" t="s">
        <v>115</v>
      </c>
      <c r="B68" s="1" t="s">
        <v>293</v>
      </c>
      <c r="C68" s="1" t="s">
        <v>87</v>
      </c>
      <c r="D68" s="10" t="s">
        <v>304</v>
      </c>
      <c r="E68" s="1" t="s">
        <v>305</v>
      </c>
    </row>
    <row r="69" spans="1:5" x14ac:dyDescent="0.3">
      <c r="A69" s="1" t="s">
        <v>115</v>
      </c>
      <c r="B69" s="1" t="s">
        <v>293</v>
      </c>
      <c r="C69" s="1" t="s">
        <v>314</v>
      </c>
      <c r="D69" s="10" t="s">
        <v>306</v>
      </c>
      <c r="E69" s="1" t="s">
        <v>307</v>
      </c>
    </row>
    <row r="70" spans="1:5" x14ac:dyDescent="0.3">
      <c r="A70" s="1" t="s">
        <v>115</v>
      </c>
      <c r="B70" s="1" t="s">
        <v>293</v>
      </c>
      <c r="C70" s="1" t="s">
        <v>314</v>
      </c>
      <c r="D70" s="10" t="s">
        <v>271</v>
      </c>
      <c r="E70" s="1" t="s">
        <v>67</v>
      </c>
    </row>
    <row r="71" spans="1:5" x14ac:dyDescent="0.3">
      <c r="A71" s="1" t="s">
        <v>115</v>
      </c>
      <c r="B71" s="1" t="s">
        <v>293</v>
      </c>
      <c r="C71" s="1" t="s">
        <v>176</v>
      </c>
      <c r="D71" s="10" t="s">
        <v>308</v>
      </c>
      <c r="E71" s="1" t="s">
        <v>176</v>
      </c>
    </row>
    <row r="72" spans="1:5" x14ac:dyDescent="0.3">
      <c r="A72" s="1" t="s">
        <v>115</v>
      </c>
      <c r="B72" s="1" t="s">
        <v>293</v>
      </c>
      <c r="C72" s="1" t="s">
        <v>140</v>
      </c>
      <c r="D72" s="10" t="s">
        <v>279</v>
      </c>
      <c r="E72" s="1" t="s">
        <v>140</v>
      </c>
    </row>
    <row r="73" spans="1:5" x14ac:dyDescent="0.3">
      <c r="A73" s="1" t="s">
        <v>115</v>
      </c>
      <c r="B73" s="1" t="s">
        <v>293</v>
      </c>
      <c r="C73" s="1" t="s">
        <v>310</v>
      </c>
      <c r="D73" s="10" t="s">
        <v>309</v>
      </c>
      <c r="E73" s="1" t="s">
        <v>310</v>
      </c>
    </row>
    <row r="74" spans="1:5" x14ac:dyDescent="0.3">
      <c r="A74" s="1" t="s">
        <v>115</v>
      </c>
      <c r="B74" s="1" t="s">
        <v>315</v>
      </c>
      <c r="C74" s="1" t="s">
        <v>285</v>
      </c>
      <c r="D74" s="10" t="s">
        <v>311</v>
      </c>
      <c r="E74" s="1" t="s">
        <v>285</v>
      </c>
    </row>
    <row r="75" spans="1:5" x14ac:dyDescent="0.3">
      <c r="A75" s="1" t="s">
        <v>115</v>
      </c>
      <c r="B75" s="1" t="s">
        <v>315</v>
      </c>
      <c r="C75" s="1" t="s">
        <v>90</v>
      </c>
      <c r="D75" s="10" t="s">
        <v>226</v>
      </c>
      <c r="E75" s="1" t="s">
        <v>142</v>
      </c>
    </row>
    <row r="76" spans="1:5" x14ac:dyDescent="0.3">
      <c r="A76" s="1" t="s">
        <v>115</v>
      </c>
      <c r="B76" s="1" t="s">
        <v>315</v>
      </c>
      <c r="C76" s="1" t="s">
        <v>90</v>
      </c>
      <c r="D76" s="10" t="s">
        <v>312</v>
      </c>
      <c r="E76" s="1" t="s">
        <v>143</v>
      </c>
    </row>
    <row r="77" spans="1:5" x14ac:dyDescent="0.3">
      <c r="A77" s="1" t="s">
        <v>116</v>
      </c>
      <c r="B77" s="1" t="s">
        <v>292</v>
      </c>
      <c r="C77" s="1" t="s">
        <v>84</v>
      </c>
      <c r="D77" s="10" t="s">
        <v>295</v>
      </c>
      <c r="E77" s="11" t="s">
        <v>39</v>
      </c>
    </row>
    <row r="78" spans="1:5" x14ac:dyDescent="0.3">
      <c r="A78" s="1" t="s">
        <v>116</v>
      </c>
      <c r="B78" s="1" t="s">
        <v>292</v>
      </c>
      <c r="C78" s="1" t="s">
        <v>84</v>
      </c>
      <c r="D78" s="10" t="s">
        <v>225</v>
      </c>
      <c r="E78" s="11" t="s">
        <v>40</v>
      </c>
    </row>
    <row r="79" spans="1:5" x14ac:dyDescent="0.3">
      <c r="A79" s="1" t="s">
        <v>116</v>
      </c>
      <c r="B79" s="1" t="s">
        <v>292</v>
      </c>
      <c r="C79" s="1" t="s">
        <v>85</v>
      </c>
      <c r="D79" s="10" t="s">
        <v>296</v>
      </c>
      <c r="E79" s="11" t="s">
        <v>42</v>
      </c>
    </row>
    <row r="80" spans="1:5" x14ac:dyDescent="0.3">
      <c r="A80" s="1" t="s">
        <v>116</v>
      </c>
      <c r="B80" s="1" t="s">
        <v>292</v>
      </c>
      <c r="C80" s="1" t="s">
        <v>85</v>
      </c>
      <c r="D80" s="10" t="s">
        <v>287</v>
      </c>
      <c r="E80" s="11" t="s">
        <v>43</v>
      </c>
    </row>
    <row r="81" spans="1:5" x14ac:dyDescent="0.3">
      <c r="A81" s="1" t="s">
        <v>116</v>
      </c>
      <c r="B81" s="1" t="s">
        <v>292</v>
      </c>
      <c r="C81" s="1" t="s">
        <v>44</v>
      </c>
      <c r="D81" s="10" t="s">
        <v>229</v>
      </c>
      <c r="E81" s="11" t="s">
        <v>128</v>
      </c>
    </row>
    <row r="82" spans="1:5" x14ac:dyDescent="0.3">
      <c r="A82" s="1" t="s">
        <v>116</v>
      </c>
      <c r="B82" s="1" t="s">
        <v>292</v>
      </c>
      <c r="C82" s="1" t="s">
        <v>290</v>
      </c>
      <c r="D82" s="10" t="s">
        <v>232</v>
      </c>
      <c r="E82" s="11" t="s">
        <v>233</v>
      </c>
    </row>
    <row r="83" spans="1:5" x14ac:dyDescent="0.3">
      <c r="A83" s="1" t="s">
        <v>116</v>
      </c>
      <c r="B83" s="1" t="s">
        <v>292</v>
      </c>
      <c r="C83" s="1" t="s">
        <v>87</v>
      </c>
      <c r="D83" s="10" t="s">
        <v>312</v>
      </c>
      <c r="E83" s="11" t="s">
        <v>165</v>
      </c>
    </row>
    <row r="84" spans="1:5" x14ac:dyDescent="0.3">
      <c r="A84" s="1" t="s">
        <v>116</v>
      </c>
      <c r="B84" s="1" t="s">
        <v>292</v>
      </c>
      <c r="C84" s="1" t="s">
        <v>87</v>
      </c>
      <c r="D84" s="10" t="s">
        <v>231</v>
      </c>
      <c r="E84" s="11" t="s">
        <v>130</v>
      </c>
    </row>
    <row r="85" spans="1:5" x14ac:dyDescent="0.3">
      <c r="A85" s="1" t="s">
        <v>116</v>
      </c>
      <c r="B85" s="1" t="s">
        <v>293</v>
      </c>
      <c r="C85" s="1" t="s">
        <v>84</v>
      </c>
      <c r="D85" s="10" t="s">
        <v>301</v>
      </c>
      <c r="E85" s="11" t="s">
        <v>167</v>
      </c>
    </row>
    <row r="86" spans="1:5" x14ac:dyDescent="0.3">
      <c r="A86" s="1" t="s">
        <v>116</v>
      </c>
      <c r="B86" s="1" t="s">
        <v>293</v>
      </c>
      <c r="C86" s="1" t="s">
        <v>84</v>
      </c>
      <c r="D86" s="10" t="s">
        <v>316</v>
      </c>
      <c r="E86" s="11" t="s">
        <v>317</v>
      </c>
    </row>
    <row r="87" spans="1:5" x14ac:dyDescent="0.3">
      <c r="A87" s="1" t="s">
        <v>116</v>
      </c>
      <c r="B87" s="1" t="s">
        <v>293</v>
      </c>
      <c r="C87" s="1" t="s">
        <v>85</v>
      </c>
      <c r="D87" s="10" t="s">
        <v>242</v>
      </c>
      <c r="E87" s="11" t="s">
        <v>42</v>
      </c>
    </row>
    <row r="88" spans="1:5" x14ac:dyDescent="0.3">
      <c r="A88" s="1" t="s">
        <v>116</v>
      </c>
      <c r="B88" s="1" t="s">
        <v>293</v>
      </c>
      <c r="C88" s="1" t="s">
        <v>44</v>
      </c>
      <c r="D88" s="10" t="s">
        <v>244</v>
      </c>
      <c r="E88" s="11" t="s">
        <v>246</v>
      </c>
    </row>
    <row r="89" spans="1:5" x14ac:dyDescent="0.3">
      <c r="A89" s="1" t="s">
        <v>116</v>
      </c>
      <c r="B89" s="1" t="s">
        <v>293</v>
      </c>
      <c r="C89" s="1" t="s">
        <v>44</v>
      </c>
      <c r="D89" s="10" t="s">
        <v>302</v>
      </c>
      <c r="E89" s="11" t="s">
        <v>303</v>
      </c>
    </row>
    <row r="90" spans="1:5" x14ac:dyDescent="0.3">
      <c r="A90" s="1" t="s">
        <v>116</v>
      </c>
      <c r="B90" s="1" t="s">
        <v>293</v>
      </c>
      <c r="C90" s="1" t="s">
        <v>290</v>
      </c>
      <c r="D90" s="10" t="s">
        <v>318</v>
      </c>
      <c r="E90" s="11" t="s">
        <v>319</v>
      </c>
    </row>
    <row r="91" spans="1:5" x14ac:dyDescent="0.3">
      <c r="A91" s="1" t="s">
        <v>116</v>
      </c>
      <c r="B91" s="1" t="s">
        <v>293</v>
      </c>
      <c r="C91" s="1" t="s">
        <v>87</v>
      </c>
      <c r="D91" s="10" t="s">
        <v>320</v>
      </c>
      <c r="E91" s="11" t="s">
        <v>130</v>
      </c>
    </row>
    <row r="92" spans="1:5" x14ac:dyDescent="0.3">
      <c r="A92" s="1" t="s">
        <v>116</v>
      </c>
      <c r="B92" s="1" t="s">
        <v>293</v>
      </c>
      <c r="C92" s="1" t="s">
        <v>87</v>
      </c>
      <c r="D92" s="10" t="s">
        <v>321</v>
      </c>
      <c r="E92" s="11" t="s">
        <v>172</v>
      </c>
    </row>
    <row r="93" spans="1:5" x14ac:dyDescent="0.3">
      <c r="A93" s="1" t="s">
        <v>116</v>
      </c>
      <c r="B93" s="1" t="s">
        <v>293</v>
      </c>
      <c r="C93" s="1" t="s">
        <v>328</v>
      </c>
      <c r="D93" s="10" t="s">
        <v>322</v>
      </c>
      <c r="E93" s="11" t="s">
        <v>89</v>
      </c>
    </row>
    <row r="94" spans="1:5" x14ac:dyDescent="0.3">
      <c r="A94" s="1" t="s">
        <v>116</v>
      </c>
      <c r="B94" s="1" t="s">
        <v>293</v>
      </c>
      <c r="C94" s="1" t="s">
        <v>328</v>
      </c>
      <c r="D94" s="10" t="s">
        <v>323</v>
      </c>
      <c r="E94" s="11" t="s">
        <v>67</v>
      </c>
    </row>
    <row r="95" spans="1:5" x14ac:dyDescent="0.3">
      <c r="A95" s="1" t="s">
        <v>116</v>
      </c>
      <c r="B95" s="1" t="s">
        <v>293</v>
      </c>
      <c r="C95" s="11" t="s">
        <v>176</v>
      </c>
      <c r="D95" s="10" t="s">
        <v>308</v>
      </c>
      <c r="E95" s="11" t="s">
        <v>176</v>
      </c>
    </row>
    <row r="96" spans="1:5" x14ac:dyDescent="0.3">
      <c r="A96" s="1" t="s">
        <v>116</v>
      </c>
      <c r="B96" s="1" t="s">
        <v>293</v>
      </c>
      <c r="C96" s="11" t="s">
        <v>140</v>
      </c>
      <c r="D96" s="10" t="s">
        <v>324</v>
      </c>
      <c r="E96" s="11" t="s">
        <v>140</v>
      </c>
    </row>
    <row r="97" spans="1:5" x14ac:dyDescent="0.3">
      <c r="A97" s="1" t="s">
        <v>116</v>
      </c>
      <c r="B97" s="1" t="s">
        <v>293</v>
      </c>
      <c r="C97" s="11" t="s">
        <v>310</v>
      </c>
      <c r="D97" s="10" t="s">
        <v>325</v>
      </c>
      <c r="E97" s="11" t="s">
        <v>310</v>
      </c>
    </row>
    <row r="98" spans="1:5" x14ac:dyDescent="0.3">
      <c r="A98" s="1" t="s">
        <v>116</v>
      </c>
      <c r="B98" s="1" t="s">
        <v>146</v>
      </c>
      <c r="C98" s="11" t="s">
        <v>285</v>
      </c>
      <c r="D98" s="10" t="s">
        <v>271</v>
      </c>
      <c r="E98" s="11" t="s">
        <v>285</v>
      </c>
    </row>
    <row r="99" spans="1:5" x14ac:dyDescent="0.3">
      <c r="A99" s="1" t="s">
        <v>116</v>
      </c>
      <c r="B99" s="1" t="s">
        <v>146</v>
      </c>
      <c r="C99" s="11" t="s">
        <v>90</v>
      </c>
      <c r="D99" s="10" t="s">
        <v>298</v>
      </c>
      <c r="E99" s="11" t="s">
        <v>142</v>
      </c>
    </row>
    <row r="100" spans="1:5" x14ac:dyDescent="0.3">
      <c r="A100" s="1" t="s">
        <v>116</v>
      </c>
      <c r="B100" s="1" t="s">
        <v>146</v>
      </c>
      <c r="C100" s="11" t="s">
        <v>90</v>
      </c>
      <c r="D100" s="10" t="s">
        <v>237</v>
      </c>
      <c r="E100" s="11" t="s">
        <v>143</v>
      </c>
    </row>
    <row r="101" spans="1:5" x14ac:dyDescent="0.3">
      <c r="A101" s="1" t="s">
        <v>116</v>
      </c>
      <c r="B101" s="1" t="s">
        <v>146</v>
      </c>
      <c r="C101" s="11" t="s">
        <v>90</v>
      </c>
      <c r="D101" s="10" t="s">
        <v>326</v>
      </c>
      <c r="E101" s="11" t="s">
        <v>327</v>
      </c>
    </row>
    <row r="102" spans="1:5" x14ac:dyDescent="0.3">
      <c r="A102" s="1" t="s">
        <v>116</v>
      </c>
      <c r="B102" s="1" t="s">
        <v>146</v>
      </c>
      <c r="C102" s="11" t="s">
        <v>90</v>
      </c>
      <c r="D102" s="10" t="s">
        <v>286</v>
      </c>
      <c r="E102" s="11" t="s">
        <v>180</v>
      </c>
    </row>
    <row r="103" spans="1:5" x14ac:dyDescent="0.3">
      <c r="A103" s="14" t="s">
        <v>188</v>
      </c>
      <c r="B103" s="1" t="s">
        <v>292</v>
      </c>
      <c r="C103" s="1" t="s">
        <v>84</v>
      </c>
      <c r="D103" s="1" t="s">
        <v>295</v>
      </c>
      <c r="E103" s="1" t="s">
        <v>39</v>
      </c>
    </row>
    <row r="104" spans="1:5" x14ac:dyDescent="0.3">
      <c r="A104" s="14" t="s">
        <v>188</v>
      </c>
      <c r="B104" s="1" t="s">
        <v>292</v>
      </c>
      <c r="C104" s="1" t="s">
        <v>84</v>
      </c>
      <c r="D104" s="1" t="s">
        <v>225</v>
      </c>
      <c r="E104" s="1" t="s">
        <v>329</v>
      </c>
    </row>
    <row r="105" spans="1:5" x14ac:dyDescent="0.3">
      <c r="A105" s="14" t="s">
        <v>188</v>
      </c>
      <c r="B105" s="1" t="s">
        <v>292</v>
      </c>
      <c r="C105" s="1" t="s">
        <v>85</v>
      </c>
      <c r="D105" s="1" t="s">
        <v>297</v>
      </c>
      <c r="E105" s="1" t="s">
        <v>42</v>
      </c>
    </row>
    <row r="106" spans="1:5" x14ac:dyDescent="0.3">
      <c r="A106" s="14" t="s">
        <v>188</v>
      </c>
      <c r="B106" s="1" t="s">
        <v>292</v>
      </c>
      <c r="C106" s="1" t="s">
        <v>85</v>
      </c>
      <c r="D106" s="1" t="s">
        <v>296</v>
      </c>
      <c r="E106" s="1" t="s">
        <v>43</v>
      </c>
    </row>
    <row r="107" spans="1:5" x14ac:dyDescent="0.3">
      <c r="A107" s="14" t="s">
        <v>188</v>
      </c>
      <c r="B107" s="1" t="s">
        <v>292</v>
      </c>
      <c r="C107" s="1" t="s">
        <v>44</v>
      </c>
      <c r="D107" s="1" t="s">
        <v>298</v>
      </c>
      <c r="E107" s="1" t="s">
        <v>128</v>
      </c>
    </row>
    <row r="108" spans="1:5" x14ac:dyDescent="0.3">
      <c r="A108" s="14" t="s">
        <v>188</v>
      </c>
      <c r="B108" s="1" t="s">
        <v>292</v>
      </c>
      <c r="C108" s="1" t="s">
        <v>290</v>
      </c>
      <c r="D108" s="1" t="s">
        <v>227</v>
      </c>
      <c r="E108" s="1" t="s">
        <v>233</v>
      </c>
    </row>
    <row r="109" spans="1:5" x14ac:dyDescent="0.3">
      <c r="A109" s="14" t="s">
        <v>188</v>
      </c>
      <c r="B109" s="1" t="s">
        <v>292</v>
      </c>
      <c r="C109" s="1" t="s">
        <v>87</v>
      </c>
      <c r="D109" s="1" t="s">
        <v>330</v>
      </c>
      <c r="E109" s="1" t="s">
        <v>46</v>
      </c>
    </row>
    <row r="110" spans="1:5" x14ac:dyDescent="0.3">
      <c r="A110" s="14" t="s">
        <v>188</v>
      </c>
      <c r="B110" s="1" t="s">
        <v>293</v>
      </c>
      <c r="C110" s="1" t="s">
        <v>84</v>
      </c>
      <c r="D110" s="1" t="s">
        <v>331</v>
      </c>
      <c r="E110" s="1" t="s">
        <v>50</v>
      </c>
    </row>
    <row r="111" spans="1:5" x14ac:dyDescent="0.3">
      <c r="A111" s="14" t="s">
        <v>188</v>
      </c>
      <c r="B111" s="1" t="s">
        <v>293</v>
      </c>
      <c r="C111" s="1" t="s">
        <v>84</v>
      </c>
      <c r="D111" s="1" t="s">
        <v>299</v>
      </c>
      <c r="E111" s="1" t="s">
        <v>300</v>
      </c>
    </row>
    <row r="112" spans="1:5" x14ac:dyDescent="0.3">
      <c r="A112" s="14" t="s">
        <v>188</v>
      </c>
      <c r="B112" s="1" t="s">
        <v>293</v>
      </c>
      <c r="C112" s="1" t="s">
        <v>85</v>
      </c>
      <c r="D112" s="1" t="s">
        <v>245</v>
      </c>
      <c r="E112" s="1" t="s">
        <v>51</v>
      </c>
    </row>
    <row r="113" spans="1:5" x14ac:dyDescent="0.3">
      <c r="A113" s="14" t="s">
        <v>188</v>
      </c>
      <c r="B113" s="1" t="s">
        <v>293</v>
      </c>
      <c r="C113" s="1" t="s">
        <v>44</v>
      </c>
      <c r="D113" s="1" t="s">
        <v>244</v>
      </c>
      <c r="E113" s="1" t="s">
        <v>132</v>
      </c>
    </row>
    <row r="114" spans="1:5" x14ac:dyDescent="0.3">
      <c r="A114" s="14" t="s">
        <v>188</v>
      </c>
      <c r="B114" s="1" t="s">
        <v>293</v>
      </c>
      <c r="C114" s="1" t="s">
        <v>44</v>
      </c>
      <c r="D114" s="1" t="s">
        <v>302</v>
      </c>
      <c r="E114" s="1" t="s">
        <v>303</v>
      </c>
    </row>
    <row r="115" spans="1:5" x14ac:dyDescent="0.3">
      <c r="A115" s="14" t="s">
        <v>188</v>
      </c>
      <c r="B115" s="1" t="s">
        <v>293</v>
      </c>
      <c r="C115" s="1" t="s">
        <v>290</v>
      </c>
      <c r="D115" s="1" t="s">
        <v>251</v>
      </c>
      <c r="E115" s="1" t="s">
        <v>252</v>
      </c>
    </row>
    <row r="116" spans="1:5" x14ac:dyDescent="0.3">
      <c r="A116" s="14" t="s">
        <v>188</v>
      </c>
      <c r="B116" s="1" t="s">
        <v>293</v>
      </c>
      <c r="C116" s="1" t="s">
        <v>87</v>
      </c>
      <c r="D116" s="1" t="s">
        <v>304</v>
      </c>
      <c r="E116" s="1" t="s">
        <v>305</v>
      </c>
    </row>
    <row r="117" spans="1:5" x14ac:dyDescent="0.3">
      <c r="A117" s="14" t="s">
        <v>188</v>
      </c>
      <c r="B117" s="1" t="s">
        <v>293</v>
      </c>
      <c r="C117" s="1" t="s">
        <v>328</v>
      </c>
      <c r="D117" s="1" t="s">
        <v>306</v>
      </c>
      <c r="E117" s="1" t="s">
        <v>139</v>
      </c>
    </row>
    <row r="118" spans="1:5" x14ac:dyDescent="0.3">
      <c r="A118" s="14" t="s">
        <v>188</v>
      </c>
      <c r="B118" s="1" t="s">
        <v>293</v>
      </c>
      <c r="C118" s="1" t="s">
        <v>328</v>
      </c>
      <c r="D118" s="1" t="s">
        <v>271</v>
      </c>
      <c r="E118" s="1" t="s">
        <v>67</v>
      </c>
    </row>
    <row r="119" spans="1:5" x14ac:dyDescent="0.3">
      <c r="A119" s="14" t="s">
        <v>188</v>
      </c>
      <c r="B119" s="1" t="s">
        <v>293</v>
      </c>
      <c r="C119" s="12" t="s">
        <v>176</v>
      </c>
      <c r="D119" s="1" t="s">
        <v>308</v>
      </c>
      <c r="E119" s="1" t="s">
        <v>176</v>
      </c>
    </row>
    <row r="120" spans="1:5" x14ac:dyDescent="0.3">
      <c r="A120" s="14" t="s">
        <v>188</v>
      </c>
      <c r="B120" s="1" t="s">
        <v>293</v>
      </c>
      <c r="C120" s="13" t="s">
        <v>140</v>
      </c>
      <c r="D120" s="1" t="s">
        <v>279</v>
      </c>
      <c r="E120" s="1" t="s">
        <v>332</v>
      </c>
    </row>
    <row r="121" spans="1:5" x14ac:dyDescent="0.3">
      <c r="A121" s="14" t="s">
        <v>188</v>
      </c>
      <c r="B121" s="1" t="s">
        <v>293</v>
      </c>
      <c r="C121" s="12" t="s">
        <v>310</v>
      </c>
      <c r="D121" s="1" t="s">
        <v>333</v>
      </c>
      <c r="E121" s="1" t="s">
        <v>310</v>
      </c>
    </row>
    <row r="122" spans="1:5" x14ac:dyDescent="0.3">
      <c r="A122" s="14" t="s">
        <v>188</v>
      </c>
      <c r="B122" s="1" t="s">
        <v>146</v>
      </c>
      <c r="C122" s="1" t="s">
        <v>90</v>
      </c>
      <c r="D122" s="1" t="s">
        <v>232</v>
      </c>
      <c r="E122" s="1" t="s">
        <v>142</v>
      </c>
    </row>
    <row r="123" spans="1:5" x14ac:dyDescent="0.3">
      <c r="A123" s="14" t="s">
        <v>188</v>
      </c>
      <c r="B123" s="1" t="s">
        <v>146</v>
      </c>
      <c r="C123" s="1" t="s">
        <v>90</v>
      </c>
      <c r="D123" s="1" t="s">
        <v>312</v>
      </c>
      <c r="E123" s="1" t="s">
        <v>143</v>
      </c>
    </row>
    <row r="124" spans="1:5" x14ac:dyDescent="0.3">
      <c r="A124" s="14" t="s">
        <v>188</v>
      </c>
      <c r="B124" s="1" t="s">
        <v>146</v>
      </c>
      <c r="C124" s="1" t="s">
        <v>90</v>
      </c>
      <c r="D124" s="1" t="s">
        <v>284</v>
      </c>
      <c r="E124" s="1" t="s">
        <v>334</v>
      </c>
    </row>
  </sheetData>
  <conditionalFormatting sqref="A1:C1">
    <cfRule type="containsText" dxfId="17" priority="15" operator="containsText" text="CIUDAD DE MÉXICO">
      <formula>NOT(ISERROR(SEARCH("CIUDAD DE MÉXICO",A1)))</formula>
    </cfRule>
    <cfRule type="containsText" dxfId="16" priority="16" operator="containsText" text="GUADALAJARA">
      <formula>NOT(ISERROR(SEARCH("GUADALAJARA",A1)))</formula>
    </cfRule>
    <cfRule type="containsText" dxfId="15" priority="17" operator="containsText" text="NORESTE">
      <formula>NOT(ISERROR(SEARCH("NORESTE",A1)))</formula>
    </cfRule>
    <cfRule type="containsText" dxfId="14" priority="18" operator="containsText" text="NOROESTE">
      <formula>NOT(ISERROR(SEARCH("NOROESTE",A1)))</formula>
    </cfRule>
  </conditionalFormatting>
  <conditionalFormatting sqref="A2:A53">
    <cfRule type="containsText" dxfId="13" priority="11" operator="containsText" text="CIUDAD DE MÉXICO">
      <formula>NOT(ISERROR(SEARCH("CIUDAD DE MÉXICO",A2)))</formula>
    </cfRule>
    <cfRule type="containsText" dxfId="12" priority="12" operator="containsText" text="GUADALAJARA">
      <formula>NOT(ISERROR(SEARCH("GUADALAJARA",A2)))</formula>
    </cfRule>
    <cfRule type="containsText" dxfId="11" priority="13" operator="containsText" text="NORESTE">
      <formula>NOT(ISERROR(SEARCH("NORESTE",A2)))</formula>
    </cfRule>
    <cfRule type="containsText" dxfId="10" priority="14" operator="containsText" text="NOROESTE">
      <formula>NOT(ISERROR(SEARCH("NOROESTE",A2)))</formula>
    </cfRule>
  </conditionalFormatting>
  <conditionalFormatting sqref="A54:A76">
    <cfRule type="containsText" dxfId="9" priority="7" operator="containsText" text="CIUDAD DE MÉXICO">
      <formula>NOT(ISERROR(SEARCH("CIUDAD DE MÉXICO",A54)))</formula>
    </cfRule>
    <cfRule type="containsText" dxfId="8" priority="8" operator="containsText" text="GUADALAJARA">
      <formula>NOT(ISERROR(SEARCH("GUADALAJARA",A54)))</formula>
    </cfRule>
    <cfRule type="containsText" dxfId="7" priority="9" operator="containsText" text="NORESTE">
      <formula>NOT(ISERROR(SEARCH("NORESTE",A54)))</formula>
    </cfRule>
    <cfRule type="containsText" dxfId="6" priority="10" operator="containsText" text="NOROESTE">
      <formula>NOT(ISERROR(SEARCH("NOROESTE",A54)))</formula>
    </cfRule>
  </conditionalFormatting>
  <conditionalFormatting sqref="A77:A124">
    <cfRule type="containsText" dxfId="5" priority="3" operator="containsText" text="CIUDAD DE MÉXICO">
      <formula>NOT(ISERROR(SEARCH("CIUDAD DE MÉXICO",A77)))</formula>
    </cfRule>
    <cfRule type="containsText" dxfId="4" priority="4" operator="containsText" text="GUADALAJARA">
      <formula>NOT(ISERROR(SEARCH("GUADALAJARA",A77)))</formula>
    </cfRule>
    <cfRule type="containsText" dxfId="3" priority="5" operator="containsText" text="NORESTE">
      <formula>NOT(ISERROR(SEARCH("NORESTE",A77)))</formula>
    </cfRule>
    <cfRule type="containsText" dxfId="2" priority="6" operator="containsText" text="NOROESTE">
      <formula>NOT(ISERROR(SEARCH("NOROESTE",A77)))</formula>
    </cfRule>
  </conditionalFormatting>
  <conditionalFormatting sqref="E77:E102">
    <cfRule type="duplicateValues" dxfId="1" priority="2"/>
  </conditionalFormatting>
  <conditionalFormatting sqref="C95:C10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SUMMARY</vt:lpstr>
      <vt:lpstr>SUMA DE VARIAS SECCIONES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guevara</dc:creator>
  <cp:lastModifiedBy>sophie guevara</cp:lastModifiedBy>
  <dcterms:created xsi:type="dcterms:W3CDTF">2025-12-02T04:47:59Z</dcterms:created>
  <dcterms:modified xsi:type="dcterms:W3CDTF">2025-12-03T00:03:59Z</dcterms:modified>
</cp:coreProperties>
</file>