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26530164-228A-4C0F-93E1-725F8C1A3E43}" xr6:coauthVersionLast="47" xr6:coauthVersionMax="47" xr10:uidLastSave="{00000000-0000-0000-0000-000000000000}"/>
  <bookViews>
    <workbookView xWindow="-108" yWindow="-108" windowWidth="23256" windowHeight="13896" firstSheet="5" activeTab="7" xr2:uid="{36E9A0F6-4D31-41DF-861A-3E6AB8BAA0D2}"/>
  </bookViews>
  <sheets>
    <sheet name="SUMMARY Ciudad de México " sheetId="1" r:id="rId1"/>
    <sheet name="SUMMARY GUADALAJARA" sheetId="5" r:id="rId2"/>
    <sheet name="SUMMARY NOROESTE" sheetId="6" r:id="rId3"/>
    <sheet name="SUMAS CIUDAD DE MEXICO" sheetId="2" r:id="rId4"/>
    <sheet name="SUMAS GUADALAJARA" sheetId="7" r:id="rId5"/>
    <sheet name="SUMAS NORORESTE" sheetId="9" r:id="rId6"/>
    <sheet name="CDMX SUMAS" sheetId="3" r:id="rId7"/>
    <sheet name="net cdmx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9" l="1"/>
  <c r="B6" i="9"/>
  <c r="B7" i="9"/>
  <c r="B8" i="9"/>
  <c r="B9" i="9"/>
  <c r="B10" i="9"/>
  <c r="B11" i="9"/>
  <c r="B5" i="9"/>
  <c r="B3" i="9"/>
  <c r="B4" i="9"/>
  <c r="B2" i="9"/>
  <c r="B6" i="7" l="1"/>
  <c r="B7" i="7"/>
  <c r="B8" i="7"/>
  <c r="B9" i="7"/>
  <c r="B10" i="7"/>
  <c r="B11" i="7"/>
  <c r="B5" i="7"/>
  <c r="B3" i="7"/>
  <c r="B4" i="7"/>
  <c r="B2" i="7"/>
  <c r="B18" i="2" l="1"/>
  <c r="B19" i="2"/>
  <c r="B20" i="2"/>
  <c r="B17" i="2"/>
  <c r="B9" i="2"/>
  <c r="B10" i="2"/>
  <c r="B11" i="2"/>
  <c r="B12" i="2"/>
  <c r="B13" i="2"/>
  <c r="B14" i="2"/>
  <c r="B15" i="2"/>
  <c r="B16" i="2"/>
  <c r="B8" i="2"/>
  <c r="B3" i="2"/>
  <c r="B4" i="2"/>
  <c r="B5" i="2"/>
  <c r="B6" i="2"/>
  <c r="B7" i="2"/>
  <c r="B2" i="2"/>
</calcChain>
</file>

<file path=xl/sharedStrings.xml><?xml version="1.0" encoding="utf-8"?>
<sst xmlns="http://schemas.openxmlformats.org/spreadsheetml/2006/main" count="969" uniqueCount="228">
  <si>
    <t>401000000000000000001</t>
  </si>
  <si>
    <t>402000000000000000001</t>
  </si>
  <si>
    <t>412000000000000000001</t>
  </si>
  <si>
    <t>407000000000000000001</t>
  </si>
  <si>
    <t>408000000000000000001</t>
  </si>
  <si>
    <t>417000000000000000001</t>
  </si>
  <si>
    <t>403000000000000000001</t>
  </si>
  <si>
    <t>409000000000000000001</t>
  </si>
  <si>
    <t>406000000000000000001</t>
  </si>
  <si>
    <t>450001000000000000002</t>
  </si>
  <si>
    <t>450002000000000000002</t>
  </si>
  <si>
    <t>705000000000000000001</t>
  </si>
  <si>
    <t>701000000000000000001</t>
  </si>
  <si>
    <t>702000000000000000001</t>
  </si>
  <si>
    <t>704000000000000000001</t>
  </si>
  <si>
    <t>601000000000000000001</t>
  </si>
  <si>
    <t>801001000000000000002</t>
  </si>
  <si>
    <t>801002000000000000002</t>
  </si>
  <si>
    <t>801003000000000000002</t>
  </si>
  <si>
    <t>801004000000000000002</t>
  </si>
  <si>
    <t>801005000000000000002</t>
  </si>
  <si>
    <t>801006000000000000002</t>
  </si>
  <si>
    <t>801007000000000000002</t>
  </si>
  <si>
    <t>801008000000000000002</t>
  </si>
  <si>
    <t>801009000000000000002</t>
  </si>
  <si>
    <t>801010000000000000002</t>
  </si>
  <si>
    <t>801011000000000000002</t>
  </si>
  <si>
    <t>801012000000000000002</t>
  </si>
  <si>
    <t>801013000000000000002</t>
  </si>
  <si>
    <t>901000000000000000001</t>
  </si>
  <si>
    <t>513000000000000000001</t>
  </si>
  <si>
    <t>517000000000000000001</t>
  </si>
  <si>
    <t>516000000000000000001</t>
  </si>
  <si>
    <t>519000000000000000001</t>
  </si>
  <si>
    <t>515000000000000000001</t>
  </si>
  <si>
    <t>518000000000000000001</t>
  </si>
  <si>
    <t>514000000000000000001</t>
  </si>
  <si>
    <t>950001002000000000003</t>
  </si>
  <si>
    <t>950002002000000000003</t>
  </si>
  <si>
    <t>Cuentas</t>
  </si>
  <si>
    <t>Cuotas Netas</t>
  </si>
  <si>
    <t>Ingresos socios nuevos</t>
  </si>
  <si>
    <t>Economex</t>
  </si>
  <si>
    <t>Eventos</t>
  </si>
  <si>
    <t>Patrocinios</t>
  </si>
  <si>
    <t>Committees</t>
  </si>
  <si>
    <t>Patrocinios por Comites</t>
  </si>
  <si>
    <t>Venta Publicaciones</t>
  </si>
  <si>
    <t>Bolsa de Trabajo</t>
  </si>
  <si>
    <t>Guadalajara Income</t>
  </si>
  <si>
    <t>Monterrey Income</t>
  </si>
  <si>
    <t>Gastos Promoción</t>
  </si>
  <si>
    <t>Costo Eventos</t>
  </si>
  <si>
    <t>Servicio a la membresia</t>
  </si>
  <si>
    <t>Portafolio Económico</t>
  </si>
  <si>
    <t>Costo  directo de publicaciones</t>
  </si>
  <si>
    <t>Desarrollo de Negocios</t>
  </si>
  <si>
    <t>Relaciones Externas</t>
  </si>
  <si>
    <t>Servicios a las membresia</t>
  </si>
  <si>
    <t>Vicepresidencia</t>
  </si>
  <si>
    <t>Finanzas</t>
  </si>
  <si>
    <t>Administración</t>
  </si>
  <si>
    <t>Sistemas</t>
  </si>
  <si>
    <t>Empleos</t>
  </si>
  <si>
    <t>Servicios Generakes (Almacén)</t>
  </si>
  <si>
    <t>Comites</t>
  </si>
  <si>
    <t>Renta de Salas</t>
  </si>
  <si>
    <t>Comunicación</t>
  </si>
  <si>
    <t>Gastos Generales</t>
  </si>
  <si>
    <t>Nomina Vicepresidencia</t>
  </si>
  <si>
    <t>Nomina Desarrollo de Negocios</t>
  </si>
  <si>
    <t>Nomina Comites y Relaciones Externas</t>
  </si>
  <si>
    <t>Nomina Comunicación</t>
  </si>
  <si>
    <t>Nomina Servicios a la Membresia</t>
  </si>
  <si>
    <t>Nomina Eventos y Mercadotecnia</t>
  </si>
  <si>
    <t>Gastos Guadalajara</t>
  </si>
  <si>
    <t>Gastos Monterrey</t>
  </si>
  <si>
    <t>Otros Ingresos</t>
  </si>
  <si>
    <t>Intereses Bancos</t>
  </si>
  <si>
    <t>Utilidad Cambiaria Inversiones</t>
  </si>
  <si>
    <t xml:space="preserve">Plusvalia/Minusvalia Portafolio Inversiones </t>
  </si>
  <si>
    <t>413000000000000000001</t>
  </si>
  <si>
    <t>414000000000000000001</t>
  </si>
  <si>
    <t>416000000000000000001</t>
  </si>
  <si>
    <t>418000000000000000001</t>
  </si>
  <si>
    <t>Descripción</t>
  </si>
  <si>
    <t>Sección</t>
  </si>
  <si>
    <t>Membership</t>
  </si>
  <si>
    <t>Events</t>
  </si>
  <si>
    <t>CDMX Income</t>
  </si>
  <si>
    <t>SECCIÓN MAYOR</t>
  </si>
  <si>
    <t>Services to Members</t>
  </si>
  <si>
    <t>CDMX Expense</t>
  </si>
  <si>
    <t>Gastos administrativos</t>
  </si>
  <si>
    <t>Other</t>
  </si>
  <si>
    <t>Gastos de Nomina</t>
  </si>
  <si>
    <t>Nomina Administración y Finanzas</t>
  </si>
  <si>
    <t>Guadalajara Expense</t>
  </si>
  <si>
    <t>Monterrey Expense</t>
  </si>
  <si>
    <t>México  Other Income</t>
  </si>
  <si>
    <t>Other Income</t>
  </si>
  <si>
    <t>Capítulo</t>
  </si>
  <si>
    <t>Guadalajara Other Income</t>
  </si>
  <si>
    <t>Monterrey Other Income</t>
  </si>
  <si>
    <t>Northwest  Other Income</t>
  </si>
  <si>
    <t>Ciudad de México</t>
  </si>
  <si>
    <t>Clase</t>
  </si>
  <si>
    <t>operación</t>
  </si>
  <si>
    <t>sumar</t>
  </si>
  <si>
    <t xml:space="preserve">CONSOLIDATED INCOME </t>
  </si>
  <si>
    <t>suma</t>
  </si>
  <si>
    <t>CONSOLIDATED EXPENSES</t>
  </si>
  <si>
    <t>OPERATING RESULTS  MEXICO</t>
  </si>
  <si>
    <t>resta</t>
  </si>
  <si>
    <t>OPERATING RESULTS GUADALAJARA</t>
  </si>
  <si>
    <t>OPERATING RESULTS MONTERREY</t>
  </si>
  <si>
    <t xml:space="preserve">CONSOLIDATED OPERATING RESULTS </t>
  </si>
  <si>
    <t>NET RESULTS  MEXICO</t>
  </si>
  <si>
    <t>NET RESULTS GUADALAJARA</t>
  </si>
  <si>
    <t>NET RESULTS MONTERREY</t>
  </si>
  <si>
    <t>NET RESULTS NORTHWEST</t>
  </si>
  <si>
    <t>OPERATING RESULTS NORTHWEST</t>
  </si>
  <si>
    <t>Sección Base</t>
  </si>
  <si>
    <t>RESUMEN N1 (Capítulo)</t>
  </si>
  <si>
    <t>RESUMEN N2 (Consol. Tipo)</t>
  </si>
  <si>
    <t>RESUMEN N3 (Resultado Op. Capítulo)</t>
  </si>
  <si>
    <t>RESUMEN N4 (Resultado Neto)</t>
  </si>
  <si>
    <t>RESUMEN N5 (Consol. Final)</t>
  </si>
  <si>
    <t>Op N1</t>
  </si>
  <si>
    <t>Op N2</t>
  </si>
  <si>
    <t>Op N3</t>
  </si>
  <si>
    <t>Op N4</t>
  </si>
  <si>
    <t>Op N5</t>
  </si>
  <si>
    <t>CIUDAD DE MÉXICO</t>
  </si>
  <si>
    <t>income</t>
  </si>
  <si>
    <t>CONSOLIDATED INCOME</t>
  </si>
  <si>
    <t>OPERATING RESULTS MEXICO</t>
  </si>
  <si>
    <t>(Vacío)</t>
  </si>
  <si>
    <t>CONSOLIDATED OPERATING RESULTS</t>
  </si>
  <si>
    <t>+</t>
  </si>
  <si>
    <t>expense</t>
  </si>
  <si>
    <t>-</t>
  </si>
  <si>
    <t>other-income</t>
  </si>
  <si>
    <t>México Other Income</t>
  </si>
  <si>
    <t>CDMX Other Income</t>
  </si>
  <si>
    <t>NET RESULTS MEXICO</t>
  </si>
  <si>
    <t>RESUMEN N1</t>
  </si>
  <si>
    <t>RESUMEN N3</t>
  </si>
  <si>
    <t>RESUMEN N4</t>
  </si>
  <si>
    <t>CDMX Income/Expense/Other Income</t>
  </si>
  <si>
    <t>GUADALAJARA</t>
  </si>
  <si>
    <t>Guadalajara Income/Expense/Other Income</t>
  </si>
  <si>
    <t>NOROESTE (MONTERREY)</t>
  </si>
  <si>
    <t>Noroeste Income/Expense/Other Income</t>
  </si>
  <si>
    <t>OPERATING RESULTS NOROESTE</t>
  </si>
  <si>
    <t>NET RESULTS NOROESTE</t>
  </si>
  <si>
    <t>NORESTE</t>
  </si>
  <si>
    <t>Noreste Income/Expense/Other Income</t>
  </si>
  <si>
    <t>OPERATING RESULTS NORESTE</t>
  </si>
  <si>
    <t>NET RESULTS NORESTE</t>
  </si>
  <si>
    <t>400000000000000000001</t>
  </si>
  <si>
    <t>404000000000000000001</t>
  </si>
  <si>
    <t>405000000000000000001</t>
  </si>
  <si>
    <t>502000000000000000001</t>
  </si>
  <si>
    <t>902000000000000000001</t>
  </si>
  <si>
    <t>904000000000000000001</t>
  </si>
  <si>
    <t>501000000000000000001</t>
  </si>
  <si>
    <t>801000000000000000001</t>
  </si>
  <si>
    <t>903000000000000000001</t>
  </si>
  <si>
    <t>903016000000000000002</t>
  </si>
  <si>
    <t>410000000000000000001</t>
  </si>
  <si>
    <t>Comités</t>
  </si>
  <si>
    <t>Publicidad</t>
  </si>
  <si>
    <t>Visas</t>
  </si>
  <si>
    <t>Información comercial</t>
  </si>
  <si>
    <t>Costo comités</t>
  </si>
  <si>
    <t>Gastos directos de publicación</t>
  </si>
  <si>
    <t>Costo de publicidad</t>
  </si>
  <si>
    <t>Gtos promoción y juntas de trabajo</t>
  </si>
  <si>
    <t>Gastos extraordinarios</t>
  </si>
  <si>
    <t>Nómina Guadalajara</t>
  </si>
  <si>
    <t>Gasto de local</t>
  </si>
  <si>
    <t>Gastos de Administracion</t>
  </si>
  <si>
    <t>Gastos Corporativos</t>
  </si>
  <si>
    <t>CARGOS ADMINISTRATIVOS</t>
  </si>
  <si>
    <t>Otros ingresos</t>
  </si>
  <si>
    <t>Utilidad cambiaria</t>
  </si>
  <si>
    <t>Events and Committees</t>
  </si>
  <si>
    <t>G&amp;A</t>
  </si>
  <si>
    <t xml:space="preserve">OPERATING RESULTS </t>
  </si>
  <si>
    <t>other-Other</t>
  </si>
  <si>
    <t>Suma</t>
  </si>
  <si>
    <t>NET RESULTS</t>
  </si>
  <si>
    <t>707000000000000000001</t>
  </si>
  <si>
    <t>703000000000000000001</t>
  </si>
  <si>
    <t>706000000000000000001</t>
  </si>
  <si>
    <t>600000000000000000001</t>
  </si>
  <si>
    <t>800007000000000000002</t>
  </si>
  <si>
    <t>901002000000000000002</t>
  </si>
  <si>
    <t>808000000000000000001</t>
  </si>
  <si>
    <t>800000000000000000001</t>
  </si>
  <si>
    <t>802000000000000000001</t>
  </si>
  <si>
    <t>900000000000000000001</t>
  </si>
  <si>
    <t>900001000000000000002</t>
  </si>
  <si>
    <t>810000000000000000001</t>
  </si>
  <si>
    <t>Eventos especiales</t>
  </si>
  <si>
    <t>Venta de publicidad</t>
  </si>
  <si>
    <t>Infocenter</t>
  </si>
  <si>
    <t>Bolsa de trabajo</t>
  </si>
  <si>
    <t>Venta de publicaciones</t>
  </si>
  <si>
    <t>Cuotas</t>
  </si>
  <si>
    <t>Comsiones por venta de membresía</t>
  </si>
  <si>
    <t>Paquete Anual</t>
  </si>
  <si>
    <t>Gastos Junta de Comité</t>
  </si>
  <si>
    <t>Gastos Junta de Consejo</t>
  </si>
  <si>
    <t>Juntas de Comité Extraordinarias</t>
  </si>
  <si>
    <t>Costo de publicaciones</t>
  </si>
  <si>
    <t>Becarios</t>
  </si>
  <si>
    <t>Campaña Institucional</t>
  </si>
  <si>
    <t>Sistema de proveedores confiables</t>
  </si>
  <si>
    <t>Nómina</t>
  </si>
  <si>
    <t>Cuotas club de industriales</t>
  </si>
  <si>
    <t>Comisiones bancarias</t>
  </si>
  <si>
    <t>no deducibles</t>
  </si>
  <si>
    <t>Rendimientos bancarios</t>
  </si>
  <si>
    <t>Other expenses</t>
  </si>
  <si>
    <t>Noroeste</t>
  </si>
  <si>
    <t xml:space="preserve">NET RESULTS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</si>
</sst>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2">
    <cellStyle name="Millares 2 2 2" xfId="1" xr:uid="{608A8E64-77CF-463F-9370-027B15E161D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F427-61D5-477E-991D-C9FD78F18A86}">
  <dimension ref="A1:D64"/>
  <sheetViews>
    <sheetView topLeftCell="A14" zoomScale="96" workbookViewId="0">
      <selection activeCell="D1" sqref="A1:D1"/>
    </sheetView>
  </sheetViews>
  <sheetFormatPr baseColWidth="10" defaultRowHeight="14.4" x14ac:dyDescent="0.3"/>
  <cols>
    <col min="1" max="1" width="29.77734375" bestFit="1" customWidth="1"/>
    <col min="2" max="2" width="43.77734375" bestFit="1" customWidth="1"/>
    <col min="3" max="3" width="23.88671875" bestFit="1" customWidth="1"/>
    <col min="4" max="4" width="21.21875" bestFit="1" customWidth="1"/>
  </cols>
  <sheetData>
    <row r="1" spans="1:4" x14ac:dyDescent="0.3">
      <c r="A1" s="2" t="s">
        <v>39</v>
      </c>
      <c r="B1" s="2" t="s">
        <v>85</v>
      </c>
      <c r="C1" s="2" t="s">
        <v>86</v>
      </c>
      <c r="D1" s="2" t="s">
        <v>90</v>
      </c>
    </row>
    <row r="2" spans="1:4" x14ac:dyDescent="0.3">
      <c r="A2" s="2" t="s">
        <v>0</v>
      </c>
      <c r="B2" s="2" t="s">
        <v>40</v>
      </c>
      <c r="C2" s="2" t="s">
        <v>87</v>
      </c>
      <c r="D2" s="2" t="s">
        <v>89</v>
      </c>
    </row>
    <row r="3" spans="1:4" x14ac:dyDescent="0.3">
      <c r="A3" s="2" t="s">
        <v>1</v>
      </c>
      <c r="B3" s="2" t="s">
        <v>41</v>
      </c>
      <c r="C3" s="2" t="s">
        <v>87</v>
      </c>
      <c r="D3" s="2" t="s">
        <v>89</v>
      </c>
    </row>
    <row r="4" spans="1:4" x14ac:dyDescent="0.3">
      <c r="A4" s="2" t="s">
        <v>2</v>
      </c>
      <c r="B4" s="2" t="s">
        <v>42</v>
      </c>
      <c r="C4" s="2" t="s">
        <v>87</v>
      </c>
      <c r="D4" s="2" t="s">
        <v>89</v>
      </c>
    </row>
    <row r="5" spans="1:4" x14ac:dyDescent="0.3">
      <c r="A5" s="2" t="s">
        <v>3</v>
      </c>
      <c r="B5" s="2" t="s">
        <v>43</v>
      </c>
      <c r="C5" s="2" t="s">
        <v>88</v>
      </c>
      <c r="D5" s="2" t="s">
        <v>89</v>
      </c>
    </row>
    <row r="6" spans="1:4" x14ac:dyDescent="0.3">
      <c r="A6" s="2" t="s">
        <v>4</v>
      </c>
      <c r="B6" s="2" t="s">
        <v>44</v>
      </c>
      <c r="C6" s="2" t="s">
        <v>88</v>
      </c>
      <c r="D6" s="2" t="s">
        <v>89</v>
      </c>
    </row>
    <row r="7" spans="1:4" x14ac:dyDescent="0.3">
      <c r="A7" s="2" t="s">
        <v>5</v>
      </c>
      <c r="B7" s="2" t="s">
        <v>45</v>
      </c>
      <c r="C7" s="2" t="s">
        <v>45</v>
      </c>
      <c r="D7" s="2" t="s">
        <v>89</v>
      </c>
    </row>
    <row r="8" spans="1:4" x14ac:dyDescent="0.3">
      <c r="A8" s="2" t="s">
        <v>6</v>
      </c>
      <c r="B8" s="2" t="s">
        <v>46</v>
      </c>
      <c r="C8" s="2" t="s">
        <v>45</v>
      </c>
      <c r="D8" s="2" t="s">
        <v>89</v>
      </c>
    </row>
    <row r="9" spans="1:4" x14ac:dyDescent="0.3">
      <c r="A9" s="2" t="s">
        <v>7</v>
      </c>
      <c r="B9" s="2" t="s">
        <v>47</v>
      </c>
      <c r="C9" s="2" t="s">
        <v>91</v>
      </c>
      <c r="D9" s="2" t="s">
        <v>89</v>
      </c>
    </row>
    <row r="10" spans="1:4" x14ac:dyDescent="0.3">
      <c r="A10" s="2" t="s">
        <v>8</v>
      </c>
      <c r="B10" s="2" t="s">
        <v>48</v>
      </c>
      <c r="C10" s="2" t="s">
        <v>91</v>
      </c>
      <c r="D10" s="2" t="s">
        <v>89</v>
      </c>
    </row>
    <row r="11" spans="1:4" x14ac:dyDescent="0.3">
      <c r="A11" s="2" t="s">
        <v>9</v>
      </c>
      <c r="B11" s="2" t="s">
        <v>49</v>
      </c>
      <c r="C11" s="2" t="s">
        <v>49</v>
      </c>
      <c r="D11" s="2" t="s">
        <v>49</v>
      </c>
    </row>
    <row r="12" spans="1:4" x14ac:dyDescent="0.3">
      <c r="A12" s="2" t="s">
        <v>10</v>
      </c>
      <c r="B12" s="2" t="s">
        <v>50</v>
      </c>
      <c r="C12" s="2" t="s">
        <v>50</v>
      </c>
      <c r="D12" s="2" t="s">
        <v>50</v>
      </c>
    </row>
    <row r="13" spans="1:4" x14ac:dyDescent="0.3">
      <c r="A13" s="2" t="s">
        <v>11</v>
      </c>
      <c r="B13" s="2" t="s">
        <v>51</v>
      </c>
      <c r="C13" s="2" t="s">
        <v>87</v>
      </c>
      <c r="D13" s="2" t="s">
        <v>92</v>
      </c>
    </row>
    <row r="14" spans="1:4" x14ac:dyDescent="0.3">
      <c r="A14" s="2" t="s">
        <v>12</v>
      </c>
      <c r="B14" s="2" t="s">
        <v>52</v>
      </c>
      <c r="C14" s="2" t="s">
        <v>88</v>
      </c>
      <c r="D14" s="2" t="s">
        <v>92</v>
      </c>
    </row>
    <row r="15" spans="1:4" x14ac:dyDescent="0.3">
      <c r="A15" s="2" t="s">
        <v>13</v>
      </c>
      <c r="B15" s="2" t="s">
        <v>53</v>
      </c>
      <c r="C15" s="2" t="s">
        <v>45</v>
      </c>
      <c r="D15" s="2" t="s">
        <v>92</v>
      </c>
    </row>
    <row r="16" spans="1:4" x14ac:dyDescent="0.3">
      <c r="A16" s="2" t="s">
        <v>14</v>
      </c>
      <c r="B16" s="2" t="s">
        <v>54</v>
      </c>
      <c r="C16" s="2" t="s">
        <v>45</v>
      </c>
      <c r="D16" s="2" t="s">
        <v>92</v>
      </c>
    </row>
    <row r="17" spans="1:4" x14ac:dyDescent="0.3">
      <c r="A17" s="2" t="s">
        <v>15</v>
      </c>
      <c r="B17" s="2" t="s">
        <v>55</v>
      </c>
      <c r="C17" s="2" t="s">
        <v>91</v>
      </c>
      <c r="D17" s="2" t="s">
        <v>92</v>
      </c>
    </row>
    <row r="18" spans="1:4" x14ac:dyDescent="0.3">
      <c r="A18" s="2" t="s">
        <v>16</v>
      </c>
      <c r="B18" s="2" t="s">
        <v>56</v>
      </c>
      <c r="C18" s="2" t="s">
        <v>93</v>
      </c>
      <c r="D18" s="2" t="s">
        <v>92</v>
      </c>
    </row>
    <row r="19" spans="1:4" x14ac:dyDescent="0.3">
      <c r="A19" s="2" t="s">
        <v>17</v>
      </c>
      <c r="B19" s="2" t="s">
        <v>57</v>
      </c>
      <c r="C19" s="2" t="s">
        <v>93</v>
      </c>
      <c r="D19" s="2" t="s">
        <v>92</v>
      </c>
    </row>
    <row r="20" spans="1:4" x14ac:dyDescent="0.3">
      <c r="A20" s="2" t="s">
        <v>18</v>
      </c>
      <c r="B20" s="2" t="s">
        <v>58</v>
      </c>
      <c r="C20" s="2" t="s">
        <v>93</v>
      </c>
      <c r="D20" s="2" t="s">
        <v>92</v>
      </c>
    </row>
    <row r="21" spans="1:4" x14ac:dyDescent="0.3">
      <c r="A21" s="2" t="s">
        <v>19</v>
      </c>
      <c r="B21" s="2" t="s">
        <v>59</v>
      </c>
      <c r="C21" s="2" t="s">
        <v>93</v>
      </c>
      <c r="D21" s="2" t="s">
        <v>92</v>
      </c>
    </row>
    <row r="22" spans="1:4" x14ac:dyDescent="0.3">
      <c r="A22" s="2" t="s">
        <v>20</v>
      </c>
      <c r="B22" s="2" t="s">
        <v>60</v>
      </c>
      <c r="C22" s="2" t="s">
        <v>93</v>
      </c>
      <c r="D22" s="2" t="s">
        <v>92</v>
      </c>
    </row>
    <row r="23" spans="1:4" x14ac:dyDescent="0.3">
      <c r="A23" s="2" t="s">
        <v>21</v>
      </c>
      <c r="B23" s="2" t="s">
        <v>61</v>
      </c>
      <c r="C23" s="2" t="s">
        <v>93</v>
      </c>
      <c r="D23" s="2" t="s">
        <v>92</v>
      </c>
    </row>
    <row r="24" spans="1:4" x14ac:dyDescent="0.3">
      <c r="A24" s="2" t="s">
        <v>22</v>
      </c>
      <c r="B24" s="2" t="s">
        <v>62</v>
      </c>
      <c r="C24" s="2" t="s">
        <v>93</v>
      </c>
      <c r="D24" s="2" t="s">
        <v>92</v>
      </c>
    </row>
    <row r="25" spans="1:4" x14ac:dyDescent="0.3">
      <c r="A25" s="2" t="s">
        <v>23</v>
      </c>
      <c r="B25" s="2" t="s">
        <v>63</v>
      </c>
      <c r="C25" s="2" t="s">
        <v>93</v>
      </c>
      <c r="D25" s="2" t="s">
        <v>92</v>
      </c>
    </row>
    <row r="26" spans="1:4" x14ac:dyDescent="0.3">
      <c r="A26" s="2" t="s">
        <v>24</v>
      </c>
      <c r="B26" s="2" t="s">
        <v>64</v>
      </c>
      <c r="C26" s="2" t="s">
        <v>93</v>
      </c>
      <c r="D26" s="2" t="s">
        <v>92</v>
      </c>
    </row>
    <row r="27" spans="1:4" x14ac:dyDescent="0.3">
      <c r="A27" s="2" t="s">
        <v>25</v>
      </c>
      <c r="B27" s="2" t="s">
        <v>43</v>
      </c>
      <c r="C27" s="2" t="s">
        <v>93</v>
      </c>
      <c r="D27" s="2" t="s">
        <v>92</v>
      </c>
    </row>
    <row r="28" spans="1:4" x14ac:dyDescent="0.3">
      <c r="A28" s="2" t="s">
        <v>26</v>
      </c>
      <c r="B28" s="2" t="s">
        <v>65</v>
      </c>
      <c r="C28" s="2" t="s">
        <v>93</v>
      </c>
      <c r="D28" s="2" t="s">
        <v>92</v>
      </c>
    </row>
    <row r="29" spans="1:4" x14ac:dyDescent="0.3">
      <c r="A29" s="2" t="s">
        <v>27</v>
      </c>
      <c r="B29" s="2" t="s">
        <v>66</v>
      </c>
      <c r="C29" s="2" t="s">
        <v>93</v>
      </c>
      <c r="D29" s="2" t="s">
        <v>92</v>
      </c>
    </row>
    <row r="30" spans="1:4" x14ac:dyDescent="0.3">
      <c r="A30" s="2" t="s">
        <v>28</v>
      </c>
      <c r="B30" s="2" t="s">
        <v>67</v>
      </c>
      <c r="C30" s="2" t="s">
        <v>93</v>
      </c>
      <c r="D30" s="2" t="s">
        <v>92</v>
      </c>
    </row>
    <row r="31" spans="1:4" x14ac:dyDescent="0.3">
      <c r="A31" s="2" t="s">
        <v>29</v>
      </c>
      <c r="B31" s="2" t="s">
        <v>68</v>
      </c>
      <c r="C31" s="2" t="s">
        <v>94</v>
      </c>
      <c r="D31" s="2" t="s">
        <v>92</v>
      </c>
    </row>
    <row r="32" spans="1:4" x14ac:dyDescent="0.3">
      <c r="A32" s="2" t="s">
        <v>30</v>
      </c>
      <c r="B32" s="2" t="s">
        <v>69</v>
      </c>
      <c r="C32" s="2" t="s">
        <v>95</v>
      </c>
      <c r="D32" s="2" t="s">
        <v>92</v>
      </c>
    </row>
    <row r="33" spans="1:4" x14ac:dyDescent="0.3">
      <c r="A33" s="2" t="s">
        <v>31</v>
      </c>
      <c r="B33" s="2" t="s">
        <v>70</v>
      </c>
      <c r="C33" s="2" t="s">
        <v>95</v>
      </c>
      <c r="D33" s="2" t="s">
        <v>92</v>
      </c>
    </row>
    <row r="34" spans="1:4" x14ac:dyDescent="0.3">
      <c r="A34" s="2" t="s">
        <v>32</v>
      </c>
      <c r="B34" s="2" t="s">
        <v>71</v>
      </c>
      <c r="C34" s="2" t="s">
        <v>95</v>
      </c>
      <c r="D34" s="2" t="s">
        <v>92</v>
      </c>
    </row>
    <row r="35" spans="1:4" x14ac:dyDescent="0.3">
      <c r="A35" s="2" t="s">
        <v>33</v>
      </c>
      <c r="B35" s="2" t="s">
        <v>72</v>
      </c>
      <c r="C35" s="2" t="s">
        <v>95</v>
      </c>
      <c r="D35" s="2" t="s">
        <v>92</v>
      </c>
    </row>
    <row r="36" spans="1:4" x14ac:dyDescent="0.3">
      <c r="A36" s="2" t="s">
        <v>34</v>
      </c>
      <c r="B36" s="2" t="s">
        <v>73</v>
      </c>
      <c r="C36" s="2" t="s">
        <v>95</v>
      </c>
      <c r="D36" s="2" t="s">
        <v>92</v>
      </c>
    </row>
    <row r="37" spans="1:4" x14ac:dyDescent="0.3">
      <c r="A37" s="2" t="s">
        <v>35</v>
      </c>
      <c r="B37" s="2" t="s">
        <v>74</v>
      </c>
      <c r="C37" s="2" t="s">
        <v>95</v>
      </c>
      <c r="D37" s="2" t="s">
        <v>92</v>
      </c>
    </row>
    <row r="38" spans="1:4" x14ac:dyDescent="0.3">
      <c r="A38" s="2" t="s">
        <v>36</v>
      </c>
      <c r="B38" s="2" t="s">
        <v>96</v>
      </c>
      <c r="C38" s="2" t="s">
        <v>95</v>
      </c>
      <c r="D38" s="2" t="s">
        <v>92</v>
      </c>
    </row>
    <row r="39" spans="1:4" x14ac:dyDescent="0.3">
      <c r="A39" s="2" t="s">
        <v>37</v>
      </c>
      <c r="B39" s="2" t="s">
        <v>75</v>
      </c>
      <c r="C39" s="2" t="s">
        <v>97</v>
      </c>
      <c r="D39" s="2" t="s">
        <v>97</v>
      </c>
    </row>
    <row r="40" spans="1:4" x14ac:dyDescent="0.3">
      <c r="A40" s="2" t="s">
        <v>38</v>
      </c>
      <c r="B40" s="2" t="s">
        <v>76</v>
      </c>
      <c r="C40" s="2" t="s">
        <v>98</v>
      </c>
      <c r="D40" s="2" t="s">
        <v>98</v>
      </c>
    </row>
    <row r="41" spans="1:4" x14ac:dyDescent="0.3">
      <c r="A41" s="3" t="s">
        <v>81</v>
      </c>
      <c r="B41" s="2" t="s">
        <v>77</v>
      </c>
      <c r="C41" s="2" t="s">
        <v>99</v>
      </c>
      <c r="D41" s="2" t="s">
        <v>100</v>
      </c>
    </row>
    <row r="42" spans="1:4" x14ac:dyDescent="0.3">
      <c r="A42" s="3" t="s">
        <v>82</v>
      </c>
      <c r="B42" s="2" t="s">
        <v>78</v>
      </c>
      <c r="C42" s="2" t="s">
        <v>99</v>
      </c>
      <c r="D42" s="2" t="s">
        <v>100</v>
      </c>
    </row>
    <row r="43" spans="1:4" x14ac:dyDescent="0.3">
      <c r="A43" s="3" t="s">
        <v>83</v>
      </c>
      <c r="B43" s="2" t="s">
        <v>79</v>
      </c>
      <c r="C43" s="2" t="s">
        <v>99</v>
      </c>
      <c r="D43" s="2" t="s">
        <v>100</v>
      </c>
    </row>
    <row r="44" spans="1:4" x14ac:dyDescent="0.3">
      <c r="A44" s="3" t="s">
        <v>84</v>
      </c>
      <c r="B44" s="2" t="s">
        <v>80</v>
      </c>
      <c r="C44" s="2" t="s">
        <v>99</v>
      </c>
      <c r="D44" s="2" t="s">
        <v>100</v>
      </c>
    </row>
    <row r="45" spans="1:4" x14ac:dyDescent="0.3">
      <c r="A45" s="1"/>
    </row>
    <row r="46" spans="1:4" x14ac:dyDescent="0.3">
      <c r="A46" s="1"/>
    </row>
    <row r="47" spans="1:4" x14ac:dyDescent="0.3">
      <c r="A47" s="1"/>
    </row>
    <row r="48" spans="1:4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AD7D-3C91-47B2-91E1-A67CC2B0E1DC}">
  <dimension ref="A1:E35"/>
  <sheetViews>
    <sheetView zoomScale="78" workbookViewId="0">
      <selection sqref="A1:D1"/>
    </sheetView>
  </sheetViews>
  <sheetFormatPr baseColWidth="10" defaultRowHeight="14.4" x14ac:dyDescent="0.3"/>
  <cols>
    <col min="1" max="1" width="22.21875" bestFit="1" customWidth="1"/>
    <col min="2" max="2" width="28.77734375" bestFit="1" customWidth="1"/>
    <col min="3" max="3" width="23.5546875" bestFit="1" customWidth="1"/>
    <col min="4" max="4" width="18" bestFit="1" customWidth="1"/>
    <col min="6" max="6" width="19" bestFit="1" customWidth="1"/>
  </cols>
  <sheetData>
    <row r="1" spans="1:5" x14ac:dyDescent="0.3">
      <c r="A1" s="2" t="s">
        <v>39</v>
      </c>
      <c r="B1" s="2" t="s">
        <v>85</v>
      </c>
      <c r="C1" s="2" t="s">
        <v>86</v>
      </c>
      <c r="D1" s="2" t="s">
        <v>90</v>
      </c>
    </row>
    <row r="2" spans="1:5" x14ac:dyDescent="0.3">
      <c r="A2" t="s">
        <v>160</v>
      </c>
      <c r="B2" t="s">
        <v>40</v>
      </c>
      <c r="C2" t="s">
        <v>87</v>
      </c>
      <c r="D2" t="s">
        <v>49</v>
      </c>
      <c r="E2" s="1"/>
    </row>
    <row r="3" spans="1:5" x14ac:dyDescent="0.3">
      <c r="A3" t="s">
        <v>0</v>
      </c>
      <c r="B3" t="s">
        <v>41</v>
      </c>
      <c r="C3" t="s">
        <v>87</v>
      </c>
      <c r="D3" t="s">
        <v>49</v>
      </c>
      <c r="E3" s="1"/>
    </row>
    <row r="4" spans="1:5" x14ac:dyDescent="0.3">
      <c r="A4" t="s">
        <v>161</v>
      </c>
      <c r="B4" t="s">
        <v>171</v>
      </c>
      <c r="C4" t="s">
        <v>187</v>
      </c>
      <c r="D4" t="s">
        <v>49</v>
      </c>
      <c r="E4" s="1"/>
    </row>
    <row r="5" spans="1:5" x14ac:dyDescent="0.3">
      <c r="A5" t="s">
        <v>162</v>
      </c>
      <c r="B5" t="s">
        <v>43</v>
      </c>
      <c r="C5" t="s">
        <v>187</v>
      </c>
      <c r="D5" t="s">
        <v>49</v>
      </c>
      <c r="E5" s="1"/>
    </row>
    <row r="6" spans="1:5" x14ac:dyDescent="0.3">
      <c r="A6" t="s">
        <v>6</v>
      </c>
      <c r="B6" t="s">
        <v>47</v>
      </c>
      <c r="C6" t="s">
        <v>91</v>
      </c>
      <c r="D6" t="s">
        <v>49</v>
      </c>
      <c r="E6" s="1"/>
    </row>
    <row r="7" spans="1:5" x14ac:dyDescent="0.3">
      <c r="A7" t="s">
        <v>8</v>
      </c>
      <c r="B7" t="s">
        <v>48</v>
      </c>
      <c r="C7" t="s">
        <v>91</v>
      </c>
      <c r="D7" t="s">
        <v>49</v>
      </c>
      <c r="E7" s="1"/>
    </row>
    <row r="8" spans="1:5" x14ac:dyDescent="0.3">
      <c r="A8" t="s">
        <v>3</v>
      </c>
      <c r="B8" t="s">
        <v>172</v>
      </c>
      <c r="C8" t="s">
        <v>91</v>
      </c>
      <c r="D8" t="s">
        <v>49</v>
      </c>
      <c r="E8" s="1"/>
    </row>
    <row r="9" spans="1:5" x14ac:dyDescent="0.3">
      <c r="A9" t="s">
        <v>4</v>
      </c>
      <c r="B9" t="s">
        <v>173</v>
      </c>
      <c r="C9" t="s">
        <v>91</v>
      </c>
      <c r="D9" t="s">
        <v>49</v>
      </c>
      <c r="E9" s="1"/>
    </row>
    <row r="10" spans="1:5" x14ac:dyDescent="0.3">
      <c r="A10" t="s">
        <v>7</v>
      </c>
      <c r="B10" t="s">
        <v>174</v>
      </c>
      <c r="C10" t="s">
        <v>91</v>
      </c>
      <c r="D10" t="s">
        <v>49</v>
      </c>
      <c r="E10" s="1"/>
    </row>
    <row r="11" spans="1:5" x14ac:dyDescent="0.3">
      <c r="A11" t="s">
        <v>163</v>
      </c>
      <c r="B11" t="s">
        <v>175</v>
      </c>
      <c r="C11" t="s">
        <v>187</v>
      </c>
      <c r="D11" t="s">
        <v>97</v>
      </c>
      <c r="E11" s="1"/>
    </row>
    <row r="12" spans="1:5" x14ac:dyDescent="0.3">
      <c r="A12" t="s">
        <v>12</v>
      </c>
      <c r="B12" t="s">
        <v>52</v>
      </c>
      <c r="C12" t="s">
        <v>187</v>
      </c>
      <c r="D12" t="s">
        <v>97</v>
      </c>
      <c r="E12" s="1"/>
    </row>
    <row r="13" spans="1:5" x14ac:dyDescent="0.3">
      <c r="A13" t="s">
        <v>15</v>
      </c>
      <c r="B13" t="s">
        <v>176</v>
      </c>
      <c r="C13" t="s">
        <v>91</v>
      </c>
      <c r="D13" t="s">
        <v>97</v>
      </c>
      <c r="E13" s="1"/>
    </row>
    <row r="14" spans="1:5" x14ac:dyDescent="0.3">
      <c r="A14" t="s">
        <v>13</v>
      </c>
      <c r="B14" t="s">
        <v>177</v>
      </c>
      <c r="C14" t="s">
        <v>91</v>
      </c>
      <c r="D14" t="s">
        <v>97</v>
      </c>
      <c r="E14" s="1"/>
    </row>
    <row r="15" spans="1:5" x14ac:dyDescent="0.3">
      <c r="A15" t="s">
        <v>164</v>
      </c>
      <c r="B15" t="s">
        <v>178</v>
      </c>
      <c r="C15" t="s">
        <v>91</v>
      </c>
      <c r="D15" t="s">
        <v>97</v>
      </c>
      <c r="E15" s="1"/>
    </row>
    <row r="16" spans="1:5" x14ac:dyDescent="0.3">
      <c r="A16" t="s">
        <v>165</v>
      </c>
      <c r="B16" t="s">
        <v>179</v>
      </c>
      <c r="C16" t="s">
        <v>94</v>
      </c>
      <c r="D16" t="s">
        <v>97</v>
      </c>
      <c r="E16" s="1"/>
    </row>
    <row r="17" spans="1:5" x14ac:dyDescent="0.3">
      <c r="A17" t="s">
        <v>166</v>
      </c>
      <c r="B17" t="s">
        <v>180</v>
      </c>
      <c r="C17" t="s">
        <v>188</v>
      </c>
      <c r="D17" t="s">
        <v>97</v>
      </c>
      <c r="E17" s="1"/>
    </row>
    <row r="18" spans="1:5" x14ac:dyDescent="0.3">
      <c r="A18" t="s">
        <v>167</v>
      </c>
      <c r="B18" t="s">
        <v>181</v>
      </c>
      <c r="C18" t="s">
        <v>188</v>
      </c>
      <c r="D18" t="s">
        <v>97</v>
      </c>
      <c r="E18" s="1"/>
    </row>
    <row r="19" spans="1:5" x14ac:dyDescent="0.3">
      <c r="A19" t="s">
        <v>29</v>
      </c>
      <c r="B19" t="s">
        <v>182</v>
      </c>
      <c r="C19" t="s">
        <v>188</v>
      </c>
      <c r="D19" t="s">
        <v>97</v>
      </c>
      <c r="E19" s="1"/>
    </row>
    <row r="20" spans="1:5" x14ac:dyDescent="0.3">
      <c r="A20" t="s">
        <v>168</v>
      </c>
      <c r="B20" t="s">
        <v>183</v>
      </c>
      <c r="C20" t="s">
        <v>183</v>
      </c>
      <c r="D20" t="s">
        <v>97</v>
      </c>
      <c r="E20" s="1"/>
    </row>
    <row r="21" spans="1:5" x14ac:dyDescent="0.3">
      <c r="A21" t="s">
        <v>169</v>
      </c>
      <c r="B21" t="s">
        <v>184</v>
      </c>
      <c r="C21" t="s">
        <v>184</v>
      </c>
      <c r="D21" t="s">
        <v>97</v>
      </c>
      <c r="E21" s="1"/>
    </row>
    <row r="22" spans="1:5" x14ac:dyDescent="0.3">
      <c r="A22" t="s">
        <v>1</v>
      </c>
      <c r="B22" t="s">
        <v>185</v>
      </c>
      <c r="C22" t="s">
        <v>94</v>
      </c>
      <c r="D22" t="s">
        <v>94</v>
      </c>
      <c r="E22" s="1"/>
    </row>
    <row r="23" spans="1:5" x14ac:dyDescent="0.3">
      <c r="A23" t="s">
        <v>170</v>
      </c>
      <c r="B23" t="s">
        <v>186</v>
      </c>
      <c r="C23" t="s">
        <v>94</v>
      </c>
      <c r="D23" t="s">
        <v>94</v>
      </c>
      <c r="E23" s="1"/>
    </row>
    <row r="24" spans="1:5" x14ac:dyDescent="0.3">
      <c r="E24" s="1"/>
    </row>
    <row r="25" spans="1:5" x14ac:dyDescent="0.3">
      <c r="E25" s="1"/>
    </row>
    <row r="26" spans="1:5" x14ac:dyDescent="0.3">
      <c r="E26" s="1"/>
    </row>
    <row r="27" spans="1:5" x14ac:dyDescent="0.3">
      <c r="E27" s="1"/>
    </row>
    <row r="28" spans="1:5" x14ac:dyDescent="0.3">
      <c r="E28" s="1"/>
    </row>
    <row r="29" spans="1:5" x14ac:dyDescent="0.3">
      <c r="E29" s="1"/>
    </row>
    <row r="30" spans="1:5" x14ac:dyDescent="0.3">
      <c r="E30" s="1"/>
    </row>
    <row r="31" spans="1:5" x14ac:dyDescent="0.3">
      <c r="E31" s="1"/>
    </row>
    <row r="32" spans="1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4671-1DE8-4A6F-AF44-FB8C165CD639}">
  <dimension ref="A1:D35"/>
  <sheetViews>
    <sheetView topLeftCell="A12" workbookViewId="0">
      <selection activeCell="C33" activeCellId="10" sqref="C3 C4 C8 C12 C15 C19 C24 C26 C30 C31 C33"/>
    </sheetView>
  </sheetViews>
  <sheetFormatPr baseColWidth="10" defaultRowHeight="14.4" x14ac:dyDescent="0.3"/>
  <cols>
    <col min="1" max="1" width="22.21875" bestFit="1" customWidth="1"/>
    <col min="2" max="2" width="29.77734375" bestFit="1" customWidth="1"/>
    <col min="3" max="3" width="23.5546875" bestFit="1" customWidth="1"/>
    <col min="4" max="4" width="16.21875" bestFit="1" customWidth="1"/>
  </cols>
  <sheetData>
    <row r="1" spans="1:4" x14ac:dyDescent="0.3">
      <c r="A1" s="2" t="s">
        <v>39</v>
      </c>
      <c r="B1" s="2" t="s">
        <v>85</v>
      </c>
      <c r="C1" s="2" t="s">
        <v>86</v>
      </c>
      <c r="D1" s="2" t="s">
        <v>90</v>
      </c>
    </row>
    <row r="2" spans="1:4" x14ac:dyDescent="0.3">
      <c r="A2" t="s">
        <v>160</v>
      </c>
      <c r="B2" t="s">
        <v>40</v>
      </c>
      <c r="C2" t="s">
        <v>87</v>
      </c>
      <c r="D2" t="s">
        <v>50</v>
      </c>
    </row>
    <row r="3" spans="1:4" x14ac:dyDescent="0.3">
      <c r="A3" t="s">
        <v>0</v>
      </c>
      <c r="B3" t="s">
        <v>41</v>
      </c>
      <c r="C3" t="s">
        <v>87</v>
      </c>
      <c r="D3" t="s">
        <v>50</v>
      </c>
    </row>
    <row r="4" spans="1:4" x14ac:dyDescent="0.3">
      <c r="A4" t="s">
        <v>3</v>
      </c>
      <c r="B4" t="s">
        <v>171</v>
      </c>
      <c r="C4" t="s">
        <v>187</v>
      </c>
      <c r="D4" t="s">
        <v>50</v>
      </c>
    </row>
    <row r="5" spans="1:4" x14ac:dyDescent="0.3">
      <c r="A5" t="s">
        <v>4</v>
      </c>
      <c r="B5" t="s">
        <v>43</v>
      </c>
      <c r="C5" t="s">
        <v>187</v>
      </c>
      <c r="D5" t="s">
        <v>50</v>
      </c>
    </row>
    <row r="6" spans="1:4" x14ac:dyDescent="0.3">
      <c r="A6" t="s">
        <v>82</v>
      </c>
      <c r="B6" t="s">
        <v>205</v>
      </c>
      <c r="C6" t="s">
        <v>187</v>
      </c>
      <c r="D6" t="s">
        <v>50</v>
      </c>
    </row>
    <row r="7" spans="1:4" x14ac:dyDescent="0.3">
      <c r="A7" t="s">
        <v>161</v>
      </c>
      <c r="B7" t="s">
        <v>206</v>
      </c>
      <c r="C7" t="s">
        <v>91</v>
      </c>
      <c r="D7" t="s">
        <v>50</v>
      </c>
    </row>
    <row r="8" spans="1:4" x14ac:dyDescent="0.3">
      <c r="A8" t="s">
        <v>162</v>
      </c>
      <c r="B8" t="s">
        <v>207</v>
      </c>
      <c r="C8" t="s">
        <v>91</v>
      </c>
      <c r="D8" t="s">
        <v>50</v>
      </c>
    </row>
    <row r="9" spans="1:4" x14ac:dyDescent="0.3">
      <c r="A9" t="s">
        <v>8</v>
      </c>
      <c r="B9" t="s">
        <v>208</v>
      </c>
      <c r="C9" t="s">
        <v>91</v>
      </c>
      <c r="D9" t="s">
        <v>50</v>
      </c>
    </row>
    <row r="10" spans="1:4" x14ac:dyDescent="0.3">
      <c r="A10" t="s">
        <v>170</v>
      </c>
      <c r="B10" t="s">
        <v>209</v>
      </c>
      <c r="C10" t="s">
        <v>91</v>
      </c>
      <c r="D10" t="s">
        <v>50</v>
      </c>
    </row>
    <row r="11" spans="1:4" x14ac:dyDescent="0.3">
      <c r="A11" t="s">
        <v>2</v>
      </c>
      <c r="B11" t="s">
        <v>173</v>
      </c>
      <c r="C11" t="s">
        <v>91</v>
      </c>
      <c r="D11" t="s">
        <v>50</v>
      </c>
    </row>
    <row r="12" spans="1:4" x14ac:dyDescent="0.3">
      <c r="A12" t="s">
        <v>193</v>
      </c>
      <c r="B12" t="s">
        <v>210</v>
      </c>
      <c r="C12" t="s">
        <v>87</v>
      </c>
      <c r="D12" t="s">
        <v>98</v>
      </c>
    </row>
    <row r="13" spans="1:4" x14ac:dyDescent="0.3">
      <c r="A13" t="s">
        <v>193</v>
      </c>
      <c r="B13" t="s">
        <v>211</v>
      </c>
      <c r="C13" t="s">
        <v>87</v>
      </c>
      <c r="D13" t="s">
        <v>98</v>
      </c>
    </row>
    <row r="14" spans="1:4" x14ac:dyDescent="0.3">
      <c r="A14" t="s">
        <v>193</v>
      </c>
      <c r="B14" t="s">
        <v>212</v>
      </c>
      <c r="C14" t="s">
        <v>87</v>
      </c>
      <c r="D14" t="s">
        <v>98</v>
      </c>
    </row>
    <row r="15" spans="1:4" x14ac:dyDescent="0.3">
      <c r="A15" t="s">
        <v>12</v>
      </c>
      <c r="B15" t="s">
        <v>213</v>
      </c>
      <c r="C15" t="s">
        <v>187</v>
      </c>
      <c r="D15" t="s">
        <v>98</v>
      </c>
    </row>
    <row r="16" spans="1:4" x14ac:dyDescent="0.3">
      <c r="A16" t="s">
        <v>13</v>
      </c>
      <c r="B16" t="s">
        <v>214</v>
      </c>
      <c r="C16" t="s">
        <v>187</v>
      </c>
      <c r="D16" t="s">
        <v>98</v>
      </c>
    </row>
    <row r="17" spans="1:4" x14ac:dyDescent="0.3">
      <c r="A17" t="s">
        <v>194</v>
      </c>
      <c r="B17" t="s">
        <v>215</v>
      </c>
      <c r="C17" t="s">
        <v>187</v>
      </c>
      <c r="D17" t="s">
        <v>98</v>
      </c>
    </row>
    <row r="18" spans="1:4" x14ac:dyDescent="0.3">
      <c r="A18" t="s">
        <v>11</v>
      </c>
      <c r="B18" t="s">
        <v>43</v>
      </c>
      <c r="C18" t="s">
        <v>187</v>
      </c>
      <c r="D18" t="s">
        <v>98</v>
      </c>
    </row>
    <row r="19" spans="1:4" x14ac:dyDescent="0.3">
      <c r="A19" t="s">
        <v>195</v>
      </c>
      <c r="B19" t="s">
        <v>173</v>
      </c>
      <c r="C19" t="s">
        <v>91</v>
      </c>
      <c r="D19" t="s">
        <v>98</v>
      </c>
    </row>
    <row r="20" spans="1:4" x14ac:dyDescent="0.3">
      <c r="A20" t="s">
        <v>196</v>
      </c>
      <c r="B20" t="s">
        <v>216</v>
      </c>
      <c r="C20" t="s">
        <v>91</v>
      </c>
      <c r="D20" t="s">
        <v>98</v>
      </c>
    </row>
    <row r="21" spans="1:4" x14ac:dyDescent="0.3">
      <c r="A21" t="s">
        <v>197</v>
      </c>
      <c r="B21" t="s">
        <v>217</v>
      </c>
      <c r="C21" t="s">
        <v>91</v>
      </c>
      <c r="D21" t="s">
        <v>98</v>
      </c>
    </row>
    <row r="22" spans="1:4" x14ac:dyDescent="0.3">
      <c r="A22" t="s">
        <v>198</v>
      </c>
      <c r="B22" t="s">
        <v>218</v>
      </c>
      <c r="C22" t="s">
        <v>91</v>
      </c>
      <c r="D22" t="s">
        <v>98</v>
      </c>
    </row>
    <row r="23" spans="1:4" x14ac:dyDescent="0.3">
      <c r="A23" t="s">
        <v>198</v>
      </c>
      <c r="B23" t="s">
        <v>219</v>
      </c>
      <c r="C23" t="s">
        <v>91</v>
      </c>
      <c r="D23" t="s">
        <v>98</v>
      </c>
    </row>
    <row r="24" spans="1:4" x14ac:dyDescent="0.3">
      <c r="A24" t="s">
        <v>199</v>
      </c>
      <c r="B24" t="s">
        <v>94</v>
      </c>
      <c r="C24" t="s">
        <v>225</v>
      </c>
      <c r="D24" t="s">
        <v>98</v>
      </c>
    </row>
    <row r="25" spans="1:4" x14ac:dyDescent="0.3">
      <c r="A25" t="s">
        <v>166</v>
      </c>
      <c r="B25" t="s">
        <v>220</v>
      </c>
      <c r="C25" t="s">
        <v>188</v>
      </c>
      <c r="D25" t="s">
        <v>98</v>
      </c>
    </row>
    <row r="26" spans="1:4" x14ac:dyDescent="0.3">
      <c r="A26" t="s">
        <v>200</v>
      </c>
      <c r="B26" t="s">
        <v>93</v>
      </c>
      <c r="C26" t="s">
        <v>188</v>
      </c>
      <c r="D26" t="s">
        <v>98</v>
      </c>
    </row>
    <row r="27" spans="1:4" x14ac:dyDescent="0.3">
      <c r="A27" t="s">
        <v>14</v>
      </c>
      <c r="B27" t="s">
        <v>221</v>
      </c>
      <c r="C27" t="s">
        <v>188</v>
      </c>
      <c r="D27" t="s">
        <v>98</v>
      </c>
    </row>
    <row r="28" spans="1:4" x14ac:dyDescent="0.3">
      <c r="A28" t="s">
        <v>167</v>
      </c>
      <c r="B28" t="s">
        <v>222</v>
      </c>
      <c r="C28" t="s">
        <v>188</v>
      </c>
      <c r="D28" t="s">
        <v>98</v>
      </c>
    </row>
    <row r="29" spans="1:4" x14ac:dyDescent="0.3">
      <c r="A29" t="s">
        <v>201</v>
      </c>
      <c r="B29" t="s">
        <v>68</v>
      </c>
      <c r="C29" t="s">
        <v>188</v>
      </c>
      <c r="D29" t="s">
        <v>98</v>
      </c>
    </row>
    <row r="30" spans="1:4" x14ac:dyDescent="0.3">
      <c r="A30" t="s">
        <v>202</v>
      </c>
      <c r="B30" t="s">
        <v>183</v>
      </c>
      <c r="C30" t="s">
        <v>183</v>
      </c>
      <c r="D30" t="s">
        <v>98</v>
      </c>
    </row>
    <row r="31" spans="1:4" x14ac:dyDescent="0.3">
      <c r="A31" t="s">
        <v>203</v>
      </c>
      <c r="B31" t="s">
        <v>184</v>
      </c>
      <c r="C31" t="s">
        <v>184</v>
      </c>
      <c r="D31" t="s">
        <v>98</v>
      </c>
    </row>
    <row r="32" spans="1:4" x14ac:dyDescent="0.3">
      <c r="A32" t="s">
        <v>204</v>
      </c>
      <c r="B32" t="s">
        <v>223</v>
      </c>
      <c r="C32" t="s">
        <v>184</v>
      </c>
      <c r="D32" t="s">
        <v>98</v>
      </c>
    </row>
    <row r="33" spans="1:4" x14ac:dyDescent="0.3">
      <c r="A33" t="s">
        <v>6</v>
      </c>
      <c r="B33" t="s">
        <v>185</v>
      </c>
      <c r="C33" t="s">
        <v>94</v>
      </c>
      <c r="D33" t="s">
        <v>94</v>
      </c>
    </row>
    <row r="34" spans="1:4" x14ac:dyDescent="0.3">
      <c r="A34" t="s">
        <v>7</v>
      </c>
      <c r="B34" t="s">
        <v>186</v>
      </c>
      <c r="C34" t="s">
        <v>94</v>
      </c>
      <c r="D34" t="s">
        <v>94</v>
      </c>
    </row>
    <row r="35" spans="1:4" x14ac:dyDescent="0.3">
      <c r="A35" t="s">
        <v>81</v>
      </c>
      <c r="B35" t="s">
        <v>224</v>
      </c>
      <c r="C35" t="s">
        <v>94</v>
      </c>
      <c r="D35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40AC-58AA-49E2-B269-206635063EBB}">
  <dimension ref="A1:K20"/>
  <sheetViews>
    <sheetView zoomScale="97" workbookViewId="0">
      <selection sqref="A1:C1"/>
    </sheetView>
  </sheetViews>
  <sheetFormatPr baseColWidth="10" defaultRowHeight="14.4" x14ac:dyDescent="0.3"/>
  <cols>
    <col min="1" max="1" width="15" bestFit="1" customWidth="1"/>
    <col min="2" max="2" width="34.109375" bestFit="1" customWidth="1"/>
    <col min="3" max="3" width="22.33203125" bestFit="1" customWidth="1"/>
    <col min="5" max="5" width="22.88671875" bestFit="1" customWidth="1"/>
    <col min="7" max="7" width="23" bestFit="1" customWidth="1"/>
    <col min="9" max="9" width="30.77734375" bestFit="1" customWidth="1"/>
    <col min="11" max="11" width="32.21875" bestFit="1" customWidth="1"/>
  </cols>
  <sheetData>
    <row r="1" spans="1:11" x14ac:dyDescent="0.3">
      <c r="A1" t="s">
        <v>101</v>
      </c>
      <c r="B1" t="s">
        <v>106</v>
      </c>
      <c r="C1" t="s">
        <v>86</v>
      </c>
      <c r="D1" t="s">
        <v>107</v>
      </c>
      <c r="F1" t="s">
        <v>107</v>
      </c>
      <c r="H1" t="s">
        <v>107</v>
      </c>
      <c r="J1" t="s">
        <v>107</v>
      </c>
    </row>
    <row r="2" spans="1:11" x14ac:dyDescent="0.3">
      <c r="A2" t="s">
        <v>105</v>
      </c>
      <c r="B2" t="str">
        <f>"income-" &amp; C2</f>
        <v>income-Membership</v>
      </c>
      <c r="C2" s="2" t="s">
        <v>87</v>
      </c>
      <c r="D2" t="s">
        <v>108</v>
      </c>
      <c r="E2" t="s">
        <v>89</v>
      </c>
      <c r="F2" t="s">
        <v>110</v>
      </c>
      <c r="G2" t="s">
        <v>109</v>
      </c>
      <c r="H2" t="s">
        <v>110</v>
      </c>
      <c r="I2" t="s">
        <v>112</v>
      </c>
      <c r="J2" t="s">
        <v>110</v>
      </c>
      <c r="K2" t="s">
        <v>116</v>
      </c>
    </row>
    <row r="3" spans="1:11" x14ac:dyDescent="0.3">
      <c r="A3" t="s">
        <v>105</v>
      </c>
      <c r="B3" t="str">
        <f t="shared" ref="B3:B8" si="0">"income-" &amp; C3</f>
        <v>income-Events</v>
      </c>
      <c r="C3" s="2" t="s">
        <v>88</v>
      </c>
      <c r="D3" t="s">
        <v>108</v>
      </c>
      <c r="E3" t="s">
        <v>89</v>
      </c>
      <c r="F3" t="s">
        <v>110</v>
      </c>
      <c r="G3" t="s">
        <v>109</v>
      </c>
      <c r="H3" t="s">
        <v>110</v>
      </c>
      <c r="I3" t="s">
        <v>112</v>
      </c>
      <c r="J3" t="s">
        <v>110</v>
      </c>
      <c r="K3" t="s">
        <v>116</v>
      </c>
    </row>
    <row r="4" spans="1:11" x14ac:dyDescent="0.3">
      <c r="A4" t="s">
        <v>105</v>
      </c>
      <c r="B4" t="str">
        <f t="shared" si="0"/>
        <v>income-Committees</v>
      </c>
      <c r="C4" s="2" t="s">
        <v>45</v>
      </c>
      <c r="D4" t="s">
        <v>108</v>
      </c>
      <c r="E4" t="s">
        <v>89</v>
      </c>
      <c r="F4" t="s">
        <v>110</v>
      </c>
      <c r="G4" t="s">
        <v>109</v>
      </c>
      <c r="H4" t="s">
        <v>110</v>
      </c>
      <c r="I4" t="s">
        <v>112</v>
      </c>
      <c r="J4" t="s">
        <v>110</v>
      </c>
      <c r="K4" t="s">
        <v>116</v>
      </c>
    </row>
    <row r="5" spans="1:11" x14ac:dyDescent="0.3">
      <c r="A5" t="s">
        <v>105</v>
      </c>
      <c r="B5" t="str">
        <f t="shared" si="0"/>
        <v>income-Services to Members</v>
      </c>
      <c r="C5" s="2" t="s">
        <v>91</v>
      </c>
      <c r="D5" t="s">
        <v>108</v>
      </c>
      <c r="E5" t="s">
        <v>89</v>
      </c>
      <c r="F5" t="s">
        <v>110</v>
      </c>
      <c r="G5" t="s">
        <v>109</v>
      </c>
      <c r="H5" t="s">
        <v>110</v>
      </c>
      <c r="I5" t="s">
        <v>112</v>
      </c>
      <c r="J5" t="s">
        <v>110</v>
      </c>
      <c r="K5" t="s">
        <v>116</v>
      </c>
    </row>
    <row r="6" spans="1:11" x14ac:dyDescent="0.3">
      <c r="A6" t="s">
        <v>105</v>
      </c>
      <c r="B6" t="str">
        <f t="shared" si="0"/>
        <v>income-Guadalajara Income</v>
      </c>
      <c r="C6" s="2" t="s">
        <v>49</v>
      </c>
      <c r="D6" t="s">
        <v>108</v>
      </c>
      <c r="E6" s="2" t="s">
        <v>49</v>
      </c>
      <c r="F6" t="s">
        <v>110</v>
      </c>
      <c r="G6" t="s">
        <v>109</v>
      </c>
      <c r="H6" t="s">
        <v>110</v>
      </c>
      <c r="I6" t="s">
        <v>114</v>
      </c>
      <c r="J6" t="s">
        <v>110</v>
      </c>
      <c r="K6" t="s">
        <v>116</v>
      </c>
    </row>
    <row r="7" spans="1:11" x14ac:dyDescent="0.3">
      <c r="A7" t="s">
        <v>105</v>
      </c>
      <c r="B7" t="str">
        <f t="shared" si="0"/>
        <v>income-Monterrey Income</v>
      </c>
      <c r="C7" s="2" t="s">
        <v>50</v>
      </c>
      <c r="D7" t="s">
        <v>108</v>
      </c>
      <c r="E7" s="2" t="s">
        <v>50</v>
      </c>
      <c r="F7" t="s">
        <v>110</v>
      </c>
      <c r="G7" t="s">
        <v>109</v>
      </c>
      <c r="H7" t="s">
        <v>110</v>
      </c>
      <c r="I7" t="s">
        <v>115</v>
      </c>
      <c r="J7" t="s">
        <v>110</v>
      </c>
      <c r="K7" t="s">
        <v>116</v>
      </c>
    </row>
    <row r="8" spans="1:11" x14ac:dyDescent="0.3">
      <c r="A8" t="s">
        <v>105</v>
      </c>
      <c r="B8" t="str">
        <f>"expense-" &amp; C8</f>
        <v>expense-Membership</v>
      </c>
      <c r="C8" s="2" t="s">
        <v>87</v>
      </c>
      <c r="D8" t="s">
        <v>108</v>
      </c>
      <c r="E8" t="s">
        <v>92</v>
      </c>
      <c r="F8" t="s">
        <v>110</v>
      </c>
      <c r="G8" t="s">
        <v>111</v>
      </c>
      <c r="H8" t="s">
        <v>113</v>
      </c>
      <c r="I8" t="s">
        <v>112</v>
      </c>
      <c r="J8" t="s">
        <v>110</v>
      </c>
      <c r="K8" t="s">
        <v>116</v>
      </c>
    </row>
    <row r="9" spans="1:11" x14ac:dyDescent="0.3">
      <c r="A9" t="s">
        <v>105</v>
      </c>
      <c r="B9" t="str">
        <f t="shared" ref="B9:B17" si="1">"expense-" &amp; C9</f>
        <v>expense-Events</v>
      </c>
      <c r="C9" s="2" t="s">
        <v>88</v>
      </c>
      <c r="D9" t="s">
        <v>108</v>
      </c>
      <c r="E9" t="s">
        <v>92</v>
      </c>
      <c r="F9" t="s">
        <v>110</v>
      </c>
      <c r="G9" t="s">
        <v>111</v>
      </c>
      <c r="H9" t="s">
        <v>113</v>
      </c>
      <c r="I9" t="s">
        <v>112</v>
      </c>
      <c r="J9" t="s">
        <v>110</v>
      </c>
      <c r="K9" t="s">
        <v>116</v>
      </c>
    </row>
    <row r="10" spans="1:11" x14ac:dyDescent="0.3">
      <c r="A10" t="s">
        <v>105</v>
      </c>
      <c r="B10" t="str">
        <f t="shared" si="1"/>
        <v>expense-Committees</v>
      </c>
      <c r="C10" s="2" t="s">
        <v>45</v>
      </c>
      <c r="D10" t="s">
        <v>108</v>
      </c>
      <c r="E10" t="s">
        <v>92</v>
      </c>
      <c r="F10" t="s">
        <v>110</v>
      </c>
      <c r="G10" t="s">
        <v>111</v>
      </c>
      <c r="H10" t="s">
        <v>113</v>
      </c>
      <c r="I10" t="s">
        <v>112</v>
      </c>
      <c r="J10" t="s">
        <v>110</v>
      </c>
      <c r="K10" t="s">
        <v>116</v>
      </c>
    </row>
    <row r="11" spans="1:11" x14ac:dyDescent="0.3">
      <c r="A11" t="s">
        <v>105</v>
      </c>
      <c r="B11" t="str">
        <f t="shared" si="1"/>
        <v>expense-Services to Members</v>
      </c>
      <c r="C11" s="2" t="s">
        <v>91</v>
      </c>
      <c r="D11" t="s">
        <v>108</v>
      </c>
      <c r="E11" t="s">
        <v>92</v>
      </c>
      <c r="F11" t="s">
        <v>110</v>
      </c>
      <c r="G11" t="s">
        <v>111</v>
      </c>
      <c r="H11" t="s">
        <v>113</v>
      </c>
      <c r="I11" t="s">
        <v>112</v>
      </c>
      <c r="J11" t="s">
        <v>110</v>
      </c>
      <c r="K11" t="s">
        <v>116</v>
      </c>
    </row>
    <row r="12" spans="1:11" x14ac:dyDescent="0.3">
      <c r="A12" t="s">
        <v>105</v>
      </c>
      <c r="B12" t="str">
        <f t="shared" si="1"/>
        <v>expense-Gastos administrativos</v>
      </c>
      <c r="C12" s="2" t="s">
        <v>93</v>
      </c>
      <c r="D12" t="s">
        <v>108</v>
      </c>
      <c r="E12" t="s">
        <v>92</v>
      </c>
      <c r="F12" t="s">
        <v>110</v>
      </c>
      <c r="G12" t="s">
        <v>111</v>
      </c>
      <c r="H12" t="s">
        <v>113</v>
      </c>
      <c r="I12" t="s">
        <v>112</v>
      </c>
      <c r="J12" t="s">
        <v>110</v>
      </c>
      <c r="K12" t="s">
        <v>116</v>
      </c>
    </row>
    <row r="13" spans="1:11" x14ac:dyDescent="0.3">
      <c r="A13" t="s">
        <v>105</v>
      </c>
      <c r="B13" t="str">
        <f t="shared" si="1"/>
        <v>expense-Other</v>
      </c>
      <c r="C13" s="2" t="s">
        <v>94</v>
      </c>
      <c r="D13" t="s">
        <v>108</v>
      </c>
      <c r="E13" t="s">
        <v>92</v>
      </c>
      <c r="F13" t="s">
        <v>110</v>
      </c>
      <c r="G13" t="s">
        <v>111</v>
      </c>
      <c r="H13" t="s">
        <v>113</v>
      </c>
      <c r="I13" t="s">
        <v>112</v>
      </c>
      <c r="J13" t="s">
        <v>110</v>
      </c>
      <c r="K13" t="s">
        <v>116</v>
      </c>
    </row>
    <row r="14" spans="1:11" x14ac:dyDescent="0.3">
      <c r="A14" t="s">
        <v>105</v>
      </c>
      <c r="B14" t="str">
        <f t="shared" si="1"/>
        <v>expense-Gastos de Nomina</v>
      </c>
      <c r="C14" s="2" t="s">
        <v>95</v>
      </c>
      <c r="D14" t="s">
        <v>108</v>
      </c>
      <c r="E14" t="s">
        <v>92</v>
      </c>
      <c r="F14" t="s">
        <v>110</v>
      </c>
      <c r="G14" t="s">
        <v>111</v>
      </c>
      <c r="H14" t="s">
        <v>113</v>
      </c>
      <c r="I14" t="s">
        <v>112</v>
      </c>
      <c r="J14" t="s">
        <v>110</v>
      </c>
      <c r="K14" t="s">
        <v>116</v>
      </c>
    </row>
    <row r="15" spans="1:11" x14ac:dyDescent="0.3">
      <c r="A15" t="s">
        <v>105</v>
      </c>
      <c r="B15" t="str">
        <f t="shared" si="1"/>
        <v>expense-Guadalajara Expense</v>
      </c>
      <c r="C15" s="2" t="s">
        <v>97</v>
      </c>
      <c r="D15" t="s">
        <v>108</v>
      </c>
      <c r="E15" s="2" t="s">
        <v>97</v>
      </c>
      <c r="F15" t="s">
        <v>110</v>
      </c>
      <c r="G15" t="s">
        <v>111</v>
      </c>
      <c r="H15" t="s">
        <v>113</v>
      </c>
      <c r="I15" t="s">
        <v>114</v>
      </c>
      <c r="J15" t="s">
        <v>110</v>
      </c>
      <c r="K15" t="s">
        <v>116</v>
      </c>
    </row>
    <row r="16" spans="1:11" x14ac:dyDescent="0.3">
      <c r="A16" t="s">
        <v>105</v>
      </c>
      <c r="B16" t="str">
        <f t="shared" si="1"/>
        <v>expense-Monterrey Expense</v>
      </c>
      <c r="C16" s="2" t="s">
        <v>98</v>
      </c>
      <c r="D16" t="s">
        <v>108</v>
      </c>
      <c r="E16" s="2" t="s">
        <v>98</v>
      </c>
      <c r="F16" t="s">
        <v>110</v>
      </c>
      <c r="G16" t="s">
        <v>111</v>
      </c>
      <c r="H16" t="s">
        <v>113</v>
      </c>
      <c r="I16" t="s">
        <v>115</v>
      </c>
      <c r="J16" t="s">
        <v>110</v>
      </c>
      <c r="K16" t="s">
        <v>116</v>
      </c>
    </row>
    <row r="17" spans="1:11" x14ac:dyDescent="0.3">
      <c r="A17" t="s">
        <v>105</v>
      </c>
      <c r="B17" t="str">
        <f>"other-income-" &amp; C17</f>
        <v>other-income-México  Other Income</v>
      </c>
      <c r="C17" s="2" t="s">
        <v>99</v>
      </c>
      <c r="D17" t="s">
        <v>108</v>
      </c>
      <c r="E17" s="2" t="s">
        <v>99</v>
      </c>
      <c r="F17" t="s">
        <v>110</v>
      </c>
      <c r="I17" t="s">
        <v>112</v>
      </c>
      <c r="K17" t="s">
        <v>117</v>
      </c>
    </row>
    <row r="18" spans="1:11" x14ac:dyDescent="0.3">
      <c r="A18" t="s">
        <v>105</v>
      </c>
      <c r="B18" t="str">
        <f t="shared" ref="B18:B20" si="2">"other-income-" &amp; C18</f>
        <v>other-income-Guadalajara Other Income</v>
      </c>
      <c r="C18" s="2" t="s">
        <v>102</v>
      </c>
      <c r="D18" t="s">
        <v>108</v>
      </c>
      <c r="E18" s="2" t="s">
        <v>102</v>
      </c>
      <c r="F18" t="s">
        <v>110</v>
      </c>
      <c r="I18" t="s">
        <v>114</v>
      </c>
      <c r="K18" t="s">
        <v>118</v>
      </c>
    </row>
    <row r="19" spans="1:11" x14ac:dyDescent="0.3">
      <c r="A19" t="s">
        <v>105</v>
      </c>
      <c r="B19" t="str">
        <f t="shared" si="2"/>
        <v>other-income-Monterrey Other Income</v>
      </c>
      <c r="C19" s="2" t="s">
        <v>103</v>
      </c>
      <c r="D19" t="s">
        <v>108</v>
      </c>
      <c r="E19" s="2" t="s">
        <v>103</v>
      </c>
      <c r="F19" t="s">
        <v>110</v>
      </c>
      <c r="I19" t="s">
        <v>115</v>
      </c>
      <c r="K19" t="s">
        <v>119</v>
      </c>
    </row>
    <row r="20" spans="1:11" x14ac:dyDescent="0.3">
      <c r="A20" t="s">
        <v>105</v>
      </c>
      <c r="B20" t="str">
        <f t="shared" si="2"/>
        <v>other-income-Northwest  Other Income</v>
      </c>
      <c r="C20" s="2" t="s">
        <v>104</v>
      </c>
      <c r="D20" t="s">
        <v>108</v>
      </c>
      <c r="E20" s="2" t="s">
        <v>104</v>
      </c>
      <c r="F20" t="s">
        <v>110</v>
      </c>
      <c r="I20" t="s">
        <v>121</v>
      </c>
      <c r="K2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4BFA-28B9-4B4F-B905-86A87E34FD62}">
  <dimension ref="A1:I12"/>
  <sheetViews>
    <sheetView topLeftCell="B1" zoomScale="83" workbookViewId="0">
      <selection activeCell="E15" sqref="E15:G15"/>
    </sheetView>
  </sheetViews>
  <sheetFormatPr baseColWidth="10" defaultRowHeight="14.4" x14ac:dyDescent="0.3"/>
  <cols>
    <col min="1" max="1" width="13" bestFit="1" customWidth="1"/>
    <col min="2" max="2" width="31.44140625" bestFit="1" customWidth="1"/>
    <col min="3" max="3" width="23.88671875" bestFit="1" customWidth="1"/>
    <col min="5" max="5" width="18.109375" bestFit="1" customWidth="1"/>
    <col min="7" max="7" width="19.5546875" bestFit="1" customWidth="1"/>
    <col min="9" max="9" width="12.33203125" bestFit="1" customWidth="1"/>
  </cols>
  <sheetData>
    <row r="1" spans="1:9" x14ac:dyDescent="0.3">
      <c r="A1" t="s">
        <v>101</v>
      </c>
      <c r="B1" t="s">
        <v>106</v>
      </c>
      <c r="C1" t="s">
        <v>86</v>
      </c>
      <c r="D1" t="s">
        <v>107</v>
      </c>
      <c r="F1" t="s">
        <v>107</v>
      </c>
      <c r="H1" t="s">
        <v>107</v>
      </c>
    </row>
    <row r="2" spans="1:9" x14ac:dyDescent="0.3">
      <c r="A2" t="s">
        <v>150</v>
      </c>
      <c r="B2" t="str">
        <f>"income-" &amp; C2</f>
        <v>income-Membership</v>
      </c>
      <c r="C2" t="s">
        <v>87</v>
      </c>
      <c r="D2" t="s">
        <v>110</v>
      </c>
      <c r="E2" t="s">
        <v>49</v>
      </c>
      <c r="F2" t="s">
        <v>110</v>
      </c>
      <c r="G2" t="s">
        <v>189</v>
      </c>
      <c r="H2" t="s">
        <v>191</v>
      </c>
      <c r="I2" t="s">
        <v>192</v>
      </c>
    </row>
    <row r="3" spans="1:9" x14ac:dyDescent="0.3">
      <c r="A3" t="s">
        <v>150</v>
      </c>
      <c r="B3" t="str">
        <f t="shared" ref="B3:B5" si="0">"income-" &amp; C3</f>
        <v>income-Events and Committees</v>
      </c>
      <c r="C3" t="s">
        <v>187</v>
      </c>
      <c r="D3" t="s">
        <v>110</v>
      </c>
      <c r="E3" t="s">
        <v>49</v>
      </c>
      <c r="F3" t="s">
        <v>110</v>
      </c>
      <c r="G3" t="s">
        <v>189</v>
      </c>
      <c r="H3" t="s">
        <v>191</v>
      </c>
      <c r="I3" t="s">
        <v>192</v>
      </c>
    </row>
    <row r="4" spans="1:9" x14ac:dyDescent="0.3">
      <c r="A4" t="s">
        <v>150</v>
      </c>
      <c r="B4" t="str">
        <f t="shared" si="0"/>
        <v>income-Services to Members</v>
      </c>
      <c r="C4" t="s">
        <v>91</v>
      </c>
      <c r="D4" t="s">
        <v>110</v>
      </c>
      <c r="E4" t="s">
        <v>49</v>
      </c>
      <c r="F4" t="s">
        <v>110</v>
      </c>
      <c r="G4" t="s">
        <v>189</v>
      </c>
      <c r="H4" t="s">
        <v>191</v>
      </c>
      <c r="I4" t="s">
        <v>192</v>
      </c>
    </row>
    <row r="5" spans="1:9" x14ac:dyDescent="0.3">
      <c r="A5" t="s">
        <v>150</v>
      </c>
      <c r="B5" t="str">
        <f>"expense-" &amp; C5</f>
        <v>expense-Membership</v>
      </c>
      <c r="C5" t="s">
        <v>87</v>
      </c>
      <c r="D5" t="s">
        <v>110</v>
      </c>
      <c r="E5" t="s">
        <v>97</v>
      </c>
      <c r="F5" t="s">
        <v>113</v>
      </c>
      <c r="G5" t="s">
        <v>189</v>
      </c>
      <c r="H5" t="s">
        <v>191</v>
      </c>
      <c r="I5" t="s">
        <v>192</v>
      </c>
    </row>
    <row r="6" spans="1:9" x14ac:dyDescent="0.3">
      <c r="A6" t="s">
        <v>150</v>
      </c>
      <c r="B6" t="str">
        <f t="shared" ref="B6:B11" si="1">"expense-" &amp; C6</f>
        <v>expense-Events and Committees</v>
      </c>
      <c r="C6" t="s">
        <v>187</v>
      </c>
      <c r="D6" t="s">
        <v>110</v>
      </c>
      <c r="E6" t="s">
        <v>97</v>
      </c>
      <c r="F6" t="s">
        <v>113</v>
      </c>
      <c r="G6" t="s">
        <v>189</v>
      </c>
      <c r="H6" t="s">
        <v>191</v>
      </c>
      <c r="I6" t="s">
        <v>192</v>
      </c>
    </row>
    <row r="7" spans="1:9" x14ac:dyDescent="0.3">
      <c r="A7" t="s">
        <v>150</v>
      </c>
      <c r="B7" t="str">
        <f t="shared" si="1"/>
        <v>expense-Services to Members</v>
      </c>
      <c r="C7" t="s">
        <v>91</v>
      </c>
      <c r="D7" t="s">
        <v>110</v>
      </c>
      <c r="E7" t="s">
        <v>97</v>
      </c>
      <c r="F7" t="s">
        <v>113</v>
      </c>
      <c r="G7" t="s">
        <v>189</v>
      </c>
      <c r="H7" t="s">
        <v>191</v>
      </c>
      <c r="I7" t="s">
        <v>192</v>
      </c>
    </row>
    <row r="8" spans="1:9" x14ac:dyDescent="0.3">
      <c r="A8" t="s">
        <v>150</v>
      </c>
      <c r="B8" t="str">
        <f t="shared" si="1"/>
        <v>expense-Other</v>
      </c>
      <c r="C8" t="s">
        <v>94</v>
      </c>
      <c r="D8" t="s">
        <v>110</v>
      </c>
      <c r="E8" t="s">
        <v>97</v>
      </c>
      <c r="F8" t="s">
        <v>113</v>
      </c>
      <c r="G8" t="s">
        <v>189</v>
      </c>
      <c r="H8" t="s">
        <v>191</v>
      </c>
      <c r="I8" t="s">
        <v>192</v>
      </c>
    </row>
    <row r="9" spans="1:9" x14ac:dyDescent="0.3">
      <c r="A9" t="s">
        <v>150</v>
      </c>
      <c r="B9" t="str">
        <f t="shared" si="1"/>
        <v>expense-G&amp;A</v>
      </c>
      <c r="C9" t="s">
        <v>188</v>
      </c>
      <c r="D9" t="s">
        <v>110</v>
      </c>
      <c r="E9" t="s">
        <v>97</v>
      </c>
      <c r="F9" t="s">
        <v>113</v>
      </c>
      <c r="G9" t="s">
        <v>189</v>
      </c>
      <c r="H9" t="s">
        <v>191</v>
      </c>
      <c r="I9" t="s">
        <v>192</v>
      </c>
    </row>
    <row r="10" spans="1:9" x14ac:dyDescent="0.3">
      <c r="A10" t="s">
        <v>150</v>
      </c>
      <c r="B10" t="str">
        <f t="shared" si="1"/>
        <v>expense-Gastos Corporativos</v>
      </c>
      <c r="C10" t="s">
        <v>183</v>
      </c>
      <c r="D10" t="s">
        <v>110</v>
      </c>
      <c r="E10" t="s">
        <v>97</v>
      </c>
      <c r="F10" t="s">
        <v>113</v>
      </c>
      <c r="G10" t="s">
        <v>189</v>
      </c>
      <c r="H10" t="s">
        <v>191</v>
      </c>
      <c r="I10" t="s">
        <v>192</v>
      </c>
    </row>
    <row r="11" spans="1:9" x14ac:dyDescent="0.3">
      <c r="A11" t="s">
        <v>150</v>
      </c>
      <c r="B11" t="str">
        <f t="shared" si="1"/>
        <v>expense-CARGOS ADMINISTRATIVOS</v>
      </c>
      <c r="C11" t="s">
        <v>184</v>
      </c>
      <c r="D11" t="s">
        <v>110</v>
      </c>
      <c r="E11" t="s">
        <v>97</v>
      </c>
      <c r="F11" t="s">
        <v>113</v>
      </c>
      <c r="G11" t="s">
        <v>189</v>
      </c>
      <c r="H11" t="s">
        <v>191</v>
      </c>
      <c r="I11" t="s">
        <v>192</v>
      </c>
    </row>
    <row r="12" spans="1:9" x14ac:dyDescent="0.3">
      <c r="A12" t="s">
        <v>150</v>
      </c>
      <c r="B12" t="s">
        <v>190</v>
      </c>
      <c r="C12" t="s">
        <v>94</v>
      </c>
      <c r="D12" t="s">
        <v>110</v>
      </c>
      <c r="E12" t="s">
        <v>94</v>
      </c>
      <c r="G12" t="s">
        <v>94</v>
      </c>
      <c r="H12" t="s">
        <v>191</v>
      </c>
      <c r="I12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37C4-8C60-42B5-AF56-43A6A1E74F2D}">
  <dimension ref="A1:I12"/>
  <sheetViews>
    <sheetView workbookViewId="0">
      <selection activeCell="C14" sqref="C14"/>
    </sheetView>
  </sheetViews>
  <sheetFormatPr baseColWidth="10" defaultRowHeight="14.4" x14ac:dyDescent="0.3"/>
  <cols>
    <col min="2" max="2" width="31" bestFit="1" customWidth="1"/>
    <col min="3" max="3" width="23.5546875" bestFit="1" customWidth="1"/>
    <col min="5" max="5" width="16.21875" bestFit="1" customWidth="1"/>
    <col min="7" max="7" width="18.5546875" bestFit="1" customWidth="1"/>
    <col min="9" max="9" width="12" bestFit="1" customWidth="1"/>
  </cols>
  <sheetData>
    <row r="1" spans="1:9" x14ac:dyDescent="0.3">
      <c r="A1" t="s">
        <v>101</v>
      </c>
      <c r="B1" t="s">
        <v>106</v>
      </c>
      <c r="C1" t="s">
        <v>86</v>
      </c>
      <c r="D1" t="s">
        <v>107</v>
      </c>
      <c r="F1" t="s">
        <v>107</v>
      </c>
      <c r="H1" t="s">
        <v>107</v>
      </c>
    </row>
    <row r="2" spans="1:9" x14ac:dyDescent="0.3">
      <c r="A2" t="s">
        <v>226</v>
      </c>
      <c r="B2" t="str">
        <f>"income-" &amp; C2</f>
        <v>income-Membership</v>
      </c>
      <c r="C2" t="s">
        <v>87</v>
      </c>
      <c r="D2" t="s">
        <v>110</v>
      </c>
      <c r="E2" t="s">
        <v>50</v>
      </c>
      <c r="F2" t="s">
        <v>110</v>
      </c>
      <c r="G2" t="s">
        <v>189</v>
      </c>
      <c r="H2" t="s">
        <v>110</v>
      </c>
      <c r="I2" t="s">
        <v>227</v>
      </c>
    </row>
    <row r="3" spans="1:9" x14ac:dyDescent="0.3">
      <c r="A3" t="s">
        <v>226</v>
      </c>
      <c r="B3" t="str">
        <f t="shared" ref="B3:B4" si="0">"income-" &amp; C3</f>
        <v>income-Events and Committees</v>
      </c>
      <c r="C3" t="s">
        <v>187</v>
      </c>
      <c r="D3" t="s">
        <v>110</v>
      </c>
      <c r="E3" t="s">
        <v>50</v>
      </c>
      <c r="F3" t="s">
        <v>110</v>
      </c>
      <c r="G3" t="s">
        <v>189</v>
      </c>
      <c r="H3" t="s">
        <v>110</v>
      </c>
      <c r="I3" t="s">
        <v>227</v>
      </c>
    </row>
    <row r="4" spans="1:9" x14ac:dyDescent="0.3">
      <c r="A4" t="s">
        <v>226</v>
      </c>
      <c r="B4" t="str">
        <f t="shared" si="0"/>
        <v>income-Services to Members</v>
      </c>
      <c r="C4" t="s">
        <v>91</v>
      </c>
      <c r="D4" t="s">
        <v>110</v>
      </c>
      <c r="E4" t="s">
        <v>50</v>
      </c>
      <c r="F4" t="s">
        <v>110</v>
      </c>
      <c r="G4" t="s">
        <v>189</v>
      </c>
      <c r="H4" t="s">
        <v>110</v>
      </c>
      <c r="I4" t="s">
        <v>227</v>
      </c>
    </row>
    <row r="5" spans="1:9" x14ac:dyDescent="0.3">
      <c r="A5" t="s">
        <v>226</v>
      </c>
      <c r="B5" t="str">
        <f>"expense-" &amp; C5</f>
        <v>expense-Membership</v>
      </c>
      <c r="C5" t="s">
        <v>87</v>
      </c>
      <c r="D5" t="s">
        <v>110</v>
      </c>
      <c r="E5" t="s">
        <v>98</v>
      </c>
      <c r="F5" t="s">
        <v>113</v>
      </c>
      <c r="G5" t="s">
        <v>189</v>
      </c>
      <c r="H5" t="s">
        <v>110</v>
      </c>
      <c r="I5" t="s">
        <v>227</v>
      </c>
    </row>
    <row r="6" spans="1:9" x14ac:dyDescent="0.3">
      <c r="A6" t="s">
        <v>226</v>
      </c>
      <c r="B6" t="str">
        <f t="shared" ref="B6:B12" si="1">"expense-" &amp; C6</f>
        <v>expense-Events and Committees</v>
      </c>
      <c r="C6" t="s">
        <v>187</v>
      </c>
      <c r="D6" t="s">
        <v>110</v>
      </c>
      <c r="E6" t="s">
        <v>98</v>
      </c>
      <c r="F6" t="s">
        <v>113</v>
      </c>
      <c r="G6" t="s">
        <v>189</v>
      </c>
      <c r="H6" t="s">
        <v>110</v>
      </c>
      <c r="I6" t="s">
        <v>227</v>
      </c>
    </row>
    <row r="7" spans="1:9" x14ac:dyDescent="0.3">
      <c r="A7" t="s">
        <v>226</v>
      </c>
      <c r="B7" t="str">
        <f t="shared" si="1"/>
        <v>expense-Services to Members</v>
      </c>
      <c r="C7" t="s">
        <v>91</v>
      </c>
      <c r="D7" t="s">
        <v>110</v>
      </c>
      <c r="E7" t="s">
        <v>98</v>
      </c>
      <c r="F7" t="s">
        <v>113</v>
      </c>
      <c r="G7" t="s">
        <v>189</v>
      </c>
      <c r="H7" t="s">
        <v>110</v>
      </c>
      <c r="I7" t="s">
        <v>227</v>
      </c>
    </row>
    <row r="8" spans="1:9" x14ac:dyDescent="0.3">
      <c r="A8" t="s">
        <v>226</v>
      </c>
      <c r="B8" t="str">
        <f t="shared" si="1"/>
        <v>expense-Other expenses</v>
      </c>
      <c r="C8" t="s">
        <v>225</v>
      </c>
      <c r="D8" t="s">
        <v>110</v>
      </c>
      <c r="E8" t="s">
        <v>98</v>
      </c>
      <c r="F8" t="s">
        <v>113</v>
      </c>
      <c r="G8" t="s">
        <v>189</v>
      </c>
      <c r="H8" t="s">
        <v>110</v>
      </c>
      <c r="I8" t="s">
        <v>227</v>
      </c>
    </row>
    <row r="9" spans="1:9" x14ac:dyDescent="0.3">
      <c r="A9" t="s">
        <v>226</v>
      </c>
      <c r="B9" t="str">
        <f t="shared" si="1"/>
        <v>expense-G&amp;A</v>
      </c>
      <c r="C9" t="s">
        <v>188</v>
      </c>
      <c r="D9" t="s">
        <v>110</v>
      </c>
      <c r="E9" t="s">
        <v>98</v>
      </c>
      <c r="F9" t="s">
        <v>113</v>
      </c>
      <c r="G9" t="s">
        <v>189</v>
      </c>
      <c r="H9" t="s">
        <v>110</v>
      </c>
      <c r="I9" t="s">
        <v>227</v>
      </c>
    </row>
    <row r="10" spans="1:9" x14ac:dyDescent="0.3">
      <c r="A10" t="s">
        <v>226</v>
      </c>
      <c r="B10" t="str">
        <f t="shared" si="1"/>
        <v>expense-Gastos Corporativos</v>
      </c>
      <c r="C10" t="s">
        <v>183</v>
      </c>
      <c r="D10" t="s">
        <v>110</v>
      </c>
      <c r="E10" t="s">
        <v>98</v>
      </c>
      <c r="F10" t="s">
        <v>113</v>
      </c>
      <c r="G10" t="s">
        <v>189</v>
      </c>
      <c r="H10" t="s">
        <v>110</v>
      </c>
      <c r="I10" t="s">
        <v>227</v>
      </c>
    </row>
    <row r="11" spans="1:9" x14ac:dyDescent="0.3">
      <c r="A11" t="s">
        <v>226</v>
      </c>
      <c r="B11" t="str">
        <f t="shared" si="1"/>
        <v>expense-CARGOS ADMINISTRATIVOS</v>
      </c>
      <c r="C11" t="s">
        <v>184</v>
      </c>
      <c r="D11" t="s">
        <v>110</v>
      </c>
      <c r="E11" t="s">
        <v>98</v>
      </c>
      <c r="F11" t="s">
        <v>113</v>
      </c>
      <c r="G11" t="s">
        <v>189</v>
      </c>
      <c r="H11" t="s">
        <v>110</v>
      </c>
      <c r="I11" t="s">
        <v>227</v>
      </c>
    </row>
    <row r="12" spans="1:9" x14ac:dyDescent="0.3">
      <c r="A12" t="s">
        <v>226</v>
      </c>
      <c r="B12" t="str">
        <f>"other-" &amp; C12</f>
        <v>other-Other</v>
      </c>
      <c r="C12" t="s">
        <v>94</v>
      </c>
      <c r="D12" t="s">
        <v>110</v>
      </c>
      <c r="E12" t="s">
        <v>94</v>
      </c>
      <c r="G12" t="s">
        <v>94</v>
      </c>
      <c r="H12" t="s">
        <v>110</v>
      </c>
      <c r="I1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2995-7470-416D-96B0-8F624792BD1E}">
  <dimension ref="A1:M13"/>
  <sheetViews>
    <sheetView zoomScale="51" workbookViewId="0">
      <selection activeCell="N4" sqref="N4"/>
    </sheetView>
  </sheetViews>
  <sheetFormatPr baseColWidth="10" defaultRowHeight="14.4" x14ac:dyDescent="0.3"/>
  <sheetData>
    <row r="1" spans="1:13" ht="69.599999999999994" thickBot="1" x14ac:dyDescent="0.35">
      <c r="A1" s="4" t="s">
        <v>101</v>
      </c>
      <c r="B1" s="4" t="s">
        <v>106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</row>
    <row r="2" spans="1:13" ht="69.599999999999994" thickBot="1" x14ac:dyDescent="0.35">
      <c r="A2" s="4" t="s">
        <v>133</v>
      </c>
      <c r="B2" s="5" t="s">
        <v>134</v>
      </c>
      <c r="C2" s="5" t="s">
        <v>87</v>
      </c>
      <c r="D2" s="5" t="s">
        <v>89</v>
      </c>
      <c r="E2" s="5" t="s">
        <v>135</v>
      </c>
      <c r="F2" s="5" t="s">
        <v>136</v>
      </c>
      <c r="G2" s="5" t="s">
        <v>137</v>
      </c>
      <c r="H2" s="5" t="s">
        <v>138</v>
      </c>
      <c r="I2" s="5" t="s">
        <v>139</v>
      </c>
      <c r="J2" s="5" t="s">
        <v>139</v>
      </c>
      <c r="K2" s="5" t="s">
        <v>139</v>
      </c>
      <c r="L2" s="5" t="s">
        <v>137</v>
      </c>
      <c r="M2" s="5" t="s">
        <v>139</v>
      </c>
    </row>
    <row r="3" spans="1:13" ht="69.599999999999994" thickBot="1" x14ac:dyDescent="0.35">
      <c r="A3" s="4" t="s">
        <v>133</v>
      </c>
      <c r="B3" s="5" t="s">
        <v>134</v>
      </c>
      <c r="C3" s="5" t="s">
        <v>88</v>
      </c>
      <c r="D3" s="5" t="s">
        <v>89</v>
      </c>
      <c r="E3" s="5" t="s">
        <v>135</v>
      </c>
      <c r="F3" s="5" t="s">
        <v>136</v>
      </c>
      <c r="G3" s="5" t="s">
        <v>137</v>
      </c>
      <c r="H3" s="5" t="s">
        <v>138</v>
      </c>
      <c r="I3" s="5" t="s">
        <v>139</v>
      </c>
      <c r="J3" s="5" t="s">
        <v>139</v>
      </c>
      <c r="K3" s="5" t="s">
        <v>139</v>
      </c>
      <c r="L3" s="5" t="s">
        <v>137</v>
      </c>
      <c r="M3" s="5" t="s">
        <v>139</v>
      </c>
    </row>
    <row r="4" spans="1:13" ht="69.599999999999994" thickBot="1" x14ac:dyDescent="0.35">
      <c r="A4" s="4" t="s">
        <v>133</v>
      </c>
      <c r="B4" s="5" t="s">
        <v>134</v>
      </c>
      <c r="C4" s="5" t="s">
        <v>45</v>
      </c>
      <c r="D4" s="5" t="s">
        <v>89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  <c r="J4" s="5" t="s">
        <v>139</v>
      </c>
      <c r="K4" s="5" t="s">
        <v>139</v>
      </c>
      <c r="L4" s="5" t="s">
        <v>137</v>
      </c>
      <c r="M4" s="5" t="s">
        <v>139</v>
      </c>
    </row>
    <row r="5" spans="1:13" ht="69.599999999999994" thickBot="1" x14ac:dyDescent="0.35">
      <c r="A5" s="4" t="s">
        <v>133</v>
      </c>
      <c r="B5" s="5" t="s">
        <v>134</v>
      </c>
      <c r="C5" s="5" t="s">
        <v>91</v>
      </c>
      <c r="D5" s="5" t="s">
        <v>89</v>
      </c>
      <c r="E5" s="5" t="s">
        <v>135</v>
      </c>
      <c r="F5" s="5" t="s">
        <v>136</v>
      </c>
      <c r="G5" s="5" t="s">
        <v>137</v>
      </c>
      <c r="H5" s="5" t="s">
        <v>138</v>
      </c>
      <c r="I5" s="5" t="s">
        <v>139</v>
      </c>
      <c r="J5" s="5" t="s">
        <v>139</v>
      </c>
      <c r="K5" s="5" t="s">
        <v>139</v>
      </c>
      <c r="L5" s="5" t="s">
        <v>137</v>
      </c>
      <c r="M5" s="5" t="s">
        <v>139</v>
      </c>
    </row>
    <row r="6" spans="1:13" ht="69.599999999999994" thickBot="1" x14ac:dyDescent="0.35">
      <c r="A6" s="4" t="s">
        <v>133</v>
      </c>
      <c r="B6" s="5" t="s">
        <v>140</v>
      </c>
      <c r="C6" s="5" t="s">
        <v>87</v>
      </c>
      <c r="D6" s="5" t="s">
        <v>92</v>
      </c>
      <c r="E6" s="5" t="s">
        <v>111</v>
      </c>
      <c r="F6" s="5" t="s">
        <v>136</v>
      </c>
      <c r="G6" s="5" t="s">
        <v>137</v>
      </c>
      <c r="H6" s="5" t="s">
        <v>138</v>
      </c>
      <c r="I6" s="5" t="s">
        <v>139</v>
      </c>
      <c r="J6" s="5" t="s">
        <v>139</v>
      </c>
      <c r="K6" s="5" t="s">
        <v>141</v>
      </c>
      <c r="L6" s="5" t="s">
        <v>137</v>
      </c>
      <c r="M6" s="5" t="s">
        <v>139</v>
      </c>
    </row>
    <row r="7" spans="1:13" ht="69.599999999999994" thickBot="1" x14ac:dyDescent="0.35">
      <c r="A7" s="4" t="s">
        <v>133</v>
      </c>
      <c r="B7" s="5" t="s">
        <v>140</v>
      </c>
      <c r="C7" s="5" t="s">
        <v>88</v>
      </c>
      <c r="D7" s="5" t="s">
        <v>92</v>
      </c>
      <c r="E7" s="5" t="s">
        <v>111</v>
      </c>
      <c r="F7" s="5" t="s">
        <v>136</v>
      </c>
      <c r="G7" s="5" t="s">
        <v>137</v>
      </c>
      <c r="H7" s="5" t="s">
        <v>138</v>
      </c>
      <c r="I7" s="5" t="s">
        <v>139</v>
      </c>
      <c r="J7" s="5" t="s">
        <v>139</v>
      </c>
      <c r="K7" s="5" t="s">
        <v>141</v>
      </c>
      <c r="L7" s="5" t="s">
        <v>137</v>
      </c>
      <c r="M7" s="5" t="s">
        <v>139</v>
      </c>
    </row>
    <row r="8" spans="1:13" ht="69.599999999999994" thickBot="1" x14ac:dyDescent="0.35">
      <c r="A8" s="4" t="s">
        <v>133</v>
      </c>
      <c r="B8" s="5" t="s">
        <v>140</v>
      </c>
      <c r="C8" s="5" t="s">
        <v>45</v>
      </c>
      <c r="D8" s="5" t="s">
        <v>92</v>
      </c>
      <c r="E8" s="5" t="s">
        <v>111</v>
      </c>
      <c r="F8" s="5" t="s">
        <v>136</v>
      </c>
      <c r="G8" s="5" t="s">
        <v>137</v>
      </c>
      <c r="H8" s="5" t="s">
        <v>138</v>
      </c>
      <c r="I8" s="5" t="s">
        <v>139</v>
      </c>
      <c r="J8" s="5" t="s">
        <v>139</v>
      </c>
      <c r="K8" s="5" t="s">
        <v>141</v>
      </c>
      <c r="L8" s="5" t="s">
        <v>137</v>
      </c>
      <c r="M8" s="5" t="s">
        <v>139</v>
      </c>
    </row>
    <row r="9" spans="1:13" ht="69.599999999999994" thickBot="1" x14ac:dyDescent="0.35">
      <c r="A9" s="4" t="s">
        <v>133</v>
      </c>
      <c r="B9" s="5" t="s">
        <v>140</v>
      </c>
      <c r="C9" s="5" t="s">
        <v>91</v>
      </c>
      <c r="D9" s="5" t="s">
        <v>92</v>
      </c>
      <c r="E9" s="5" t="s">
        <v>111</v>
      </c>
      <c r="F9" s="5" t="s">
        <v>136</v>
      </c>
      <c r="G9" s="5" t="s">
        <v>137</v>
      </c>
      <c r="H9" s="5" t="s">
        <v>138</v>
      </c>
      <c r="I9" s="5" t="s">
        <v>139</v>
      </c>
      <c r="J9" s="5" t="s">
        <v>139</v>
      </c>
      <c r="K9" s="5" t="s">
        <v>141</v>
      </c>
      <c r="L9" s="5" t="s">
        <v>137</v>
      </c>
      <c r="M9" s="5" t="s">
        <v>139</v>
      </c>
    </row>
    <row r="10" spans="1:13" ht="69.599999999999994" thickBot="1" x14ac:dyDescent="0.35">
      <c r="A10" s="4" t="s">
        <v>133</v>
      </c>
      <c r="B10" s="5" t="s">
        <v>140</v>
      </c>
      <c r="C10" s="5" t="s">
        <v>93</v>
      </c>
      <c r="D10" s="5" t="s">
        <v>92</v>
      </c>
      <c r="E10" s="5" t="s">
        <v>111</v>
      </c>
      <c r="F10" s="5" t="s">
        <v>136</v>
      </c>
      <c r="G10" s="5" t="s">
        <v>137</v>
      </c>
      <c r="H10" s="5" t="s">
        <v>138</v>
      </c>
      <c r="I10" s="5" t="s">
        <v>139</v>
      </c>
      <c r="J10" s="5" t="s">
        <v>139</v>
      </c>
      <c r="K10" s="5" t="s">
        <v>141</v>
      </c>
      <c r="L10" s="5" t="s">
        <v>137</v>
      </c>
      <c r="M10" s="5" t="s">
        <v>139</v>
      </c>
    </row>
    <row r="11" spans="1:13" ht="69.599999999999994" thickBot="1" x14ac:dyDescent="0.35">
      <c r="A11" s="4" t="s">
        <v>133</v>
      </c>
      <c r="B11" s="5" t="s">
        <v>140</v>
      </c>
      <c r="C11" s="5" t="s">
        <v>94</v>
      </c>
      <c r="D11" s="5" t="s">
        <v>92</v>
      </c>
      <c r="E11" s="5" t="s">
        <v>111</v>
      </c>
      <c r="F11" s="5" t="s">
        <v>136</v>
      </c>
      <c r="G11" s="5" t="s">
        <v>137</v>
      </c>
      <c r="H11" s="5" t="s">
        <v>138</v>
      </c>
      <c r="I11" s="5" t="s">
        <v>139</v>
      </c>
      <c r="J11" s="5" t="s">
        <v>139</v>
      </c>
      <c r="K11" s="5" t="s">
        <v>141</v>
      </c>
      <c r="L11" s="5" t="s">
        <v>137</v>
      </c>
      <c r="M11" s="5" t="s">
        <v>139</v>
      </c>
    </row>
    <row r="12" spans="1:13" ht="69.599999999999994" thickBot="1" x14ac:dyDescent="0.35">
      <c r="A12" s="4" t="s">
        <v>133</v>
      </c>
      <c r="B12" s="5" t="s">
        <v>140</v>
      </c>
      <c r="C12" s="5" t="s">
        <v>95</v>
      </c>
      <c r="D12" s="5" t="s">
        <v>92</v>
      </c>
      <c r="E12" s="5" t="s">
        <v>111</v>
      </c>
      <c r="F12" s="5" t="s">
        <v>136</v>
      </c>
      <c r="G12" s="5" t="s">
        <v>137</v>
      </c>
      <c r="H12" s="5" t="s">
        <v>138</v>
      </c>
      <c r="I12" s="5" t="s">
        <v>139</v>
      </c>
      <c r="J12" s="5" t="s">
        <v>139</v>
      </c>
      <c r="K12" s="5" t="s">
        <v>141</v>
      </c>
      <c r="L12" s="5" t="s">
        <v>137</v>
      </c>
      <c r="M12" s="5" t="s">
        <v>139</v>
      </c>
    </row>
    <row r="13" spans="1:13" ht="42" thickBot="1" x14ac:dyDescent="0.35">
      <c r="A13" s="4" t="s">
        <v>133</v>
      </c>
      <c r="B13" s="5" t="s">
        <v>142</v>
      </c>
      <c r="C13" s="5" t="s">
        <v>143</v>
      </c>
      <c r="D13" s="5" t="s">
        <v>144</v>
      </c>
      <c r="E13" s="5" t="s">
        <v>137</v>
      </c>
      <c r="F13" s="5" t="s">
        <v>137</v>
      </c>
      <c r="G13" s="5" t="s">
        <v>145</v>
      </c>
      <c r="H13" s="5" t="s">
        <v>137</v>
      </c>
      <c r="I13" s="5" t="s">
        <v>139</v>
      </c>
      <c r="J13" s="5" t="s">
        <v>137</v>
      </c>
      <c r="K13" s="5" t="s">
        <v>139</v>
      </c>
      <c r="L13" s="5" t="s">
        <v>139</v>
      </c>
      <c r="M13" s="5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2D4B-6E45-4E22-AA7A-BE42DF3BDBD4}">
  <dimension ref="A1:D5"/>
  <sheetViews>
    <sheetView tabSelected="1" workbookViewId="0">
      <selection activeCell="F9" sqref="F9"/>
    </sheetView>
  </sheetViews>
  <sheetFormatPr baseColWidth="10" defaultRowHeight="14.4" x14ac:dyDescent="0.3"/>
  <sheetData>
    <row r="1" spans="1:4" ht="28.2" thickBot="1" x14ac:dyDescent="0.35">
      <c r="A1" s="4" t="s">
        <v>101</v>
      </c>
      <c r="B1" s="4" t="s">
        <v>146</v>
      </c>
      <c r="C1" s="4" t="s">
        <v>147</v>
      </c>
      <c r="D1" s="4" t="s">
        <v>148</v>
      </c>
    </row>
    <row r="2" spans="1:4" ht="55.8" thickBot="1" x14ac:dyDescent="0.35">
      <c r="A2" s="4" t="s">
        <v>133</v>
      </c>
      <c r="B2" s="5" t="s">
        <v>149</v>
      </c>
      <c r="C2" s="5" t="s">
        <v>136</v>
      </c>
      <c r="D2" s="5" t="s">
        <v>145</v>
      </c>
    </row>
    <row r="3" spans="1:4" ht="69.599999999999994" thickBot="1" x14ac:dyDescent="0.35">
      <c r="A3" s="4" t="s">
        <v>150</v>
      </c>
      <c r="B3" s="5" t="s">
        <v>151</v>
      </c>
      <c r="C3" s="5" t="s">
        <v>114</v>
      </c>
      <c r="D3" s="5" t="s">
        <v>118</v>
      </c>
    </row>
    <row r="4" spans="1:4" ht="69.599999999999994" thickBot="1" x14ac:dyDescent="0.35">
      <c r="A4" s="4" t="s">
        <v>152</v>
      </c>
      <c r="B4" s="5" t="s">
        <v>153</v>
      </c>
      <c r="C4" s="5" t="s">
        <v>154</v>
      </c>
      <c r="D4" s="5" t="s">
        <v>155</v>
      </c>
    </row>
    <row r="5" spans="1:4" ht="69.599999999999994" thickBot="1" x14ac:dyDescent="0.35">
      <c r="A5" s="4" t="s">
        <v>156</v>
      </c>
      <c r="B5" s="5" t="s">
        <v>157</v>
      </c>
      <c r="C5" s="5" t="s">
        <v>158</v>
      </c>
      <c r="D5" s="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SUMMARY Ciudad de México </vt:lpstr>
      <vt:lpstr>SUMMARY GUADALAJARA</vt:lpstr>
      <vt:lpstr>SUMMARY NOROESTE</vt:lpstr>
      <vt:lpstr>SUMAS CIUDAD DE MEXICO</vt:lpstr>
      <vt:lpstr>SUMAS GUADALAJARA</vt:lpstr>
      <vt:lpstr>SUMAS NORORESTE</vt:lpstr>
      <vt:lpstr>CDMX SUMAS</vt:lpstr>
      <vt:lpstr>net cdmx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2025-12-02T04:47:59Z</dcterms:created>
  <dcterms:modified xsi:type="dcterms:W3CDTF">2025-12-02T17:35:56Z</dcterms:modified>
</cp:coreProperties>
</file>